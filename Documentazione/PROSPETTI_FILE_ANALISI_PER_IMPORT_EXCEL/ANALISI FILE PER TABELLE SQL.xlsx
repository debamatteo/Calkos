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Questa_cartella_di_lavoro" defaultThemeVersion="164011"/>
  <mc:AlternateContent xmlns:mc="http://schemas.openxmlformats.org/markup-compatibility/2006">
    <mc:Choice Requires="x15">
      <x15ac:absPath xmlns:x15ac="http://schemas.microsoft.com/office/spreadsheetml/2010/11/ac" url="C:\Lavoro\Calkos\Calkos.web\Documentazione\PROSPETTI_FILE_ANALISI_PER_IMPORT_EXCEL\"/>
    </mc:Choice>
  </mc:AlternateContent>
  <bookViews>
    <workbookView xWindow="0" yWindow="0" windowWidth="28800" windowHeight="12000" activeTab="7"/>
  </bookViews>
  <sheets>
    <sheet name="DE ANGELI" sheetId="1" r:id="rId1"/>
    <sheet name="ELEKTRAWIRE" sheetId="2" r:id="rId2"/>
    <sheet name="SYSTEMCORE" sheetId="3" r:id="rId3"/>
    <sheet name="SYSTEMP" sheetId="4" r:id="rId4"/>
    <sheet name="CST TRADING" sheetId="5" r:id="rId5"/>
    <sheet name="GUERZONI" sheetId="6" r:id="rId6"/>
    <sheet name="HITECH" sheetId="7" r:id="rId7"/>
    <sheet name="RIEPILOGO" sheetId="9" r:id="rId8"/>
    <sheet name="Foglio1" sheetId="8" r:id="rId9"/>
  </sheets>
  <definedNames>
    <definedName name="_xlnm._FilterDatabase" localSheetId="4" hidden="1">'CST TRADING'!$A$1:$H$29</definedName>
    <definedName name="_xlnm._FilterDatabase" localSheetId="0" hidden="1">'DE ANGELI'!$A$1:$J$24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4" l="1"/>
  <c r="D22" i="4"/>
</calcChain>
</file>

<file path=xl/comments1.xml><?xml version="1.0" encoding="utf-8"?>
<comments xmlns="http://schemas.openxmlformats.org/spreadsheetml/2006/main">
  <authors>
    <author>Lenovo</author>
  </authors>
  <commentList>
    <comment re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15" authorId="0" shapeId="0">
      <text>
        <r>
          <rPr>
            <b/>
            <sz val="9"/>
            <color indexed="81"/>
            <rFont val="Tahoma"/>
            <family val="2"/>
          </rPr>
          <t>Commissione con aliquota Variabile (ValoreProvvigioneVaribile)=
(Materiale+Lav con commissione)  *  Aliquota Variabile
"Se l'aliquota variabile è zero, il risultato è zero. Se invece è presente, applica l'aliquota al valore del materiale lavorato e commissionato."</t>
        </r>
        <r>
          <rPr>
            <sz val="9"/>
            <color indexed="81"/>
            <rFont val="Tahoma"/>
            <family val="2"/>
          </rPr>
          <t xml:space="preserve">
</t>
        </r>
        <r>
          <rPr>
            <b/>
            <sz val="9"/>
            <color indexed="81"/>
            <rFont val="Tahoma"/>
            <family val="2"/>
          </rPr>
          <t>SE(L7=0;0;J7*L7)
J Materiale+Lav con commissione PrezzoConLavorazione
L Aliquota variabile PercentualeProvvigioneVariabile</t>
        </r>
      </text>
    </comment>
    <comment re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A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B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C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D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E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F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G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H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J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K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L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M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N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O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P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Q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R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S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T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U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V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F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G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H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I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J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K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L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M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N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O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P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Q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R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S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T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U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V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W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X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Y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WZ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A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B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C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D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E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F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G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H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I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J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K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L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M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N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O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P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Q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R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S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T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U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V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W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X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Y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EZ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FA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FB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FC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XFD15" authorId="0" shapeId="0">
      <text>
        <r>
          <rPr>
            <b/>
            <sz val="9"/>
            <color indexed="81"/>
            <rFont val="Tahoma"/>
            <family val="2"/>
          </rPr>
          <t>(Materiale+Lav con commissione)
*
Aliquota Variabile
"Se l'aliquota variabile è zero, il risultato è zero. Se invece è presente, applica l'aliquota al valore del materiale lavorato e commissionato."</t>
        </r>
        <r>
          <rPr>
            <sz val="9"/>
            <color indexed="81"/>
            <rFont val="Tahoma"/>
            <family val="2"/>
          </rPr>
          <t xml:space="preserve">
</t>
        </r>
      </text>
    </comment>
    <comment ref="I16" authorId="0" shapeId="0">
      <text>
        <r>
          <rPr>
            <b/>
            <sz val="9"/>
            <color indexed="81"/>
            <rFont val="Tahoma"/>
            <family val="2"/>
          </rPr>
          <t xml:space="preserve">
"La commissione del 1,5% scatta sempre se l'ordine è inferiore a 500.
 Se l'ordine è superiore, scatta solo se l'aliquota variabile è almeno del 5%, 
distinguendo la base di calcolo tra Rame e Rame Smaltato."</t>
        </r>
        <r>
          <rPr>
            <sz val="9"/>
            <color indexed="81"/>
            <rFont val="Tahoma"/>
            <family val="2"/>
          </rPr>
          <t xml:space="preserve">
</t>
        </r>
        <r>
          <rPr>
            <b/>
            <sz val="9"/>
            <color indexed="81"/>
            <rFont val="Tahoma"/>
            <family val="2"/>
          </rPr>
          <t xml:space="preserve">
LOGICA DELLA FORMULA: APPLICAZIONE EXTRA 1,5%
La formula segue un ordine di priorità "a cascata":
1. PRIORITÀ ASSOLUTA: Piccolo Ordine (D6)
La formula guarda se in D6 hai scritto "si" (che significa Ordine &lt; 500).
SE SÌ: Calcola immediatamente il 1,5% sul valore di Vendita (J6). Il calcolo finisce qui.
2. IL FILTRO DI SOGLIA: Aliquota Variabile (K6)
Se l'ordine non è segnato come piccolo (&lt;500), la formula controlla l'Aliquota variabile (K6):
SE l'aliquota è BASSA (&lt; 5%): Il risultato è 0. Non viene applicato nessun extra.
SE l'aliquota è ALTA (&gt;= 5%): Si procede al controllo successivo.
3. IL FILTRO DI ESISTENZA: Materiale Euro di Riferimento (H6)
Se il Materiale Euro di riferimento (H6) è 0, la formula si ferma e restituisce 0 (per evitare calcoli su dati mancanti).
4. IL CALCOLO PER TIPOLOGIA (F6)
Se tutti i filtri precedenti sono superati, la formula applica il 1,5% in base a cosa c'è scritto in Tipologia Materiale (F6):
Se è "RAME": Calcola il 1,5% su I6 (Materiale+Lav con commissione).</t>
        </r>
        <r>
          <rPr>
            <sz val="9"/>
            <color indexed="81"/>
            <rFont val="Tahoma"/>
            <family val="2"/>
          </rPr>
          <t xml:space="preserve">
</t>
        </r>
        <r>
          <rPr>
            <b/>
            <sz val="9"/>
            <color indexed="81"/>
            <rFont val="Tahoma"/>
            <family val="2"/>
          </rPr>
          <t xml:space="preserve">
Se è "rame smaltato": Calcola il 1,5% su J6 (Vendita).
Se è altro: Restituisce 0.</t>
        </r>
      </text>
    </comment>
    <comment ref="I17" authorId="0" shapeId="0">
      <text>
        <r>
          <rPr>
            <b/>
            <sz val="9"/>
            <color indexed="81"/>
            <rFont val="Tahoma"/>
            <family val="2"/>
          </rPr>
          <t>La formula applica una maggiorazione del 3% solo all'alluminio. Se è alluminio base, la calcola sul valore tecnico (Materiale+Lav con commissione); se è alluminio smaltato, la calcola sul valore commerciale (Vendita)."
LOGICA DI CALCOLO: MAGGIORAZIONE ALLUMINIO (3%)
La formula agisce come un selettore che si attiva solo se il materiale di base ha un valore reale.
1. Il Blocco di Sicurezza (H6)
La formula controlla per prima cosa la cella H6 (Materiale Euro di riferimento).
SE H6 è 0: Il risultato è 0.
Logica: Se non c'è un valore di riferimento per il metallo, non viene applicata alcuna maggiorazione.
2. Il Calcolo Selettivo per Tipologia (F6)
Se il riferimento esiste, la formula verifica la Tipologia Materiale (F6) e applica la percentuale sulla base corretta:
CASO A: "alluminio"
Applica il 3% su I6 (Materiale + Lav. con commissione).
CASO B: "alluminio smaltato"
Applica il 3% su J6 (Vendita).
CASO C: Altri materiali
Se in F6 c'è scritto altro (es. Rame), la formula restituisce 0.</t>
        </r>
        <r>
          <rPr>
            <sz val="9"/>
            <color indexed="81"/>
            <rFont val="Tahoma"/>
            <family val="2"/>
          </rPr>
          <t xml:space="preserve">
</t>
        </r>
      </text>
    </comment>
    <comment ref="I19" authorId="0" shapeId="0">
      <text>
        <r>
          <rPr>
            <b/>
            <sz val="9"/>
            <color indexed="81"/>
            <rFont val="Tahoma"/>
            <family val="2"/>
          </rPr>
          <t xml:space="preserve">Totale Fisso=
(ValoreProvvigioneFissa1*Quantita)+(ValoreProvvigioneFissa1*Quantita)+(ValoreProvvigioneFissa1*Quantita) </t>
        </r>
        <r>
          <rPr>
            <sz val="9"/>
            <color indexed="81"/>
            <rFont val="Tahoma"/>
            <family val="2"/>
          </rPr>
          <t xml:space="preserve">
</t>
        </r>
      </text>
    </comment>
    <comment ref="I20" authorId="0" shapeId="0">
      <text>
        <r>
          <rPr>
            <b/>
            <sz val="11"/>
            <color indexed="81"/>
            <rFont val="Tahoma"/>
            <family val="2"/>
          </rPr>
          <t>scrive SI solo se il materiale non è alluminio e l'aliquota è sotto la soglia minima del 5 per cento.
Questa formula è un indicatore di controllo (una sorta di "alert") che serve a segnalare quando deve scattare la maggiorazione sulla lavorazione.
Ecco la logica per la tua nota:
NOTA LOGICA INDICATORE MAGGIORAZIONE 8 PER CENTO
Questo controllo serve a confermare se il materiale deve ricevere la commissione sulla lavorazione oppure no.
FASE 1: ESCLUSIONE ALLUMINIO
La formula controlla il materiale. Se il materiale è ALLUMINIO, il risultato è 0. Questo perché l'alluminio segue logiche di calcolo separate.
FASE 2: VERIFICA SOGLIA ALIQUOTA
Se il materiale non è alluminio, la formula guarda l Aliquota Variabile.
Se l Aliquota è inferiore al 5 per cento, la formula scrive SI.
Questo SI indica che le condizioni per applicare l otto per cento sulla lavorazione sono soddisfatte.
FASE 3: CHIUSURA
In tutti gli altri casi (quindi se l Aliquota è alta), la formula restituisce 0.</t>
        </r>
      </text>
    </comment>
  </commentList>
</comments>
</file>

<file path=xl/comments2.xml><?xml version="1.0" encoding="utf-8"?>
<comments xmlns="http://schemas.openxmlformats.org/spreadsheetml/2006/main">
  <authors>
    <author>Lenovo</author>
  </authors>
  <commentList>
    <comment ref="C1" authorId="0" shapeId="0">
      <text>
        <r>
          <rPr>
            <b/>
            <sz val="9"/>
            <color indexed="81"/>
            <rFont val="Tahoma"/>
            <family val="2"/>
          </rPr>
          <t xml:space="preserve">Formule ElektraWIRE
--------------------------------------------------------------------------------
H  Totale Mat+Lav — formula PrezzoConLavorazione E13+G13
E  Lav — numero CostoLavorazione
G  Base — numero Prezzo
--------------------------------------------------------------------------------
J  Delta — Decimal DeltaMargine I13-H13
I  Vendita — numero PrezzoVendita
H  Totale Mat+Lav — formula PrezzoConLavorazione E13+G13
--------------------------------------------------------------------------------
K Commisioni fisse  1,50% 0,015 (soglia) Decimal ValUnitProvvigioneFissa1_5 =SE(F6="alluminio";0;I6*1,5%)
F  Materiale — testo Materiale —
I  Vendita — numero PrezzoVendita —
--------------------------------------------------------------------------------
L Commisioni fisse  1,50%&lt;Delta 1,50% &lt; Delta Decimal Delta1ProvvigioneFissa1_5 =SE(K6&lt;J6;K6;0)
K Commisioni fisse  1,50% 0,015 (soglia) Decimal ValUnitProvvigioneFissa1_5
J  Delta — Decimal DeltaMargine I13-H13
--------------------------------------------------------------------------------
M Commisioni fisse  1,5%&gt;Delta 1,5% &gt; Delta Decimal Delta2ProvvigioneFissa1_5 =SE(J6&gt;K6;0;J6)
K Commisioni fisse  1,50% 0,015 (soglia) Decimal ValUnitProvvigioneFissa1_5
J  Delta — Decimal DeltaMargine I13-H13
--------------------------------------------------------------------------------
N Commisioni fisse  1,5% fissa 1,5% fissa Decimal TotProvvigioneFissa1_5 =+L6*D6
L Commisioni fisse  1,50%&lt;Delta 1,50% &lt; Delta Decimal Delta1ProvvigioneFissa1_5 =SE(K6&lt;J6;K6;0)
D  KG — numero Kg —
--------------------------------------------------------------------------------
O Commisioni fisse  3% 0,03 (soglia) Decimal ValUnitProvvigioneFissa_03 =SE(F6="rame";0;+I6*3%)
F  Materiale — testo Materiale —
I  Vendita — numero PrezzoVendita —
--------------------------------------------------------------------------------
P Commisioni fisse  3% &lt; Delta 3% &lt; Delta Decimal Delta1ProvvigioneFissa_03 =SE(O6&lt;J6;O6;0)
O Commisioni fisse  3% 0,03 (soglia) Decimal ValUnitProvvigioneFissa_03 =SE(F6="rame";0;+I6*3%)
J  Delta — Decimal DeltaMargine I13-H13
--------------------------------------------------------------------------------
Q Commisioni fisse  3% &gt; Delta 3% &gt; Delta Decimal Delta2ProvvigioneFissa_03 =SE(J6&gt;O6;0;J6)
O Commisioni fisse  3% 0,03 (soglia) Decimal ValUnitProvvigioneFissa_03 =SE(F6="rame";0;+I6*3%)
J  Delta — Decimal DeltaMargine I13-H13
--------------------------------------------------------------------------------
R Commisioni fisse  3% fissa 3% fissa Decimal TotProvvigioneFissa_03 =+P6*D6
P Commisioni fisse  3% &lt; Delta 3% &lt; Delta Decimal Delta1ProvvigioneFissa_03 =SE(O6&lt;J6;O6;0)
D  KG — numero Kg —
--------------------------------------------------------------------------------
S  Quota fissa 1,5% — Decimal ValQuotaFissa_1_5 =SE(K6=0;0;M6*D6)
D  KG — numero Kg —
M Commisioni fisse  1,5%&gt;Delta 1,5% &gt; Delta Decimal Delta2ProvvigioneFissa1_5 =SE(J6&gt;K6;0;J6)
--------------------------------------------------------------------------------
T  Quota fissa 3% — Decimal ValQuotaFissa_03 =+SE(K6=0;Q6*D6;0)
D  KG — numero Kg —
Q Commisioni fisse  3% &gt; Delta 3% &gt; Delta Decimal Delta2ProvvigioneFissa_03 =SE(J6&gt;O6;0;J6)
--------------------------------------------------------------------------------
U  Totale — Decimal TotaleFissoProvvigione =+N6+R6+S6+T6
N Commisioni fisse  1,5% fissa 1,5% fissa Decimal TotProvvigioneFissa1_5 =+L6*D6
R Commisioni fisse  3% fissa 3% fissa Decimal TotProvvigioneFissa_03 =+P6*D6
S  Quota fissa 1,5% — Decimal ValQuotaFissa_1_5 =SE(K6=0;0;M6*D6)
T  Quota fissa 3% — Decimal ValQuotaFissa_03 =+SE(K6=0;Q6*D6;0)
--------------------------------------------------------------------------------
V  delta — Decimal DeltaResiduoVariabile =SE(P6=0;0;I6-H6-O6)+SE(L6=0;0;I6-H6-K6)
P Commisioni fisse  3% &lt; Delta 3% &lt; Delta Decimal Delta1ProvvigioneFissa_03 =SE(O6&lt;J6;O6;0)
I  Vendita — numero PrezzoVendita —
H  Totale Mat+Lav — formula PrezzoConLavorazione E13+G13
O Commisioni fisse  3% 0,03 (soglia) Decimal ValUnitProvvigioneFissa_03 =SE(F6="rame";0;+I6*3%)
L Commisioni fisse  1,50%&lt;Delta 1,50% &lt; Delta Decimal Delta1ProvvigioneFissa1_5 =SE(K6&lt;J6;K6;0)
--------------------------------------------------------------------------------
W  Totale provv variabile — Decimal TotaleVariabileProvvigione =+(V6*60%)*D6
V  delta — Decimal DeltaResiduoVariabile =SE(P6=0;0;I6-H6-O6)+SE(L6=0;0;I6-H6-K6)
60% da gestire con u nuovo campo
--------------------------------------------------------------------------------
X  Tot. Provv. — Decimal TotaleSommaProvvigioni =+U6+W6
U  Totale — Decimal TotaleFissoProvvigione =+N6+R6+S6+T6
W  Totale provv variabile — Decimal TotaleVariabileProvvigione =+(V6*60%)*D6
--------------------------------------------------------------------------------
Z  Totale Provvigioni — formula TotaleProvvigioneDaFatturare =SE(X6&gt;I6;X6;I6)
X  Tot. Provv. — Decimal TotaleSommaProvvigioni =+U6+W6
I  Vendita — numero PrezzoVendita —
------------------------------------------------------------------------------------------------------------------------------------------------------------------------------------------------------------------------------------------------
</t>
        </r>
        <r>
          <rPr>
            <sz val="9"/>
            <color indexed="81"/>
            <rFont val="Tahoma"/>
            <family val="2"/>
          </rPr>
          <t xml:space="preserve">
</t>
        </r>
      </text>
    </comment>
  </commentList>
</comments>
</file>

<file path=xl/sharedStrings.xml><?xml version="1.0" encoding="utf-8"?>
<sst xmlns="http://schemas.openxmlformats.org/spreadsheetml/2006/main" count="1192" uniqueCount="422">
  <si>
    <t>Pos.</t>
  </si>
  <si>
    <t>Nome colonna</t>
  </si>
  <si>
    <t>Tipo cella R5</t>
  </si>
  <si>
    <t>Formula / Logica</t>
  </si>
  <si>
    <t>Tipo DB SQL Server</t>
  </si>
  <si>
    <t>A</t>
  </si>
  <si>
    <t>ID_BASE</t>
  </si>
  <si>
    <t>testo</t>
  </si>
  <si>
    <t>Nessuna — valore intero progressivo (1…131)</t>
  </si>
  <si>
    <t>INT NOT NULL IDENTITY(1,1)</t>
  </si>
  <si>
    <t>B</t>
  </si>
  <si>
    <t>Fatt. n°/Vs. Orc</t>
  </si>
  <si>
    <t>NVARCHAR(20) NULL</t>
  </si>
  <si>
    <t>C</t>
  </si>
  <si>
    <t>Cliente</t>
  </si>
  <si>
    <t>Nessuna — valore testuale da lista (~67 clienti distinti)</t>
  </si>
  <si>
    <t>NVARCHAR(100) NOT NULL</t>
  </si>
  <si>
    <t>D</t>
  </si>
  <si>
    <t>Kg</t>
  </si>
  <si>
    <t>Nessuna — valore numerico decimale (range: 0 – 478.618)</t>
  </si>
  <si>
    <t>DECIMAL(12,3) NOT NULL</t>
  </si>
  <si>
    <t>E</t>
  </si>
  <si>
    <t>Ordine &lt; 500 (non compilare se in C/L)</t>
  </si>
  <si>
    <t>NVARCHAR(50) NULL</t>
  </si>
  <si>
    <t>F</t>
  </si>
  <si>
    <t>Lav</t>
  </si>
  <si>
    <t>Nessuna — valore decimale (costo lavorazione €/kg)</t>
  </si>
  <si>
    <t>DECIMAL(10,4) NOT NULL</t>
  </si>
  <si>
    <t>G</t>
  </si>
  <si>
    <t>Tipologia Materiale</t>
  </si>
  <si>
    <t>NVARCHAR(50) NOT NULL</t>
  </si>
  <si>
    <t>H</t>
  </si>
  <si>
    <t>Nessuna — duplicato di G, stesso contenuto</t>
  </si>
  <si>
    <t>I</t>
  </si>
  <si>
    <t>Materiale Euro di riferimento</t>
  </si>
  <si>
    <t>DECIMAL(12,6) NOT NULL</t>
  </si>
  <si>
    <t>J</t>
  </si>
  <si>
    <t>Materiale+Lav con commissione</t>
  </si>
  <si>
    <t>K</t>
  </si>
  <si>
    <t>Vendita</t>
  </si>
  <si>
    <t>🔁 Formula — prezzo di vendita effettivo (arrotondato, da offerta)</t>
  </si>
  <si>
    <t>L</t>
  </si>
  <si>
    <t>Aliquota variabile</t>
  </si>
  <si>
    <t>DECIMAL(5,4) NOT NULL</t>
  </si>
  <si>
    <t>M</t>
  </si>
  <si>
    <t>Commissione con aliquota Variabile</t>
  </si>
  <si>
    <t>DECIMAL(10,6) NOT NULL</t>
  </si>
  <si>
    <t>N</t>
  </si>
  <si>
    <t>1,5% fissa</t>
  </si>
  <si>
    <t>O</t>
  </si>
  <si>
    <t>3% Fissa</t>
  </si>
  <si>
    <t>P</t>
  </si>
  <si>
    <t>8% Fissa</t>
  </si>
  <si>
    <t>Q</t>
  </si>
  <si>
    <t>Totale Fisso</t>
  </si>
  <si>
    <t>DECIMAL(14,4) NOT NULL</t>
  </si>
  <si>
    <t>R</t>
  </si>
  <si>
    <t>vuoto/blank</t>
  </si>
  <si>
    <t>NVARCHAR(5) NULL</t>
  </si>
  <si>
    <t>S</t>
  </si>
  <si>
    <t>delta</t>
  </si>
  <si>
    <t>T</t>
  </si>
  <si>
    <t>Totale provv variabile</t>
  </si>
  <si>
    <t>U</t>
  </si>
  <si>
    <t>TOTALE FATTURA</t>
  </si>
  <si>
    <t>V</t>
  </si>
  <si>
    <t>Data Consegna</t>
  </si>
  <si>
    <t>Nessuna — data inserita manualmente (può essere NULL)</t>
  </si>
  <si>
    <t>DATE NULL</t>
  </si>
  <si>
    <r>
      <t>Nessuna — inserito manualmente. Può essere numero puro (</t>
    </r>
    <r>
      <rPr>
        <b/>
        <sz val="10"/>
        <color theme="1"/>
        <rFont val="Arial Unicode MS"/>
      </rPr>
      <t>2502162</t>
    </r>
    <r>
      <rPr>
        <b/>
        <sz val="11"/>
        <color theme="1"/>
        <rFont val="Calibri"/>
        <family val="2"/>
        <scheme val="minor"/>
      </rPr>
      <t>) o testo misto (</t>
    </r>
    <r>
      <rPr>
        <b/>
        <sz val="10"/>
        <color theme="1"/>
        <rFont val="Arial Unicode MS"/>
      </rPr>
      <t>2502162/26001943</t>
    </r>
    <r>
      <rPr>
        <b/>
        <sz val="11"/>
        <color theme="1"/>
        <rFont val="Calibri"/>
        <family val="2"/>
        <scheme val="minor"/>
      </rPr>
      <t>)</t>
    </r>
  </si>
  <si>
    <t>Nessuna — vuota in tutte le 131 righe</t>
  </si>
  <si>
    <t>SE(  O(      INDICE('calcolo base'!$D:$D; CONFRONTA($A7; 'calcolo base'!$A:$A; 0)) = 0;
      INDICE('calcolo base'!$D:$D; CONFRONTA($A7; 'calcolo base'!$A:$A; 0)) = ""   );
   INDICE('calcolo base'!$K:$K; CONFRONTA($A7; 'calcolo base'!$A:$A; 0));
   INDICE('calcolo base'!$J:$J; CONFRONTA($A7; 'calcolo base'!$A:$A; 0))
) / 1000</t>
  </si>
  <si>
    <r>
      <t xml:space="preserve">🔁 Formula — </t>
    </r>
    <r>
      <rPr>
        <b/>
        <sz val="10"/>
        <color rgb="FFFF0000"/>
        <rFont val="Arial Unicode MS"/>
      </rPr>
      <t>I + F</t>
    </r>
    <r>
      <rPr>
        <b/>
        <sz val="11"/>
        <color rgb="FFFF0000"/>
        <rFont val="Calibri"/>
        <family val="2"/>
        <scheme val="minor"/>
      </rPr>
      <t xml:space="preserve"> (materiale + lavorazione)</t>
    </r>
  </si>
  <si>
    <t>SE(L7=0;0;J7*L7)</t>
  </si>
  <si>
    <t>INDICE('calcolo base'!$H:$H; CONFRONTA($A8; 'calcolo base'!$A:$A; 0))</t>
  </si>
  <si>
    <r>
      <t xml:space="preserve">🔁 Formula — </t>
    </r>
    <r>
      <rPr>
        <b/>
        <sz val="10"/>
        <color rgb="FFFF0000"/>
        <rFont val="Arial Unicode MS"/>
      </rPr>
      <t>(K - J) * L</t>
    </r>
    <r>
      <rPr>
        <b/>
        <sz val="11"/>
        <color rgb="FFFF0000"/>
        <rFont val="Calibri"/>
        <family val="2"/>
        <scheme val="minor"/>
      </rPr>
      <t xml:space="preserve"> oppure logica su delta</t>
    </r>
  </si>
  <si>
    <t>SE(E8="si";K8*1,5%;SE($L8&gt;=5%;SE($I8=0;0;(SE($G8="RAME";($J8)*1,5%;0)+SE($G8="rame smaltato";($K8)*1,5%;0)));0))</t>
  </si>
  <si>
    <r>
      <t xml:space="preserve">🔁 Formula — </t>
    </r>
    <r>
      <rPr>
        <b/>
        <sz val="10"/>
        <color rgb="FFFF0000"/>
        <rFont val="Arial Unicode MS"/>
      </rPr>
      <t>K * 0.015</t>
    </r>
    <r>
      <rPr>
        <b/>
        <sz val="11"/>
        <color rgb="FFFF0000"/>
        <rFont val="Calibri"/>
        <family val="2"/>
        <scheme val="minor"/>
      </rPr>
      <t xml:space="preserve"> se applicabile, altrimenti </t>
    </r>
    <r>
      <rPr>
        <b/>
        <sz val="10"/>
        <color rgb="FFFF0000"/>
        <rFont val="Arial Unicode MS"/>
      </rPr>
      <t>0</t>
    </r>
  </si>
  <si>
    <r>
      <t xml:space="preserve">🔁 Formula — </t>
    </r>
    <r>
      <rPr>
        <b/>
        <sz val="10"/>
        <color rgb="FFFF0000"/>
        <rFont val="Arial Unicode MS"/>
      </rPr>
      <t>K * 0.03</t>
    </r>
    <r>
      <rPr>
        <b/>
        <sz val="11"/>
        <color rgb="FFFF0000"/>
        <rFont val="Calibri"/>
        <family val="2"/>
        <scheme val="minor"/>
      </rPr>
      <t xml:space="preserve"> se applicabile, altrimenti </t>
    </r>
    <r>
      <rPr>
        <b/>
        <sz val="10"/>
        <color rgb="FFFF0000"/>
        <rFont val="Arial Unicode MS"/>
      </rPr>
      <t>0</t>
    </r>
  </si>
  <si>
    <r>
      <t xml:space="preserve">🔁 Formula — </t>
    </r>
    <r>
      <rPr>
        <b/>
        <sz val="10"/>
        <color rgb="FFFF0000"/>
        <rFont val="Arial Unicode MS"/>
      </rPr>
      <t>K * 0.08</t>
    </r>
    <r>
      <rPr>
        <b/>
        <sz val="11"/>
        <color rgb="FFFF0000"/>
        <rFont val="Calibri"/>
        <family val="2"/>
        <scheme val="minor"/>
      </rPr>
      <t xml:space="preserve"> se applicabile, altrimenti </t>
    </r>
    <r>
      <rPr>
        <b/>
        <sz val="10"/>
        <color rgb="FFFF0000"/>
        <rFont val="Arial Unicode MS"/>
      </rPr>
      <t>0</t>
    </r>
  </si>
  <si>
    <t>SE($I12=0;0;(SE($G12="alluminio";($J12)*3%;0)+SE($G12="alluminio smaltato";($K12)*3%;0)))</t>
  </si>
  <si>
    <t>SE(H34="alluminio";0;SE(L34&lt;5%;F34*8%;0))</t>
  </si>
  <si>
    <r>
      <t xml:space="preserve">🔁 Formula — </t>
    </r>
    <r>
      <rPr>
        <b/>
        <sz val="10"/>
        <color rgb="FFFF0000"/>
        <rFont val="Arial Unicode MS"/>
      </rPr>
      <t>(N + O + P) * D</t>
    </r>
    <r>
      <rPr>
        <b/>
        <sz val="11"/>
        <color rgb="FFFF0000"/>
        <rFont val="Calibri"/>
        <family val="2"/>
        <scheme val="minor"/>
      </rPr>
      <t xml:space="preserve"> (somma aliquote fisse × kg)</t>
    </r>
  </si>
  <si>
    <t>FlagManuale</t>
  </si>
  <si>
    <r>
      <t xml:space="preserve">Nessuna — flag manuale: </t>
    </r>
    <r>
      <rPr>
        <b/>
        <sz val="10"/>
        <color rgb="FFFF0000"/>
        <rFont val="Arial Unicode MS"/>
      </rPr>
      <t>'si'</t>
    </r>
    <r>
      <rPr>
        <b/>
        <sz val="11"/>
        <color rgb="FFFF0000"/>
        <rFont val="Calibri"/>
        <family val="2"/>
        <scheme val="minor"/>
      </rPr>
      <t xml:space="preserve"> = logica fissa attiva, </t>
    </r>
    <r>
      <rPr>
        <b/>
        <sz val="10"/>
        <color rgb="FFFF0000"/>
        <rFont val="Arial Unicode MS"/>
      </rPr>
      <t>0</t>
    </r>
    <r>
      <rPr>
        <b/>
        <sz val="11"/>
        <color rgb="FFFF0000"/>
        <rFont val="Calibri"/>
        <family val="2"/>
        <scheme val="minor"/>
      </rPr>
      <t xml:space="preserve"> = logica variabile attiva</t>
    </r>
  </si>
  <si>
    <r>
      <t xml:space="preserve">🔁 Formula — </t>
    </r>
    <r>
      <rPr>
        <b/>
        <sz val="10"/>
        <color rgb="FFFF0000"/>
        <rFont val="Arial Unicode MS"/>
      </rPr>
      <t>K - J</t>
    </r>
    <r>
      <rPr>
        <b/>
        <sz val="11"/>
        <color rgb="FFFF0000"/>
        <rFont val="Calibri"/>
        <family val="2"/>
        <scheme val="minor"/>
      </rPr>
      <t xml:space="preserve"> (differenza vendita vs costo con commissione)</t>
    </r>
  </si>
  <si>
    <r>
      <t xml:space="preserve">🔁 Formula — </t>
    </r>
    <r>
      <rPr>
        <b/>
        <sz val="10"/>
        <color rgb="FFFF0000"/>
        <rFont val="Arial Unicode MS"/>
      </rPr>
      <t>Q + T</t>
    </r>
    <r>
      <rPr>
        <b/>
        <sz val="11"/>
        <color rgb="FFFF0000"/>
        <rFont val="Calibri"/>
        <family val="2"/>
        <scheme val="minor"/>
      </rPr>
      <t xml:space="preserve"> (totale fisso + totale variabile)</t>
    </r>
  </si>
  <si>
    <t>SE(H7="ALLUMINIO";0;SE(L7&lt;5%;"si";0))</t>
  </si>
  <si>
    <t>SE(R20="si";0;SE(E20="si";0;SE(J20&gt;K20;0;K20-J20))) + SE(INDICE('calcolo base'!$P:$P; CONFRONTA($A20; 'calcolo base'!$A:$A; 0))="SI"; ('Commissioni De Angeli'!K20-'Commissioni De Angeli'!J20); 0)</t>
  </si>
  <si>
    <t>(S11)*D11*40%</t>
  </si>
  <si>
    <t>SE(Q33=0;'calcolo base'!L2632;(T33+Q33))</t>
  </si>
  <si>
    <t>SE(Q19=0;'calcolo base'!L2618;(T19+Q19))</t>
  </si>
  <si>
    <t>nome tabella</t>
  </si>
  <si>
    <t>IdCalcoloBase</t>
  </si>
  <si>
    <t>OrdineDDT</t>
  </si>
  <si>
    <t>QuantitaOrdine</t>
  </si>
  <si>
    <t>CostoLavorazione</t>
  </si>
  <si>
    <t>Materiale</t>
  </si>
  <si>
    <t>Prezzo</t>
  </si>
  <si>
    <t>PrezzoConLavorazione</t>
  </si>
  <si>
    <t>PrezzoVendita</t>
  </si>
  <si>
    <t>PercentualeProvvigioneVariabile</t>
  </si>
  <si>
    <t>ValoreProvvigioneVaribile</t>
  </si>
  <si>
    <t>ValoreProvvigioneFissa1</t>
  </si>
  <si>
    <t>ValoreProvvigioneFissa2</t>
  </si>
  <si>
    <t>ValoreProvvigioneFissa3</t>
  </si>
  <si>
    <t>TotaleFissoProvvigione</t>
  </si>
  <si>
    <t>Differenza</t>
  </si>
  <si>
    <t>TotaleVariabileProvvigione</t>
  </si>
  <si>
    <t>TotaleProvvigioneDaFatturare</t>
  </si>
  <si>
    <t>DataConsegnaIpotetica</t>
  </si>
  <si>
    <t>Col.</t>
  </si>
  <si>
    <t>Intestazione R4</t>
  </si>
  <si>
    <t>Intestazione R5</t>
  </si>
  <si>
    <t>Tipo dato</t>
  </si>
  <si>
    <t>Formula (da riga 7)</t>
  </si>
  <si>
    <t>Note / Logica</t>
  </si>
  <si>
    <t>Ns. Conferma</t>
  </si>
  <si>
    <t>—</t>
  </si>
  <si>
    <t>Codice ordine (es. 25/01126)</t>
  </si>
  <si>
    <t>Nome cliente</t>
  </si>
  <si>
    <t>Misure</t>
  </si>
  <si>
    <t>Dimensioni cavo (es. 13 x 3)</t>
  </si>
  <si>
    <t>=IF(D2854=C2936,"Kg","ERRORE")</t>
  </si>
  <si>
    <t>numero</t>
  </si>
  <si>
    <t>Quantità in Kg (intestazione dinamica di verifica)</t>
  </si>
  <si>
    <t>Costo lavorazione €/Kg</t>
  </si>
  <si>
    <t>"Rame" o "Alluminio" — determina il regime provvigionale</t>
  </si>
  <si>
    <t>Base</t>
  </si>
  <si>
    <t>Prezzo base materiale €/Kg</t>
  </si>
  <si>
    <t>Totale Mat+Lav</t>
  </si>
  <si>
    <t>formula</t>
  </si>
  <si>
    <t>Costo totale = Lav + Base</t>
  </si>
  <si>
    <t>Prezzo di vendita €/Kg (input manuale)</t>
  </si>
  <si>
    <t>Delta</t>
  </si>
  <si>
    <t>Margine = Vendita − (Mat+Lav)</t>
  </si>
  <si>
    <t>1,50% &lt; Delta</t>
  </si>
  <si>
    <t>0,015 (soglia)</t>
  </si>
  <si>
    <t>Se Alluminio → 0; altrimenti soglia = Vendita×1,5%</t>
  </si>
  <si>
    <t>1,5% &gt; Delta</t>
  </si>
  <si>
    <t>Provv. variabile 1,5%: attiva se Delta &gt; soglia K</t>
  </si>
  <si>
    <t>Provv. fissa 1,5%: attiva se Delta ≤ soglia K</t>
  </si>
  <si>
    <t>0,03 (soglia)</t>
  </si>
  <si>
    <t>Importo provv. variabile 1,5% = L × Kg</t>
  </si>
  <si>
    <t>3% &lt; Delta</t>
  </si>
  <si>
    <t>Se Rame → 0; altrimenti soglia = Vendita×3%</t>
  </si>
  <si>
    <t>3% &gt; Delta</t>
  </si>
  <si>
    <t>Provv. variabile 3%: attiva se Delta &gt; soglia O</t>
  </si>
  <si>
    <t>3% fissa</t>
  </si>
  <si>
    <t>Provv. fissa 3%: attiva se Delta ≤ soglia O</t>
  </si>
  <si>
    <t>Importo provv. variabile 3% = P × Kg</t>
  </si>
  <si>
    <t>Quota fissa 1,5%</t>
  </si>
  <si>
    <t>Quota fissa 1,5% in € = M×Kg (solo se K≠0)</t>
  </si>
  <si>
    <t>Quota fissa 3%</t>
  </si>
  <si>
    <t>Quota fissa 3% in € = Q×Kg (solo se K=0)</t>
  </si>
  <si>
    <t>Totale</t>
  </si>
  <si>
    <t>Totale provvigioni fisse = N+R+S+T</t>
  </si>
  <si>
    <t>Delta residuo per calcolo provv. variabile</t>
  </si>
  <si>
    <t>W</t>
  </si>
  <si>
    <t>Provv. variabile = V × 60% × Kg</t>
  </si>
  <si>
    <t>X</t>
  </si>
  <si>
    <t>Tot. Provv.</t>
  </si>
  <si>
    <t>Totale provvigioni = U (fisse) + W (variabile)</t>
  </si>
  <si>
    <t>Y</t>
  </si>
  <si>
    <t>data</t>
  </si>
  <si>
    <t>Data prevista consegna (può essere vuota)</t>
  </si>
  <si>
    <t>Z</t>
  </si>
  <si>
    <t>Totale Provvigioni = MAX(X, Vendita); intestazione R4 è verifica dinamica</t>
  </si>
  <si>
    <t>AA</t>
  </si>
  <si>
    <t>Valore celle: "OK" oppure vuoto</t>
  </si>
  <si>
    <t>Flag fatturabilità; R5 somma Z dove AA="OK" (totale da fatturare)</t>
  </si>
  <si>
    <t xml:space="preserve">NOME TABELLA </t>
  </si>
  <si>
    <t>DeltaMargine</t>
  </si>
  <si>
    <t>DeltaResiduoVariabile</t>
  </si>
  <si>
    <t>Fatturare</t>
  </si>
  <si>
    <t>TotaleSommaProvvigioni</t>
  </si>
  <si>
    <t xml:space="preserve">Commisioni fisse </t>
  </si>
  <si>
    <t>1,50%&lt;Delta</t>
  </si>
  <si>
    <t>1,5%&gt;Delta</t>
  </si>
  <si>
    <t>TotProvvigioneFissa1_5</t>
  </si>
  <si>
    <t>ValUnitProvvigioneFissa1_5</t>
  </si>
  <si>
    <t>Delta1ProvvigioneFissa1_5</t>
  </si>
  <si>
    <t>Delta2ProvvigioneFissa1_5</t>
  </si>
  <si>
    <t>TotProvvigioneFissa_03</t>
  </si>
  <si>
    <t>Delta2ProvvigioneFissa_03</t>
  </si>
  <si>
    <t>Delta1ProvvigioneFissa_03</t>
  </si>
  <si>
    <t>ValUnitProvvigioneFissa_03</t>
  </si>
  <si>
    <t>ValQuotaFissa_1_5</t>
  </si>
  <si>
    <t>ValQuotaFissa_03</t>
  </si>
  <si>
    <t>Decimal</t>
  </si>
  <si>
    <t>DECIMALI VISIVI</t>
  </si>
  <si>
    <t>DECIMALI PRESENTI</t>
  </si>
  <si>
    <t>cella</t>
  </si>
  <si>
    <t>Formula / Logica manuale dettagliata</t>
  </si>
  <si>
    <t>% Quota fissa</t>
  </si>
  <si>
    <t>Quota fissa € 0,10</t>
  </si>
  <si>
    <t>Totalone</t>
  </si>
  <si>
    <t>Totale Provvigioni</t>
  </si>
  <si>
    <t>A.</t>
  </si>
  <si>
    <t>B.</t>
  </si>
  <si>
    <t>C.</t>
  </si>
  <si>
    <t>D.</t>
  </si>
  <si>
    <t>E.</t>
  </si>
  <si>
    <t>F.</t>
  </si>
  <si>
    <t>G.</t>
  </si>
  <si>
    <t>H.</t>
  </si>
  <si>
    <t>I.</t>
  </si>
  <si>
    <t>J.</t>
  </si>
  <si>
    <t>K.</t>
  </si>
  <si>
    <t>L.</t>
  </si>
  <si>
    <t>M.</t>
  </si>
  <si>
    <t>N.</t>
  </si>
  <si>
    <t>PercentualeQuotaFissa</t>
  </si>
  <si>
    <t>ValoreQuotaFissa</t>
  </si>
  <si>
    <t>TotaleProvvigioneVariabile</t>
  </si>
  <si>
    <t>DataConsegna</t>
  </si>
  <si>
    <t>TotaleProvvigione</t>
  </si>
  <si>
    <t>I5+K5</t>
  </si>
  <si>
    <t>SE(H5=0;SE(L5&gt;G5;L5;G5);L5)</t>
  </si>
  <si>
    <t>N°</t>
  </si>
  <si>
    <t>Colonna</t>
  </si>
  <si>
    <t>Nome Excel</t>
  </si>
  <si>
    <t>Nome Campo</t>
  </si>
  <si>
    <t>Formula</t>
  </si>
  <si>
    <t>Descrizione formula</t>
  </si>
  <si>
    <t>SE(H5=0;D5*0,05;G5*H5)</t>
  </si>
  <si>
    <t>Se % quota fissa = 0 → 5% dei Kg, altrimenti % su Vendita</t>
  </si>
  <si>
    <t>SE(H5=0;G5-E5;0)</t>
  </si>
  <si>
    <t>Se % quota fissa = 0 → differenza Vendita - Lav, altrimenti 0</t>
  </si>
  <si>
    <t>(J5*0,5)*D5</t>
  </si>
  <si>
    <t>50% del delta moltiplicato per i Kg</t>
  </si>
  <si>
    <t>Somma quota fissa + provvigione variabile</t>
  </si>
  <si>
    <t>Se % = 0 → prende il maggiore tra Totalone e Vendita, altrimenti Totalone</t>
  </si>
  <si>
    <t>Col</t>
  </si>
  <si>
    <t>Ordine/DDT</t>
  </si>
  <si>
    <t>KG</t>
  </si>
  <si>
    <t>Lavorazione</t>
  </si>
  <si>
    <t>Al</t>
  </si>
  <si>
    <t>CIT</t>
  </si>
  <si>
    <t>Provvigione</t>
  </si>
  <si>
    <t>CIT €/Kg</t>
  </si>
  <si>
    <t>Commissioni</t>
  </si>
  <si>
    <t>Prezzo di vendita</t>
  </si>
  <si>
    <t>Percentuale delta</t>
  </si>
  <si>
    <t>Data Consegna ipotetica</t>
  </si>
  <si>
    <t>Agente</t>
  </si>
  <si>
    <t>Scadenza</t>
  </si>
  <si>
    <t>Nome</t>
  </si>
  <si>
    <t>L2*C2</t>
  </si>
  <si>
    <t>IF(+Q6-H6&lt;=0,0,Q6-H6)</t>
  </si>
  <si>
    <t>(R2*C2)*S2</t>
  </si>
  <si>
    <t>N+O+P — somma Lavorazione + Base + CIT vendita</t>
  </si>
  <si>
    <t>E+F+G — somma Lavorazione + Base + CIT acquisto</t>
  </si>
  <si>
    <t>E7+F7+G7</t>
  </si>
  <si>
    <t>CAMPI TABELLA</t>
  </si>
  <si>
    <t>CIT_EUR_KG</t>
  </si>
  <si>
    <t>BaseAcquisto</t>
  </si>
  <si>
    <t>PrezzoAcquisto</t>
  </si>
  <si>
    <t>ProvvigioneUnitaria</t>
  </si>
  <si>
    <t>ValoreProvvigioneFissa</t>
  </si>
  <si>
    <t>LavorazionePrezzoAcquisto</t>
  </si>
  <si>
    <t>LavorazionePrezzoVendita</t>
  </si>
  <si>
    <t>BaseVendita</t>
  </si>
  <si>
    <t>CITsuAcquisto</t>
  </si>
  <si>
    <t>CITsuVendita</t>
  </si>
  <si>
    <t>PercentualeDelta</t>
  </si>
  <si>
    <t>DataRiferimentoPrezzoAcquisto</t>
  </si>
  <si>
    <t>Materiale € di vendita</t>
  </si>
  <si>
    <t>3,0% fissa</t>
  </si>
  <si>
    <t>=IF(E="alluminio",(I)*3%,0)+IF(E="alluminio smaltato",(I)*3%,0)</t>
  </si>
  <si>
    <t>=(J*C)+(K*C)</t>
  </si>
  <si>
    <t>Dedotte Spese di trasporto (CIT)</t>
  </si>
  <si>
    <t>=+(N)*C*50%</t>
  </si>
  <si>
    <t>Totale fattura</t>
  </si>
  <si>
    <t>Data consegna</t>
  </si>
  <si>
    <t>FATTURARE</t>
  </si>
  <si>
    <t>O+L — provv variabile + fissa</t>
  </si>
  <si>
    <t>D+F</t>
  </si>
  <si>
    <t>I-H</t>
  </si>
  <si>
    <t>O+L</t>
  </si>
  <si>
    <t>D+F — Lavorazione + Materiale rif.</t>
  </si>
  <si>
    <t>N. Ordine / Conferma d'ordine</t>
  </si>
  <si>
    <t>Quantità</t>
  </si>
  <si>
    <t>Prezzo Unitario</t>
  </si>
  <si>
    <t>Imponibile</t>
  </si>
  <si>
    <t>=+F*0.03</t>
  </si>
  <si>
    <t>D*E</t>
  </si>
  <si>
    <t>D*E — Quantità × Prezzo Unitario</t>
  </si>
  <si>
    <t>N. Ordine / Fattura</t>
  </si>
  <si>
    <t>Data</t>
  </si>
  <si>
    <t>Nr. Pezzi</t>
  </si>
  <si>
    <t>Prezzo base</t>
  </si>
  <si>
    <t>Prezzo praticato</t>
  </si>
  <si>
    <t>Commissione a pezzo</t>
  </si>
  <si>
    <t>Totale Commissioni Calkos</t>
  </si>
  <si>
    <t>G*D — Commissione a pezzo × Nr. Pezzi</t>
  </si>
  <si>
    <t>F-E</t>
  </si>
  <si>
    <t>G*D</t>
  </si>
  <si>
    <r>
      <t>=F*0.03</t>
    </r>
    <r>
      <rPr>
        <b/>
        <sz val="11"/>
        <color theme="1"/>
        <rFont val="Calibri"/>
        <family val="2"/>
        <scheme val="minor"/>
      </rPr>
      <t xml:space="preserve"> — Imponibile × 3% (commissione fissa)</t>
    </r>
  </si>
  <si>
    <t>Quantita</t>
  </si>
  <si>
    <t>PrezzoBase</t>
  </si>
  <si>
    <t>PrezzoPraticato</t>
  </si>
  <si>
    <t>PrezzoBaseConLavorazione</t>
  </si>
  <si>
    <t>ProvvigioneFissa01_05</t>
  </si>
  <si>
    <t>ProvvigioneFissa03</t>
  </si>
  <si>
    <t>TotaleProvvigioneFissa</t>
  </si>
  <si>
    <t>TotaleProvvigioneFattura</t>
  </si>
  <si>
    <r>
      <t>=J+M+T</t>
    </r>
    <r>
      <rPr>
        <b/>
        <sz val="11"/>
        <color theme="1"/>
        <rFont val="Calibri"/>
        <family val="2"/>
        <scheme val="minor"/>
      </rPr>
      <t xml:space="preserve"> — CIT €/Kg + Commissioni + Totale provv variabile</t>
    </r>
  </si>
  <si>
    <t>INDICI</t>
  </si>
  <si>
    <t xml:space="preserve">CAMPI </t>
  </si>
  <si>
    <t>excel</t>
  </si>
  <si>
    <t>PrezzoEuroRiferimento</t>
  </si>
  <si>
    <t>DataDoc</t>
  </si>
  <si>
    <t>EXCEL</t>
  </si>
  <si>
    <t xml:space="preserve">  /</t>
  </si>
  <si>
    <t>//</t>
  </si>
  <si>
    <t xml:space="preserve"> / </t>
  </si>
  <si>
    <t>//1</t>
  </si>
  <si>
    <t>//2</t>
  </si>
  <si>
    <t>//3</t>
  </si>
  <si>
    <t>//4</t>
  </si>
  <si>
    <t>//5</t>
  </si>
  <si>
    <t>//6</t>
  </si>
  <si>
    <t>//7</t>
  </si>
  <si>
    <t>//8</t>
  </si>
  <si>
    <t>//9</t>
  </si>
  <si>
    <t>//10</t>
  </si>
  <si>
    <t>//11</t>
  </si>
  <si>
    <t>//12</t>
  </si>
  <si>
    <t>//13</t>
  </si>
  <si>
    <t>//14</t>
  </si>
  <si>
    <t>//15</t>
  </si>
  <si>
    <t>//16</t>
  </si>
  <si>
    <t>//17</t>
  </si>
  <si>
    <t>//18</t>
  </si>
  <si>
    <t>//19</t>
  </si>
  <si>
    <t>//20</t>
  </si>
  <si>
    <t>//21</t>
  </si>
  <si>
    <t>//22</t>
  </si>
  <si>
    <t>//23</t>
  </si>
  <si>
    <t>//24</t>
  </si>
  <si>
    <t>EXCEl</t>
  </si>
  <si>
    <t xml:space="preserve"> /</t>
  </si>
  <si>
    <t>IdMandatario</t>
  </si>
  <si>
    <t>UniqueKey</t>
  </si>
  <si>
    <t>IsProcessed</t>
  </si>
  <si>
    <t>DataInserimento</t>
  </si>
  <si>
    <t>DataModifica</t>
  </si>
  <si>
    <t>Utente</t>
  </si>
  <si>
    <t>Ortea</t>
  </si>
  <si>
    <t>0.010000</t>
  </si>
  <si>
    <t>0.013500</t>
  </si>
  <si>
    <t>0.000000</t>
  </si>
  <si>
    <t>NULL</t>
  </si>
  <si>
    <t>SystemCore|Anno=2026|OrdineDDT=12743|Cliente=Ortea|Kg=2736|Materiale=|</t>
  </si>
  <si>
    <t>2026-04-21 14:37:37.093</t>
  </si>
  <si>
    <t>2026-04-21 14:37:39.930</t>
  </si>
  <si>
    <t>admin@calkos.local</t>
  </si>
  <si>
    <t>SystemCore|Anno=2026|OrdineDDT=12743|Cliente=Ortea|Kg=2457|Materiale=|</t>
  </si>
  <si>
    <t>2026-04-21 14:37:39.933</t>
  </si>
  <si>
    <t>2026-04-21 14:37:45.090</t>
  </si>
  <si>
    <t>//25</t>
  </si>
  <si>
    <t>//26</t>
  </si>
  <si>
    <t>//27</t>
  </si>
  <si>
    <t>/</t>
  </si>
  <si>
    <r>
      <t>Nessuna — valore testuale (</t>
    </r>
    <r>
      <rPr>
        <b/>
        <sz val="10"/>
        <color rgb="FF0070C0"/>
        <rFont val="Arial Unicode MS"/>
      </rPr>
      <t>Rame</t>
    </r>
    <r>
      <rPr>
        <b/>
        <sz val="11"/>
        <color rgb="FF0070C0"/>
        <rFont val="Calibri"/>
        <family val="2"/>
        <scheme val="minor"/>
      </rPr>
      <t xml:space="preserve"> in tutti i dati osservati)</t>
    </r>
  </si>
  <si>
    <r>
      <t>🔁 Formula — prezzo €/kg del materiale da foglio di riferimento (</t>
    </r>
    <r>
      <rPr>
        <b/>
        <sz val="10"/>
        <color rgb="FF0070C0"/>
        <rFont val="Arial Unicode MS"/>
      </rPr>
      <t>NUOVA_LOGICA_CALCOLO_BASE</t>
    </r>
    <r>
      <rPr>
        <b/>
        <sz val="11"/>
        <color rgb="FF0070C0"/>
        <rFont val="Calibri"/>
        <family val="2"/>
        <scheme val="minor"/>
      </rPr>
      <t xml:space="preserve"> o </t>
    </r>
    <r>
      <rPr>
        <b/>
        <sz val="10"/>
        <color rgb="FF0070C0"/>
        <rFont val="Arial Unicode MS"/>
      </rPr>
      <t>calcolo base</t>
    </r>
    <r>
      <rPr>
        <b/>
        <sz val="11"/>
        <color rgb="FF0070C0"/>
        <rFont val="Calibri"/>
        <family val="2"/>
        <scheme val="minor"/>
      </rPr>
      <t>)</t>
    </r>
  </si>
  <si>
    <t>F7+I7  [Lavorazione+   Materiale Euro Riferimento]</t>
  </si>
  <si>
    <r>
      <t xml:space="preserve">Nessuna — valore inserito manualmente: </t>
    </r>
    <r>
      <rPr>
        <b/>
        <sz val="10"/>
        <color rgb="FF0070C0"/>
        <rFont val="Arial Unicode MS"/>
      </rPr>
      <t>0.04</t>
    </r>
    <r>
      <rPr>
        <b/>
        <sz val="11"/>
        <color rgb="FF0070C0"/>
        <rFont val="Calibri"/>
        <family val="2"/>
        <scheme val="minor"/>
      </rPr>
      <t xml:space="preserve"> (4%) o </t>
    </r>
    <r>
      <rPr>
        <b/>
        <sz val="10"/>
        <color rgb="FF0070C0"/>
        <rFont val="Arial Unicode MS"/>
      </rPr>
      <t>0.05</t>
    </r>
    <r>
      <rPr>
        <b/>
        <sz val="11"/>
        <color rgb="FF0070C0"/>
        <rFont val="Calibri"/>
        <family val="2"/>
        <scheme val="minor"/>
      </rPr>
      <t xml:space="preserve"> (5%)</t>
    </r>
  </si>
  <si>
    <t xml:space="preserve">(N7*D7)+(O7*D7)+(P7*D7) </t>
  </si>
  <si>
    <t>E13+G13</t>
  </si>
  <si>
    <t>I13-H13</t>
  </si>
  <si>
    <t>=SE(F6="alluminio";0;I6*1,5%)</t>
  </si>
  <si>
    <t>=SE(K6&lt;J6;K6;0)</t>
  </si>
  <si>
    <t>=SE(J6&gt;K6;0;J6)</t>
  </si>
  <si>
    <t>=+L6*D6</t>
  </si>
  <si>
    <t>=SE(F6="rame";0;+I6*3%)</t>
  </si>
  <si>
    <t>=SE(O6&lt;J6;O6;0)</t>
  </si>
  <si>
    <t>=SE(J6&gt;O6;0;J6)</t>
  </si>
  <si>
    <t>=+P6*D6</t>
  </si>
  <si>
    <t>=SE(K6=0;0;M6*D6)</t>
  </si>
  <si>
    <t>=+SE(K6=0;Q6*D6;0)</t>
  </si>
  <si>
    <t>=+N6+R6+S6+T6</t>
  </si>
  <si>
    <t>=SE(P6=0;0;I6-H6-O6)+SE(L6=0;0;I6-H6-K6)</t>
  </si>
  <si>
    <t>=+(V6*60%)*D6</t>
  </si>
  <si>
    <t>=+U6+W6</t>
  </si>
  <si>
    <t>=SE(X6&gt;I6;X6;I6)</t>
  </si>
  <si>
    <t>LEGGI NOTA</t>
  </si>
  <si>
    <r>
      <t xml:space="preserve">🔁 Formula — </t>
    </r>
    <r>
      <rPr>
        <b/>
        <sz val="10"/>
        <rFont val="Arial Unicode MS"/>
      </rPr>
      <t>S * D * L</t>
    </r>
    <r>
      <rPr>
        <b/>
        <sz val="11"/>
        <rFont val="Calibri"/>
        <family val="2"/>
        <scheme val="minor"/>
      </rPr>
      <t xml:space="preserve"> oppure </t>
    </r>
    <r>
      <rPr>
        <b/>
        <sz val="10"/>
        <rFont val="Arial Unicode MS"/>
      </rPr>
      <t>delta * Kg * aliquota</t>
    </r>
  </si>
  <si>
    <r>
      <t>=N*C*50%</t>
    </r>
    <r>
      <rPr>
        <b/>
        <sz val="11"/>
        <rFont val="Calibri"/>
        <family val="2"/>
        <scheme val="minor"/>
      </rPr>
      <t xml:space="preserve"> — Delta × Kg × 50%</t>
    </r>
  </si>
  <si>
    <r>
      <t>=L*C</t>
    </r>
    <r>
      <rPr>
        <b/>
        <sz val="11"/>
        <color rgb="FFFF0000"/>
        <rFont val="Calibri"/>
        <family val="2"/>
        <scheme val="minor"/>
      </rPr>
      <t xml:space="preserve"> — Provvigione × KG</t>
    </r>
  </si>
  <si>
    <r>
      <t>=IF(Q-H&lt;=0, 0, Q-H)</t>
    </r>
    <r>
      <rPr>
        <b/>
        <sz val="11"/>
        <color rgb="FFFF0000"/>
        <rFont val="Calibri"/>
        <family val="2"/>
        <scheme val="minor"/>
      </rPr>
      <t xml:space="preserve"> — differenza vendita/acquisto, mai negativa</t>
    </r>
  </si>
  <si>
    <r>
      <t>=(R*C)*S</t>
    </r>
    <r>
      <rPr>
        <b/>
        <sz val="11"/>
        <color rgb="FFFF0000"/>
        <rFont val="Calibri"/>
        <family val="2"/>
        <scheme val="minor"/>
      </rPr>
      <t xml:space="preserve"> — Delta × KG × Percentuale delta</t>
    </r>
  </si>
  <si>
    <t>DeAngeli</t>
  </si>
  <si>
    <t>Cobral</t>
  </si>
  <si>
    <t>ElektraWire</t>
  </si>
  <si>
    <t>CST</t>
  </si>
  <si>
    <t>SystemCore</t>
  </si>
  <si>
    <t>SystemP</t>
  </si>
  <si>
    <t>Guerzoni</t>
  </si>
  <si>
    <t>TradingAndConsulting</t>
  </si>
  <si>
    <t>Hitech</t>
  </si>
  <si>
    <t>F5*0,03</t>
  </si>
  <si>
    <t>D5*E5</t>
  </si>
  <si>
    <t>Imponibile= Quantità X Prezzo Unitario)</t>
  </si>
  <si>
    <t>calcolo di una provvigione fissa del 3%. Sul valore dell'imponibile</t>
  </si>
  <si>
    <t xml:space="preserve"> NumeroOrdine </t>
  </si>
  <si>
    <t xml:space="preserve"> Quantita </t>
  </si>
  <si>
    <t xml:space="preserve"> PrezzoUnitario </t>
  </si>
  <si>
    <t xml:space="preserve"> Imponibile </t>
  </si>
  <si>
    <t xml:space="preserve"> TotaleProvvigione  </t>
  </si>
  <si>
    <t>RagioneSociale</t>
  </si>
  <si>
    <t xml:space="preserve">  </t>
  </si>
  <si>
    <t xml:space="preserve"> /NumeroDDT /NumeroFattura</t>
  </si>
  <si>
    <t>Perc_Delta_Provvigione</t>
  </si>
  <si>
    <r>
      <t>=F-E</t>
    </r>
    <r>
      <rPr>
        <b/>
        <sz val="11"/>
        <color rgb="FFFF0000"/>
        <rFont val="Calibri"/>
        <family val="2"/>
        <scheme val="minor"/>
      </rPr>
      <t xml:space="preserve"> — Prezzo praticato − Prezzo base</t>
    </r>
  </si>
  <si>
    <r>
      <t>=(J*C)+(K*C)</t>
    </r>
    <r>
      <rPr>
        <b/>
        <sz val="11"/>
        <color rgb="FFFF0000"/>
        <rFont val="Calibri"/>
        <family val="2"/>
        <scheme val="minor"/>
      </rPr>
      <t xml:space="preserve"> — somma provvigioni fisse × Kg</t>
    </r>
  </si>
  <si>
    <r>
      <t>=I-H</t>
    </r>
    <r>
      <rPr>
        <b/>
        <sz val="11"/>
        <color rgb="FFFF0000"/>
        <rFont val="Calibri"/>
        <family val="2"/>
        <scheme val="minor"/>
      </rPr>
      <t xml:space="preserve"> — differenza Vendita − costo con commissione</t>
    </r>
  </si>
  <si>
    <r>
      <t>=IF(alluminio, I*3%, 0)</t>
    </r>
    <r>
      <rPr>
        <b/>
        <sz val="11"/>
        <color rgb="FFFF0000"/>
        <rFont val="Calibri"/>
        <family val="2"/>
        <scheme val="minor"/>
      </rPr>
      <t xml:space="preserve"> — solo su alluminio e alluminio smaltato</t>
    </r>
  </si>
  <si>
    <t>MANDATARIO</t>
  </si>
  <si>
    <t>RICALCOLO</t>
  </si>
  <si>
    <t>risolvi anche per questo file il problema degli arrotondamenti , non modificare i miei commenti aggiungi dei commenti tuoi dove necessario controlla rilevaDivergenze ed aggiungi i controlli mancanti se ne mancano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</si>
</sst>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font>
      <sz val="11"/>
      <color theme="1"/>
      <name val="Calibri"/>
      <family val="2"/>
      <scheme val="minor"/>
    </font>
    <font>
      <b/>
      <sz val="11"/>
      <color theme="1"/>
      <name val="Calibri"/>
      <family val="2"/>
      <scheme val="minor"/>
    </font>
    <font>
      <b/>
      <sz val="10"/>
      <color theme="1"/>
      <name val="Arial Unicode MS"/>
    </font>
    <font>
      <b/>
      <sz val="10"/>
      <color rgb="FFFF0000"/>
      <name val="Arial Unicode MS"/>
    </font>
    <font>
      <b/>
      <sz val="11"/>
      <color rgb="FFFF0000"/>
      <name val="Calibri"/>
      <family val="2"/>
      <scheme val="minor"/>
    </font>
    <font>
      <b/>
      <i/>
      <sz val="11"/>
      <color rgb="FFFF0000"/>
      <name val="Calibri"/>
      <family val="2"/>
      <scheme val="minor"/>
    </font>
    <font>
      <b/>
      <sz val="9"/>
      <color rgb="FF141413"/>
      <name val="Arial"/>
      <family val="2"/>
    </font>
    <font>
      <b/>
      <sz val="10"/>
      <color theme="1"/>
      <name val="Arial"/>
      <family val="2"/>
    </font>
    <font>
      <b/>
      <i/>
      <sz val="10"/>
      <color theme="1"/>
      <name val="Arial"/>
      <family val="2"/>
    </font>
    <font>
      <sz val="36"/>
      <color theme="1"/>
      <name val="Calibri"/>
      <family val="2"/>
      <scheme val="minor"/>
    </font>
    <font>
      <sz val="11"/>
      <color rgb="FFFF0000"/>
      <name val="Calibri"/>
      <family val="2"/>
      <scheme val="minor"/>
    </font>
    <font>
      <b/>
      <sz val="11"/>
      <color rgb="FF0070C0"/>
      <name val="Calibri"/>
      <family val="2"/>
      <scheme val="minor"/>
    </font>
    <font>
      <b/>
      <sz val="10"/>
      <color rgb="FF0070C0"/>
      <name val="Arial Unicode MS"/>
    </font>
    <font>
      <sz val="11"/>
      <color rgb="FF0070C0"/>
      <name val="Calibri"/>
      <family val="2"/>
      <scheme val="minor"/>
    </font>
    <font>
      <b/>
      <sz val="9"/>
      <color indexed="81"/>
      <name val="Tahoma"/>
      <family val="2"/>
    </font>
    <font>
      <sz val="9"/>
      <color indexed="81"/>
      <name val="Tahoma"/>
      <family val="2"/>
    </font>
    <font>
      <b/>
      <sz val="11"/>
      <color indexed="81"/>
      <name val="Tahoma"/>
      <family val="2"/>
    </font>
    <font>
      <b/>
      <sz val="10"/>
      <color rgb="FFFF0000"/>
      <name val="Arial"/>
      <family val="2"/>
    </font>
    <font>
      <b/>
      <i/>
      <sz val="10"/>
      <color rgb="FFFF0000"/>
      <name val="Arial"/>
      <family val="2"/>
    </font>
    <font>
      <b/>
      <sz val="10"/>
      <name val="Arial"/>
      <family val="2"/>
    </font>
    <font>
      <b/>
      <i/>
      <sz val="10"/>
      <name val="Arial"/>
      <family val="2"/>
    </font>
    <font>
      <b/>
      <sz val="10"/>
      <color rgb="FF00B0F0"/>
      <name val="Arial"/>
      <family val="2"/>
    </font>
    <font>
      <b/>
      <sz val="9"/>
      <color rgb="FFFF0000"/>
      <name val="Arial"/>
      <family val="2"/>
    </font>
    <font>
      <b/>
      <sz val="11"/>
      <name val="Calibri"/>
      <family val="2"/>
      <scheme val="minor"/>
    </font>
    <font>
      <b/>
      <sz val="10"/>
      <name val="Arial Unicode MS"/>
    </font>
    <font>
      <sz val="11"/>
      <name val="Calibri"/>
      <family val="2"/>
      <scheme val="minor"/>
    </font>
    <font>
      <b/>
      <sz val="11"/>
      <color theme="4" tint="-0.249977111117893"/>
      <name val="Calibri"/>
      <family val="2"/>
      <scheme val="minor"/>
    </font>
    <font>
      <sz val="18"/>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rgb="FF000000"/>
      </left>
      <right/>
      <top style="medium">
        <color indexed="64"/>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style="medium">
        <color indexed="64"/>
      </bottom>
      <diagonal/>
    </border>
    <border>
      <left style="thin">
        <color indexed="64"/>
      </left>
      <right style="thin">
        <color indexed="64"/>
      </right>
      <top/>
      <bottom/>
      <diagonal/>
    </border>
  </borders>
  <cellStyleXfs count="1">
    <xf numFmtId="0" fontId="0" fillId="0" borderId="0"/>
  </cellStyleXfs>
  <cellXfs count="105">
    <xf numFmtId="0" fontId="0" fillId="0" borderId="0" xfId="0"/>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1" fillId="0" borderId="0" xfId="0" applyFont="1"/>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7" fillId="0" borderId="1" xfId="0" applyFont="1" applyBorder="1" applyAlignment="1">
      <alignment vertical="center" wrapText="1"/>
    </xf>
    <xf numFmtId="0" fontId="8" fillId="0" borderId="2" xfId="0" applyFont="1" applyBorder="1" applyAlignment="1">
      <alignment horizontal="left" vertical="top" wrapText="1"/>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7" fillId="0" borderId="6" xfId="0" applyFont="1" applyBorder="1" applyAlignment="1">
      <alignment horizontal="center" vertical="top"/>
    </xf>
    <xf numFmtId="0" fontId="7" fillId="0" borderId="7" xfId="0" applyFont="1" applyBorder="1" applyAlignment="1">
      <alignment horizontal="left" vertical="top" wrapText="1"/>
    </xf>
    <xf numFmtId="0" fontId="7" fillId="0" borderId="8" xfId="0" applyFont="1" applyBorder="1" applyAlignment="1">
      <alignment horizontal="center" vertical="top"/>
    </xf>
    <xf numFmtId="0" fontId="7" fillId="0" borderId="9" xfId="0" applyFont="1" applyBorder="1" applyAlignment="1">
      <alignment horizontal="center"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6" fillId="2" borderId="11" xfId="0" applyFont="1" applyFill="1" applyBorder="1" applyAlignment="1">
      <alignment horizontal="left" vertical="top" wrapText="1"/>
    </xf>
    <xf numFmtId="0" fontId="8" fillId="0" borderId="12" xfId="0" applyFont="1" applyBorder="1" applyAlignment="1">
      <alignment horizontal="left" vertical="top" wrapText="1"/>
    </xf>
    <xf numFmtId="0" fontId="7" fillId="0" borderId="13" xfId="0" applyFont="1" applyBorder="1" applyAlignment="1">
      <alignment horizontal="left" vertical="top" wrapText="1"/>
    </xf>
    <xf numFmtId="0" fontId="0" fillId="0" borderId="1" xfId="0" applyBorder="1"/>
    <xf numFmtId="0" fontId="1" fillId="3" borderId="1" xfId="0" applyFont="1" applyFill="1" applyBorder="1"/>
    <xf numFmtId="0" fontId="0" fillId="3" borderId="1" xfId="0" applyFill="1" applyBorder="1"/>
    <xf numFmtId="0" fontId="0" fillId="0" borderId="0" xfId="0" applyFill="1"/>
    <xf numFmtId="0" fontId="0" fillId="0" borderId="1" xfId="0" applyFill="1" applyBorder="1"/>
    <xf numFmtId="0" fontId="1" fillId="0" borderId="0" xfId="0" applyFont="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xf numFmtId="0" fontId="1" fillId="0" borderId="1" xfId="0" applyFont="1" applyFill="1" applyBorder="1"/>
    <xf numFmtId="0" fontId="1" fillId="0" borderId="1" xfId="0" applyFont="1" applyFill="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1" fillId="2" borderId="1" xfId="0" applyFont="1" applyFill="1" applyBorder="1"/>
    <xf numFmtId="0" fontId="9" fillId="0" borderId="0" xfId="0" applyFont="1" applyFill="1"/>
    <xf numFmtId="0" fontId="1" fillId="0" borderId="14" xfId="0" applyFont="1" applyFill="1" applyBorder="1"/>
    <xf numFmtId="0" fontId="0" fillId="0" borderId="14" xfId="0" applyFill="1" applyBorder="1"/>
    <xf numFmtId="3" fontId="0" fillId="0" borderId="0" xfId="0" applyNumberFormat="1"/>
    <xf numFmtId="0" fontId="7" fillId="0" borderId="0" xfId="0" applyFont="1" applyBorder="1" applyAlignment="1">
      <alignment horizontal="left" vertical="top" wrapText="1"/>
    </xf>
    <xf numFmtId="0" fontId="10" fillId="0" borderId="0" xfId="0" applyFont="1"/>
    <xf numFmtId="0" fontId="11" fillId="0" borderId="1" xfId="0" applyFont="1" applyBorder="1" applyAlignment="1">
      <alignment vertical="center" wrapText="1"/>
    </xf>
    <xf numFmtId="0" fontId="12" fillId="0" borderId="1" xfId="0" applyFont="1" applyBorder="1" applyAlignment="1">
      <alignment vertical="center" wrapText="1"/>
    </xf>
    <xf numFmtId="0" fontId="13" fillId="0" borderId="0" xfId="0" applyFont="1"/>
    <xf numFmtId="0" fontId="4" fillId="0" borderId="1" xfId="0" applyFont="1" applyFill="1" applyBorder="1" applyAlignment="1">
      <alignment vertical="center" wrapText="1"/>
    </xf>
    <xf numFmtId="0" fontId="4" fillId="0" borderId="1" xfId="0" applyFont="1" applyFill="1" applyBorder="1"/>
    <xf numFmtId="0" fontId="1" fillId="5" borderId="1" xfId="0" applyFont="1" applyFill="1" applyBorder="1"/>
    <xf numFmtId="0" fontId="0" fillId="6" borderId="1" xfId="0" applyFill="1" applyBorder="1"/>
    <xf numFmtId="0" fontId="1" fillId="0" borderId="1" xfId="0" applyFont="1" applyFill="1" applyBorder="1" applyAlignment="1">
      <alignment horizontal="center" vertical="center" wrapText="1"/>
    </xf>
    <xf numFmtId="0" fontId="21" fillId="0" borderId="2" xfId="0" applyFont="1" applyBorder="1" applyAlignment="1">
      <alignment horizontal="left" vertical="top" wrapText="1"/>
    </xf>
    <xf numFmtId="0" fontId="21" fillId="0" borderId="2" xfId="0" applyFont="1" applyFill="1" applyBorder="1" applyAlignment="1">
      <alignment horizontal="left" vertical="top" wrapText="1"/>
    </xf>
    <xf numFmtId="0" fontId="19" fillId="0" borderId="9" xfId="0" applyFont="1" applyFill="1" applyBorder="1" applyAlignment="1">
      <alignment horizontal="left" vertical="top" wrapText="1"/>
    </xf>
    <xf numFmtId="0" fontId="22" fillId="5" borderId="4" xfId="0" applyFont="1" applyFill="1" applyBorder="1" applyAlignment="1">
      <alignment horizontal="left" vertical="top" wrapText="1"/>
    </xf>
    <xf numFmtId="0" fontId="23" fillId="7" borderId="1" xfId="0" applyFont="1" applyFill="1" applyBorder="1" applyAlignment="1">
      <alignment vertical="center" wrapText="1"/>
    </xf>
    <xf numFmtId="0" fontId="24" fillId="7" borderId="1" xfId="0" applyFont="1" applyFill="1" applyBorder="1" applyAlignment="1">
      <alignment vertical="center" wrapText="1"/>
    </xf>
    <xf numFmtId="0" fontId="25" fillId="7" borderId="0" xfId="0" applyFont="1" applyFill="1"/>
    <xf numFmtId="0" fontId="19" fillId="7" borderId="6" xfId="0" applyFont="1" applyFill="1" applyBorder="1" applyAlignment="1">
      <alignment horizontal="center" vertical="top"/>
    </xf>
    <xf numFmtId="0" fontId="19" fillId="7" borderId="2" xfId="0" applyFont="1" applyFill="1" applyBorder="1" applyAlignment="1">
      <alignment horizontal="center" vertical="top" wrapText="1"/>
    </xf>
    <xf numFmtId="0" fontId="19" fillId="7" borderId="2" xfId="0" applyFont="1" applyFill="1" applyBorder="1" applyAlignment="1">
      <alignment horizontal="left" vertical="top" wrapText="1"/>
    </xf>
    <xf numFmtId="0" fontId="20" fillId="7" borderId="2" xfId="0" applyFont="1" applyFill="1" applyBorder="1" applyAlignment="1">
      <alignment horizontal="left" vertical="top" wrapText="1"/>
    </xf>
    <xf numFmtId="0" fontId="19" fillId="7" borderId="12" xfId="0" applyFont="1" applyFill="1" applyBorder="1" applyAlignment="1">
      <alignment horizontal="left" vertical="top" wrapText="1"/>
    </xf>
    <xf numFmtId="0" fontId="19" fillId="7" borderId="7" xfId="0" applyFont="1" applyFill="1" applyBorder="1" applyAlignment="1">
      <alignment horizontal="left" vertical="top" wrapText="1"/>
    </xf>
    <xf numFmtId="0" fontId="23" fillId="7" borderId="0" xfId="0" applyFont="1" applyFill="1"/>
    <xf numFmtId="0" fontId="19" fillId="7" borderId="0" xfId="0" applyFont="1" applyFill="1" applyBorder="1" applyAlignment="1">
      <alignment horizontal="left" vertical="top" wrapText="1"/>
    </xf>
    <xf numFmtId="0" fontId="23" fillId="7" borderId="1" xfId="0" applyFont="1" applyFill="1" applyBorder="1"/>
    <xf numFmtId="0" fontId="3" fillId="0" borderId="1" xfId="0" applyFont="1" applyFill="1" applyBorder="1" applyAlignment="1">
      <alignment vertical="center" wrapText="1"/>
    </xf>
    <xf numFmtId="0" fontId="10" fillId="0" borderId="0" xfId="0" applyFont="1" applyFill="1"/>
    <xf numFmtId="0" fontId="4" fillId="0" borderId="0" xfId="0" applyFont="1" applyFill="1"/>
    <xf numFmtId="0" fontId="4" fillId="0" borderId="14" xfId="0" applyFont="1" applyFill="1" applyBorder="1"/>
    <xf numFmtId="0" fontId="17" fillId="0" borderId="6" xfId="0" applyFont="1" applyFill="1" applyBorder="1" applyAlignment="1">
      <alignment horizontal="center" vertical="top"/>
    </xf>
    <xf numFmtId="0" fontId="17" fillId="0" borderId="2" xfId="0" applyFont="1" applyFill="1" applyBorder="1" applyAlignment="1">
      <alignment horizontal="center" vertical="top" wrapText="1"/>
    </xf>
    <xf numFmtId="0" fontId="17" fillId="0" borderId="2" xfId="0" applyFont="1" applyFill="1" applyBorder="1" applyAlignment="1">
      <alignment horizontal="left" vertical="top" wrapText="1"/>
    </xf>
    <xf numFmtId="0" fontId="18" fillId="0" borderId="2" xfId="0" applyFont="1" applyFill="1" applyBorder="1" applyAlignment="1">
      <alignment horizontal="left" vertical="top" wrapText="1"/>
    </xf>
    <xf numFmtId="0" fontId="17" fillId="0" borderId="12" xfId="0" applyFont="1" applyFill="1" applyBorder="1" applyAlignment="1">
      <alignment horizontal="left" vertical="top" wrapText="1"/>
    </xf>
    <xf numFmtId="0" fontId="17" fillId="0" borderId="7" xfId="0" applyFont="1" applyFill="1" applyBorder="1" applyAlignment="1">
      <alignment horizontal="left" vertical="top" wrapText="1"/>
    </xf>
    <xf numFmtId="0" fontId="17" fillId="0" borderId="0" xfId="0" applyFont="1" applyFill="1" applyBorder="1" applyAlignment="1">
      <alignment horizontal="left" vertical="top" wrapText="1"/>
    </xf>
    <xf numFmtId="10" fontId="17" fillId="0" borderId="2" xfId="0" applyNumberFormat="1" applyFont="1" applyFill="1" applyBorder="1" applyAlignment="1">
      <alignment horizontal="left" vertical="top" wrapText="1"/>
    </xf>
    <xf numFmtId="0" fontId="17" fillId="0" borderId="2" xfId="0" quotePrefix="1" applyFont="1" applyFill="1" applyBorder="1" applyAlignment="1">
      <alignment horizontal="left" vertical="top" wrapText="1"/>
    </xf>
    <xf numFmtId="0" fontId="17" fillId="0" borderId="12" xfId="0" quotePrefix="1" applyFont="1" applyFill="1" applyBorder="1" applyAlignment="1">
      <alignment horizontal="left" vertical="top" wrapText="1"/>
    </xf>
    <xf numFmtId="9" fontId="17" fillId="0" borderId="2" xfId="0" applyNumberFormat="1" applyFont="1" applyFill="1" applyBorder="1" applyAlignment="1">
      <alignment horizontal="left" vertical="top" wrapText="1"/>
    </xf>
    <xf numFmtId="0" fontId="4" fillId="0" borderId="1" xfId="0" applyFont="1" applyBorder="1"/>
    <xf numFmtId="0" fontId="23" fillId="0" borderId="1" xfId="0" applyFont="1" applyBorder="1" applyAlignment="1">
      <alignment vertical="center" wrapText="1"/>
    </xf>
    <xf numFmtId="0" fontId="23" fillId="0" borderId="1" xfId="0" applyFont="1" applyBorder="1"/>
    <xf numFmtId="0" fontId="23" fillId="0" borderId="1" xfId="0" applyFont="1" applyFill="1" applyBorder="1" applyAlignment="1">
      <alignment vertical="center" wrapText="1"/>
    </xf>
    <xf numFmtId="0" fontId="23" fillId="0" borderId="0" xfId="0" applyFont="1"/>
    <xf numFmtId="0" fontId="26" fillId="0" borderId="1" xfId="0" applyFont="1" applyBorder="1" applyAlignment="1">
      <alignment vertical="center" wrapText="1"/>
    </xf>
    <xf numFmtId="0" fontId="27" fillId="0" borderId="0" xfId="0" applyFont="1"/>
    <xf numFmtId="0" fontId="28" fillId="5" borderId="0" xfId="0" applyFont="1" applyFill="1"/>
    <xf numFmtId="0" fontId="28" fillId="0" borderId="1" xfId="0" applyFont="1" applyFill="1" applyBorder="1"/>
    <xf numFmtId="0" fontId="28" fillId="8" borderId="1" xfId="0" applyFont="1" applyFill="1" applyBorder="1"/>
    <xf numFmtId="0" fontId="0" fillId="7" borderId="0" xfId="0" applyFill="1"/>
    <xf numFmtId="0" fontId="1" fillId="7" borderId="1" xfId="0" applyFont="1" applyFill="1" applyBorder="1"/>
    <xf numFmtId="0" fontId="1" fillId="7" borderId="0" xfId="0" applyFont="1" applyFill="1"/>
    <xf numFmtId="0" fontId="2" fillId="0" borderId="1" xfId="0" applyFont="1" applyFill="1" applyBorder="1" applyAlignment="1">
      <alignment vertical="center" wrapText="1"/>
    </xf>
    <xf numFmtId="0" fontId="1" fillId="7" borderId="1" xfId="0" applyFont="1" applyFill="1" applyBorder="1" applyAlignment="1">
      <alignment vertical="center" wrapText="1"/>
    </xf>
    <xf numFmtId="0" fontId="4" fillId="7" borderId="1" xfId="0" applyFont="1" applyFill="1" applyBorder="1" applyAlignment="1">
      <alignment vertical="center" wrapText="1"/>
    </xf>
    <xf numFmtId="0" fontId="1" fillId="7" borderId="14" xfId="0" applyFont="1" applyFill="1" applyBorder="1"/>
    <xf numFmtId="0" fontId="4" fillId="7" borderId="1" xfId="0" applyFont="1" applyFill="1" applyBorder="1"/>
    <xf numFmtId="14" fontId="28" fillId="8" borderId="1" xfId="0" applyNumberFormat="1" applyFont="1" applyFill="1" applyBorder="1"/>
    <xf numFmtId="0" fontId="4" fillId="5" borderId="1" xfId="0" applyFont="1" applyFill="1" applyBorder="1" applyAlignment="1">
      <alignment vertical="center" wrapText="1"/>
    </xf>
    <xf numFmtId="0" fontId="3" fillId="5" borderId="1" xfId="0" applyFont="1" applyFill="1" applyBorder="1" applyAlignment="1">
      <alignment vertical="center" wrapText="1"/>
    </xf>
    <xf numFmtId="0" fontId="10" fillId="5"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564266</xdr:colOff>
      <xdr:row>13</xdr:row>
      <xdr:rowOff>334493</xdr:rowOff>
    </xdr:to>
    <xdr:pic>
      <xdr:nvPicPr>
        <xdr:cNvPr id="2" name="Immagine 1"/>
        <xdr:cNvPicPr>
          <a:picLocks noChangeAspect="1"/>
        </xdr:cNvPicPr>
      </xdr:nvPicPr>
      <xdr:blipFill>
        <a:blip xmlns:r="http://schemas.openxmlformats.org/officeDocument/2006/relationships" r:embed="rId1"/>
        <a:stretch>
          <a:fillRect/>
        </a:stretch>
      </xdr:blipFill>
      <xdr:spPr>
        <a:xfrm>
          <a:off x="0" y="0"/>
          <a:ext cx="16413866" cy="8011643"/>
        </a:xfrm>
        <a:prstGeom prst="rect">
          <a:avLst/>
        </a:prstGeom>
      </xdr:spPr>
    </xdr:pic>
    <xdr:clientData/>
  </xdr:twoCellAnchor>
  <xdr:twoCellAnchor editAs="oneCell">
    <xdr:from>
      <xdr:col>0</xdr:col>
      <xdr:colOff>0</xdr:colOff>
      <xdr:row>13</xdr:row>
      <xdr:rowOff>285750</xdr:rowOff>
    </xdr:from>
    <xdr:to>
      <xdr:col>27</xdr:col>
      <xdr:colOff>78508</xdr:colOff>
      <xdr:row>23</xdr:row>
      <xdr:rowOff>296101</xdr:rowOff>
    </xdr:to>
    <xdr:pic>
      <xdr:nvPicPr>
        <xdr:cNvPr id="3" name="Immagine 2"/>
        <xdr:cNvPicPr>
          <a:picLocks noChangeAspect="1"/>
        </xdr:cNvPicPr>
      </xdr:nvPicPr>
      <xdr:blipFill>
        <a:blip xmlns:r="http://schemas.openxmlformats.org/officeDocument/2006/relationships" r:embed="rId2"/>
        <a:stretch>
          <a:fillRect/>
        </a:stretch>
      </xdr:blipFill>
      <xdr:spPr>
        <a:xfrm>
          <a:off x="0" y="7962900"/>
          <a:ext cx="16537708" cy="5915851"/>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oglio1"/>
  <dimension ref="A1:XFD24"/>
  <sheetViews>
    <sheetView topLeftCell="H1" zoomScale="85" zoomScaleNormal="85" workbookViewId="0">
      <pane ySplit="2" topLeftCell="A6" activePane="bottomLeft" state="frozen"/>
      <selection pane="bottomLeft" activeCell="O8" activeCellId="1" sqref="O11 O8"/>
    </sheetView>
  </sheetViews>
  <sheetFormatPr defaultColWidth="72.42578125" defaultRowHeight="15"/>
  <cols>
    <col min="1" max="1" width="5.140625" bestFit="1" customWidth="1"/>
    <col min="2" max="2" width="4.7109375" bestFit="1" customWidth="1"/>
    <col min="3" max="3" width="37.140625" bestFit="1" customWidth="1"/>
    <col min="4" max="4" width="32.140625" bestFit="1" customWidth="1"/>
    <col min="5" max="5" width="15.42578125" hidden="1" customWidth="1"/>
    <col min="6" max="6" width="10" hidden="1" customWidth="1"/>
    <col min="7" max="7" width="12" hidden="1" customWidth="1"/>
    <col min="8" max="8" width="71.42578125" bestFit="1" customWidth="1"/>
    <col min="9" max="9" width="52.5703125" customWidth="1"/>
    <col min="10" max="10" width="26.42578125" bestFit="1" customWidth="1"/>
    <col min="11" max="11" width="4.85546875" bestFit="1" customWidth="1"/>
    <col min="12" max="12" width="3.5703125" bestFit="1" customWidth="1"/>
    <col min="13" max="13" width="37.140625" bestFit="1" customWidth="1"/>
    <col min="14" max="14" width="2.140625" bestFit="1" customWidth="1"/>
    <col min="15" max="15" width="32.140625" bestFit="1" customWidth="1"/>
  </cols>
  <sheetData>
    <row r="1" spans="1:16384">
      <c r="A1" s="2"/>
      <c r="B1" s="2"/>
      <c r="C1" s="2"/>
      <c r="D1" s="2"/>
      <c r="E1" s="2"/>
      <c r="F1" s="2"/>
      <c r="G1" s="2"/>
      <c r="H1" s="2"/>
      <c r="I1" s="2"/>
      <c r="J1" s="2"/>
    </row>
    <row r="2" spans="1:16384" ht="30">
      <c r="A2" s="1" t="s">
        <v>192</v>
      </c>
      <c r="B2" s="1" t="s">
        <v>0</v>
      </c>
      <c r="C2" s="1" t="s">
        <v>1</v>
      </c>
      <c r="D2" s="1" t="s">
        <v>92</v>
      </c>
      <c r="E2" s="1" t="s">
        <v>190</v>
      </c>
      <c r="F2" s="1" t="s">
        <v>191</v>
      </c>
      <c r="G2" s="1" t="s">
        <v>2</v>
      </c>
      <c r="H2" s="1" t="s">
        <v>3</v>
      </c>
      <c r="I2" s="1" t="s">
        <v>193</v>
      </c>
      <c r="J2" s="1" t="s">
        <v>4</v>
      </c>
    </row>
    <row r="3" spans="1:16384" ht="25.5">
      <c r="A3" s="3" t="s">
        <v>5</v>
      </c>
      <c r="B3" s="3">
        <v>1</v>
      </c>
      <c r="C3" s="4" t="s">
        <v>6</v>
      </c>
      <c r="D3" s="4" t="s">
        <v>93</v>
      </c>
      <c r="E3" s="4"/>
      <c r="F3" s="4"/>
      <c r="G3" s="3" t="s">
        <v>7</v>
      </c>
      <c r="H3" s="3" t="s">
        <v>8</v>
      </c>
      <c r="I3" s="3"/>
      <c r="J3" s="4" t="s">
        <v>9</v>
      </c>
      <c r="K3" s="3" t="s">
        <v>317</v>
      </c>
      <c r="L3" s="3" t="s">
        <v>5</v>
      </c>
      <c r="M3" s="4" t="s">
        <v>6</v>
      </c>
      <c r="N3" s="4" t="s">
        <v>342</v>
      </c>
      <c r="O3" s="4" t="s">
        <v>93</v>
      </c>
    </row>
    <row r="4" spans="1:16384" ht="30">
      <c r="A4" s="3" t="s">
        <v>10</v>
      </c>
      <c r="B4" s="3">
        <v>2</v>
      </c>
      <c r="C4" s="4" t="s">
        <v>11</v>
      </c>
      <c r="D4" s="4" t="s">
        <v>94</v>
      </c>
      <c r="E4" s="4"/>
      <c r="F4" s="4"/>
      <c r="G4" s="3" t="s">
        <v>7</v>
      </c>
      <c r="H4" s="3" t="s">
        <v>69</v>
      </c>
      <c r="I4" s="3"/>
      <c r="J4" s="4" t="s">
        <v>12</v>
      </c>
      <c r="K4" s="3" t="s">
        <v>318</v>
      </c>
      <c r="L4" s="3" t="s">
        <v>10</v>
      </c>
      <c r="M4" s="4" t="s">
        <v>11</v>
      </c>
      <c r="N4" s="4" t="s">
        <v>342</v>
      </c>
      <c r="O4" s="4" t="s">
        <v>94</v>
      </c>
    </row>
    <row r="5" spans="1:16384">
      <c r="A5" s="3" t="s">
        <v>13</v>
      </c>
      <c r="B5" s="3">
        <v>3</v>
      </c>
      <c r="C5" s="4" t="s">
        <v>14</v>
      </c>
      <c r="D5" s="4" t="s">
        <v>14</v>
      </c>
      <c r="E5" s="4"/>
      <c r="F5" s="4"/>
      <c r="G5" s="3" t="s">
        <v>7</v>
      </c>
      <c r="H5" s="3" t="s">
        <v>15</v>
      </c>
      <c r="I5" s="3"/>
      <c r="J5" s="4" t="s">
        <v>16</v>
      </c>
      <c r="K5" s="3" t="s">
        <v>319</v>
      </c>
      <c r="L5" s="3" t="s">
        <v>13</v>
      </c>
      <c r="M5" s="4" t="s">
        <v>14</v>
      </c>
      <c r="N5" s="4" t="s">
        <v>342</v>
      </c>
      <c r="O5" s="4" t="s">
        <v>14</v>
      </c>
    </row>
    <row r="6" spans="1:16384">
      <c r="A6" s="3" t="s">
        <v>17</v>
      </c>
      <c r="B6" s="3">
        <v>4</v>
      </c>
      <c r="C6" s="4" t="s">
        <v>18</v>
      </c>
      <c r="D6" s="4" t="s">
        <v>18</v>
      </c>
      <c r="E6" s="4">
        <v>2</v>
      </c>
      <c r="F6" s="4">
        <v>2</v>
      </c>
      <c r="G6" s="3" t="s">
        <v>7</v>
      </c>
      <c r="H6" s="3" t="s">
        <v>19</v>
      </c>
      <c r="I6" s="3"/>
      <c r="J6" s="4" t="s">
        <v>20</v>
      </c>
      <c r="K6" s="3" t="s">
        <v>320</v>
      </c>
      <c r="L6" s="3" t="s">
        <v>17</v>
      </c>
      <c r="M6" s="4" t="s">
        <v>18</v>
      </c>
      <c r="N6" s="4" t="s">
        <v>342</v>
      </c>
      <c r="O6" s="4" t="s">
        <v>18</v>
      </c>
    </row>
    <row r="7" spans="1:16384">
      <c r="A7" s="3" t="s">
        <v>21</v>
      </c>
      <c r="B7" s="3">
        <v>5</v>
      </c>
      <c r="C7" s="4" t="s">
        <v>22</v>
      </c>
      <c r="D7" s="4" t="s">
        <v>95</v>
      </c>
      <c r="E7" s="4"/>
      <c r="F7" s="4"/>
      <c r="G7" s="3" t="s">
        <v>7</v>
      </c>
      <c r="H7" s="3" t="s">
        <v>70</v>
      </c>
      <c r="I7" s="3"/>
      <c r="J7" s="4" t="s">
        <v>23</v>
      </c>
      <c r="K7" s="3" t="s">
        <v>321</v>
      </c>
      <c r="L7" s="3" t="s">
        <v>21</v>
      </c>
      <c r="M7" s="4" t="s">
        <v>22</v>
      </c>
      <c r="N7" s="4" t="s">
        <v>342</v>
      </c>
      <c r="O7" s="4" t="s">
        <v>95</v>
      </c>
    </row>
    <row r="8" spans="1:16384">
      <c r="A8" s="3" t="s">
        <v>24</v>
      </c>
      <c r="B8" s="3">
        <v>6</v>
      </c>
      <c r="C8" s="4" t="s">
        <v>25</v>
      </c>
      <c r="D8" s="4" t="s">
        <v>96</v>
      </c>
      <c r="E8" s="4">
        <v>3</v>
      </c>
      <c r="F8" s="4">
        <v>3</v>
      </c>
      <c r="G8" s="3" t="s">
        <v>7</v>
      </c>
      <c r="H8" s="3" t="s">
        <v>26</v>
      </c>
      <c r="I8" s="3"/>
      <c r="J8" s="4" t="s">
        <v>27</v>
      </c>
      <c r="K8" s="3" t="s">
        <v>322</v>
      </c>
      <c r="L8" s="3" t="s">
        <v>24</v>
      </c>
      <c r="M8" s="4" t="s">
        <v>25</v>
      </c>
      <c r="N8" s="4" t="s">
        <v>342</v>
      </c>
      <c r="O8" s="4" t="s">
        <v>96</v>
      </c>
    </row>
    <row r="9" spans="1:16384">
      <c r="A9" s="44" t="s">
        <v>28</v>
      </c>
      <c r="B9" s="44">
        <v>7</v>
      </c>
      <c r="C9" s="45" t="s">
        <v>29</v>
      </c>
      <c r="D9" s="45" t="s">
        <v>97</v>
      </c>
      <c r="E9" s="45"/>
      <c r="F9" s="45"/>
      <c r="G9" s="44" t="s">
        <v>7</v>
      </c>
      <c r="H9" s="44" t="s">
        <v>365</v>
      </c>
      <c r="I9" s="44"/>
      <c r="J9" s="45" t="s">
        <v>30</v>
      </c>
      <c r="K9" s="3" t="s">
        <v>323</v>
      </c>
      <c r="L9" s="3" t="s">
        <v>28</v>
      </c>
      <c r="M9" s="4" t="s">
        <v>29</v>
      </c>
      <c r="N9" s="4" t="s">
        <v>342</v>
      </c>
      <c r="O9" s="4" t="s">
        <v>97</v>
      </c>
    </row>
    <row r="10" spans="1:16384">
      <c r="A10" s="44" t="s">
        <v>31</v>
      </c>
      <c r="B10" s="44">
        <v>8</v>
      </c>
      <c r="C10" s="45" t="s">
        <v>29</v>
      </c>
      <c r="D10" s="45" t="s">
        <v>29</v>
      </c>
      <c r="E10" s="45"/>
      <c r="F10" s="45"/>
      <c r="G10" s="44" t="s">
        <v>7</v>
      </c>
      <c r="H10" s="44" t="s">
        <v>32</v>
      </c>
      <c r="I10" s="44"/>
      <c r="J10" s="45" t="s">
        <v>23</v>
      </c>
      <c r="K10" s="3" t="s">
        <v>324</v>
      </c>
      <c r="L10" s="3" t="s">
        <v>31</v>
      </c>
      <c r="M10" s="4" t="s">
        <v>29</v>
      </c>
      <c r="N10" s="4" t="s">
        <v>342</v>
      </c>
      <c r="O10" s="4" t="s">
        <v>29</v>
      </c>
    </row>
    <row r="11" spans="1:16384" s="43" customFormat="1" ht="135">
      <c r="A11" s="44" t="s">
        <v>33</v>
      </c>
      <c r="B11" s="44">
        <v>9</v>
      </c>
      <c r="C11" s="45" t="s">
        <v>34</v>
      </c>
      <c r="D11" s="45" t="s">
        <v>98</v>
      </c>
      <c r="E11" s="45">
        <v>4</v>
      </c>
      <c r="F11" s="45">
        <v>6</v>
      </c>
      <c r="G11" s="44" t="s">
        <v>7</v>
      </c>
      <c r="H11" s="44" t="s">
        <v>366</v>
      </c>
      <c r="I11" s="44" t="s">
        <v>71</v>
      </c>
      <c r="J11" s="45" t="s">
        <v>35</v>
      </c>
      <c r="K11" s="6" t="s">
        <v>325</v>
      </c>
      <c r="L11" s="6" t="s">
        <v>33</v>
      </c>
      <c r="M11" s="5" t="s">
        <v>34</v>
      </c>
      <c r="N11" s="5" t="s">
        <v>342</v>
      </c>
      <c r="O11" s="5" t="s">
        <v>98</v>
      </c>
    </row>
    <row r="12" spans="1:16384" s="104" customFormat="1">
      <c r="A12" s="102" t="s">
        <v>36</v>
      </c>
      <c r="B12" s="102">
        <v>10</v>
      </c>
      <c r="C12" s="103" t="s">
        <v>37</v>
      </c>
      <c r="D12" s="103" t="s">
        <v>99</v>
      </c>
      <c r="E12" s="103">
        <v>4</v>
      </c>
      <c r="F12" s="103">
        <v>6</v>
      </c>
      <c r="G12" s="102" t="s">
        <v>7</v>
      </c>
      <c r="H12" s="102" t="s">
        <v>72</v>
      </c>
      <c r="I12" s="102" t="s">
        <v>367</v>
      </c>
      <c r="J12" s="103" t="s">
        <v>35</v>
      </c>
      <c r="K12" s="102" t="s">
        <v>326</v>
      </c>
      <c r="L12" s="102" t="s">
        <v>41</v>
      </c>
      <c r="M12" s="103" t="s">
        <v>37</v>
      </c>
      <c r="N12" s="103" t="s">
        <v>342</v>
      </c>
      <c r="O12" s="103" t="s">
        <v>99</v>
      </c>
    </row>
    <row r="13" spans="1:16384">
      <c r="A13" s="3" t="s">
        <v>38</v>
      </c>
      <c r="B13" s="3">
        <v>11</v>
      </c>
      <c r="C13" s="4" t="s">
        <v>39</v>
      </c>
      <c r="D13" s="4" t="s">
        <v>100</v>
      </c>
      <c r="E13" s="4">
        <v>4</v>
      </c>
      <c r="F13" s="4">
        <v>2</v>
      </c>
      <c r="G13" s="3" t="s">
        <v>7</v>
      </c>
      <c r="H13" s="3" t="s">
        <v>40</v>
      </c>
      <c r="I13" s="3"/>
      <c r="J13" s="4" t="s">
        <v>27</v>
      </c>
      <c r="K13" s="3" t="s">
        <v>327</v>
      </c>
      <c r="L13" s="3" t="s">
        <v>44</v>
      </c>
      <c r="M13" s="4" t="s">
        <v>39</v>
      </c>
      <c r="N13" s="4" t="s">
        <v>342</v>
      </c>
      <c r="O13" s="4" t="s">
        <v>100</v>
      </c>
    </row>
    <row r="14" spans="1:16384" s="46" customFormat="1" ht="30">
      <c r="A14" s="44" t="s">
        <v>41</v>
      </c>
      <c r="B14" s="44">
        <v>12</v>
      </c>
      <c r="C14" s="45" t="s">
        <v>42</v>
      </c>
      <c r="D14" s="45" t="s">
        <v>101</v>
      </c>
      <c r="E14" s="45">
        <v>4</v>
      </c>
      <c r="F14" s="45">
        <v>6</v>
      </c>
      <c r="G14" s="44" t="s">
        <v>7</v>
      </c>
      <c r="H14" s="44" t="s">
        <v>368</v>
      </c>
      <c r="I14" s="44" t="s">
        <v>74</v>
      </c>
      <c r="J14" s="45" t="s">
        <v>43</v>
      </c>
      <c r="K14" s="44" t="s">
        <v>328</v>
      </c>
      <c r="L14" s="44" t="s">
        <v>47</v>
      </c>
      <c r="M14" s="45" t="s">
        <v>42</v>
      </c>
      <c r="N14" s="45" t="s">
        <v>342</v>
      </c>
      <c r="O14" s="45" t="s">
        <v>101</v>
      </c>
    </row>
    <row r="15" spans="1:16384" s="69" customFormat="1">
      <c r="A15" s="47" t="s">
        <v>44</v>
      </c>
      <c r="B15" s="47">
        <v>13</v>
      </c>
      <c r="C15" s="68" t="s">
        <v>45</v>
      </c>
      <c r="D15" s="68" t="s">
        <v>102</v>
      </c>
      <c r="E15" s="68">
        <v>4</v>
      </c>
      <c r="F15" s="68">
        <v>6</v>
      </c>
      <c r="G15" s="47" t="s">
        <v>7</v>
      </c>
      <c r="H15" s="47" t="s">
        <v>75</v>
      </c>
      <c r="I15" s="47" t="s">
        <v>73</v>
      </c>
      <c r="J15" s="68" t="s">
        <v>46</v>
      </c>
      <c r="K15" s="47" t="s">
        <v>329</v>
      </c>
      <c r="L15" s="47" t="s">
        <v>49</v>
      </c>
      <c r="M15" s="68" t="s">
        <v>45</v>
      </c>
      <c r="N15" s="68" t="s">
        <v>342</v>
      </c>
      <c r="O15" s="68" t="s">
        <v>102</v>
      </c>
    </row>
    <row r="16" spans="1:16384" s="43" customFormat="1" ht="45">
      <c r="A16" s="6" t="s">
        <v>47</v>
      </c>
      <c r="B16" s="6">
        <v>14</v>
      </c>
      <c r="C16" s="5" t="s">
        <v>48</v>
      </c>
      <c r="D16" s="5" t="s">
        <v>103</v>
      </c>
      <c r="E16" s="5">
        <v>4</v>
      </c>
      <c r="F16" s="5">
        <v>6</v>
      </c>
      <c r="G16" s="6" t="s">
        <v>7</v>
      </c>
      <c r="H16" s="6" t="s">
        <v>77</v>
      </c>
      <c r="I16" s="47" t="s">
        <v>76</v>
      </c>
      <c r="J16" s="5" t="s">
        <v>46</v>
      </c>
      <c r="K16" s="6" t="s">
        <v>330</v>
      </c>
      <c r="L16" s="6" t="s">
        <v>51</v>
      </c>
      <c r="M16" s="5" t="s">
        <v>48</v>
      </c>
      <c r="N16" s="5" t="s">
        <v>342</v>
      </c>
      <c r="O16" s="5" t="s">
        <v>103</v>
      </c>
    </row>
    <row r="17" spans="1:15" s="43" customFormat="1" ht="30">
      <c r="A17" s="6" t="s">
        <v>49</v>
      </c>
      <c r="B17" s="6">
        <v>15</v>
      </c>
      <c r="C17" s="5" t="s">
        <v>50</v>
      </c>
      <c r="D17" s="5" t="s">
        <v>104</v>
      </c>
      <c r="E17" s="5">
        <v>4</v>
      </c>
      <c r="F17" s="5">
        <v>6</v>
      </c>
      <c r="G17" s="6" t="s">
        <v>7</v>
      </c>
      <c r="H17" s="6" t="s">
        <v>78</v>
      </c>
      <c r="I17" s="47" t="s">
        <v>80</v>
      </c>
      <c r="J17" s="5" t="s">
        <v>46</v>
      </c>
      <c r="K17" s="6" t="s">
        <v>331</v>
      </c>
      <c r="L17" s="6" t="s">
        <v>53</v>
      </c>
      <c r="M17" s="5" t="s">
        <v>50</v>
      </c>
      <c r="N17" s="5" t="s">
        <v>342</v>
      </c>
      <c r="O17" s="5" t="s">
        <v>104</v>
      </c>
    </row>
    <row r="18" spans="1:15" s="43" customFormat="1">
      <c r="A18" s="6" t="s">
        <v>51</v>
      </c>
      <c r="B18" s="6">
        <v>16</v>
      </c>
      <c r="C18" s="5" t="s">
        <v>52</v>
      </c>
      <c r="D18" s="5" t="s">
        <v>105</v>
      </c>
      <c r="E18" s="5">
        <v>4</v>
      </c>
      <c r="F18" s="5">
        <v>6</v>
      </c>
      <c r="G18" s="6" t="s">
        <v>7</v>
      </c>
      <c r="H18" s="6" t="s">
        <v>79</v>
      </c>
      <c r="I18" s="47" t="s">
        <v>81</v>
      </c>
      <c r="J18" s="5" t="s">
        <v>46</v>
      </c>
      <c r="K18" s="6" t="s">
        <v>332</v>
      </c>
      <c r="L18" s="6" t="s">
        <v>56</v>
      </c>
      <c r="M18" s="5" t="s">
        <v>52</v>
      </c>
      <c r="N18" s="5" t="s">
        <v>342</v>
      </c>
      <c r="O18" s="5" t="s">
        <v>105</v>
      </c>
    </row>
    <row r="19" spans="1:15" s="69" customFormat="1">
      <c r="A19" s="47" t="s">
        <v>53</v>
      </c>
      <c r="B19" s="47">
        <v>17</v>
      </c>
      <c r="C19" s="68" t="s">
        <v>54</v>
      </c>
      <c r="D19" s="68" t="s">
        <v>106</v>
      </c>
      <c r="E19" s="68">
        <v>4</v>
      </c>
      <c r="F19" s="68">
        <v>6</v>
      </c>
      <c r="G19" s="47" t="s">
        <v>7</v>
      </c>
      <c r="H19" s="47" t="s">
        <v>82</v>
      </c>
      <c r="I19" s="47" t="s">
        <v>369</v>
      </c>
      <c r="J19" s="68" t="s">
        <v>55</v>
      </c>
      <c r="K19" s="47" t="s">
        <v>333</v>
      </c>
      <c r="L19" s="47" t="s">
        <v>59</v>
      </c>
      <c r="M19" s="68" t="s">
        <v>54</v>
      </c>
      <c r="N19" s="68" t="s">
        <v>342</v>
      </c>
      <c r="O19" s="68" t="s">
        <v>106</v>
      </c>
    </row>
    <row r="20" spans="1:15" s="43" customFormat="1">
      <c r="A20" s="6" t="s">
        <v>56</v>
      </c>
      <c r="B20" s="6">
        <v>18</v>
      </c>
      <c r="C20" s="7" t="s">
        <v>83</v>
      </c>
      <c r="D20" s="7" t="s">
        <v>83</v>
      </c>
      <c r="E20" s="7"/>
      <c r="F20" s="7"/>
      <c r="G20" s="6" t="s">
        <v>57</v>
      </c>
      <c r="H20" s="6" t="s">
        <v>84</v>
      </c>
      <c r="I20" s="47" t="s">
        <v>87</v>
      </c>
      <c r="J20" s="5" t="s">
        <v>58</v>
      </c>
      <c r="K20" s="6" t="s">
        <v>334</v>
      </c>
      <c r="L20" s="6" t="s">
        <v>61</v>
      </c>
      <c r="M20" s="7" t="s">
        <v>83</v>
      </c>
      <c r="N20" s="5" t="s">
        <v>342</v>
      </c>
      <c r="O20" s="7" t="s">
        <v>83</v>
      </c>
    </row>
    <row r="21" spans="1:15" s="69" customFormat="1" ht="60">
      <c r="A21" s="47" t="s">
        <v>59</v>
      </c>
      <c r="B21" s="47">
        <v>19</v>
      </c>
      <c r="C21" s="68" t="s">
        <v>60</v>
      </c>
      <c r="D21" s="68" t="s">
        <v>107</v>
      </c>
      <c r="E21" s="68">
        <v>4</v>
      </c>
      <c r="F21" s="68">
        <v>6</v>
      </c>
      <c r="G21" s="47" t="s">
        <v>7</v>
      </c>
      <c r="H21" s="47" t="s">
        <v>85</v>
      </c>
      <c r="I21" s="47" t="s">
        <v>88</v>
      </c>
      <c r="J21" s="68" t="s">
        <v>46</v>
      </c>
      <c r="K21" s="47" t="s">
        <v>335</v>
      </c>
      <c r="L21" s="47" t="s">
        <v>63</v>
      </c>
      <c r="M21" s="68" t="s">
        <v>60</v>
      </c>
      <c r="N21" s="68" t="s">
        <v>342</v>
      </c>
      <c r="O21" s="68" t="s">
        <v>107</v>
      </c>
    </row>
    <row r="22" spans="1:15" s="58" customFormat="1">
      <c r="A22" s="56" t="s">
        <v>61</v>
      </c>
      <c r="B22" s="56">
        <v>20</v>
      </c>
      <c r="C22" s="57" t="s">
        <v>62</v>
      </c>
      <c r="D22" s="57" t="s">
        <v>108</v>
      </c>
      <c r="E22" s="57">
        <v>4</v>
      </c>
      <c r="F22" s="57">
        <v>6</v>
      </c>
      <c r="G22" s="56" t="s">
        <v>7</v>
      </c>
      <c r="H22" s="56" t="s">
        <v>388</v>
      </c>
      <c r="I22" s="56" t="s">
        <v>89</v>
      </c>
      <c r="J22" s="57" t="s">
        <v>55</v>
      </c>
      <c r="K22" s="56" t="s">
        <v>336</v>
      </c>
      <c r="L22" s="56" t="s">
        <v>65</v>
      </c>
      <c r="M22" s="57" t="s">
        <v>62</v>
      </c>
      <c r="N22" s="57" t="s">
        <v>342</v>
      </c>
      <c r="O22" s="57" t="s">
        <v>108</v>
      </c>
    </row>
    <row r="23" spans="1:15" s="69" customFormat="1">
      <c r="A23" s="47" t="s">
        <v>63</v>
      </c>
      <c r="B23" s="47">
        <v>21</v>
      </c>
      <c r="C23" s="68" t="s">
        <v>64</v>
      </c>
      <c r="D23" s="68" t="s">
        <v>109</v>
      </c>
      <c r="E23" s="68">
        <v>4</v>
      </c>
      <c r="F23" s="68">
        <v>2</v>
      </c>
      <c r="G23" s="47" t="s">
        <v>7</v>
      </c>
      <c r="H23" s="47" t="s">
        <v>86</v>
      </c>
      <c r="I23" s="47" t="s">
        <v>90</v>
      </c>
      <c r="J23" s="68" t="s">
        <v>55</v>
      </c>
      <c r="K23" s="47" t="s">
        <v>337</v>
      </c>
      <c r="L23" s="47" t="s">
        <v>166</v>
      </c>
      <c r="M23" s="68" t="s">
        <v>64</v>
      </c>
      <c r="N23" s="68" t="s">
        <v>342</v>
      </c>
      <c r="O23" s="68" t="s">
        <v>109</v>
      </c>
    </row>
    <row r="24" spans="1:15">
      <c r="A24" s="3" t="s">
        <v>65</v>
      </c>
      <c r="B24" s="3">
        <v>22</v>
      </c>
      <c r="C24" s="4" t="s">
        <v>66</v>
      </c>
      <c r="D24" s="4" t="s">
        <v>110</v>
      </c>
      <c r="E24" s="4"/>
      <c r="F24" s="4"/>
      <c r="G24" s="3" t="s">
        <v>7</v>
      </c>
      <c r="H24" s="6" t="s">
        <v>67</v>
      </c>
      <c r="I24" s="47" t="s">
        <v>91</v>
      </c>
      <c r="J24" s="4" t="s">
        <v>68</v>
      </c>
      <c r="K24" s="3" t="s">
        <v>338</v>
      </c>
      <c r="L24" s="3" t="s">
        <v>168</v>
      </c>
      <c r="M24" s="4" t="s">
        <v>66</v>
      </c>
      <c r="N24" s="4" t="s">
        <v>342</v>
      </c>
      <c r="O24" s="4" t="s">
        <v>110</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oglio2"/>
  <dimension ref="A1:N28"/>
  <sheetViews>
    <sheetView zoomScale="130" zoomScaleNormal="130" workbookViewId="0">
      <selection activeCell="H24" sqref="H24"/>
    </sheetView>
  </sheetViews>
  <sheetFormatPr defaultColWidth="56.7109375" defaultRowHeight="13.5" customHeight="1"/>
  <cols>
    <col min="1" max="1" width="4.5703125" style="8" bestFit="1" customWidth="1"/>
    <col min="2" max="2" width="4" style="8" bestFit="1" customWidth="1"/>
    <col min="3" max="3" width="16.42578125" style="8" bestFit="1" customWidth="1"/>
    <col min="4" max="4" width="21.5703125" style="8" customWidth="1"/>
    <col min="5" max="5" width="13.5703125" style="8" customWidth="1"/>
    <col min="6" max="6" width="8.42578125" style="8" customWidth="1"/>
    <col min="7" max="7" width="21.5703125" style="8" customWidth="1"/>
    <col min="8" max="8" width="36.42578125" style="8" bestFit="1" customWidth="1"/>
    <col min="9" max="9" width="36.42578125" style="8" hidden="1" customWidth="1"/>
    <col min="10" max="10" width="69.5703125" style="8" hidden="1" customWidth="1"/>
    <col min="11" max="11" width="4.7109375" style="8" bestFit="1" customWidth="1"/>
    <col min="12" max="12" width="46.42578125" style="8" bestFit="1" customWidth="1"/>
    <col min="13" max="13" width="1.5703125" style="8" bestFit="1" customWidth="1"/>
    <col min="14" max="16384" width="56.7109375" style="8"/>
  </cols>
  <sheetData>
    <row r="1" spans="1:14" ht="13.5" customHeight="1" thickBot="1">
      <c r="A1" s="13" t="s">
        <v>0</v>
      </c>
      <c r="B1" s="14" t="s">
        <v>111</v>
      </c>
      <c r="C1" s="55" t="s">
        <v>387</v>
      </c>
      <c r="D1" s="14" t="s">
        <v>112</v>
      </c>
      <c r="E1" s="14" t="s">
        <v>113</v>
      </c>
      <c r="F1" s="14" t="s">
        <v>114</v>
      </c>
      <c r="G1" s="14" t="s">
        <v>171</v>
      </c>
      <c r="H1" s="14" t="s">
        <v>115</v>
      </c>
      <c r="I1" s="22"/>
      <c r="J1" s="15" t="s">
        <v>116</v>
      </c>
    </row>
    <row r="2" spans="1:14" ht="13.5" customHeight="1" thickBot="1">
      <c r="A2" s="16">
        <v>1</v>
      </c>
      <c r="B2" s="9" t="s">
        <v>5</v>
      </c>
      <c r="C2" s="9"/>
      <c r="D2" s="52" t="s">
        <v>117</v>
      </c>
      <c r="E2" s="12" t="s">
        <v>118</v>
      </c>
      <c r="F2" s="10" t="s">
        <v>7</v>
      </c>
      <c r="G2" s="11" t="s">
        <v>94</v>
      </c>
      <c r="H2" s="12" t="s">
        <v>118</v>
      </c>
      <c r="I2" s="23"/>
      <c r="J2" s="17" t="s">
        <v>119</v>
      </c>
      <c r="K2" s="8" t="s">
        <v>317</v>
      </c>
      <c r="L2" s="10" t="s">
        <v>117</v>
      </c>
      <c r="M2" s="42" t="s">
        <v>364</v>
      </c>
      <c r="N2" s="11" t="s">
        <v>94</v>
      </c>
    </row>
    <row r="3" spans="1:14" ht="13.5" customHeight="1" thickBot="1">
      <c r="A3" s="16">
        <v>2</v>
      </c>
      <c r="B3" s="9" t="s">
        <v>10</v>
      </c>
      <c r="C3" s="9"/>
      <c r="D3" s="53" t="s">
        <v>14</v>
      </c>
      <c r="E3" s="12" t="s">
        <v>118</v>
      </c>
      <c r="F3" s="10" t="s">
        <v>7</v>
      </c>
      <c r="G3" s="10" t="s">
        <v>14</v>
      </c>
      <c r="H3" s="12" t="s">
        <v>118</v>
      </c>
      <c r="I3" s="23"/>
      <c r="J3" s="17" t="s">
        <v>120</v>
      </c>
      <c r="K3" s="8" t="s">
        <v>318</v>
      </c>
      <c r="L3" s="10" t="s">
        <v>14</v>
      </c>
      <c r="M3" s="42" t="s">
        <v>364</v>
      </c>
      <c r="N3" s="10" t="s">
        <v>14</v>
      </c>
    </row>
    <row r="4" spans="1:14" ht="13.5" customHeight="1" thickBot="1">
      <c r="A4" s="16">
        <v>3</v>
      </c>
      <c r="B4" s="9" t="s">
        <v>13</v>
      </c>
      <c r="C4" s="9"/>
      <c r="D4" s="53" t="s">
        <v>121</v>
      </c>
      <c r="E4" s="12" t="s">
        <v>118</v>
      </c>
      <c r="F4" s="10" t="s">
        <v>7</v>
      </c>
      <c r="G4" s="10" t="s">
        <v>121</v>
      </c>
      <c r="H4" s="12" t="s">
        <v>118</v>
      </c>
      <c r="I4" s="23"/>
      <c r="J4" s="17" t="s">
        <v>122</v>
      </c>
      <c r="K4" s="8" t="s">
        <v>319</v>
      </c>
      <c r="L4" s="10" t="s">
        <v>121</v>
      </c>
      <c r="M4" s="42" t="s">
        <v>364</v>
      </c>
      <c r="N4" s="10" t="s">
        <v>121</v>
      </c>
    </row>
    <row r="5" spans="1:14" ht="13.5" customHeight="1" thickBot="1">
      <c r="A5" s="16">
        <v>4</v>
      </c>
      <c r="B5" s="9" t="s">
        <v>17</v>
      </c>
      <c r="C5" s="9"/>
      <c r="D5" s="53" t="s">
        <v>235</v>
      </c>
      <c r="E5" s="12" t="s">
        <v>118</v>
      </c>
      <c r="F5" s="10" t="s">
        <v>124</v>
      </c>
      <c r="G5" s="11" t="s">
        <v>18</v>
      </c>
      <c r="H5" s="12" t="s">
        <v>118</v>
      </c>
      <c r="I5" s="23"/>
      <c r="J5" s="17" t="s">
        <v>125</v>
      </c>
      <c r="K5" s="8" t="s">
        <v>320</v>
      </c>
      <c r="L5" s="10" t="s">
        <v>123</v>
      </c>
      <c r="M5" s="42" t="s">
        <v>364</v>
      </c>
      <c r="N5" s="11" t="s">
        <v>18</v>
      </c>
    </row>
    <row r="6" spans="1:14" ht="13.5" customHeight="1" thickBot="1">
      <c r="A6" s="16">
        <v>5</v>
      </c>
      <c r="B6" s="9" t="s">
        <v>21</v>
      </c>
      <c r="C6" s="9"/>
      <c r="D6" s="52" t="s">
        <v>25</v>
      </c>
      <c r="E6" s="12" t="s">
        <v>118</v>
      </c>
      <c r="F6" s="10" t="s">
        <v>124</v>
      </c>
      <c r="G6" s="11" t="s">
        <v>96</v>
      </c>
      <c r="H6" s="12" t="s">
        <v>118</v>
      </c>
      <c r="I6" s="23"/>
      <c r="J6" s="17" t="s">
        <v>126</v>
      </c>
      <c r="K6" s="8" t="s">
        <v>321</v>
      </c>
      <c r="L6" s="10" t="s">
        <v>25</v>
      </c>
      <c r="M6" s="42" t="s">
        <v>364</v>
      </c>
      <c r="N6" s="11" t="s">
        <v>96</v>
      </c>
    </row>
    <row r="7" spans="1:14" ht="13.5" customHeight="1" thickBot="1">
      <c r="A7" s="16">
        <v>6</v>
      </c>
      <c r="B7" s="9" t="s">
        <v>24</v>
      </c>
      <c r="C7" s="9"/>
      <c r="D7" s="52" t="s">
        <v>97</v>
      </c>
      <c r="E7" s="12" t="s">
        <v>118</v>
      </c>
      <c r="F7" s="10" t="s">
        <v>7</v>
      </c>
      <c r="G7" s="10" t="s">
        <v>97</v>
      </c>
      <c r="H7" s="12" t="s">
        <v>118</v>
      </c>
      <c r="I7" s="23"/>
      <c r="J7" s="17" t="s">
        <v>127</v>
      </c>
      <c r="K7" s="8" t="s">
        <v>322</v>
      </c>
      <c r="L7" s="10" t="s">
        <v>97</v>
      </c>
      <c r="M7" s="42" t="s">
        <v>364</v>
      </c>
      <c r="N7" s="10" t="s">
        <v>97</v>
      </c>
    </row>
    <row r="8" spans="1:14" ht="13.5" customHeight="1" thickBot="1">
      <c r="A8" s="16">
        <v>7</v>
      </c>
      <c r="B8" s="9" t="s">
        <v>28</v>
      </c>
      <c r="C8" s="9"/>
      <c r="D8" s="52" t="s">
        <v>128</v>
      </c>
      <c r="E8" s="12" t="s">
        <v>118</v>
      </c>
      <c r="F8" s="10" t="s">
        <v>124</v>
      </c>
      <c r="G8" s="10" t="s">
        <v>98</v>
      </c>
      <c r="H8" s="12" t="s">
        <v>118</v>
      </c>
      <c r="I8" s="23"/>
      <c r="J8" s="17" t="s">
        <v>129</v>
      </c>
      <c r="K8" s="8" t="s">
        <v>323</v>
      </c>
      <c r="L8" s="10" t="s">
        <v>128</v>
      </c>
      <c r="M8" s="42" t="s">
        <v>364</v>
      </c>
      <c r="N8" s="10" t="s">
        <v>98</v>
      </c>
    </row>
    <row r="9" spans="1:14" s="70" customFormat="1" ht="13.5" customHeight="1" thickBot="1">
      <c r="A9" s="72">
        <v>8</v>
      </c>
      <c r="B9" s="73" t="s">
        <v>31</v>
      </c>
      <c r="C9" s="73"/>
      <c r="D9" s="74" t="s">
        <v>130</v>
      </c>
      <c r="E9" s="75" t="s">
        <v>118</v>
      </c>
      <c r="F9" s="74" t="s">
        <v>131</v>
      </c>
      <c r="G9" s="74" t="s">
        <v>99</v>
      </c>
      <c r="H9" s="74" t="s">
        <v>370</v>
      </c>
      <c r="I9" s="76"/>
      <c r="J9" s="77" t="s">
        <v>132</v>
      </c>
      <c r="K9" s="70" t="s">
        <v>324</v>
      </c>
      <c r="L9" s="74" t="s">
        <v>130</v>
      </c>
      <c r="M9" s="78" t="s">
        <v>364</v>
      </c>
      <c r="N9" s="74" t="s">
        <v>99</v>
      </c>
    </row>
    <row r="10" spans="1:14" ht="13.5" customHeight="1" thickBot="1">
      <c r="A10" s="16">
        <v>9</v>
      </c>
      <c r="B10" s="9" t="s">
        <v>33</v>
      </c>
      <c r="C10" s="9"/>
      <c r="D10" s="10" t="s">
        <v>39</v>
      </c>
      <c r="E10" s="12" t="s">
        <v>118</v>
      </c>
      <c r="F10" s="10" t="s">
        <v>124</v>
      </c>
      <c r="G10" s="10" t="s">
        <v>100</v>
      </c>
      <c r="H10" s="12" t="s">
        <v>118</v>
      </c>
      <c r="I10" s="23"/>
      <c r="J10" s="17" t="s">
        <v>133</v>
      </c>
      <c r="K10" s="8" t="s">
        <v>325</v>
      </c>
      <c r="L10" s="10" t="s">
        <v>39</v>
      </c>
      <c r="M10" s="42" t="s">
        <v>364</v>
      </c>
      <c r="N10" s="10" t="s">
        <v>100</v>
      </c>
    </row>
    <row r="11" spans="1:14" s="70" customFormat="1" ht="13.5" customHeight="1" thickBot="1">
      <c r="A11" s="72">
        <v>10</v>
      </c>
      <c r="B11" s="73" t="s">
        <v>36</v>
      </c>
      <c r="C11" s="73"/>
      <c r="D11" s="74" t="s">
        <v>134</v>
      </c>
      <c r="E11" s="75" t="s">
        <v>118</v>
      </c>
      <c r="F11" s="74" t="s">
        <v>189</v>
      </c>
      <c r="G11" s="74" t="s">
        <v>172</v>
      </c>
      <c r="H11" s="74" t="s">
        <v>371</v>
      </c>
      <c r="I11" s="76"/>
      <c r="J11" s="77" t="s">
        <v>135</v>
      </c>
      <c r="K11" s="70" t="s">
        <v>326</v>
      </c>
      <c r="L11" s="74" t="s">
        <v>134</v>
      </c>
      <c r="M11" s="78" t="s">
        <v>364</v>
      </c>
      <c r="N11" s="74" t="s">
        <v>172</v>
      </c>
    </row>
    <row r="12" spans="1:14" s="70" customFormat="1" ht="13.5" customHeight="1" thickBot="1">
      <c r="A12" s="72">
        <v>11</v>
      </c>
      <c r="B12" s="73" t="s">
        <v>38</v>
      </c>
      <c r="C12" s="73" t="s">
        <v>176</v>
      </c>
      <c r="D12" s="79">
        <v>1.4999999999999999E-2</v>
      </c>
      <c r="E12" s="74" t="s">
        <v>137</v>
      </c>
      <c r="F12" s="74" t="s">
        <v>189</v>
      </c>
      <c r="G12" s="74" t="s">
        <v>180</v>
      </c>
      <c r="H12" s="74" t="s">
        <v>372</v>
      </c>
      <c r="I12" s="76"/>
      <c r="J12" s="77" t="s">
        <v>138</v>
      </c>
      <c r="K12" s="70" t="s">
        <v>327</v>
      </c>
      <c r="L12" s="79">
        <v>1.4999999999999999E-2</v>
      </c>
      <c r="M12" s="78" t="s">
        <v>364</v>
      </c>
      <c r="N12" s="74" t="s">
        <v>180</v>
      </c>
    </row>
    <row r="13" spans="1:14" s="70" customFormat="1" ht="13.5" customHeight="1" thickBot="1">
      <c r="A13" s="72">
        <v>12</v>
      </c>
      <c r="B13" s="73" t="s">
        <v>41</v>
      </c>
      <c r="C13" s="73" t="s">
        <v>176</v>
      </c>
      <c r="D13" s="74" t="s">
        <v>177</v>
      </c>
      <c r="E13" s="74" t="s">
        <v>136</v>
      </c>
      <c r="F13" s="74" t="s">
        <v>189</v>
      </c>
      <c r="G13" s="74" t="s">
        <v>181</v>
      </c>
      <c r="H13" s="74" t="s">
        <v>373</v>
      </c>
      <c r="I13" s="76"/>
      <c r="J13" s="77" t="s">
        <v>140</v>
      </c>
      <c r="K13" s="70" t="s">
        <v>328</v>
      </c>
      <c r="L13" s="74" t="s">
        <v>177</v>
      </c>
      <c r="M13" s="78" t="s">
        <v>364</v>
      </c>
      <c r="N13" s="74" t="s">
        <v>181</v>
      </c>
    </row>
    <row r="14" spans="1:14" s="70" customFormat="1" ht="13.5" customHeight="1" thickBot="1">
      <c r="A14" s="72">
        <v>13</v>
      </c>
      <c r="B14" s="73" t="s">
        <v>44</v>
      </c>
      <c r="C14" s="73" t="s">
        <v>176</v>
      </c>
      <c r="D14" s="74" t="s">
        <v>178</v>
      </c>
      <c r="E14" s="74" t="s">
        <v>139</v>
      </c>
      <c r="F14" s="74" t="s">
        <v>189</v>
      </c>
      <c r="G14" s="74" t="s">
        <v>182</v>
      </c>
      <c r="H14" s="74" t="s">
        <v>374</v>
      </c>
      <c r="I14" s="76"/>
      <c r="J14" s="77" t="s">
        <v>141</v>
      </c>
      <c r="K14" s="70" t="s">
        <v>329</v>
      </c>
      <c r="L14" s="74" t="s">
        <v>178</v>
      </c>
      <c r="M14" s="78" t="s">
        <v>364</v>
      </c>
      <c r="N14" s="74" t="s">
        <v>182</v>
      </c>
    </row>
    <row r="15" spans="1:14" s="70" customFormat="1" ht="13.5" customHeight="1" thickBot="1">
      <c r="A15" s="72">
        <v>14</v>
      </c>
      <c r="B15" s="73" t="s">
        <v>47</v>
      </c>
      <c r="C15" s="73" t="s">
        <v>176</v>
      </c>
      <c r="D15" s="74" t="s">
        <v>48</v>
      </c>
      <c r="E15" s="74" t="s">
        <v>48</v>
      </c>
      <c r="F15" s="74" t="s">
        <v>189</v>
      </c>
      <c r="G15" s="74" t="s">
        <v>179</v>
      </c>
      <c r="H15" s="80" t="s">
        <v>375</v>
      </c>
      <c r="I15" s="81"/>
      <c r="J15" s="77" t="s">
        <v>143</v>
      </c>
      <c r="K15" s="70" t="s">
        <v>330</v>
      </c>
      <c r="L15" s="74" t="s">
        <v>48</v>
      </c>
      <c r="M15" s="78" t="s">
        <v>364</v>
      </c>
      <c r="N15" s="74" t="s">
        <v>179</v>
      </c>
    </row>
    <row r="16" spans="1:14" s="70" customFormat="1" ht="13.5" customHeight="1" thickBot="1">
      <c r="A16" s="72">
        <v>15</v>
      </c>
      <c r="B16" s="73" t="s">
        <v>49</v>
      </c>
      <c r="C16" s="73" t="s">
        <v>176</v>
      </c>
      <c r="D16" s="82">
        <v>0.03</v>
      </c>
      <c r="E16" s="74" t="s">
        <v>142</v>
      </c>
      <c r="F16" s="74" t="s">
        <v>189</v>
      </c>
      <c r="G16" s="74" t="s">
        <v>186</v>
      </c>
      <c r="H16" s="74" t="s">
        <v>376</v>
      </c>
      <c r="I16" s="76"/>
      <c r="J16" s="77" t="s">
        <v>145</v>
      </c>
      <c r="K16" s="70" t="s">
        <v>331</v>
      </c>
      <c r="L16" s="82">
        <v>0.03</v>
      </c>
      <c r="M16" s="78" t="s">
        <v>364</v>
      </c>
      <c r="N16" s="74" t="s">
        <v>186</v>
      </c>
    </row>
    <row r="17" spans="1:14" s="70" customFormat="1" ht="13.5" customHeight="1" thickBot="1">
      <c r="A17" s="72">
        <v>16</v>
      </c>
      <c r="B17" s="73" t="s">
        <v>51</v>
      </c>
      <c r="C17" s="73" t="s">
        <v>176</v>
      </c>
      <c r="D17" s="74" t="s">
        <v>144</v>
      </c>
      <c r="E17" s="74" t="s">
        <v>144</v>
      </c>
      <c r="F17" s="74" t="s">
        <v>189</v>
      </c>
      <c r="G17" s="74" t="s">
        <v>185</v>
      </c>
      <c r="H17" s="74" t="s">
        <v>377</v>
      </c>
      <c r="I17" s="76"/>
      <c r="J17" s="77" t="s">
        <v>147</v>
      </c>
      <c r="K17" s="70" t="s">
        <v>332</v>
      </c>
      <c r="L17" s="74" t="s">
        <v>144</v>
      </c>
      <c r="M17" s="78" t="s">
        <v>364</v>
      </c>
      <c r="N17" s="74" t="s">
        <v>185</v>
      </c>
    </row>
    <row r="18" spans="1:14" s="70" customFormat="1" ht="13.5" customHeight="1" thickBot="1">
      <c r="A18" s="72">
        <v>17</v>
      </c>
      <c r="B18" s="73" t="s">
        <v>53</v>
      </c>
      <c r="C18" s="73" t="s">
        <v>176</v>
      </c>
      <c r="D18" s="74" t="s">
        <v>146</v>
      </c>
      <c r="E18" s="74" t="s">
        <v>146</v>
      </c>
      <c r="F18" s="74" t="s">
        <v>189</v>
      </c>
      <c r="G18" s="74" t="s">
        <v>184</v>
      </c>
      <c r="H18" s="74" t="s">
        <v>378</v>
      </c>
      <c r="I18" s="76"/>
      <c r="J18" s="77" t="s">
        <v>149</v>
      </c>
      <c r="K18" s="70" t="s">
        <v>333</v>
      </c>
      <c r="L18" s="74" t="s">
        <v>146</v>
      </c>
      <c r="M18" s="78" t="s">
        <v>364</v>
      </c>
      <c r="N18" s="74" t="s">
        <v>184</v>
      </c>
    </row>
    <row r="19" spans="1:14" s="70" customFormat="1" ht="13.5" customHeight="1" thickBot="1">
      <c r="A19" s="72">
        <v>18</v>
      </c>
      <c r="B19" s="73" t="s">
        <v>56</v>
      </c>
      <c r="C19" s="73" t="s">
        <v>176</v>
      </c>
      <c r="D19" s="75" t="s">
        <v>148</v>
      </c>
      <c r="E19" s="74" t="s">
        <v>148</v>
      </c>
      <c r="F19" s="74" t="s">
        <v>189</v>
      </c>
      <c r="G19" s="74" t="s">
        <v>183</v>
      </c>
      <c r="H19" s="74" t="s">
        <v>379</v>
      </c>
      <c r="I19" s="76"/>
      <c r="J19" s="77" t="s">
        <v>150</v>
      </c>
      <c r="K19" s="70" t="s">
        <v>334</v>
      </c>
      <c r="L19" s="75" t="s">
        <v>148</v>
      </c>
      <c r="M19" s="78" t="s">
        <v>364</v>
      </c>
      <c r="N19" s="74" t="s">
        <v>183</v>
      </c>
    </row>
    <row r="20" spans="1:14" s="70" customFormat="1" ht="13.5" customHeight="1" thickBot="1">
      <c r="A20" s="72">
        <v>19</v>
      </c>
      <c r="B20" s="73" t="s">
        <v>59</v>
      </c>
      <c r="C20" s="73"/>
      <c r="D20" s="74" t="s">
        <v>151</v>
      </c>
      <c r="E20" s="75" t="s">
        <v>118</v>
      </c>
      <c r="F20" s="74" t="s">
        <v>189</v>
      </c>
      <c r="G20" s="74" t="s">
        <v>187</v>
      </c>
      <c r="H20" s="74" t="s">
        <v>380</v>
      </c>
      <c r="I20" s="76"/>
      <c r="J20" s="77" t="s">
        <v>152</v>
      </c>
      <c r="K20" s="70" t="s">
        <v>335</v>
      </c>
      <c r="L20" s="74" t="s">
        <v>151</v>
      </c>
      <c r="M20" s="78" t="s">
        <v>364</v>
      </c>
      <c r="N20" s="74" t="s">
        <v>187</v>
      </c>
    </row>
    <row r="21" spans="1:14" s="70" customFormat="1" ht="13.5" customHeight="1" thickBot="1">
      <c r="A21" s="72">
        <v>20</v>
      </c>
      <c r="B21" s="73" t="s">
        <v>61</v>
      </c>
      <c r="C21" s="73"/>
      <c r="D21" s="74" t="s">
        <v>153</v>
      </c>
      <c r="E21" s="75" t="s">
        <v>118</v>
      </c>
      <c r="F21" s="74" t="s">
        <v>189</v>
      </c>
      <c r="G21" s="74" t="s">
        <v>188</v>
      </c>
      <c r="H21" s="74" t="s">
        <v>381</v>
      </c>
      <c r="I21" s="76"/>
      <c r="J21" s="77" t="s">
        <v>154</v>
      </c>
      <c r="K21" s="70" t="s">
        <v>336</v>
      </c>
      <c r="L21" s="74" t="s">
        <v>153</v>
      </c>
      <c r="M21" s="78" t="s">
        <v>364</v>
      </c>
      <c r="N21" s="74" t="s">
        <v>188</v>
      </c>
    </row>
    <row r="22" spans="1:14" s="70" customFormat="1" ht="13.5" customHeight="1" thickBot="1">
      <c r="A22" s="72">
        <v>21</v>
      </c>
      <c r="B22" s="73" t="s">
        <v>63</v>
      </c>
      <c r="C22" s="73"/>
      <c r="D22" s="74" t="s">
        <v>155</v>
      </c>
      <c r="E22" s="75" t="s">
        <v>118</v>
      </c>
      <c r="F22" s="74" t="s">
        <v>189</v>
      </c>
      <c r="G22" s="74" t="s">
        <v>106</v>
      </c>
      <c r="H22" s="74" t="s">
        <v>382</v>
      </c>
      <c r="I22" s="76"/>
      <c r="J22" s="77" t="s">
        <v>156</v>
      </c>
      <c r="K22" s="70" t="s">
        <v>337</v>
      </c>
      <c r="L22" s="74" t="s">
        <v>155</v>
      </c>
      <c r="M22" s="78" t="s">
        <v>364</v>
      </c>
      <c r="N22" s="74" t="s">
        <v>106</v>
      </c>
    </row>
    <row r="23" spans="1:14" s="70" customFormat="1" ht="13.5" customHeight="1" thickBot="1">
      <c r="A23" s="72">
        <v>22</v>
      </c>
      <c r="B23" s="73" t="s">
        <v>65</v>
      </c>
      <c r="C23" s="73"/>
      <c r="D23" s="74" t="s">
        <v>60</v>
      </c>
      <c r="E23" s="75" t="s">
        <v>118</v>
      </c>
      <c r="F23" s="74" t="s">
        <v>189</v>
      </c>
      <c r="G23" s="74" t="s">
        <v>173</v>
      </c>
      <c r="H23" s="74" t="s">
        <v>383</v>
      </c>
      <c r="I23" s="76"/>
      <c r="J23" s="77" t="s">
        <v>157</v>
      </c>
      <c r="K23" s="70" t="s">
        <v>338</v>
      </c>
      <c r="L23" s="74" t="s">
        <v>60</v>
      </c>
      <c r="M23" s="78" t="s">
        <v>364</v>
      </c>
      <c r="N23" s="74" t="s">
        <v>173</v>
      </c>
    </row>
    <row r="24" spans="1:14" s="65" customFormat="1" ht="13.5" customHeight="1" thickBot="1">
      <c r="A24" s="59">
        <v>23</v>
      </c>
      <c r="B24" s="60" t="s">
        <v>158</v>
      </c>
      <c r="C24" s="60"/>
      <c r="D24" s="61" t="s">
        <v>62</v>
      </c>
      <c r="E24" s="62" t="s">
        <v>118</v>
      </c>
      <c r="F24" s="61" t="s">
        <v>189</v>
      </c>
      <c r="G24" s="61" t="s">
        <v>108</v>
      </c>
      <c r="H24" s="61" t="s">
        <v>384</v>
      </c>
      <c r="I24" s="63"/>
      <c r="J24" s="64" t="s">
        <v>159</v>
      </c>
      <c r="K24" s="65" t="s">
        <v>339</v>
      </c>
      <c r="L24" s="61" t="s">
        <v>62</v>
      </c>
      <c r="M24" s="66" t="s">
        <v>364</v>
      </c>
      <c r="N24" s="61" t="s">
        <v>108</v>
      </c>
    </row>
    <row r="25" spans="1:14" s="70" customFormat="1" ht="13.5" customHeight="1" thickBot="1">
      <c r="A25" s="72">
        <v>24</v>
      </c>
      <c r="B25" s="73" t="s">
        <v>160</v>
      </c>
      <c r="C25" s="73"/>
      <c r="D25" s="74" t="s">
        <v>161</v>
      </c>
      <c r="E25" s="75" t="s">
        <v>118</v>
      </c>
      <c r="F25" s="74" t="s">
        <v>189</v>
      </c>
      <c r="G25" s="74" t="s">
        <v>175</v>
      </c>
      <c r="H25" s="74" t="s">
        <v>385</v>
      </c>
      <c r="I25" s="76"/>
      <c r="J25" s="77" t="s">
        <v>162</v>
      </c>
      <c r="K25" s="70" t="s">
        <v>340</v>
      </c>
      <c r="L25" s="74" t="s">
        <v>161</v>
      </c>
      <c r="M25" s="78" t="s">
        <v>364</v>
      </c>
      <c r="N25" s="74" t="s">
        <v>175</v>
      </c>
    </row>
    <row r="26" spans="1:14" ht="13.5" customHeight="1" thickBot="1">
      <c r="A26" s="16">
        <v>25</v>
      </c>
      <c r="B26" s="9" t="s">
        <v>163</v>
      </c>
      <c r="C26" s="9"/>
      <c r="D26" s="10" t="s">
        <v>66</v>
      </c>
      <c r="E26" s="12" t="s">
        <v>118</v>
      </c>
      <c r="F26" s="10" t="s">
        <v>164</v>
      </c>
      <c r="G26" s="10" t="s">
        <v>66</v>
      </c>
      <c r="H26" s="12" t="s">
        <v>118</v>
      </c>
      <c r="I26" s="23"/>
      <c r="J26" s="17" t="s">
        <v>165</v>
      </c>
      <c r="K26" s="8" t="s">
        <v>361</v>
      </c>
      <c r="L26" s="10" t="s">
        <v>66</v>
      </c>
      <c r="M26" s="42" t="s">
        <v>364</v>
      </c>
      <c r="N26" s="10" t="s">
        <v>66</v>
      </c>
    </row>
    <row r="27" spans="1:14" s="70" customFormat="1" ht="13.5" customHeight="1" thickBot="1">
      <c r="A27" s="72">
        <v>26</v>
      </c>
      <c r="B27" s="73" t="s">
        <v>166</v>
      </c>
      <c r="C27" s="73"/>
      <c r="D27" s="74" t="s">
        <v>197</v>
      </c>
      <c r="E27" s="75" t="s">
        <v>118</v>
      </c>
      <c r="F27" s="74" t="s">
        <v>131</v>
      </c>
      <c r="G27" s="74" t="s">
        <v>109</v>
      </c>
      <c r="H27" s="74" t="s">
        <v>386</v>
      </c>
      <c r="I27" s="76"/>
      <c r="J27" s="77" t="s">
        <v>167</v>
      </c>
      <c r="K27" s="70" t="s">
        <v>362</v>
      </c>
      <c r="L27" s="74" t="s">
        <v>197</v>
      </c>
      <c r="M27" s="78" t="s">
        <v>364</v>
      </c>
      <c r="N27" s="74" t="s">
        <v>109</v>
      </c>
    </row>
    <row r="28" spans="1:14" ht="13.5" customHeight="1" thickBot="1">
      <c r="A28" s="18">
        <v>27</v>
      </c>
      <c r="B28" s="19" t="s">
        <v>168</v>
      </c>
      <c r="C28" s="19"/>
      <c r="D28" s="20" t="s">
        <v>174</v>
      </c>
      <c r="E28" s="20"/>
      <c r="F28" s="20" t="s">
        <v>7</v>
      </c>
      <c r="G28" s="20" t="s">
        <v>174</v>
      </c>
      <c r="H28" s="54" t="s">
        <v>169</v>
      </c>
      <c r="I28" s="24"/>
      <c r="J28" s="21" t="s">
        <v>170</v>
      </c>
      <c r="K28" s="8" t="s">
        <v>363</v>
      </c>
      <c r="L28" s="20" t="s">
        <v>174</v>
      </c>
      <c r="M28" s="42" t="s">
        <v>364</v>
      </c>
      <c r="N28" s="20" t="s">
        <v>174</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
  <dimension ref="A1:V22"/>
  <sheetViews>
    <sheetView topLeftCell="B1" zoomScale="145" zoomScaleNormal="145" workbookViewId="0">
      <selection activeCell="F15" sqref="F15"/>
    </sheetView>
  </sheetViews>
  <sheetFormatPr defaultRowHeight="15"/>
  <cols>
    <col min="1" max="1" width="10.7109375" bestFit="1" customWidth="1"/>
    <col min="2" max="2" width="8.28515625" bestFit="1" customWidth="1"/>
    <col min="3" max="3" width="20.42578125" bestFit="1" customWidth="1"/>
    <col min="4" max="4" width="28.140625" bestFit="1" customWidth="1"/>
    <col min="5" max="5" width="26.140625" bestFit="1" customWidth="1"/>
    <col min="6" max="6" width="67.28515625" bestFit="1" customWidth="1"/>
    <col min="9" max="9" width="28.140625" bestFit="1" customWidth="1"/>
    <col min="10" max="10" width="2.28515625" bestFit="1" customWidth="1"/>
    <col min="11" max="11" width="20.42578125" bestFit="1" customWidth="1"/>
  </cols>
  <sheetData>
    <row r="1" spans="1:11">
      <c r="A1" s="26" t="s">
        <v>219</v>
      </c>
      <c r="B1" s="26" t="s">
        <v>220</v>
      </c>
      <c r="C1" s="26" t="s">
        <v>221</v>
      </c>
      <c r="D1" s="26" t="s">
        <v>222</v>
      </c>
      <c r="E1" s="26" t="s">
        <v>223</v>
      </c>
      <c r="F1" s="26" t="s">
        <v>224</v>
      </c>
      <c r="G1" s="27"/>
      <c r="H1" s="27"/>
      <c r="I1" s="26" t="s">
        <v>222</v>
      </c>
      <c r="J1" s="26"/>
      <c r="K1" s="26" t="s">
        <v>221</v>
      </c>
    </row>
    <row r="2" spans="1:11">
      <c r="A2" s="25">
        <v>1</v>
      </c>
      <c r="B2" s="50" t="s">
        <v>198</v>
      </c>
      <c r="C2" s="50" t="s">
        <v>117</v>
      </c>
      <c r="D2" s="50" t="s">
        <v>94</v>
      </c>
      <c r="E2" s="50"/>
      <c r="F2" s="50"/>
      <c r="G2" s="50"/>
      <c r="H2" s="50" t="s">
        <v>317</v>
      </c>
      <c r="I2" s="50" t="s">
        <v>94</v>
      </c>
      <c r="J2" s="25" t="s">
        <v>342</v>
      </c>
      <c r="K2" s="25" t="s">
        <v>117</v>
      </c>
    </row>
    <row r="3" spans="1:11">
      <c r="A3" s="25">
        <v>2</v>
      </c>
      <c r="B3" s="50" t="s">
        <v>199</v>
      </c>
      <c r="C3" s="50" t="s">
        <v>14</v>
      </c>
      <c r="D3" s="50" t="s">
        <v>14</v>
      </c>
      <c r="E3" s="50"/>
      <c r="F3" s="50"/>
      <c r="G3" s="50"/>
      <c r="H3" s="50" t="s">
        <v>318</v>
      </c>
      <c r="I3" s="50" t="s">
        <v>14</v>
      </c>
      <c r="J3" s="25" t="s">
        <v>342</v>
      </c>
      <c r="K3" s="25" t="s">
        <v>14</v>
      </c>
    </row>
    <row r="4" spans="1:11">
      <c r="A4" s="25">
        <v>3</v>
      </c>
      <c r="B4" s="50" t="s">
        <v>200</v>
      </c>
      <c r="C4" s="50" t="s">
        <v>121</v>
      </c>
      <c r="D4" s="50" t="s">
        <v>121</v>
      </c>
      <c r="E4" s="50"/>
      <c r="F4" s="50"/>
      <c r="G4" s="50"/>
      <c r="H4" s="50" t="s">
        <v>319</v>
      </c>
      <c r="I4" s="50" t="s">
        <v>121</v>
      </c>
      <c r="J4" s="25" t="s">
        <v>342</v>
      </c>
      <c r="K4" s="25" t="s">
        <v>121</v>
      </c>
    </row>
    <row r="5" spans="1:11">
      <c r="A5" s="25">
        <v>4</v>
      </c>
      <c r="B5" s="50" t="s">
        <v>201</v>
      </c>
      <c r="C5" s="50" t="s">
        <v>18</v>
      </c>
      <c r="D5" s="50" t="s">
        <v>18</v>
      </c>
      <c r="E5" s="50"/>
      <c r="F5" s="50"/>
      <c r="G5" s="50"/>
      <c r="H5" s="50" t="s">
        <v>320</v>
      </c>
      <c r="I5" s="50" t="s">
        <v>18</v>
      </c>
      <c r="J5" s="25" t="s">
        <v>342</v>
      </c>
      <c r="K5" s="25" t="s">
        <v>18</v>
      </c>
    </row>
    <row r="6" spans="1:11">
      <c r="A6" s="25">
        <v>5</v>
      </c>
      <c r="B6" s="25" t="s">
        <v>202</v>
      </c>
      <c r="C6" s="25" t="s">
        <v>25</v>
      </c>
      <c r="D6" s="25" t="s">
        <v>96</v>
      </c>
      <c r="E6" s="25"/>
      <c r="F6" s="25"/>
      <c r="G6" s="25"/>
      <c r="H6" s="25" t="s">
        <v>321</v>
      </c>
      <c r="I6" s="25" t="s">
        <v>96</v>
      </c>
      <c r="J6" s="25" t="s">
        <v>342</v>
      </c>
      <c r="K6" s="25" t="s">
        <v>25</v>
      </c>
    </row>
    <row r="7" spans="1:11">
      <c r="A7" s="25">
        <v>6</v>
      </c>
      <c r="B7" s="25" t="s">
        <v>203</v>
      </c>
      <c r="C7" s="25" t="s">
        <v>97</v>
      </c>
      <c r="D7" s="25" t="s">
        <v>97</v>
      </c>
      <c r="E7" s="25"/>
      <c r="F7" s="25"/>
      <c r="G7" s="25"/>
      <c r="H7" s="25" t="s">
        <v>322</v>
      </c>
      <c r="I7" s="25" t="s">
        <v>97</v>
      </c>
      <c r="J7" s="25" t="s">
        <v>342</v>
      </c>
      <c r="K7" s="25" t="s">
        <v>97</v>
      </c>
    </row>
    <row r="8" spans="1:11">
      <c r="A8" s="25">
        <v>7</v>
      </c>
      <c r="B8" s="25" t="s">
        <v>204</v>
      </c>
      <c r="C8" s="25" t="s">
        <v>39</v>
      </c>
      <c r="D8" s="25" t="s">
        <v>100</v>
      </c>
      <c r="E8" s="25"/>
      <c r="F8" s="25"/>
      <c r="G8" s="25"/>
      <c r="H8" s="25" t="s">
        <v>323</v>
      </c>
      <c r="I8" s="25" t="s">
        <v>100</v>
      </c>
      <c r="J8" s="25" t="s">
        <v>342</v>
      </c>
      <c r="K8" s="25" t="s">
        <v>39</v>
      </c>
    </row>
    <row r="9" spans="1:11" s="95" customFormat="1" ht="14.25" customHeight="1">
      <c r="A9" s="94">
        <v>8</v>
      </c>
      <c r="B9" s="94" t="s">
        <v>205</v>
      </c>
      <c r="C9" s="94" t="s">
        <v>194</v>
      </c>
      <c r="D9" s="94" t="s">
        <v>212</v>
      </c>
      <c r="E9" s="94"/>
      <c r="F9" s="94"/>
      <c r="G9" s="94"/>
      <c r="H9" s="94" t="s">
        <v>324</v>
      </c>
      <c r="I9" s="94" t="s">
        <v>212</v>
      </c>
      <c r="J9" s="94" t="s">
        <v>342</v>
      </c>
      <c r="K9" s="94" t="s">
        <v>194</v>
      </c>
    </row>
    <row r="10" spans="1:11" s="70" customFormat="1">
      <c r="A10" s="48">
        <v>9</v>
      </c>
      <c r="B10" s="48" t="s">
        <v>206</v>
      </c>
      <c r="C10" s="48" t="s">
        <v>195</v>
      </c>
      <c r="D10" s="48" t="s">
        <v>213</v>
      </c>
      <c r="E10" s="48" t="s">
        <v>225</v>
      </c>
      <c r="F10" s="48" t="s">
        <v>226</v>
      </c>
      <c r="G10" s="48"/>
      <c r="H10" s="48" t="s">
        <v>325</v>
      </c>
      <c r="I10" s="48" t="s">
        <v>213</v>
      </c>
      <c r="J10" s="48" t="s">
        <v>342</v>
      </c>
      <c r="K10" s="48" t="s">
        <v>195</v>
      </c>
    </row>
    <row r="11" spans="1:11" s="70" customFormat="1">
      <c r="A11" s="48">
        <v>10</v>
      </c>
      <c r="B11" s="48" t="s">
        <v>207</v>
      </c>
      <c r="C11" s="48" t="s">
        <v>60</v>
      </c>
      <c r="D11" s="48" t="s">
        <v>134</v>
      </c>
      <c r="E11" s="48" t="s">
        <v>227</v>
      </c>
      <c r="F11" s="48" t="s">
        <v>228</v>
      </c>
      <c r="G11" s="48"/>
      <c r="H11" s="48" t="s">
        <v>326</v>
      </c>
      <c r="I11" s="48" t="s">
        <v>134</v>
      </c>
      <c r="J11" s="48" t="s">
        <v>342</v>
      </c>
      <c r="K11" s="48" t="s">
        <v>60</v>
      </c>
    </row>
    <row r="12" spans="1:11" s="65" customFormat="1">
      <c r="A12" s="67">
        <v>11</v>
      </c>
      <c r="B12" s="67" t="s">
        <v>208</v>
      </c>
      <c r="C12" s="67" t="s">
        <v>62</v>
      </c>
      <c r="D12" s="67" t="s">
        <v>214</v>
      </c>
      <c r="E12" s="67" t="s">
        <v>229</v>
      </c>
      <c r="F12" s="67" t="s">
        <v>230</v>
      </c>
      <c r="G12" s="67"/>
      <c r="H12" s="67" t="s">
        <v>327</v>
      </c>
      <c r="I12" s="67" t="s">
        <v>214</v>
      </c>
      <c r="J12" s="67" t="s">
        <v>342</v>
      </c>
      <c r="K12" s="67" t="s">
        <v>62</v>
      </c>
    </row>
    <row r="13" spans="1:11" s="70" customFormat="1">
      <c r="A13" s="48">
        <v>12</v>
      </c>
      <c r="B13" s="48" t="s">
        <v>209</v>
      </c>
      <c r="C13" s="48" t="s">
        <v>196</v>
      </c>
      <c r="D13" s="48" t="s">
        <v>216</v>
      </c>
      <c r="E13" s="48" t="s">
        <v>217</v>
      </c>
      <c r="F13" s="48" t="s">
        <v>231</v>
      </c>
      <c r="G13" s="48"/>
      <c r="H13" s="48" t="s">
        <v>328</v>
      </c>
      <c r="I13" s="48" t="s">
        <v>216</v>
      </c>
      <c r="J13" s="48" t="s">
        <v>342</v>
      </c>
      <c r="K13" s="48" t="s">
        <v>196</v>
      </c>
    </row>
    <row r="14" spans="1:11">
      <c r="A14" s="25">
        <v>13</v>
      </c>
      <c r="B14" s="25" t="s">
        <v>210</v>
      </c>
      <c r="C14" s="25" t="s">
        <v>66</v>
      </c>
      <c r="D14" s="25" t="s">
        <v>215</v>
      </c>
      <c r="E14" s="25"/>
      <c r="F14" s="25"/>
      <c r="G14" s="25"/>
      <c r="H14" s="25" t="s">
        <v>329</v>
      </c>
      <c r="I14" s="25" t="s">
        <v>215</v>
      </c>
      <c r="J14" s="25" t="s">
        <v>342</v>
      </c>
      <c r="K14" s="25" t="s">
        <v>66</v>
      </c>
    </row>
    <row r="15" spans="1:11" s="70" customFormat="1">
      <c r="A15" s="48">
        <v>14</v>
      </c>
      <c r="B15" s="48" t="s">
        <v>211</v>
      </c>
      <c r="C15" s="48" t="s">
        <v>197</v>
      </c>
      <c r="D15" s="48" t="s">
        <v>109</v>
      </c>
      <c r="E15" s="48" t="s">
        <v>218</v>
      </c>
      <c r="F15" s="48" t="s">
        <v>232</v>
      </c>
      <c r="G15" s="48"/>
      <c r="H15" s="48" t="s">
        <v>330</v>
      </c>
      <c r="I15" s="48" t="s">
        <v>109</v>
      </c>
      <c r="J15" s="48" t="s">
        <v>342</v>
      </c>
      <c r="K15" s="48" t="s">
        <v>197</v>
      </c>
    </row>
    <row r="16" spans="1:11">
      <c r="E16" s="28"/>
      <c r="H16" s="40" t="s">
        <v>331</v>
      </c>
      <c r="I16" s="40" t="s">
        <v>174</v>
      </c>
      <c r="K16" s="40" t="s">
        <v>174</v>
      </c>
    </row>
    <row r="19" spans="1:22">
      <c r="A19">
        <v>1</v>
      </c>
      <c r="B19">
        <v>2</v>
      </c>
      <c r="C19">
        <v>3</v>
      </c>
      <c r="D19">
        <v>4</v>
      </c>
      <c r="E19">
        <v>5</v>
      </c>
      <c r="F19">
        <v>6</v>
      </c>
      <c r="G19">
        <v>7</v>
      </c>
      <c r="H19">
        <v>8</v>
      </c>
      <c r="I19">
        <v>9</v>
      </c>
      <c r="J19">
        <v>10</v>
      </c>
      <c r="K19">
        <v>11</v>
      </c>
      <c r="L19">
        <v>12</v>
      </c>
      <c r="M19">
        <v>13</v>
      </c>
      <c r="N19">
        <v>14</v>
      </c>
      <c r="O19">
        <v>15</v>
      </c>
      <c r="P19">
        <v>16</v>
      </c>
      <c r="Q19">
        <v>17</v>
      </c>
      <c r="R19">
        <v>18</v>
      </c>
      <c r="S19">
        <v>19</v>
      </c>
      <c r="T19">
        <v>20</v>
      </c>
      <c r="U19">
        <v>21</v>
      </c>
      <c r="V19">
        <v>22</v>
      </c>
    </row>
    <row r="20" spans="1:22">
      <c r="A20" t="s">
        <v>94</v>
      </c>
      <c r="B20" t="s">
        <v>14</v>
      </c>
      <c r="C20" t="s">
        <v>121</v>
      </c>
      <c r="D20" t="s">
        <v>18</v>
      </c>
      <c r="E20" t="s">
        <v>96</v>
      </c>
      <c r="F20" t="s">
        <v>97</v>
      </c>
      <c r="G20" t="s">
        <v>100</v>
      </c>
      <c r="H20" t="s">
        <v>212</v>
      </c>
      <c r="I20" t="s">
        <v>213</v>
      </c>
      <c r="J20" t="s">
        <v>134</v>
      </c>
      <c r="K20" t="s">
        <v>214</v>
      </c>
      <c r="L20" t="s">
        <v>216</v>
      </c>
      <c r="M20" t="s">
        <v>215</v>
      </c>
      <c r="N20" t="s">
        <v>109</v>
      </c>
      <c r="O20" t="s">
        <v>174</v>
      </c>
      <c r="P20" t="s">
        <v>343</v>
      </c>
      <c r="Q20" t="s">
        <v>344</v>
      </c>
      <c r="R20" t="s">
        <v>345</v>
      </c>
      <c r="S20" t="s">
        <v>346</v>
      </c>
      <c r="T20" t="s">
        <v>347</v>
      </c>
      <c r="U20" t="s">
        <v>348</v>
      </c>
    </row>
    <row r="21" spans="1:22">
      <c r="A21">
        <v>12743</v>
      </c>
      <c r="B21" t="s">
        <v>349</v>
      </c>
      <c r="D21" s="41">
        <v>2736000000</v>
      </c>
      <c r="E21" s="41">
        <v>1350000</v>
      </c>
      <c r="G21" s="41">
        <v>1350000</v>
      </c>
      <c r="H21" t="s">
        <v>350</v>
      </c>
      <c r="I21" t="s">
        <v>351</v>
      </c>
      <c r="J21" t="s">
        <v>352</v>
      </c>
      <c r="K21" t="s">
        <v>352</v>
      </c>
      <c r="L21" t="s">
        <v>351</v>
      </c>
      <c r="M21" t="s">
        <v>353</v>
      </c>
      <c r="N21" t="s">
        <v>351</v>
      </c>
      <c r="O21" t="s">
        <v>353</v>
      </c>
      <c r="P21">
        <v>5</v>
      </c>
      <c r="Q21" t="s">
        <v>354</v>
      </c>
      <c r="R21">
        <v>1</v>
      </c>
      <c r="S21" t="s">
        <v>355</v>
      </c>
      <c r="T21" t="s">
        <v>356</v>
      </c>
      <c r="U21" t="s">
        <v>357</v>
      </c>
    </row>
    <row r="22" spans="1:22">
      <c r="A22">
        <v>12743</v>
      </c>
      <c r="B22" t="s">
        <v>349</v>
      </c>
      <c r="D22" s="41">
        <v>2457000000</v>
      </c>
      <c r="E22" s="41">
        <v>1350000</v>
      </c>
      <c r="G22" s="41">
        <v>1350000</v>
      </c>
      <c r="H22" t="s">
        <v>350</v>
      </c>
      <c r="I22" t="s">
        <v>351</v>
      </c>
      <c r="J22" t="s">
        <v>352</v>
      </c>
      <c r="K22" t="s">
        <v>352</v>
      </c>
      <c r="L22" t="s">
        <v>351</v>
      </c>
      <c r="M22" t="s">
        <v>353</v>
      </c>
      <c r="N22" t="s">
        <v>351</v>
      </c>
      <c r="O22" t="s">
        <v>353</v>
      </c>
      <c r="P22">
        <v>5</v>
      </c>
      <c r="Q22" t="s">
        <v>358</v>
      </c>
      <c r="R22">
        <v>1</v>
      </c>
      <c r="S22" t="s">
        <v>359</v>
      </c>
      <c r="T22" t="s">
        <v>360</v>
      </c>
      <c r="U22" t="s">
        <v>357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
  <dimension ref="A1:I26"/>
  <sheetViews>
    <sheetView zoomScale="85" zoomScaleNormal="85" workbookViewId="0">
      <selection activeCell="E12" sqref="E12"/>
    </sheetView>
  </sheetViews>
  <sheetFormatPr defaultColWidth="35.5703125" defaultRowHeight="18.75" customHeight="1"/>
  <cols>
    <col min="1" max="1" width="3.28515625" style="28" bestFit="1" customWidth="1"/>
    <col min="2" max="2" width="15" style="28" bestFit="1" customWidth="1"/>
    <col min="3" max="3" width="22.7109375" style="28" bestFit="1" customWidth="1"/>
    <col min="4" max="4" width="21.42578125" style="28" bestFit="1" customWidth="1"/>
    <col min="5" max="5" width="59.28515625" style="28" bestFit="1" customWidth="1"/>
    <col min="6" max="6" width="4.85546875" style="28" bestFit="1" customWidth="1"/>
    <col min="7" max="7" width="30" style="28" bestFit="1" customWidth="1"/>
    <col min="8" max="8" width="3" style="28" bestFit="1" customWidth="1"/>
    <col min="9" max="16384" width="35.5703125" style="28"/>
  </cols>
  <sheetData>
    <row r="1" spans="1:9" ht="18.75" customHeight="1">
      <c r="B1" s="51" t="s">
        <v>233</v>
      </c>
      <c r="C1" s="51" t="s">
        <v>247</v>
      </c>
      <c r="D1" s="51" t="s">
        <v>223</v>
      </c>
      <c r="E1" s="33"/>
      <c r="F1" s="33"/>
      <c r="G1" s="33" t="s">
        <v>254</v>
      </c>
      <c r="I1" s="29" t="s">
        <v>341</v>
      </c>
    </row>
    <row r="2" spans="1:9" ht="18.75" customHeight="1">
      <c r="A2" s="28">
        <v>1</v>
      </c>
      <c r="B2" s="34" t="s">
        <v>5</v>
      </c>
      <c r="C2" s="34" t="s">
        <v>234</v>
      </c>
      <c r="D2" s="34" t="s">
        <v>118</v>
      </c>
      <c r="E2" s="33"/>
      <c r="F2" s="33" t="s">
        <v>317</v>
      </c>
      <c r="G2" s="33" t="s">
        <v>94</v>
      </c>
      <c r="H2" s="39" t="s">
        <v>316</v>
      </c>
      <c r="I2" s="34" t="s">
        <v>234</v>
      </c>
    </row>
    <row r="3" spans="1:9" ht="18.75" customHeight="1">
      <c r="A3" s="28">
        <v>2</v>
      </c>
      <c r="B3" s="34" t="s">
        <v>10</v>
      </c>
      <c r="C3" s="34" t="s">
        <v>14</v>
      </c>
      <c r="D3" s="34" t="s">
        <v>118</v>
      </c>
      <c r="E3" s="33"/>
      <c r="F3" s="33" t="s">
        <v>318</v>
      </c>
      <c r="G3" s="34" t="s">
        <v>14</v>
      </c>
      <c r="H3" s="39" t="s">
        <v>316</v>
      </c>
      <c r="I3" s="34" t="s">
        <v>14</v>
      </c>
    </row>
    <row r="4" spans="1:9" ht="18.75" customHeight="1">
      <c r="A4" s="28">
        <v>3</v>
      </c>
      <c r="B4" s="34" t="s">
        <v>13</v>
      </c>
      <c r="C4" s="34" t="s">
        <v>235</v>
      </c>
      <c r="D4" s="34" t="s">
        <v>118</v>
      </c>
      <c r="E4" s="33"/>
      <c r="F4" s="33" t="s">
        <v>319</v>
      </c>
      <c r="G4" s="34" t="s">
        <v>235</v>
      </c>
      <c r="H4" s="39" t="s">
        <v>316</v>
      </c>
      <c r="I4" s="34" t="s">
        <v>235</v>
      </c>
    </row>
    <row r="5" spans="1:9" ht="18.75" customHeight="1">
      <c r="A5" s="28">
        <v>4</v>
      </c>
      <c r="B5" s="34" t="s">
        <v>17</v>
      </c>
      <c r="C5" s="34" t="s">
        <v>97</v>
      </c>
      <c r="D5" s="34" t="s">
        <v>118</v>
      </c>
      <c r="E5" s="33"/>
      <c r="F5" s="33" t="s">
        <v>320</v>
      </c>
      <c r="G5" s="34" t="s">
        <v>97</v>
      </c>
      <c r="H5" s="39" t="s">
        <v>316</v>
      </c>
      <c r="I5" s="34" t="s">
        <v>97</v>
      </c>
    </row>
    <row r="6" spans="1:9" ht="18.75" customHeight="1">
      <c r="A6" s="28">
        <v>5</v>
      </c>
      <c r="B6" s="34" t="s">
        <v>21</v>
      </c>
      <c r="C6" s="34" t="s">
        <v>236</v>
      </c>
      <c r="D6" s="34" t="s">
        <v>118</v>
      </c>
      <c r="E6" s="33"/>
      <c r="F6" s="33" t="s">
        <v>321</v>
      </c>
      <c r="G6" s="34" t="s">
        <v>260</v>
      </c>
      <c r="H6" s="39" t="s">
        <v>316</v>
      </c>
      <c r="I6" s="34" t="s">
        <v>236</v>
      </c>
    </row>
    <row r="7" spans="1:9" ht="18.75" customHeight="1">
      <c r="A7" s="28">
        <v>6</v>
      </c>
      <c r="B7" s="34" t="s">
        <v>24</v>
      </c>
      <c r="C7" s="34" t="s">
        <v>128</v>
      </c>
      <c r="D7" s="34" t="s">
        <v>118</v>
      </c>
      <c r="E7" s="33"/>
      <c r="F7" s="33" t="s">
        <v>322</v>
      </c>
      <c r="G7" s="34" t="s">
        <v>256</v>
      </c>
      <c r="H7" s="39" t="s">
        <v>316</v>
      </c>
      <c r="I7" s="34" t="s">
        <v>128</v>
      </c>
    </row>
    <row r="8" spans="1:9" ht="18.75" customHeight="1">
      <c r="A8" s="28">
        <v>7</v>
      </c>
      <c r="B8" s="34" t="s">
        <v>28</v>
      </c>
      <c r="C8" s="34" t="s">
        <v>238</v>
      </c>
      <c r="D8" s="34" t="s">
        <v>118</v>
      </c>
      <c r="E8" s="33"/>
      <c r="F8" s="33" t="s">
        <v>323</v>
      </c>
      <c r="G8" s="34" t="s">
        <v>238</v>
      </c>
      <c r="H8" s="39" t="s">
        <v>316</v>
      </c>
      <c r="I8" s="34" t="s">
        <v>238</v>
      </c>
    </row>
    <row r="9" spans="1:9" s="70" customFormat="1" ht="18.75" customHeight="1">
      <c r="A9" s="70">
        <v>8</v>
      </c>
      <c r="B9" s="47" t="s">
        <v>31</v>
      </c>
      <c r="C9" s="47" t="s">
        <v>98</v>
      </c>
      <c r="D9" s="68" t="s">
        <v>253</v>
      </c>
      <c r="E9" s="68" t="s">
        <v>252</v>
      </c>
      <c r="F9" s="48" t="s">
        <v>324</v>
      </c>
      <c r="G9" s="47" t="s">
        <v>257</v>
      </c>
      <c r="H9" s="71" t="s">
        <v>316</v>
      </c>
      <c r="I9" s="47" t="s">
        <v>98</v>
      </c>
    </row>
    <row r="10" spans="1:9" ht="18.75" customHeight="1">
      <c r="A10" s="28">
        <v>9</v>
      </c>
      <c r="B10" s="34" t="s">
        <v>33</v>
      </c>
      <c r="C10" s="34" t="s">
        <v>237</v>
      </c>
      <c r="D10" s="34" t="s">
        <v>118</v>
      </c>
      <c r="E10" s="33"/>
      <c r="F10" s="33" t="s">
        <v>325</v>
      </c>
      <c r="G10" s="34" t="s">
        <v>266</v>
      </c>
      <c r="H10" s="39" t="s">
        <v>316</v>
      </c>
      <c r="I10" s="34" t="s">
        <v>237</v>
      </c>
    </row>
    <row r="11" spans="1:9" ht="18.75" customHeight="1">
      <c r="A11" s="28">
        <v>10</v>
      </c>
      <c r="B11" s="34" t="s">
        <v>36</v>
      </c>
      <c r="C11" s="34" t="s">
        <v>240</v>
      </c>
      <c r="D11" s="34" t="s">
        <v>118</v>
      </c>
      <c r="E11" s="33"/>
      <c r="F11" s="33" t="s">
        <v>326</v>
      </c>
      <c r="G11" s="33" t="s">
        <v>255</v>
      </c>
      <c r="H11" s="39" t="s">
        <v>316</v>
      </c>
      <c r="I11" s="34" t="s">
        <v>240</v>
      </c>
    </row>
    <row r="12" spans="1:9" ht="18.75" customHeight="1">
      <c r="A12" s="28">
        <v>11</v>
      </c>
      <c r="B12" s="34" t="s">
        <v>38</v>
      </c>
      <c r="C12" s="34" t="s">
        <v>238</v>
      </c>
      <c r="D12" s="34" t="s">
        <v>118</v>
      </c>
      <c r="E12" s="33"/>
      <c r="F12" s="33" t="s">
        <v>327</v>
      </c>
      <c r="G12" s="34" t="s">
        <v>263</v>
      </c>
      <c r="H12" s="39" t="s">
        <v>316</v>
      </c>
      <c r="I12" s="34" t="s">
        <v>238</v>
      </c>
    </row>
    <row r="13" spans="1:9" ht="18.75" customHeight="1">
      <c r="A13" s="28">
        <v>12</v>
      </c>
      <c r="B13" s="34" t="s">
        <v>41</v>
      </c>
      <c r="C13" s="34" t="s">
        <v>239</v>
      </c>
      <c r="D13" s="34" t="s">
        <v>118</v>
      </c>
      <c r="E13" s="33"/>
      <c r="F13" s="33" t="s">
        <v>328</v>
      </c>
      <c r="G13" s="33" t="s">
        <v>258</v>
      </c>
      <c r="H13" s="39" t="s">
        <v>316</v>
      </c>
      <c r="I13" s="34" t="s">
        <v>239</v>
      </c>
    </row>
    <row r="14" spans="1:9" s="70" customFormat="1" ht="18.75" customHeight="1">
      <c r="A14" s="70">
        <v>13</v>
      </c>
      <c r="B14" s="47" t="s">
        <v>44</v>
      </c>
      <c r="C14" s="47" t="s">
        <v>241</v>
      </c>
      <c r="D14" s="68" t="s">
        <v>248</v>
      </c>
      <c r="E14" s="68" t="s">
        <v>390</v>
      </c>
      <c r="F14" s="48" t="s">
        <v>329</v>
      </c>
      <c r="G14" s="48" t="s">
        <v>259</v>
      </c>
      <c r="H14" s="71" t="s">
        <v>316</v>
      </c>
      <c r="I14" s="47" t="s">
        <v>241</v>
      </c>
    </row>
    <row r="15" spans="1:9" ht="18.75" customHeight="1">
      <c r="A15" s="28">
        <v>14</v>
      </c>
      <c r="B15" s="34" t="s">
        <v>47</v>
      </c>
      <c r="C15" s="34" t="s">
        <v>236</v>
      </c>
      <c r="D15" s="34" t="s">
        <v>118</v>
      </c>
      <c r="E15" s="33"/>
      <c r="F15" s="33" t="s">
        <v>330</v>
      </c>
      <c r="G15" s="34" t="s">
        <v>261</v>
      </c>
      <c r="H15" s="39" t="s">
        <v>316</v>
      </c>
      <c r="I15" s="34" t="s">
        <v>236</v>
      </c>
    </row>
    <row r="16" spans="1:9" ht="18.75" customHeight="1">
      <c r="A16" s="28">
        <v>15</v>
      </c>
      <c r="B16" s="34" t="s">
        <v>49</v>
      </c>
      <c r="C16" s="34" t="s">
        <v>128</v>
      </c>
      <c r="D16" s="34" t="s">
        <v>118</v>
      </c>
      <c r="E16" s="33"/>
      <c r="F16" s="33" t="s">
        <v>331</v>
      </c>
      <c r="G16" s="33" t="s">
        <v>262</v>
      </c>
      <c r="H16" s="39" t="s">
        <v>316</v>
      </c>
      <c r="I16" s="34" t="s">
        <v>128</v>
      </c>
    </row>
    <row r="17" spans="1:9" ht="18.75" customHeight="1">
      <c r="A17" s="28">
        <v>16</v>
      </c>
      <c r="B17" s="34" t="s">
        <v>51</v>
      </c>
      <c r="C17" s="34" t="s">
        <v>238</v>
      </c>
      <c r="D17" s="34" t="s">
        <v>118</v>
      </c>
      <c r="E17" s="33"/>
      <c r="F17" s="33" t="s">
        <v>332</v>
      </c>
      <c r="G17" s="33" t="s">
        <v>264</v>
      </c>
      <c r="H17" s="39" t="s">
        <v>316</v>
      </c>
      <c r="I17" s="34" t="s">
        <v>238</v>
      </c>
    </row>
    <row r="18" spans="1:9" s="70" customFormat="1" ht="18.75" customHeight="1">
      <c r="A18" s="70">
        <v>17</v>
      </c>
      <c r="B18" s="47" t="s">
        <v>53</v>
      </c>
      <c r="C18" s="47" t="s">
        <v>242</v>
      </c>
      <c r="D18" s="68">
        <f>+N2+O2+P2</f>
        <v>0</v>
      </c>
      <c r="E18" s="68" t="s">
        <v>251</v>
      </c>
      <c r="F18" s="48" t="s">
        <v>333</v>
      </c>
      <c r="G18" s="48" t="s">
        <v>100</v>
      </c>
      <c r="H18" s="71" t="s">
        <v>316</v>
      </c>
      <c r="I18" s="47" t="s">
        <v>242</v>
      </c>
    </row>
    <row r="19" spans="1:9" s="70" customFormat="1" ht="18.75" customHeight="1">
      <c r="A19" s="70">
        <v>18</v>
      </c>
      <c r="B19" s="47" t="s">
        <v>56</v>
      </c>
      <c r="C19" s="47" t="s">
        <v>134</v>
      </c>
      <c r="D19" s="68" t="s">
        <v>249</v>
      </c>
      <c r="E19" s="68" t="s">
        <v>391</v>
      </c>
      <c r="F19" s="48" t="s">
        <v>334</v>
      </c>
      <c r="G19" s="48" t="s">
        <v>134</v>
      </c>
      <c r="H19" s="71" t="s">
        <v>316</v>
      </c>
      <c r="I19" s="47" t="s">
        <v>134</v>
      </c>
    </row>
    <row r="20" spans="1:9" s="93" customFormat="1" ht="18.75" customHeight="1">
      <c r="A20" s="93">
        <v>19</v>
      </c>
      <c r="B20" s="97" t="s">
        <v>59</v>
      </c>
      <c r="C20" s="98" t="s">
        <v>243</v>
      </c>
      <c r="D20" s="97" t="s">
        <v>118</v>
      </c>
      <c r="E20" s="94"/>
      <c r="F20" s="94" t="s">
        <v>335</v>
      </c>
      <c r="G20" s="94" t="s">
        <v>265</v>
      </c>
      <c r="H20" s="99" t="s">
        <v>316</v>
      </c>
      <c r="I20" s="97" t="s">
        <v>243</v>
      </c>
    </row>
    <row r="21" spans="1:9" s="70" customFormat="1" ht="18.75" customHeight="1">
      <c r="A21" s="70">
        <v>20</v>
      </c>
      <c r="B21" s="47" t="s">
        <v>61</v>
      </c>
      <c r="C21" s="47" t="s">
        <v>62</v>
      </c>
      <c r="D21" s="68" t="s">
        <v>250</v>
      </c>
      <c r="E21" s="68" t="s">
        <v>392</v>
      </c>
      <c r="F21" s="48" t="s">
        <v>336</v>
      </c>
      <c r="G21" s="48" t="s">
        <v>108</v>
      </c>
      <c r="H21" s="71" t="s">
        <v>316</v>
      </c>
      <c r="I21" s="47" t="s">
        <v>62</v>
      </c>
    </row>
    <row r="22" spans="1:9" ht="18" customHeight="1">
      <c r="A22" s="28">
        <v>21</v>
      </c>
      <c r="B22" s="34" t="s">
        <v>63</v>
      </c>
      <c r="C22" s="34" t="s">
        <v>196</v>
      </c>
      <c r="D22" s="96">
        <f>+J2+M2+T2</f>
        <v>0</v>
      </c>
      <c r="E22" s="96" t="s">
        <v>307</v>
      </c>
      <c r="F22" s="33" t="s">
        <v>337</v>
      </c>
      <c r="G22" s="33" t="s">
        <v>216</v>
      </c>
      <c r="H22" s="39" t="s">
        <v>316</v>
      </c>
      <c r="I22" s="34" t="s">
        <v>196</v>
      </c>
    </row>
    <row r="23" spans="1:9" ht="18.75" customHeight="1">
      <c r="A23" s="28">
        <v>22</v>
      </c>
      <c r="B23" s="34" t="s">
        <v>65</v>
      </c>
      <c r="C23" s="34" t="s">
        <v>244</v>
      </c>
      <c r="D23" s="34" t="s">
        <v>118</v>
      </c>
      <c r="E23" s="33"/>
      <c r="F23" s="33" t="s">
        <v>338</v>
      </c>
      <c r="G23" s="33" t="s">
        <v>110</v>
      </c>
      <c r="H23" s="39" t="s">
        <v>316</v>
      </c>
      <c r="I23" s="34" t="s">
        <v>244</v>
      </c>
    </row>
    <row r="24" spans="1:9" ht="18.75" customHeight="1">
      <c r="A24" s="28">
        <v>23</v>
      </c>
      <c r="B24" s="34" t="s">
        <v>158</v>
      </c>
      <c r="C24" s="34" t="s">
        <v>245</v>
      </c>
      <c r="D24" s="34" t="s">
        <v>118</v>
      </c>
      <c r="E24" s="33"/>
      <c r="F24" s="33" t="s">
        <v>339</v>
      </c>
      <c r="G24" s="33" t="s">
        <v>245</v>
      </c>
      <c r="H24" s="39" t="s">
        <v>316</v>
      </c>
      <c r="I24" s="34" t="s">
        <v>245</v>
      </c>
    </row>
    <row r="25" spans="1:9" ht="18.75" customHeight="1">
      <c r="A25" s="28">
        <v>24</v>
      </c>
      <c r="B25" s="34" t="s">
        <v>160</v>
      </c>
      <c r="C25" s="34" t="s">
        <v>246</v>
      </c>
      <c r="D25" s="34" t="s">
        <v>118</v>
      </c>
      <c r="E25" s="33"/>
      <c r="F25" s="33" t="s">
        <v>340</v>
      </c>
      <c r="G25" s="33" t="s">
        <v>246</v>
      </c>
      <c r="H25" s="39" t="s">
        <v>316</v>
      </c>
      <c r="I25" s="34" t="s">
        <v>246</v>
      </c>
    </row>
    <row r="26" spans="1:9" ht="18.75" customHeight="1">
      <c r="F26" s="33" t="s">
        <v>340</v>
      </c>
      <c r="G26" s="33" t="s">
        <v>174</v>
      </c>
      <c r="H26" s="39" t="s">
        <v>316</v>
      </c>
      <c r="I26" s="34" t="s">
        <v>174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5"/>
  <dimension ref="A1:H29"/>
  <sheetViews>
    <sheetView workbookViewId="0">
      <selection activeCell="E28" sqref="E28"/>
    </sheetView>
  </sheetViews>
  <sheetFormatPr defaultColWidth="37.28515625" defaultRowHeight="15"/>
  <cols>
    <col min="1" max="1" width="3" style="8" bestFit="1" customWidth="1"/>
    <col min="2" max="2" width="3.85546875" style="8" bestFit="1" customWidth="1"/>
    <col min="3" max="3" width="30" style="8" bestFit="1" customWidth="1"/>
    <col min="4" max="4" width="29.42578125" style="8" customWidth="1"/>
    <col min="5" max="5" width="50.7109375" style="8" bestFit="1" customWidth="1"/>
    <col min="6" max="6" width="25.7109375" style="8" bestFit="1" customWidth="1"/>
    <col min="7" max="7" width="20.42578125" style="8" bestFit="1" customWidth="1"/>
    <col min="8" max="8" width="47.140625" style="8" bestFit="1" customWidth="1"/>
    <col min="9" max="16384" width="37.28515625" style="8"/>
  </cols>
  <sheetData>
    <row r="1" spans="1:8">
      <c r="B1" s="31" t="s">
        <v>233</v>
      </c>
      <c r="C1" s="31" t="s">
        <v>247</v>
      </c>
      <c r="D1" s="31" t="s">
        <v>223</v>
      </c>
      <c r="E1" s="32"/>
      <c r="F1" s="37" t="s">
        <v>309</v>
      </c>
      <c r="G1" s="32" t="s">
        <v>308</v>
      </c>
      <c r="H1" s="32" t="s">
        <v>310</v>
      </c>
    </row>
    <row r="2" spans="1:8">
      <c r="A2" s="8">
        <v>1</v>
      </c>
      <c r="B2" s="3" t="s">
        <v>5</v>
      </c>
      <c r="C2" s="88" t="s">
        <v>11</v>
      </c>
      <c r="D2" s="3" t="s">
        <v>118</v>
      </c>
      <c r="E2" s="2"/>
      <c r="F2" s="33" t="s">
        <v>94</v>
      </c>
      <c r="G2" s="2">
        <v>1</v>
      </c>
      <c r="H2" s="3" t="s">
        <v>94</v>
      </c>
    </row>
    <row r="3" spans="1:8">
      <c r="A3" s="8">
        <v>2</v>
      </c>
      <c r="B3" s="3" t="s">
        <v>10</v>
      </c>
      <c r="C3" s="88" t="s">
        <v>14</v>
      </c>
      <c r="D3" s="3" t="s">
        <v>118</v>
      </c>
      <c r="E3" s="2"/>
      <c r="F3" s="34" t="s">
        <v>14</v>
      </c>
      <c r="G3" s="2">
        <v>2</v>
      </c>
      <c r="H3" s="3" t="s">
        <v>14</v>
      </c>
    </row>
    <row r="4" spans="1:8">
      <c r="A4" s="8">
        <v>3</v>
      </c>
      <c r="B4" s="3" t="s">
        <v>13</v>
      </c>
      <c r="C4" s="88" t="s">
        <v>18</v>
      </c>
      <c r="D4" s="3" t="s">
        <v>118</v>
      </c>
      <c r="E4" s="2"/>
      <c r="F4" s="34" t="s">
        <v>235</v>
      </c>
      <c r="G4" s="2">
        <v>3</v>
      </c>
      <c r="H4" s="3" t="s">
        <v>18</v>
      </c>
    </row>
    <row r="5" spans="1:8" s="87" customFormat="1">
      <c r="A5" s="8">
        <v>4</v>
      </c>
      <c r="B5" s="84" t="s">
        <v>17</v>
      </c>
      <c r="C5" s="88" t="s">
        <v>25</v>
      </c>
      <c r="D5" s="84" t="s">
        <v>118</v>
      </c>
      <c r="E5" s="85"/>
      <c r="F5" s="85" t="s">
        <v>96</v>
      </c>
      <c r="G5" s="85">
        <v>4</v>
      </c>
      <c r="H5" s="84" t="s">
        <v>25</v>
      </c>
    </row>
    <row r="6" spans="1:8">
      <c r="A6" s="8">
        <v>5</v>
      </c>
      <c r="B6" s="3" t="s">
        <v>21</v>
      </c>
      <c r="C6" s="88" t="s">
        <v>29</v>
      </c>
      <c r="D6" s="3" t="s">
        <v>118</v>
      </c>
      <c r="E6" s="2"/>
      <c r="F6" s="34" t="s">
        <v>97</v>
      </c>
      <c r="G6" s="2">
        <v>5</v>
      </c>
      <c r="H6" s="3" t="s">
        <v>29</v>
      </c>
    </row>
    <row r="7" spans="1:8" s="87" customFormat="1" ht="16.5" customHeight="1">
      <c r="A7" s="8">
        <v>6</v>
      </c>
      <c r="B7" s="84" t="s">
        <v>24</v>
      </c>
      <c r="C7" s="84" t="s">
        <v>34</v>
      </c>
      <c r="D7" s="84" t="s">
        <v>118</v>
      </c>
      <c r="E7" s="85"/>
      <c r="F7" s="86" t="s">
        <v>300</v>
      </c>
      <c r="G7" s="85">
        <v>6</v>
      </c>
      <c r="H7" s="84" t="s">
        <v>34</v>
      </c>
    </row>
    <row r="8" spans="1:8">
      <c r="A8" s="8">
        <v>7</v>
      </c>
      <c r="B8" s="3" t="s">
        <v>28</v>
      </c>
      <c r="C8" s="3" t="s">
        <v>267</v>
      </c>
      <c r="D8" s="3" t="s">
        <v>118</v>
      </c>
      <c r="E8" s="2"/>
      <c r="F8" s="34" t="s">
        <v>311</v>
      </c>
      <c r="G8" s="2">
        <v>7</v>
      </c>
      <c r="H8" s="3" t="s">
        <v>267</v>
      </c>
    </row>
    <row r="9" spans="1:8">
      <c r="A9" s="8">
        <v>8</v>
      </c>
      <c r="B9" s="6" t="s">
        <v>31</v>
      </c>
      <c r="C9" s="6" t="s">
        <v>37</v>
      </c>
      <c r="D9" s="5" t="s">
        <v>277</v>
      </c>
      <c r="E9" s="5" t="s">
        <v>280</v>
      </c>
      <c r="F9" s="47" t="s">
        <v>302</v>
      </c>
      <c r="G9" s="83">
        <v>8</v>
      </c>
      <c r="H9" s="6" t="s">
        <v>37</v>
      </c>
    </row>
    <row r="10" spans="1:8">
      <c r="A10" s="8">
        <v>9</v>
      </c>
      <c r="B10" s="3" t="s">
        <v>33</v>
      </c>
      <c r="C10" s="3" t="s">
        <v>39</v>
      </c>
      <c r="D10" s="3" t="s">
        <v>118</v>
      </c>
      <c r="E10" s="2"/>
      <c r="F10" s="34" t="s">
        <v>100</v>
      </c>
      <c r="G10" s="2">
        <v>9</v>
      </c>
      <c r="H10" s="3" t="s">
        <v>39</v>
      </c>
    </row>
    <row r="11" spans="1:8">
      <c r="A11" s="8">
        <v>10</v>
      </c>
      <c r="B11" s="3" t="s">
        <v>36</v>
      </c>
      <c r="C11" s="3" t="s">
        <v>48</v>
      </c>
      <c r="D11" s="3" t="s">
        <v>118</v>
      </c>
      <c r="E11" s="2"/>
      <c r="F11" s="33" t="s">
        <v>303</v>
      </c>
      <c r="G11" s="2">
        <v>10</v>
      </c>
      <c r="H11" s="3" t="s">
        <v>48</v>
      </c>
    </row>
    <row r="12" spans="1:8" ht="38.25">
      <c r="A12" s="8">
        <v>11</v>
      </c>
      <c r="B12" s="6" t="s">
        <v>38</v>
      </c>
      <c r="C12" s="6" t="s">
        <v>268</v>
      </c>
      <c r="D12" s="5" t="s">
        <v>269</v>
      </c>
      <c r="E12" s="5" t="s">
        <v>418</v>
      </c>
      <c r="F12" s="48" t="s">
        <v>304</v>
      </c>
      <c r="G12" s="83">
        <v>11</v>
      </c>
      <c r="H12" s="6" t="s">
        <v>268</v>
      </c>
    </row>
    <row r="13" spans="1:8">
      <c r="A13" s="8">
        <v>12</v>
      </c>
      <c r="B13" s="6" t="s">
        <v>41</v>
      </c>
      <c r="C13" s="6" t="s">
        <v>54</v>
      </c>
      <c r="D13" s="5" t="s">
        <v>270</v>
      </c>
      <c r="E13" s="5" t="s">
        <v>416</v>
      </c>
      <c r="F13" s="48" t="s">
        <v>305</v>
      </c>
      <c r="G13" s="83">
        <v>12</v>
      </c>
      <c r="H13" s="6" t="s">
        <v>54</v>
      </c>
    </row>
    <row r="14" spans="1:8">
      <c r="A14" s="8">
        <v>13</v>
      </c>
      <c r="B14" s="3" t="s">
        <v>44</v>
      </c>
      <c r="C14" s="3" t="s">
        <v>271</v>
      </c>
      <c r="D14" s="3" t="s">
        <v>118</v>
      </c>
      <c r="E14" s="2"/>
      <c r="F14" s="33" t="s">
        <v>238</v>
      </c>
      <c r="G14" s="2">
        <v>13</v>
      </c>
      <c r="H14" s="3" t="s">
        <v>271</v>
      </c>
    </row>
    <row r="15" spans="1:8">
      <c r="A15" s="8">
        <v>14</v>
      </c>
      <c r="B15" s="6" t="s">
        <v>47</v>
      </c>
      <c r="C15" s="6" t="s">
        <v>134</v>
      </c>
      <c r="D15" s="5" t="s">
        <v>278</v>
      </c>
      <c r="E15" s="5" t="s">
        <v>417</v>
      </c>
      <c r="F15" s="6" t="s">
        <v>134</v>
      </c>
      <c r="G15" s="83">
        <v>14</v>
      </c>
      <c r="H15" s="6" t="s">
        <v>134</v>
      </c>
    </row>
    <row r="16" spans="1:8" s="65" customFormat="1">
      <c r="A16" s="8">
        <v>15</v>
      </c>
      <c r="B16" s="56" t="s">
        <v>49</v>
      </c>
      <c r="C16" s="56" t="s">
        <v>62</v>
      </c>
      <c r="D16" s="57" t="s">
        <v>272</v>
      </c>
      <c r="E16" s="57" t="s">
        <v>389</v>
      </c>
      <c r="F16" s="67" t="s">
        <v>214</v>
      </c>
      <c r="G16" s="67">
        <v>15</v>
      </c>
      <c r="H16" s="56" t="s">
        <v>62</v>
      </c>
    </row>
    <row r="17" spans="1:8">
      <c r="A17" s="8">
        <v>16</v>
      </c>
      <c r="B17" s="3" t="s">
        <v>51</v>
      </c>
      <c r="C17" s="3" t="s">
        <v>273</v>
      </c>
      <c r="D17" s="4" t="s">
        <v>279</v>
      </c>
      <c r="E17" s="4" t="s">
        <v>276</v>
      </c>
      <c r="F17" s="33" t="s">
        <v>306</v>
      </c>
      <c r="G17" s="2">
        <v>16</v>
      </c>
      <c r="H17" s="3" t="s">
        <v>273</v>
      </c>
    </row>
    <row r="18" spans="1:8">
      <c r="A18" s="8">
        <v>17</v>
      </c>
      <c r="B18" s="3" t="s">
        <v>53</v>
      </c>
      <c r="C18" s="3" t="s">
        <v>274</v>
      </c>
      <c r="D18" s="3" t="s">
        <v>118</v>
      </c>
      <c r="E18" s="2"/>
      <c r="F18" s="33" t="s">
        <v>215</v>
      </c>
      <c r="G18" s="2">
        <v>17</v>
      </c>
      <c r="H18" s="3" t="s">
        <v>274</v>
      </c>
    </row>
    <row r="19" spans="1:8">
      <c r="A19" s="8">
        <v>18</v>
      </c>
      <c r="B19" s="3" t="s">
        <v>56</v>
      </c>
      <c r="C19" s="3" t="s">
        <v>245</v>
      </c>
      <c r="D19" s="3" t="s">
        <v>118</v>
      </c>
      <c r="E19" s="2"/>
      <c r="F19" s="33" t="s">
        <v>245</v>
      </c>
      <c r="G19" s="2">
        <v>18</v>
      </c>
      <c r="H19" s="3" t="s">
        <v>245</v>
      </c>
    </row>
    <row r="20" spans="1:8">
      <c r="A20" s="8">
        <v>19</v>
      </c>
      <c r="B20" s="3" t="s">
        <v>59</v>
      </c>
      <c r="C20" s="3" t="s">
        <v>275</v>
      </c>
      <c r="D20" s="3" t="s">
        <v>118</v>
      </c>
      <c r="E20" s="2"/>
      <c r="F20" s="33" t="s">
        <v>275</v>
      </c>
      <c r="G20" s="2">
        <v>19</v>
      </c>
      <c r="H20" s="3" t="s">
        <v>275</v>
      </c>
    </row>
    <row r="21" spans="1:8">
      <c r="C21" s="30"/>
      <c r="D21" s="30"/>
      <c r="E21" s="30"/>
    </row>
    <row r="22" spans="1:8">
      <c r="B22" s="30"/>
      <c r="C22" s="35"/>
      <c r="D22" s="35"/>
      <c r="E22" s="36"/>
    </row>
    <row r="23" spans="1:8">
      <c r="C23" s="35"/>
      <c r="D23" s="35"/>
      <c r="E23" s="36"/>
    </row>
    <row r="24" spans="1:8">
      <c r="C24" s="35"/>
      <c r="D24" s="35"/>
      <c r="E24" s="36"/>
    </row>
    <row r="27" spans="1:8">
      <c r="C27" s="35"/>
      <c r="D27" s="35"/>
      <c r="E27" s="36"/>
    </row>
    <row r="28" spans="1:8">
      <c r="C28" s="35"/>
      <c r="D28" s="35"/>
      <c r="E28" s="36"/>
    </row>
    <row r="29" spans="1:8">
      <c r="C29" s="35"/>
      <c r="D29" s="35"/>
      <c r="E29" s="36"/>
    </row>
  </sheetData>
  <autoFilter ref="A1:H29"/>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6"/>
  <dimension ref="A1:K9"/>
  <sheetViews>
    <sheetView topLeftCell="E1" zoomScale="145" zoomScaleNormal="145" workbookViewId="0">
      <selection activeCell="F6" sqref="F6:K7"/>
    </sheetView>
  </sheetViews>
  <sheetFormatPr defaultRowHeight="15"/>
  <cols>
    <col min="1" max="1" width="3.85546875" style="8" bestFit="1" customWidth="1"/>
    <col min="2" max="2" width="20.7109375" style="8" bestFit="1" customWidth="1"/>
    <col min="3" max="3" width="8.7109375" style="8" bestFit="1" customWidth="1"/>
    <col min="4" max="4" width="43.7109375" style="8" bestFit="1" customWidth="1"/>
    <col min="5" max="5" width="2.42578125" style="8" bestFit="1" customWidth="1"/>
    <col min="6" max="6" width="17.42578125" style="8" bestFit="1" customWidth="1"/>
    <col min="7" max="7" width="7.7109375" style="8" bestFit="1" customWidth="1"/>
    <col min="8" max="8" width="2.7109375" style="8" bestFit="1" customWidth="1"/>
    <col min="9" max="9" width="18.7109375" style="8" bestFit="1" customWidth="1"/>
    <col min="10" max="10" width="60.28515625" style="8" bestFit="1" customWidth="1"/>
    <col min="11" max="11" width="22.5703125" style="8" bestFit="1" customWidth="1"/>
    <col min="12" max="16384" width="9.140625" style="8"/>
  </cols>
  <sheetData>
    <row r="1" spans="1:11">
      <c r="A1" s="31" t="s">
        <v>233</v>
      </c>
      <c r="B1" s="31" t="s">
        <v>247</v>
      </c>
      <c r="C1" s="31" t="s">
        <v>223</v>
      </c>
      <c r="D1" s="32"/>
      <c r="E1" s="32"/>
      <c r="F1" s="49" t="s">
        <v>254</v>
      </c>
      <c r="G1" s="49"/>
      <c r="H1" s="49"/>
      <c r="I1" s="49"/>
      <c r="J1" s="49"/>
      <c r="K1" s="49"/>
    </row>
    <row r="2" spans="1:11" ht="30">
      <c r="A2" s="3" t="s">
        <v>10</v>
      </c>
      <c r="B2" s="3" t="s">
        <v>281</v>
      </c>
      <c r="C2" s="3" t="s">
        <v>118</v>
      </c>
      <c r="D2" s="2"/>
      <c r="E2" s="2" t="s">
        <v>5</v>
      </c>
      <c r="F2" s="33" t="s">
        <v>94</v>
      </c>
      <c r="G2" s="2"/>
      <c r="H2" s="2" t="s">
        <v>315</v>
      </c>
      <c r="I2" s="2" t="s">
        <v>406</v>
      </c>
      <c r="J2" s="2" t="s">
        <v>413</v>
      </c>
      <c r="K2" s="2" t="s">
        <v>412</v>
      </c>
    </row>
    <row r="3" spans="1:11">
      <c r="A3" s="3" t="s">
        <v>13</v>
      </c>
      <c r="B3" s="3" t="s">
        <v>14</v>
      </c>
      <c r="C3" s="3" t="s">
        <v>118</v>
      </c>
      <c r="D3" s="2"/>
      <c r="E3" s="2" t="s">
        <v>10</v>
      </c>
      <c r="F3" s="34" t="s">
        <v>14</v>
      </c>
      <c r="G3" s="2"/>
      <c r="H3" s="2" t="s">
        <v>315</v>
      </c>
      <c r="I3" s="2" t="s">
        <v>411</v>
      </c>
      <c r="J3" s="2"/>
      <c r="K3" s="2"/>
    </row>
    <row r="4" spans="1:11">
      <c r="A4" s="3" t="s">
        <v>17</v>
      </c>
      <c r="B4" s="3" t="s">
        <v>282</v>
      </c>
      <c r="C4" s="3" t="s">
        <v>118</v>
      </c>
      <c r="D4" s="2"/>
      <c r="E4" s="2" t="s">
        <v>13</v>
      </c>
      <c r="F4" s="34" t="s">
        <v>299</v>
      </c>
      <c r="G4" s="2"/>
      <c r="H4" s="2" t="s">
        <v>315</v>
      </c>
      <c r="I4" s="2" t="s">
        <v>407</v>
      </c>
      <c r="J4" s="2"/>
      <c r="K4" s="2"/>
    </row>
    <row r="5" spans="1:11">
      <c r="A5" s="3" t="s">
        <v>21</v>
      </c>
      <c r="B5" s="3" t="s">
        <v>283</v>
      </c>
      <c r="C5" s="3" t="s">
        <v>118</v>
      </c>
      <c r="D5" s="2"/>
      <c r="E5" s="2" t="s">
        <v>17</v>
      </c>
      <c r="F5" s="3" t="s">
        <v>283</v>
      </c>
      <c r="G5" s="2"/>
      <c r="H5" s="2" t="s">
        <v>315</v>
      </c>
      <c r="I5" s="2" t="s">
        <v>408</v>
      </c>
      <c r="J5" s="2"/>
      <c r="K5" s="2"/>
    </row>
    <row r="6" spans="1:11">
      <c r="A6" s="3" t="s">
        <v>24</v>
      </c>
      <c r="B6" s="3" t="s">
        <v>284</v>
      </c>
      <c r="C6" s="4" t="s">
        <v>286</v>
      </c>
      <c r="D6" s="4" t="s">
        <v>287</v>
      </c>
      <c r="E6" s="4" t="s">
        <v>21</v>
      </c>
      <c r="F6" s="97" t="s">
        <v>284</v>
      </c>
      <c r="G6" s="100" t="s">
        <v>403</v>
      </c>
      <c r="H6" s="94" t="s">
        <v>315</v>
      </c>
      <c r="I6" s="94" t="s">
        <v>409</v>
      </c>
      <c r="J6" s="94" t="s">
        <v>404</v>
      </c>
      <c r="K6" s="94"/>
    </row>
    <row r="7" spans="1:11">
      <c r="A7" s="3" t="s">
        <v>28</v>
      </c>
      <c r="B7" s="3" t="s">
        <v>155</v>
      </c>
      <c r="C7" s="4" t="s">
        <v>285</v>
      </c>
      <c r="D7" s="4" t="s">
        <v>298</v>
      </c>
      <c r="E7" s="4" t="s">
        <v>24</v>
      </c>
      <c r="F7" s="97" t="s">
        <v>216</v>
      </c>
      <c r="G7" s="100" t="s">
        <v>402</v>
      </c>
      <c r="H7" s="94" t="s">
        <v>315</v>
      </c>
      <c r="I7" s="94" t="s">
        <v>410</v>
      </c>
      <c r="J7" s="94" t="s">
        <v>405</v>
      </c>
      <c r="K7" s="94" t="s">
        <v>414</v>
      </c>
    </row>
    <row r="8" spans="1:11">
      <c r="A8" s="3" t="s">
        <v>31</v>
      </c>
      <c r="B8" s="3" t="s">
        <v>274</v>
      </c>
      <c r="C8" s="3" t="s">
        <v>118</v>
      </c>
      <c r="D8" s="2"/>
      <c r="E8" s="2" t="s">
        <v>28</v>
      </c>
      <c r="F8" s="3" t="s">
        <v>274</v>
      </c>
      <c r="G8" s="2"/>
      <c r="H8" s="2" t="s">
        <v>315</v>
      </c>
      <c r="I8" s="2" t="s">
        <v>215</v>
      </c>
      <c r="J8" s="2"/>
      <c r="K8" s="2"/>
    </row>
    <row r="9" spans="1:11">
      <c r="A9" s="3" t="s">
        <v>33</v>
      </c>
      <c r="B9" s="3" t="s">
        <v>275</v>
      </c>
      <c r="C9" s="3" t="s">
        <v>118</v>
      </c>
      <c r="D9" s="2"/>
      <c r="E9" s="2" t="s">
        <v>31</v>
      </c>
      <c r="F9" s="3" t="s">
        <v>275</v>
      </c>
      <c r="G9" s="2"/>
      <c r="H9" s="2" t="s">
        <v>315</v>
      </c>
      <c r="I9" s="2"/>
      <c r="J9" s="2"/>
      <c r="K9"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7"/>
  <dimension ref="A1:I12"/>
  <sheetViews>
    <sheetView workbookViewId="0">
      <selection activeCell="D18" sqref="D18"/>
    </sheetView>
  </sheetViews>
  <sheetFormatPr defaultColWidth="37.5703125" defaultRowHeight="15"/>
  <cols>
    <col min="1" max="1" width="3.85546875" style="8" bestFit="1" customWidth="1"/>
    <col min="2" max="2" width="25" style="8" bestFit="1" customWidth="1"/>
    <col min="3" max="3" width="8.28515625" style="8" bestFit="1" customWidth="1"/>
    <col min="4" max="4" width="37.5703125" style="8"/>
    <col min="5" max="5" width="2.7109375" style="8" bestFit="1" customWidth="1"/>
    <col min="6" max="6" width="3" style="8" bestFit="1" customWidth="1"/>
    <col min="7" max="7" width="19" style="8" bestFit="1" customWidth="1"/>
    <col min="8" max="8" width="2.7109375" style="8" bestFit="1" customWidth="1"/>
    <col min="9" max="16384" width="37.5703125" style="8"/>
  </cols>
  <sheetData>
    <row r="1" spans="1:9">
      <c r="A1" s="31" t="s">
        <v>233</v>
      </c>
      <c r="B1" s="31" t="s">
        <v>247</v>
      </c>
      <c r="C1" s="31" t="s">
        <v>223</v>
      </c>
      <c r="D1" s="32"/>
      <c r="E1" s="32"/>
      <c r="F1" s="32"/>
      <c r="G1" s="32" t="s">
        <v>254</v>
      </c>
      <c r="H1" s="32"/>
      <c r="I1" s="3" t="s">
        <v>313</v>
      </c>
    </row>
    <row r="2" spans="1:9">
      <c r="A2" s="3" t="s">
        <v>5</v>
      </c>
      <c r="B2" s="3" t="s">
        <v>288</v>
      </c>
      <c r="C2" s="3" t="s">
        <v>118</v>
      </c>
      <c r="D2" s="2"/>
      <c r="E2" s="2" t="s">
        <v>315</v>
      </c>
      <c r="F2" s="33">
        <v>1</v>
      </c>
      <c r="G2" s="33" t="s">
        <v>94</v>
      </c>
      <c r="H2" s="33" t="s">
        <v>314</v>
      </c>
      <c r="I2" s="3" t="s">
        <v>288</v>
      </c>
    </row>
    <row r="3" spans="1:9">
      <c r="A3" s="3" t="s">
        <v>10</v>
      </c>
      <c r="B3" s="3" t="s">
        <v>289</v>
      </c>
      <c r="C3" s="3" t="s">
        <v>118</v>
      </c>
      <c r="D3" s="2"/>
      <c r="E3" s="2" t="s">
        <v>315</v>
      </c>
      <c r="F3" s="33">
        <v>2</v>
      </c>
      <c r="G3" s="34" t="s">
        <v>312</v>
      </c>
      <c r="H3" s="33" t="s">
        <v>314</v>
      </c>
      <c r="I3" s="3" t="s">
        <v>289</v>
      </c>
    </row>
    <row r="4" spans="1:9">
      <c r="A4" s="3" t="s">
        <v>13</v>
      </c>
      <c r="B4" s="3" t="s">
        <v>14</v>
      </c>
      <c r="C4" s="3" t="s">
        <v>118</v>
      </c>
      <c r="D4" s="2"/>
      <c r="E4" s="2" t="s">
        <v>315</v>
      </c>
      <c r="F4" s="33">
        <v>3</v>
      </c>
      <c r="G4" s="3" t="s">
        <v>14</v>
      </c>
      <c r="H4" s="33" t="s">
        <v>314</v>
      </c>
      <c r="I4" s="3" t="s">
        <v>14</v>
      </c>
    </row>
    <row r="5" spans="1:9">
      <c r="A5" s="3" t="s">
        <v>17</v>
      </c>
      <c r="B5" s="3" t="s">
        <v>290</v>
      </c>
      <c r="C5" s="3" t="s">
        <v>118</v>
      </c>
      <c r="D5" s="2"/>
      <c r="E5" s="2" t="s">
        <v>315</v>
      </c>
      <c r="F5" s="33">
        <v>4</v>
      </c>
      <c r="G5" s="3" t="s">
        <v>299</v>
      </c>
      <c r="H5" s="33" t="s">
        <v>314</v>
      </c>
      <c r="I5" s="3" t="s">
        <v>290</v>
      </c>
    </row>
    <row r="6" spans="1:9">
      <c r="A6" s="3" t="s">
        <v>21</v>
      </c>
      <c r="B6" s="3" t="s">
        <v>291</v>
      </c>
      <c r="C6" s="3" t="s">
        <v>118</v>
      </c>
      <c r="D6" s="2"/>
      <c r="E6" s="2" t="s">
        <v>315</v>
      </c>
      <c r="F6" s="33">
        <v>5</v>
      </c>
      <c r="G6" s="3" t="s">
        <v>300</v>
      </c>
      <c r="H6" s="33" t="s">
        <v>314</v>
      </c>
      <c r="I6" s="3" t="s">
        <v>291</v>
      </c>
    </row>
    <row r="7" spans="1:9">
      <c r="A7" s="3" t="s">
        <v>24</v>
      </c>
      <c r="B7" s="3" t="s">
        <v>292</v>
      </c>
      <c r="C7" s="3" t="s">
        <v>118</v>
      </c>
      <c r="D7" s="2"/>
      <c r="E7" s="2" t="s">
        <v>315</v>
      </c>
      <c r="F7" s="33">
        <v>6</v>
      </c>
      <c r="G7" s="3" t="s">
        <v>301</v>
      </c>
      <c r="H7" s="33" t="s">
        <v>314</v>
      </c>
      <c r="I7" s="3" t="s">
        <v>292</v>
      </c>
    </row>
    <row r="8" spans="1:9">
      <c r="A8" s="6" t="s">
        <v>28</v>
      </c>
      <c r="B8" s="6" t="s">
        <v>293</v>
      </c>
      <c r="C8" s="5" t="s">
        <v>296</v>
      </c>
      <c r="D8" s="5" t="s">
        <v>415</v>
      </c>
      <c r="E8" s="83" t="s">
        <v>315</v>
      </c>
      <c r="F8" s="48">
        <v>7</v>
      </c>
      <c r="G8" s="47" t="s">
        <v>258</v>
      </c>
      <c r="H8" s="48" t="s">
        <v>314</v>
      </c>
      <c r="I8" s="6" t="s">
        <v>293</v>
      </c>
    </row>
    <row r="9" spans="1:9" ht="25.5">
      <c r="A9" s="6" t="s">
        <v>31</v>
      </c>
      <c r="B9" s="6" t="s">
        <v>294</v>
      </c>
      <c r="C9" s="5" t="s">
        <v>297</v>
      </c>
      <c r="D9" s="5" t="s">
        <v>295</v>
      </c>
      <c r="E9" s="83" t="s">
        <v>315</v>
      </c>
      <c r="F9" s="48">
        <v>8</v>
      </c>
      <c r="G9" s="47" t="s">
        <v>216</v>
      </c>
      <c r="H9" s="48" t="s">
        <v>314</v>
      </c>
      <c r="I9" s="6" t="s">
        <v>294</v>
      </c>
    </row>
    <row r="10" spans="1:9">
      <c r="A10" s="3" t="s">
        <v>33</v>
      </c>
      <c r="B10" s="3" t="s">
        <v>66</v>
      </c>
      <c r="C10" s="3" t="s">
        <v>118</v>
      </c>
      <c r="D10" s="2"/>
      <c r="E10" s="2" t="s">
        <v>315</v>
      </c>
      <c r="F10" s="33">
        <v>9</v>
      </c>
      <c r="G10" s="3" t="s">
        <v>215</v>
      </c>
      <c r="H10" s="33" t="s">
        <v>314</v>
      </c>
      <c r="I10" s="3" t="s">
        <v>66</v>
      </c>
    </row>
    <row r="11" spans="1:9">
      <c r="A11" s="3" t="s">
        <v>36</v>
      </c>
      <c r="B11" s="3" t="s">
        <v>245</v>
      </c>
      <c r="C11" s="3" t="s">
        <v>118</v>
      </c>
      <c r="D11" s="2"/>
      <c r="E11" s="2" t="s">
        <v>315</v>
      </c>
      <c r="F11" s="33">
        <v>10</v>
      </c>
      <c r="G11" s="3" t="s">
        <v>245</v>
      </c>
      <c r="H11" s="33" t="s">
        <v>314</v>
      </c>
      <c r="I11" s="3" t="s">
        <v>245</v>
      </c>
    </row>
    <row r="12" spans="1:9">
      <c r="A12" s="3" t="s">
        <v>38</v>
      </c>
      <c r="B12" s="3" t="s">
        <v>275</v>
      </c>
      <c r="C12" s="3" t="s">
        <v>118</v>
      </c>
      <c r="D12" s="2"/>
      <c r="E12" s="2" t="s">
        <v>315</v>
      </c>
      <c r="F12" s="33">
        <v>11</v>
      </c>
      <c r="G12" s="34" t="s">
        <v>275</v>
      </c>
      <c r="H12" s="33" t="s">
        <v>314</v>
      </c>
      <c r="I12" s="3" t="s">
        <v>275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8"/>
  <dimension ref="C1:D13"/>
  <sheetViews>
    <sheetView tabSelected="1" workbookViewId="0">
      <selection activeCell="D10" sqref="D10"/>
    </sheetView>
  </sheetViews>
  <sheetFormatPr defaultColWidth="15.140625" defaultRowHeight="23.25"/>
  <cols>
    <col min="1" max="2" width="15.140625" style="89"/>
    <col min="3" max="3" width="33.42578125" style="89" bestFit="1" customWidth="1"/>
    <col min="4" max="4" width="18.140625" style="89" bestFit="1" customWidth="1"/>
    <col min="5" max="16384" width="15.140625" style="89"/>
  </cols>
  <sheetData>
    <row r="1" spans="3:4">
      <c r="C1" s="90" t="s">
        <v>419</v>
      </c>
      <c r="D1" s="90" t="s">
        <v>420</v>
      </c>
    </row>
    <row r="2" spans="3:4">
      <c r="C2" s="91" t="s">
        <v>393</v>
      </c>
      <c r="D2" s="101">
        <v>46156</v>
      </c>
    </row>
    <row r="3" spans="3:4">
      <c r="C3" s="92" t="s">
        <v>394</v>
      </c>
      <c r="D3" s="101">
        <v>46156</v>
      </c>
    </row>
    <row r="4" spans="3:4">
      <c r="C4" s="91" t="s">
        <v>395</v>
      </c>
      <c r="D4" s="101">
        <v>46156</v>
      </c>
    </row>
    <row r="5" spans="3:4">
      <c r="C5" s="92" t="s">
        <v>396</v>
      </c>
      <c r="D5" s="101">
        <v>46156</v>
      </c>
    </row>
    <row r="6" spans="3:4">
      <c r="C6" s="91" t="s">
        <v>397</v>
      </c>
      <c r="D6" s="101">
        <v>46156</v>
      </c>
    </row>
    <row r="7" spans="3:4">
      <c r="C7" s="91" t="s">
        <v>398</v>
      </c>
      <c r="D7" s="101">
        <v>46156</v>
      </c>
    </row>
    <row r="8" spans="3:4">
      <c r="C8" s="92" t="s">
        <v>399</v>
      </c>
      <c r="D8" s="92"/>
    </row>
    <row r="9" spans="3:4">
      <c r="C9" s="92" t="s">
        <v>400</v>
      </c>
      <c r="D9" s="101">
        <v>46156</v>
      </c>
    </row>
    <row r="10" spans="3:4">
      <c r="C10" s="91" t="s">
        <v>401</v>
      </c>
      <c r="D10" s="101">
        <v>46156</v>
      </c>
    </row>
    <row r="13" spans="3:4">
      <c r="C13" t="s">
        <v>421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9"/>
  <dimension ref="A1"/>
  <sheetViews>
    <sheetView topLeftCell="A16" workbookViewId="0">
      <selection activeCell="O27" sqref="O27"/>
    </sheetView>
  </sheetViews>
  <sheetFormatPr defaultRowHeight="46.5"/>
  <cols>
    <col min="1" max="1" width="9.140625" style="38"/>
  </cols>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DE ANGELI</vt:lpstr>
      <vt:lpstr>ELEKTRAWIRE</vt:lpstr>
      <vt:lpstr>SYSTEMCORE</vt:lpstr>
      <vt:lpstr>SYSTEMP</vt:lpstr>
      <vt:lpstr>CST TRADING</vt:lpstr>
      <vt:lpstr>GUERZONI</vt:lpstr>
      <vt:lpstr>HITECH</vt:lpstr>
      <vt:lpstr>RIEPILOGO</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2026-04-10T16:02:10Z</dcterms:created>
  <dcterms:modified xsi:type="dcterms:W3CDTF">2026-05-14T10:40:07Z</dcterms:modified>
</cp:coreProperties>
</file>