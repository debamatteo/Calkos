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Lavoro\Calkos\Calkos.web\Documentazione\01-08-2026-ANALISI_NUOVE_RICHIESTE\DOCUMENTO Continuita_27_07_2026\MODIFICA_DE_ANGELI\"/>
    </mc:Choice>
  </mc:AlternateContent>
  <bookViews>
    <workbookView xWindow="-120" yWindow="-120" windowWidth="29040" windowHeight="15720" activeTab="2"/>
  </bookViews>
  <sheets>
    <sheet name="Commissioni De Angeli" sheetId="6" r:id="rId1"/>
    <sheet name="NUOVA_LOGICA_CALCOLO_BASE" sheetId="24" state="hidden" r:id="rId2"/>
    <sheet name="calcolo base" sheetId="21" r:id="rId3"/>
    <sheet name="Foglio2" sheetId="25" r:id="rId4"/>
    <sheet name="Consegne clienti 2023" sheetId="23" r:id="rId5"/>
    <sheet name="Consegna" sheetId="22" r:id="rId6"/>
    <sheet name="Fatturazione De Angeli" sheetId="7" state="hidden" r:id="rId7"/>
    <sheet name="Foglio1" sheetId="20" state="hidden" r:id="rId8"/>
  </sheets>
  <functionGroups builtInGroupCount="18"/>
  <definedNames>
    <definedName name="_xlnm._FilterDatabase" localSheetId="2" hidden="1">'calcolo base'!$B$5:$D$5</definedName>
    <definedName name="_xlnm._FilterDatabase" localSheetId="0" hidden="1">'Commissioni De Angeli'!$A$5:$X$1645</definedName>
    <definedName name="_xlnm.Print_Area" localSheetId="2">'calcolo base'!$B$1:$O$941</definedName>
    <definedName name="_xlnm.Print_Area" localSheetId="0">'Commissioni De Angeli'!$B$1:$U$1645</definedName>
    <definedName name="materiale">Foglio1!$A$2:$A$5</definedName>
    <definedName name="Materiali">Foglio1!$A$2:$A$6</definedName>
  </definedNames>
  <calcPr calcId="162913"/>
</workbook>
</file>

<file path=xl/calcChain.xml><?xml version="1.0" encoding="utf-8"?>
<calcChain xmlns="http://schemas.openxmlformats.org/spreadsheetml/2006/main">
  <c r="N1644" i="21" l="1"/>
  <c r="O1644" i="21" s="1"/>
  <c r="G1644" i="21"/>
  <c r="I1644" i="21" s="1"/>
  <c r="J1644" i="21" s="1"/>
  <c r="N1643" i="21"/>
  <c r="O1643" i="21" s="1"/>
  <c r="G1643" i="21"/>
  <c r="I1643" i="21" s="1"/>
  <c r="J1643" i="21" s="1"/>
  <c r="N1642" i="21"/>
  <c r="O1642" i="21" s="1"/>
  <c r="G1642" i="21"/>
  <c r="N1641" i="21"/>
  <c r="O1641" i="21" s="1"/>
  <c r="G1641" i="21"/>
  <c r="N1640" i="21"/>
  <c r="O1640" i="21" s="1"/>
  <c r="I1640" i="21"/>
  <c r="J1640" i="21" s="1"/>
  <c r="G1640" i="21"/>
  <c r="N1639" i="21"/>
  <c r="O1639" i="21" s="1"/>
  <c r="G1639" i="21"/>
  <c r="I1639" i="21" s="1"/>
  <c r="J1639" i="21" s="1"/>
  <c r="N1638" i="21"/>
  <c r="O1638" i="21" s="1"/>
  <c r="G1638" i="21"/>
  <c r="I1641" i="21" l="1"/>
  <c r="J1641" i="21" s="1"/>
  <c r="I1642" i="21"/>
  <c r="J1642" i="21" s="1"/>
  <c r="I1638" i="21"/>
  <c r="J1638" i="21" s="1"/>
  <c r="T143" i="6"/>
  <c r="AA1639" i="6"/>
  <c r="Z1639" i="6"/>
  <c r="L1639" i="6"/>
  <c r="N1639" i="6" s="1"/>
  <c r="I1639" i="6"/>
  <c r="J1639" i="6" s="1"/>
  <c r="G1639" i="6"/>
  <c r="H1639" i="6" s="1"/>
  <c r="AA1640" i="6"/>
  <c r="Z1640" i="6"/>
  <c r="L1640" i="6"/>
  <c r="M1640" i="6" s="1"/>
  <c r="I1640" i="6"/>
  <c r="J1640" i="6" s="1"/>
  <c r="G1640" i="6"/>
  <c r="H1640" i="6" s="1"/>
  <c r="AA1641" i="6"/>
  <c r="Z1641" i="6"/>
  <c r="L1641" i="6"/>
  <c r="N1641" i="6" s="1"/>
  <c r="I1641" i="6"/>
  <c r="J1641" i="6" s="1"/>
  <c r="G1641" i="6"/>
  <c r="H1641" i="6" s="1"/>
  <c r="AA1642" i="6"/>
  <c r="Z1642" i="6"/>
  <c r="L1642" i="6"/>
  <c r="N1642" i="6" s="1"/>
  <c r="I1642" i="6"/>
  <c r="J1642" i="6" s="1"/>
  <c r="G1642" i="6"/>
  <c r="H1642" i="6" s="1"/>
  <c r="AA1643" i="6"/>
  <c r="Z1643" i="6"/>
  <c r="L1643" i="6"/>
  <c r="N1643" i="6" s="1"/>
  <c r="I1643" i="6"/>
  <c r="J1643" i="6" s="1"/>
  <c r="G1643" i="6"/>
  <c r="H1643" i="6" s="1"/>
  <c r="R1643" i="6" s="1"/>
  <c r="S1643" i="6" s="1"/>
  <c r="T1643" i="6" s="1"/>
  <c r="AA6" i="6"/>
  <c r="Z6" i="6"/>
  <c r="L6" i="6"/>
  <c r="N6" i="6" s="1"/>
  <c r="I6" i="6"/>
  <c r="O6" i="6" s="1"/>
  <c r="G6" i="6"/>
  <c r="H6" i="6" s="1"/>
  <c r="L56" i="6"/>
  <c r="L57" i="6"/>
  <c r="L58" i="6"/>
  <c r="L64" i="6"/>
  <c r="L65" i="6"/>
  <c r="L66" i="6"/>
  <c r="L67" i="6"/>
  <c r="L68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N110" i="6" s="1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N126" i="6" s="1"/>
  <c r="L127" i="6"/>
  <c r="N127" i="6" s="1"/>
  <c r="L128" i="6"/>
  <c r="L129" i="6"/>
  <c r="L130" i="6"/>
  <c r="L131" i="6"/>
  <c r="L132" i="6"/>
  <c r="L133" i="6"/>
  <c r="L134" i="6"/>
  <c r="L135" i="6"/>
  <c r="L136" i="6"/>
  <c r="L137" i="6"/>
  <c r="L138" i="6"/>
  <c r="L139" i="6"/>
  <c r="L144" i="6"/>
  <c r="M144" i="6" s="1"/>
  <c r="L145" i="6"/>
  <c r="L146" i="6"/>
  <c r="L147" i="6"/>
  <c r="L148" i="6"/>
  <c r="N148" i="6" s="1"/>
  <c r="L149" i="6"/>
  <c r="L150" i="6"/>
  <c r="L151" i="6"/>
  <c r="L152" i="6"/>
  <c r="L153" i="6"/>
  <c r="L154" i="6"/>
  <c r="L155" i="6"/>
  <c r="L156" i="6"/>
  <c r="N156" i="6" s="1"/>
  <c r="L157" i="6"/>
  <c r="L158" i="6"/>
  <c r="M158" i="6" s="1"/>
  <c r="L159" i="6"/>
  <c r="L160" i="6"/>
  <c r="L161" i="6"/>
  <c r="L162" i="6"/>
  <c r="L163" i="6"/>
  <c r="L164" i="6"/>
  <c r="L165" i="6"/>
  <c r="L166" i="6"/>
  <c r="M166" i="6" s="1"/>
  <c r="L167" i="6"/>
  <c r="M167" i="6" s="1"/>
  <c r="L168" i="6"/>
  <c r="N168" i="6" s="1"/>
  <c r="L169" i="6"/>
  <c r="L170" i="6"/>
  <c r="N170" i="6" s="1"/>
  <c r="L171" i="6"/>
  <c r="L172" i="6"/>
  <c r="L173" i="6"/>
  <c r="N173" i="6" s="1"/>
  <c r="L174" i="6"/>
  <c r="L175" i="6"/>
  <c r="L176" i="6"/>
  <c r="N176" i="6" s="1"/>
  <c r="L177" i="6"/>
  <c r="L178" i="6"/>
  <c r="N178" i="6" s="1"/>
  <c r="L179" i="6"/>
  <c r="L180" i="6"/>
  <c r="L181" i="6"/>
  <c r="L182" i="6"/>
  <c r="L183" i="6"/>
  <c r="L184" i="6"/>
  <c r="N184" i="6" s="1"/>
  <c r="L185" i="6"/>
  <c r="L186" i="6"/>
  <c r="L187" i="6"/>
  <c r="L188" i="6"/>
  <c r="L189" i="6"/>
  <c r="L190" i="6"/>
  <c r="L191" i="6"/>
  <c r="L192" i="6"/>
  <c r="L193" i="6"/>
  <c r="L194" i="6"/>
  <c r="M194" i="6" s="1"/>
  <c r="L195" i="6"/>
  <c r="L196" i="6"/>
  <c r="L197" i="6"/>
  <c r="L198" i="6"/>
  <c r="N198" i="6" s="1"/>
  <c r="L199" i="6"/>
  <c r="L200" i="6"/>
  <c r="L201" i="6"/>
  <c r="M201" i="6" s="1"/>
  <c r="L202" i="6"/>
  <c r="L203" i="6"/>
  <c r="N203" i="6" s="1"/>
  <c r="L204" i="6"/>
  <c r="L205" i="6"/>
  <c r="N205" i="6" s="1"/>
  <c r="L206" i="6"/>
  <c r="L207" i="6"/>
  <c r="L208" i="6"/>
  <c r="M208" i="6" s="1"/>
  <c r="L209" i="6"/>
  <c r="L210" i="6"/>
  <c r="M210" i="6" s="1"/>
  <c r="L211" i="6"/>
  <c r="L212" i="6"/>
  <c r="L213" i="6"/>
  <c r="L214" i="6"/>
  <c r="L215" i="6"/>
  <c r="L216" i="6"/>
  <c r="N216" i="6" s="1"/>
  <c r="L217" i="6"/>
  <c r="L218" i="6"/>
  <c r="L219" i="6"/>
  <c r="L220" i="6"/>
  <c r="N220" i="6" s="1"/>
  <c r="L221" i="6"/>
  <c r="L222" i="6"/>
  <c r="L223" i="6"/>
  <c r="L224" i="6"/>
  <c r="L225" i="6"/>
  <c r="N225" i="6" s="1"/>
  <c r="L226" i="6"/>
  <c r="L227" i="6"/>
  <c r="L228" i="6"/>
  <c r="L229" i="6"/>
  <c r="L230" i="6"/>
  <c r="L231" i="6"/>
  <c r="L232" i="6"/>
  <c r="L233" i="6"/>
  <c r="N233" i="6" s="1"/>
  <c r="L234" i="6"/>
  <c r="L235" i="6"/>
  <c r="L236" i="6"/>
  <c r="N236" i="6" s="1"/>
  <c r="L237" i="6"/>
  <c r="L238" i="6"/>
  <c r="N238" i="6" s="1"/>
  <c r="L239" i="6"/>
  <c r="L240" i="6"/>
  <c r="N240" i="6" s="1"/>
  <c r="L241" i="6"/>
  <c r="L242" i="6"/>
  <c r="L243" i="6"/>
  <c r="L244" i="6"/>
  <c r="L245" i="6"/>
  <c r="N245" i="6" s="1"/>
  <c r="L246" i="6"/>
  <c r="L247" i="6"/>
  <c r="L248" i="6"/>
  <c r="L249" i="6"/>
  <c r="L250" i="6"/>
  <c r="L251" i="6"/>
  <c r="M251" i="6" s="1"/>
  <c r="L252" i="6"/>
  <c r="L253" i="6"/>
  <c r="N253" i="6" s="1"/>
  <c r="L254" i="6"/>
  <c r="L255" i="6"/>
  <c r="L256" i="6"/>
  <c r="N256" i="6" s="1"/>
  <c r="L257" i="6"/>
  <c r="L258" i="6"/>
  <c r="M258" i="6" s="1"/>
  <c r="L259" i="6"/>
  <c r="L260" i="6"/>
  <c r="N260" i="6" s="1"/>
  <c r="L261" i="6"/>
  <c r="L262" i="6"/>
  <c r="N262" i="6" s="1"/>
  <c r="L263" i="6"/>
  <c r="L264" i="6"/>
  <c r="N264" i="6" s="1"/>
  <c r="L265" i="6"/>
  <c r="L266" i="6"/>
  <c r="L267" i="6"/>
  <c r="L268" i="6"/>
  <c r="N268" i="6" s="1"/>
  <c r="L269" i="6"/>
  <c r="L270" i="6"/>
  <c r="N270" i="6" s="1"/>
  <c r="L271" i="6"/>
  <c r="L272" i="6"/>
  <c r="N272" i="6" s="1"/>
  <c r="L273" i="6"/>
  <c r="L274" i="6"/>
  <c r="L275" i="6"/>
  <c r="N275" i="6" s="1"/>
  <c r="L276" i="6"/>
  <c r="L277" i="6"/>
  <c r="L278" i="6"/>
  <c r="L279" i="6"/>
  <c r="L280" i="6"/>
  <c r="M280" i="6" s="1"/>
  <c r="L281" i="6"/>
  <c r="L282" i="6"/>
  <c r="N282" i="6" s="1"/>
  <c r="L283" i="6"/>
  <c r="N283" i="6" s="1"/>
  <c r="L284" i="6"/>
  <c r="L285" i="6"/>
  <c r="L286" i="6"/>
  <c r="M286" i="6" s="1"/>
  <c r="L287" i="6"/>
  <c r="N287" i="6" s="1"/>
  <c r="L288" i="6"/>
  <c r="L289" i="6"/>
  <c r="L290" i="6"/>
  <c r="L291" i="6"/>
  <c r="L292" i="6"/>
  <c r="L293" i="6"/>
  <c r="L294" i="6"/>
  <c r="N294" i="6" s="1"/>
  <c r="L295" i="6"/>
  <c r="L296" i="6"/>
  <c r="L297" i="6"/>
  <c r="M297" i="6" s="1"/>
  <c r="L298" i="6"/>
  <c r="L299" i="6"/>
  <c r="N299" i="6" s="1"/>
  <c r="L300" i="6"/>
  <c r="N300" i="6" s="1"/>
  <c r="L301" i="6"/>
  <c r="N301" i="6" s="1"/>
  <c r="L302" i="6"/>
  <c r="L303" i="6"/>
  <c r="L304" i="6"/>
  <c r="L305" i="6"/>
  <c r="L306" i="6"/>
  <c r="L307" i="6"/>
  <c r="L308" i="6"/>
  <c r="L309" i="6"/>
  <c r="L310" i="6"/>
  <c r="L311" i="6"/>
  <c r="L312" i="6"/>
  <c r="M312" i="6" s="1"/>
  <c r="L313" i="6"/>
  <c r="L314" i="6"/>
  <c r="L315" i="6"/>
  <c r="L316" i="6"/>
  <c r="N316" i="6" s="1"/>
  <c r="L317" i="6"/>
  <c r="L318" i="6"/>
  <c r="M318" i="6" s="1"/>
  <c r="L319" i="6"/>
  <c r="L320" i="6"/>
  <c r="N320" i="6" s="1"/>
  <c r="L321" i="6"/>
  <c r="L322" i="6"/>
  <c r="M322" i="6" s="1"/>
  <c r="L323" i="6"/>
  <c r="L324" i="6"/>
  <c r="N324" i="6" s="1"/>
  <c r="L325" i="6"/>
  <c r="L326" i="6"/>
  <c r="L327" i="6"/>
  <c r="N327" i="6" s="1"/>
  <c r="L328" i="6"/>
  <c r="N328" i="6" s="1"/>
  <c r="L329" i="6"/>
  <c r="L330" i="6"/>
  <c r="L331" i="6"/>
  <c r="N331" i="6" s="1"/>
  <c r="L332" i="6"/>
  <c r="L333" i="6"/>
  <c r="L334" i="6"/>
  <c r="L335" i="6"/>
  <c r="M335" i="6" s="1"/>
  <c r="L336" i="6"/>
  <c r="N336" i="6" s="1"/>
  <c r="L337" i="6"/>
  <c r="L338" i="6"/>
  <c r="N338" i="6" s="1"/>
  <c r="L339" i="6"/>
  <c r="L340" i="6"/>
  <c r="L341" i="6"/>
  <c r="M341" i="6" s="1"/>
  <c r="L342" i="6"/>
  <c r="L343" i="6"/>
  <c r="L344" i="6"/>
  <c r="L345" i="6"/>
  <c r="N345" i="6" s="1"/>
  <c r="L346" i="6"/>
  <c r="N346" i="6" s="1"/>
  <c r="L347" i="6"/>
  <c r="L348" i="6"/>
  <c r="L349" i="6"/>
  <c r="L350" i="6"/>
  <c r="L351" i="6"/>
  <c r="N351" i="6" s="1"/>
  <c r="L352" i="6"/>
  <c r="L353" i="6"/>
  <c r="L354" i="6"/>
  <c r="N354" i="6" s="1"/>
  <c r="L355" i="6"/>
  <c r="L356" i="6"/>
  <c r="N356" i="6" s="1"/>
  <c r="L357" i="6"/>
  <c r="L358" i="6"/>
  <c r="N358" i="6" s="1"/>
  <c r="L359" i="6"/>
  <c r="L360" i="6"/>
  <c r="L361" i="6"/>
  <c r="L362" i="6"/>
  <c r="L363" i="6"/>
  <c r="L364" i="6"/>
  <c r="M364" i="6" s="1"/>
  <c r="L365" i="6"/>
  <c r="L366" i="6"/>
  <c r="L367" i="6"/>
  <c r="L368" i="6"/>
  <c r="M368" i="6" s="1"/>
  <c r="L369" i="6"/>
  <c r="N369" i="6" s="1"/>
  <c r="L370" i="6"/>
  <c r="L371" i="6"/>
  <c r="L372" i="6"/>
  <c r="M372" i="6" s="1"/>
  <c r="L373" i="6"/>
  <c r="L374" i="6"/>
  <c r="L375" i="6"/>
  <c r="L376" i="6"/>
  <c r="L377" i="6"/>
  <c r="N377" i="6" s="1"/>
  <c r="L378" i="6"/>
  <c r="L379" i="6"/>
  <c r="L380" i="6"/>
  <c r="L381" i="6"/>
  <c r="N381" i="6" s="1"/>
  <c r="L382" i="6"/>
  <c r="M382" i="6" s="1"/>
  <c r="L383" i="6"/>
  <c r="L384" i="6"/>
  <c r="M384" i="6" s="1"/>
  <c r="L385" i="6"/>
  <c r="L386" i="6"/>
  <c r="L387" i="6"/>
  <c r="L388" i="6"/>
  <c r="M388" i="6" s="1"/>
  <c r="L389" i="6"/>
  <c r="N389" i="6" s="1"/>
  <c r="L390" i="6"/>
  <c r="L391" i="6"/>
  <c r="L392" i="6"/>
  <c r="L393" i="6"/>
  <c r="L394" i="6"/>
  <c r="L395" i="6"/>
  <c r="N395" i="6" s="1"/>
  <c r="L396" i="6"/>
  <c r="L397" i="6"/>
  <c r="L398" i="6"/>
  <c r="N398" i="6" s="1"/>
  <c r="L399" i="6"/>
  <c r="M399" i="6" s="1"/>
  <c r="L400" i="6"/>
  <c r="N400" i="6" s="1"/>
  <c r="L401" i="6"/>
  <c r="L402" i="6"/>
  <c r="N402" i="6" s="1"/>
  <c r="L403" i="6"/>
  <c r="L404" i="6"/>
  <c r="N404" i="6" s="1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N417" i="6" s="1"/>
  <c r="L418" i="6"/>
  <c r="L419" i="6"/>
  <c r="L420" i="6"/>
  <c r="L421" i="6"/>
  <c r="N421" i="6" s="1"/>
  <c r="L422" i="6"/>
  <c r="N422" i="6" s="1"/>
  <c r="L423" i="6"/>
  <c r="L424" i="6"/>
  <c r="L425" i="6"/>
  <c r="N425" i="6" s="1"/>
  <c r="L426" i="6"/>
  <c r="L427" i="6"/>
  <c r="L428" i="6"/>
  <c r="L429" i="6"/>
  <c r="N429" i="6" s="1"/>
  <c r="L430" i="6"/>
  <c r="N430" i="6" s="1"/>
  <c r="L431" i="6"/>
  <c r="N431" i="6" s="1"/>
  <c r="L432" i="6"/>
  <c r="L433" i="6"/>
  <c r="L434" i="6"/>
  <c r="M434" i="6" s="1"/>
  <c r="L435" i="6"/>
  <c r="L436" i="6"/>
  <c r="L437" i="6"/>
  <c r="L438" i="6"/>
  <c r="L439" i="6"/>
  <c r="L440" i="6"/>
  <c r="N440" i="6" s="1"/>
  <c r="L441" i="6"/>
  <c r="L442" i="6"/>
  <c r="L443" i="6"/>
  <c r="L444" i="6"/>
  <c r="N444" i="6" s="1"/>
  <c r="L445" i="6"/>
  <c r="L446" i="6"/>
  <c r="L447" i="6"/>
  <c r="M447" i="6" s="1"/>
  <c r="L448" i="6"/>
  <c r="L449" i="6"/>
  <c r="L450" i="6"/>
  <c r="L451" i="6"/>
  <c r="M451" i="6" s="1"/>
  <c r="L452" i="6"/>
  <c r="L453" i="6"/>
  <c r="N453" i="6" s="1"/>
  <c r="L454" i="6"/>
  <c r="M454" i="6" s="1"/>
  <c r="L455" i="6"/>
  <c r="N455" i="6" s="1"/>
  <c r="L456" i="6"/>
  <c r="L457" i="6"/>
  <c r="N457" i="6" s="1"/>
  <c r="L458" i="6"/>
  <c r="N458" i="6" s="1"/>
  <c r="L459" i="6"/>
  <c r="N459" i="6" s="1"/>
  <c r="L460" i="6"/>
  <c r="L461" i="6"/>
  <c r="M461" i="6" s="1"/>
  <c r="L462" i="6"/>
  <c r="N462" i="6" s="1"/>
  <c r="L463" i="6"/>
  <c r="N463" i="6" s="1"/>
  <c r="L464" i="6"/>
  <c r="L465" i="6"/>
  <c r="M465" i="6" s="1"/>
  <c r="L466" i="6"/>
  <c r="M466" i="6" s="1"/>
  <c r="L467" i="6"/>
  <c r="N467" i="6" s="1"/>
  <c r="L468" i="6"/>
  <c r="L469" i="6"/>
  <c r="N469" i="6" s="1"/>
  <c r="L470" i="6"/>
  <c r="N470" i="6" s="1"/>
  <c r="L471" i="6"/>
  <c r="N471" i="6" s="1"/>
  <c r="L472" i="6"/>
  <c r="N472" i="6" s="1"/>
  <c r="L473" i="6"/>
  <c r="M473" i="6" s="1"/>
  <c r="L474" i="6"/>
  <c r="N474" i="6" s="1"/>
  <c r="L475" i="6"/>
  <c r="N475" i="6" s="1"/>
  <c r="L476" i="6"/>
  <c r="N476" i="6" s="1"/>
  <c r="L477" i="6"/>
  <c r="L478" i="6"/>
  <c r="N478" i="6" s="1"/>
  <c r="L479" i="6"/>
  <c r="L480" i="6"/>
  <c r="L481" i="6"/>
  <c r="M481" i="6" s="1"/>
  <c r="L482" i="6"/>
  <c r="M482" i="6" s="1"/>
  <c r="L483" i="6"/>
  <c r="N483" i="6" s="1"/>
  <c r="L484" i="6"/>
  <c r="L485" i="6"/>
  <c r="L486" i="6"/>
  <c r="M486" i="6" s="1"/>
  <c r="L487" i="6"/>
  <c r="L488" i="6"/>
  <c r="N488" i="6" s="1"/>
  <c r="L489" i="6"/>
  <c r="M489" i="6" s="1"/>
  <c r="L490" i="6"/>
  <c r="M490" i="6" s="1"/>
  <c r="L491" i="6"/>
  <c r="L492" i="6"/>
  <c r="L493" i="6"/>
  <c r="M493" i="6" s="1"/>
  <c r="L494" i="6"/>
  <c r="N494" i="6" s="1"/>
  <c r="L495" i="6"/>
  <c r="N495" i="6" s="1"/>
  <c r="L496" i="6"/>
  <c r="L497" i="6"/>
  <c r="N497" i="6" s="1"/>
  <c r="L498" i="6"/>
  <c r="N498" i="6" s="1"/>
  <c r="L499" i="6"/>
  <c r="L500" i="6"/>
  <c r="N500" i="6" s="1"/>
  <c r="L501" i="6"/>
  <c r="N501" i="6" s="1"/>
  <c r="L502" i="6"/>
  <c r="L503" i="6"/>
  <c r="M503" i="6" s="1"/>
  <c r="L504" i="6"/>
  <c r="N504" i="6" s="1"/>
  <c r="L505" i="6"/>
  <c r="L506" i="6"/>
  <c r="N506" i="6" s="1"/>
  <c r="L507" i="6"/>
  <c r="M507" i="6" s="1"/>
  <c r="L508" i="6"/>
  <c r="L509" i="6"/>
  <c r="N509" i="6" s="1"/>
  <c r="L510" i="6"/>
  <c r="M510" i="6" s="1"/>
  <c r="L511" i="6"/>
  <c r="M511" i="6" s="1"/>
  <c r="L512" i="6"/>
  <c r="N512" i="6" s="1"/>
  <c r="L513" i="6"/>
  <c r="M513" i="6" s="1"/>
  <c r="L514" i="6"/>
  <c r="N514" i="6" s="1"/>
  <c r="L515" i="6"/>
  <c r="N515" i="6" s="1"/>
  <c r="L516" i="6"/>
  <c r="M516" i="6" s="1"/>
  <c r="L517" i="6"/>
  <c r="N517" i="6" s="1"/>
  <c r="L518" i="6"/>
  <c r="N518" i="6" s="1"/>
  <c r="L519" i="6"/>
  <c r="L520" i="6"/>
  <c r="N520" i="6" s="1"/>
  <c r="L521" i="6"/>
  <c r="L522" i="6"/>
  <c r="M522" i="6" s="1"/>
  <c r="L523" i="6"/>
  <c r="M523" i="6" s="1"/>
  <c r="L524" i="6"/>
  <c r="N524" i="6" s="1"/>
  <c r="L525" i="6"/>
  <c r="L526" i="6"/>
  <c r="L527" i="6"/>
  <c r="N527" i="6" s="1"/>
  <c r="L528" i="6"/>
  <c r="L529" i="6"/>
  <c r="N529" i="6" s="1"/>
  <c r="L530" i="6"/>
  <c r="L531" i="6"/>
  <c r="N531" i="6" s="1"/>
  <c r="L532" i="6"/>
  <c r="L533" i="6"/>
  <c r="L534" i="6"/>
  <c r="L535" i="6"/>
  <c r="N535" i="6" s="1"/>
  <c r="L536" i="6"/>
  <c r="M536" i="6" s="1"/>
  <c r="L537" i="6"/>
  <c r="N537" i="6" s="1"/>
  <c r="L538" i="6"/>
  <c r="N538" i="6" s="1"/>
  <c r="L539" i="6"/>
  <c r="L540" i="6"/>
  <c r="M540" i="6" s="1"/>
  <c r="L541" i="6"/>
  <c r="L542" i="6"/>
  <c r="N542" i="6" s="1"/>
  <c r="L543" i="6"/>
  <c r="N543" i="6" s="1"/>
  <c r="L544" i="6"/>
  <c r="N544" i="6" s="1"/>
  <c r="L545" i="6"/>
  <c r="M545" i="6" s="1"/>
  <c r="L546" i="6"/>
  <c r="N546" i="6" s="1"/>
  <c r="L547" i="6"/>
  <c r="M547" i="6" s="1"/>
  <c r="L548" i="6"/>
  <c r="N548" i="6" s="1"/>
  <c r="L549" i="6"/>
  <c r="L550" i="6"/>
  <c r="L551" i="6"/>
  <c r="N551" i="6" s="1"/>
  <c r="L552" i="6"/>
  <c r="L553" i="6"/>
  <c r="L554" i="6"/>
  <c r="M554" i="6" s="1"/>
  <c r="L555" i="6"/>
  <c r="L556" i="6"/>
  <c r="L557" i="6"/>
  <c r="N557" i="6" s="1"/>
  <c r="L558" i="6"/>
  <c r="N558" i="6" s="1"/>
  <c r="L559" i="6"/>
  <c r="N559" i="6" s="1"/>
  <c r="L560" i="6"/>
  <c r="N560" i="6" s="1"/>
  <c r="L561" i="6"/>
  <c r="N561" i="6" s="1"/>
  <c r="L562" i="6"/>
  <c r="L563" i="6"/>
  <c r="L564" i="6"/>
  <c r="L565" i="6"/>
  <c r="L566" i="6"/>
  <c r="L567" i="6"/>
  <c r="L568" i="6"/>
  <c r="N568" i="6" s="1"/>
  <c r="L569" i="6"/>
  <c r="M569" i="6" s="1"/>
  <c r="L570" i="6"/>
  <c r="L571" i="6"/>
  <c r="N571" i="6" s="1"/>
  <c r="L572" i="6"/>
  <c r="N572" i="6" s="1"/>
  <c r="L573" i="6"/>
  <c r="M573" i="6" s="1"/>
  <c r="L574" i="6"/>
  <c r="N574" i="6" s="1"/>
  <c r="L575" i="6"/>
  <c r="N575" i="6" s="1"/>
  <c r="L576" i="6"/>
  <c r="N576" i="6" s="1"/>
  <c r="L577" i="6"/>
  <c r="L578" i="6"/>
  <c r="L579" i="6"/>
  <c r="N579" i="6" s="1"/>
  <c r="L580" i="6"/>
  <c r="N580" i="6" s="1"/>
  <c r="L581" i="6"/>
  <c r="M581" i="6" s="1"/>
  <c r="L582" i="6"/>
  <c r="L583" i="6"/>
  <c r="N583" i="6" s="1"/>
  <c r="L584" i="6"/>
  <c r="N584" i="6" s="1"/>
  <c r="L585" i="6"/>
  <c r="L586" i="6"/>
  <c r="L587" i="6"/>
  <c r="M587" i="6" s="1"/>
  <c r="L588" i="6"/>
  <c r="N588" i="6" s="1"/>
  <c r="L589" i="6"/>
  <c r="N589" i="6" s="1"/>
  <c r="L590" i="6"/>
  <c r="M590" i="6" s="1"/>
  <c r="L591" i="6"/>
  <c r="M591" i="6" s="1"/>
  <c r="L592" i="6"/>
  <c r="N592" i="6" s="1"/>
  <c r="L593" i="6"/>
  <c r="N593" i="6" s="1"/>
  <c r="L594" i="6"/>
  <c r="M594" i="6" s="1"/>
  <c r="L595" i="6"/>
  <c r="M595" i="6" s="1"/>
  <c r="L596" i="6"/>
  <c r="N596" i="6" s="1"/>
  <c r="L597" i="6"/>
  <c r="M597" i="6" s="1"/>
  <c r="L598" i="6"/>
  <c r="N598" i="6" s="1"/>
  <c r="L599" i="6"/>
  <c r="M599" i="6" s="1"/>
  <c r="L600" i="6"/>
  <c r="L601" i="6"/>
  <c r="L602" i="6"/>
  <c r="N602" i="6" s="1"/>
  <c r="L603" i="6"/>
  <c r="N603" i="6" s="1"/>
  <c r="L604" i="6"/>
  <c r="L605" i="6"/>
  <c r="L606" i="6"/>
  <c r="N606" i="6" s="1"/>
  <c r="L607" i="6"/>
  <c r="L608" i="6"/>
  <c r="L609" i="6"/>
  <c r="L610" i="6"/>
  <c r="M610" i="6" s="1"/>
  <c r="L611" i="6"/>
  <c r="M611" i="6" s="1"/>
  <c r="L612" i="6"/>
  <c r="L613" i="6"/>
  <c r="L614" i="6"/>
  <c r="L615" i="6"/>
  <c r="N615" i="6" s="1"/>
  <c r="L616" i="6"/>
  <c r="M616" i="6" s="1"/>
  <c r="L617" i="6"/>
  <c r="N617" i="6" s="1"/>
  <c r="L618" i="6"/>
  <c r="N618" i="6" s="1"/>
  <c r="L619" i="6"/>
  <c r="L620" i="6"/>
  <c r="L621" i="6"/>
  <c r="L622" i="6"/>
  <c r="M622" i="6" s="1"/>
  <c r="L623" i="6"/>
  <c r="M623" i="6" s="1"/>
  <c r="L624" i="6"/>
  <c r="N624" i="6" s="1"/>
  <c r="L625" i="6"/>
  <c r="L626" i="6"/>
  <c r="L627" i="6"/>
  <c r="N627" i="6" s="1"/>
  <c r="L628" i="6"/>
  <c r="M628" i="6" s="1"/>
  <c r="L629" i="6"/>
  <c r="L630" i="6"/>
  <c r="L631" i="6"/>
  <c r="N631" i="6" s="1"/>
  <c r="L632" i="6"/>
  <c r="N632" i="6" s="1"/>
  <c r="L633" i="6"/>
  <c r="L634" i="6"/>
  <c r="N634" i="6" s="1"/>
  <c r="L635" i="6"/>
  <c r="N635" i="6" s="1"/>
  <c r="L636" i="6"/>
  <c r="L637" i="6"/>
  <c r="L638" i="6"/>
  <c r="N638" i="6" s="1"/>
  <c r="L639" i="6"/>
  <c r="M639" i="6" s="1"/>
  <c r="L640" i="6"/>
  <c r="M640" i="6" s="1"/>
  <c r="L641" i="6"/>
  <c r="N641" i="6" s="1"/>
  <c r="L642" i="6"/>
  <c r="N642" i="6" s="1"/>
  <c r="L643" i="6"/>
  <c r="L644" i="6"/>
  <c r="M644" i="6" s="1"/>
  <c r="L645" i="6"/>
  <c r="M645" i="6" s="1"/>
  <c r="L646" i="6"/>
  <c r="N646" i="6" s="1"/>
  <c r="L647" i="6"/>
  <c r="M647" i="6" s="1"/>
  <c r="L648" i="6"/>
  <c r="L649" i="6"/>
  <c r="L650" i="6"/>
  <c r="L651" i="6"/>
  <c r="M651" i="6" s="1"/>
  <c r="L652" i="6"/>
  <c r="N652" i="6" s="1"/>
  <c r="L653" i="6"/>
  <c r="M653" i="6" s="1"/>
  <c r="L654" i="6"/>
  <c r="L655" i="6"/>
  <c r="M655" i="6" s="1"/>
  <c r="L656" i="6"/>
  <c r="M656" i="6" s="1"/>
  <c r="L657" i="6"/>
  <c r="L658" i="6"/>
  <c r="N658" i="6" s="1"/>
  <c r="L659" i="6"/>
  <c r="N659" i="6" s="1"/>
  <c r="L660" i="6"/>
  <c r="N660" i="6" s="1"/>
  <c r="L661" i="6"/>
  <c r="N661" i="6" s="1"/>
  <c r="L662" i="6"/>
  <c r="L663" i="6"/>
  <c r="N663" i="6" s="1"/>
  <c r="L664" i="6"/>
  <c r="M664" i="6" s="1"/>
  <c r="L665" i="6"/>
  <c r="N665" i="6" s="1"/>
  <c r="L666" i="6"/>
  <c r="N666" i="6" s="1"/>
  <c r="L667" i="6"/>
  <c r="L668" i="6"/>
  <c r="L669" i="6"/>
  <c r="L670" i="6"/>
  <c r="M670" i="6" s="1"/>
  <c r="L671" i="6"/>
  <c r="N671" i="6" s="1"/>
  <c r="L672" i="6"/>
  <c r="L673" i="6"/>
  <c r="N673" i="6" s="1"/>
  <c r="L674" i="6"/>
  <c r="M674" i="6" s="1"/>
  <c r="L675" i="6"/>
  <c r="N675" i="6" s="1"/>
  <c r="L676" i="6"/>
  <c r="N676" i="6" s="1"/>
  <c r="L677" i="6"/>
  <c r="N677" i="6" s="1"/>
  <c r="L678" i="6"/>
  <c r="L679" i="6"/>
  <c r="M679" i="6" s="1"/>
  <c r="L680" i="6"/>
  <c r="L681" i="6"/>
  <c r="N681" i="6" s="1"/>
  <c r="L682" i="6"/>
  <c r="M682" i="6" s="1"/>
  <c r="L683" i="6"/>
  <c r="N683" i="6" s="1"/>
  <c r="L684" i="6"/>
  <c r="M684" i="6" s="1"/>
  <c r="L685" i="6"/>
  <c r="L686" i="6"/>
  <c r="M686" i="6" s="1"/>
  <c r="L687" i="6"/>
  <c r="L688" i="6"/>
  <c r="L689" i="6"/>
  <c r="N689" i="6" s="1"/>
  <c r="L690" i="6"/>
  <c r="N690" i="6" s="1"/>
  <c r="L691" i="6"/>
  <c r="N691" i="6" s="1"/>
  <c r="L692" i="6"/>
  <c r="N692" i="6" s="1"/>
  <c r="L693" i="6"/>
  <c r="N693" i="6" s="1"/>
  <c r="L694" i="6"/>
  <c r="M694" i="6" s="1"/>
  <c r="L695" i="6"/>
  <c r="L696" i="6"/>
  <c r="L697" i="6"/>
  <c r="M697" i="6" s="1"/>
  <c r="L698" i="6"/>
  <c r="L699" i="6"/>
  <c r="N699" i="6" s="1"/>
  <c r="L700" i="6"/>
  <c r="L701" i="6"/>
  <c r="L702" i="6"/>
  <c r="N702" i="6" s="1"/>
  <c r="L703" i="6"/>
  <c r="M703" i="6" s="1"/>
  <c r="L704" i="6"/>
  <c r="M704" i="6" s="1"/>
  <c r="L705" i="6"/>
  <c r="M705" i="6" s="1"/>
  <c r="L706" i="6"/>
  <c r="L707" i="6"/>
  <c r="N707" i="6" s="1"/>
  <c r="L708" i="6"/>
  <c r="N708" i="6" s="1"/>
  <c r="L709" i="6"/>
  <c r="N709" i="6" s="1"/>
  <c r="L710" i="6"/>
  <c r="L711" i="6"/>
  <c r="N711" i="6" s="1"/>
  <c r="L712" i="6"/>
  <c r="L713" i="6"/>
  <c r="L714" i="6"/>
  <c r="L715" i="6"/>
  <c r="M715" i="6" s="1"/>
  <c r="L716" i="6"/>
  <c r="N716" i="6" s="1"/>
  <c r="L717" i="6"/>
  <c r="L718" i="6"/>
  <c r="N718" i="6" s="1"/>
  <c r="L719" i="6"/>
  <c r="M719" i="6" s="1"/>
  <c r="L720" i="6"/>
  <c r="M720" i="6" s="1"/>
  <c r="L721" i="6"/>
  <c r="N721" i="6" s="1"/>
  <c r="L722" i="6"/>
  <c r="M722" i="6" s="1"/>
  <c r="L723" i="6"/>
  <c r="L724" i="6"/>
  <c r="N724" i="6" s="1"/>
  <c r="L725" i="6"/>
  <c r="L726" i="6"/>
  <c r="N726" i="6" s="1"/>
  <c r="L727" i="6"/>
  <c r="N727" i="6" s="1"/>
  <c r="L728" i="6"/>
  <c r="L729" i="6"/>
  <c r="L730" i="6"/>
  <c r="M730" i="6"/>
  <c r="L731" i="6"/>
  <c r="M731" i="6" s="1"/>
  <c r="L732" i="6"/>
  <c r="L733" i="6"/>
  <c r="N733" i="6" s="1"/>
  <c r="L734" i="6"/>
  <c r="N734" i="6" s="1"/>
  <c r="L735" i="6"/>
  <c r="N735" i="6" s="1"/>
  <c r="L736" i="6"/>
  <c r="M736" i="6" s="1"/>
  <c r="L737" i="6"/>
  <c r="L738" i="6"/>
  <c r="M738" i="6" s="1"/>
  <c r="L739" i="6"/>
  <c r="L740" i="6"/>
  <c r="N740" i="6" s="1"/>
  <c r="L741" i="6"/>
  <c r="L742" i="6"/>
  <c r="N742" i="6" s="1"/>
  <c r="L743" i="6"/>
  <c r="M743" i="6" s="1"/>
  <c r="L744" i="6"/>
  <c r="M744" i="6" s="1"/>
  <c r="L745" i="6"/>
  <c r="M745" i="6" s="1"/>
  <c r="L746" i="6"/>
  <c r="M746" i="6" s="1"/>
  <c r="L747" i="6"/>
  <c r="N747" i="6" s="1"/>
  <c r="L748" i="6"/>
  <c r="N748" i="6" s="1"/>
  <c r="L749" i="6"/>
  <c r="L750" i="6"/>
  <c r="N750" i="6" s="1"/>
  <c r="L751" i="6"/>
  <c r="N751" i="6" s="1"/>
  <c r="L752" i="6"/>
  <c r="N752" i="6" s="1"/>
  <c r="L753" i="6"/>
  <c r="L754" i="6"/>
  <c r="N754" i="6" s="1"/>
  <c r="L755" i="6"/>
  <c r="M755" i="6" s="1"/>
  <c r="L756" i="6"/>
  <c r="L757" i="6"/>
  <c r="L758" i="6"/>
  <c r="M758" i="6" s="1"/>
  <c r="L759" i="6"/>
  <c r="N759" i="6" s="1"/>
  <c r="L760" i="6"/>
  <c r="L761" i="6"/>
  <c r="L762" i="6"/>
  <c r="N762" i="6" s="1"/>
  <c r="L763" i="6"/>
  <c r="L764" i="6"/>
  <c r="M764" i="6" s="1"/>
  <c r="L765" i="6"/>
  <c r="L766" i="6"/>
  <c r="N766" i="6" s="1"/>
  <c r="L767" i="6"/>
  <c r="N767" i="6" s="1"/>
  <c r="L768" i="6"/>
  <c r="M768" i="6" s="1"/>
  <c r="L769" i="6"/>
  <c r="N769" i="6" s="1"/>
  <c r="L770" i="6"/>
  <c r="M770" i="6" s="1"/>
  <c r="L771" i="6"/>
  <c r="N771" i="6" s="1"/>
  <c r="L772" i="6"/>
  <c r="L773" i="6"/>
  <c r="L774" i="6"/>
  <c r="N774" i="6" s="1"/>
  <c r="L775" i="6"/>
  <c r="M775" i="6" s="1"/>
  <c r="L776" i="6"/>
  <c r="N776" i="6" s="1"/>
  <c r="L777" i="6"/>
  <c r="M777" i="6" s="1"/>
  <c r="L778" i="6"/>
  <c r="N778" i="6" s="1"/>
  <c r="L779" i="6"/>
  <c r="L780" i="6"/>
  <c r="N780" i="6" s="1"/>
  <c r="L781" i="6"/>
  <c r="N781" i="6" s="1"/>
  <c r="L782" i="6"/>
  <c r="M782" i="6" s="1"/>
  <c r="L783" i="6"/>
  <c r="L784" i="6"/>
  <c r="N784" i="6" s="1"/>
  <c r="L785" i="6"/>
  <c r="M785" i="6" s="1"/>
  <c r="L786" i="6"/>
  <c r="L787" i="6"/>
  <c r="N787" i="6" s="1"/>
  <c r="L788" i="6"/>
  <c r="M788" i="6" s="1"/>
  <c r="L789" i="6"/>
  <c r="M789" i="6" s="1"/>
  <c r="L790" i="6"/>
  <c r="N790" i="6" s="1"/>
  <c r="L791" i="6"/>
  <c r="L792" i="6"/>
  <c r="L793" i="6"/>
  <c r="L794" i="6"/>
  <c r="M794" i="6" s="1"/>
  <c r="L795" i="6"/>
  <c r="L796" i="6"/>
  <c r="N796" i="6" s="1"/>
  <c r="L797" i="6"/>
  <c r="N797" i="6" s="1"/>
  <c r="L798" i="6"/>
  <c r="L799" i="6"/>
  <c r="N799" i="6" s="1"/>
  <c r="L800" i="6"/>
  <c r="L801" i="6"/>
  <c r="N801" i="6" s="1"/>
  <c r="L802" i="6"/>
  <c r="M802" i="6" s="1"/>
  <c r="L803" i="6"/>
  <c r="L804" i="6"/>
  <c r="N804" i="6" s="1"/>
  <c r="L805" i="6"/>
  <c r="L806" i="6"/>
  <c r="N806" i="6" s="1"/>
  <c r="L807" i="6"/>
  <c r="M807" i="6" s="1"/>
  <c r="L808" i="6"/>
  <c r="L809" i="6"/>
  <c r="M809" i="6" s="1"/>
  <c r="L810" i="6"/>
  <c r="N810" i="6" s="1"/>
  <c r="L811" i="6"/>
  <c r="M811" i="6" s="1"/>
  <c r="L812" i="6"/>
  <c r="L813" i="6"/>
  <c r="L814" i="6"/>
  <c r="N814" i="6" s="1"/>
  <c r="L815" i="6"/>
  <c r="N815" i="6" s="1"/>
  <c r="L816" i="6"/>
  <c r="L817" i="6"/>
  <c r="M817" i="6" s="1"/>
  <c r="L818" i="6"/>
  <c r="L819" i="6"/>
  <c r="N819" i="6" s="1"/>
  <c r="L820" i="6"/>
  <c r="L821" i="6"/>
  <c r="N821" i="6" s="1"/>
  <c r="L822" i="6"/>
  <c r="M822" i="6" s="1"/>
  <c r="L823" i="6"/>
  <c r="N823" i="6" s="1"/>
  <c r="L824" i="6"/>
  <c r="L825" i="6"/>
  <c r="M825" i="6" s="1"/>
  <c r="L826" i="6"/>
  <c r="M826" i="6" s="1"/>
  <c r="L827" i="6"/>
  <c r="M827" i="6" s="1"/>
  <c r="L828" i="6"/>
  <c r="N828" i="6" s="1"/>
  <c r="L829" i="6"/>
  <c r="M829" i="6" s="1"/>
  <c r="L830" i="6"/>
  <c r="N830" i="6" s="1"/>
  <c r="L831" i="6"/>
  <c r="M831" i="6" s="1"/>
  <c r="L832" i="6"/>
  <c r="L833" i="6"/>
  <c r="N833" i="6" s="1"/>
  <c r="L834" i="6"/>
  <c r="L835" i="6"/>
  <c r="N835" i="6" s="1"/>
  <c r="L836" i="6"/>
  <c r="M836" i="6" s="1"/>
  <c r="L837" i="6"/>
  <c r="L838" i="6"/>
  <c r="L839" i="6"/>
  <c r="M839" i="6" s="1"/>
  <c r="L840" i="6"/>
  <c r="N840" i="6" s="1"/>
  <c r="L841" i="6"/>
  <c r="M841" i="6" s="1"/>
  <c r="L842" i="6"/>
  <c r="M842" i="6" s="1"/>
  <c r="L843" i="6"/>
  <c r="N843" i="6" s="1"/>
  <c r="L844" i="6"/>
  <c r="L845" i="6"/>
  <c r="L846" i="6"/>
  <c r="M846" i="6" s="1"/>
  <c r="L847" i="6"/>
  <c r="M847" i="6" s="1"/>
  <c r="L848" i="6"/>
  <c r="M848" i="6" s="1"/>
  <c r="L849" i="6"/>
  <c r="L850" i="6"/>
  <c r="M850" i="6" s="1"/>
  <c r="L851" i="6"/>
  <c r="L852" i="6"/>
  <c r="L853" i="6"/>
  <c r="L854" i="6"/>
  <c r="L855" i="6"/>
  <c r="N855" i="6" s="1"/>
  <c r="L856" i="6"/>
  <c r="L857" i="6"/>
  <c r="N857" i="6" s="1"/>
  <c r="L858" i="6"/>
  <c r="M858" i="6" s="1"/>
  <c r="L859" i="6"/>
  <c r="L860" i="6"/>
  <c r="L861" i="6"/>
  <c r="L862" i="6"/>
  <c r="M862" i="6" s="1"/>
  <c r="L863" i="6"/>
  <c r="M863" i="6" s="1"/>
  <c r="L864" i="6"/>
  <c r="L865" i="6"/>
  <c r="M865" i="6" s="1"/>
  <c r="L866" i="6"/>
  <c r="N866" i="6" s="1"/>
  <c r="L867" i="6"/>
  <c r="N867" i="6" s="1"/>
  <c r="L868" i="6"/>
  <c r="N868" i="6" s="1"/>
  <c r="L869" i="6"/>
  <c r="L870" i="6"/>
  <c r="L871" i="6"/>
  <c r="L872" i="6"/>
  <c r="L873" i="6"/>
  <c r="N873" i="6" s="1"/>
  <c r="L874" i="6"/>
  <c r="N874" i="6" s="1"/>
  <c r="L875" i="6"/>
  <c r="N875" i="6" s="1"/>
  <c r="L876" i="6"/>
  <c r="L877" i="6"/>
  <c r="L878" i="6"/>
  <c r="L879" i="6"/>
  <c r="L880" i="6"/>
  <c r="L881" i="6"/>
  <c r="N881" i="6" s="1"/>
  <c r="L882" i="6"/>
  <c r="N882" i="6" s="1"/>
  <c r="L883" i="6"/>
  <c r="M883" i="6" s="1"/>
  <c r="L884" i="6"/>
  <c r="N884" i="6" s="1"/>
  <c r="L885" i="6"/>
  <c r="L886" i="6"/>
  <c r="M886" i="6" s="1"/>
  <c r="L887" i="6"/>
  <c r="M887" i="6" s="1"/>
  <c r="L888" i="6"/>
  <c r="M888" i="6" s="1"/>
  <c r="L889" i="6"/>
  <c r="M889" i="6" s="1"/>
  <c r="L890" i="6"/>
  <c r="L891" i="6"/>
  <c r="L892" i="6"/>
  <c r="L893" i="6"/>
  <c r="M893" i="6" s="1"/>
  <c r="L894" i="6"/>
  <c r="M894" i="6" s="1"/>
  <c r="L895" i="6"/>
  <c r="M895" i="6" s="1"/>
  <c r="L896" i="6"/>
  <c r="L897" i="6"/>
  <c r="N897" i="6" s="1"/>
  <c r="L898" i="6"/>
  <c r="M898" i="6" s="1"/>
  <c r="L899" i="6"/>
  <c r="M899" i="6" s="1"/>
  <c r="L900" i="6"/>
  <c r="N900" i="6" s="1"/>
  <c r="L901" i="6"/>
  <c r="M901" i="6" s="1"/>
  <c r="L902" i="6"/>
  <c r="M902" i="6" s="1"/>
  <c r="L903" i="6"/>
  <c r="N903" i="6" s="1"/>
  <c r="L904" i="6"/>
  <c r="L905" i="6"/>
  <c r="L906" i="6"/>
  <c r="M906" i="6" s="1"/>
  <c r="L907" i="6"/>
  <c r="M907" i="6" s="1"/>
  <c r="L908" i="6"/>
  <c r="N908" i="6" s="1"/>
  <c r="L909" i="6"/>
  <c r="M909" i="6" s="1"/>
  <c r="L910" i="6"/>
  <c r="M910" i="6" s="1"/>
  <c r="L911" i="6"/>
  <c r="M911" i="6" s="1"/>
  <c r="L912" i="6"/>
  <c r="L913" i="6"/>
  <c r="L914" i="6"/>
  <c r="L915" i="6"/>
  <c r="N915" i="6" s="1"/>
  <c r="L916" i="6"/>
  <c r="N916" i="6" s="1"/>
  <c r="L917" i="6"/>
  <c r="N917" i="6" s="1"/>
  <c r="L918" i="6"/>
  <c r="M918" i="6" s="1"/>
  <c r="L919" i="6"/>
  <c r="M919" i="6" s="1"/>
  <c r="L920" i="6"/>
  <c r="L921" i="6"/>
  <c r="N921" i="6" s="1"/>
  <c r="L922" i="6"/>
  <c r="L923" i="6"/>
  <c r="N923" i="6" s="1"/>
  <c r="L924" i="6"/>
  <c r="L925" i="6"/>
  <c r="M925" i="6" s="1"/>
  <c r="L926" i="6"/>
  <c r="N926" i="6" s="1"/>
  <c r="L927" i="6"/>
  <c r="N927" i="6" s="1"/>
  <c r="L928" i="6"/>
  <c r="L929" i="6"/>
  <c r="N929" i="6" s="1"/>
  <c r="L930" i="6"/>
  <c r="N930" i="6" s="1"/>
  <c r="L931" i="6"/>
  <c r="N931" i="6" s="1"/>
  <c r="L932" i="6"/>
  <c r="M932" i="6" s="1"/>
  <c r="L933" i="6"/>
  <c r="M933" i="6" s="1"/>
  <c r="L934" i="6"/>
  <c r="L935" i="6"/>
  <c r="N935" i="6" s="1"/>
  <c r="L936" i="6"/>
  <c r="L937" i="6"/>
  <c r="L938" i="6"/>
  <c r="N938" i="6" s="1"/>
  <c r="L939" i="6"/>
  <c r="M939" i="6" s="1"/>
  <c r="L940" i="6"/>
  <c r="N940" i="6" s="1"/>
  <c r="L941" i="6"/>
  <c r="L942" i="6"/>
  <c r="N942" i="6" s="1"/>
  <c r="L943" i="6"/>
  <c r="L944" i="6"/>
  <c r="N944" i="6" s="1"/>
  <c r="L945" i="6"/>
  <c r="M945" i="6" s="1"/>
  <c r="L946" i="6"/>
  <c r="L947" i="6"/>
  <c r="M947" i="6" s="1"/>
  <c r="L948" i="6"/>
  <c r="L949" i="6"/>
  <c r="M949" i="6" s="1"/>
  <c r="L950" i="6"/>
  <c r="N950" i="6" s="1"/>
  <c r="L951" i="6"/>
  <c r="L952" i="6"/>
  <c r="L953" i="6"/>
  <c r="M953" i="6"/>
  <c r="L954" i="6"/>
  <c r="L955" i="6"/>
  <c r="L956" i="6"/>
  <c r="L957" i="6"/>
  <c r="L958" i="6"/>
  <c r="L959" i="6"/>
  <c r="N959" i="6" s="1"/>
  <c r="L960" i="6"/>
  <c r="L961" i="6"/>
  <c r="L962" i="6"/>
  <c r="M962" i="6" s="1"/>
  <c r="L963" i="6"/>
  <c r="L964" i="6"/>
  <c r="L965" i="6"/>
  <c r="N965" i="6" s="1"/>
  <c r="L966" i="6"/>
  <c r="L967" i="6"/>
  <c r="L968" i="6"/>
  <c r="L969" i="6"/>
  <c r="M969" i="6" s="1"/>
  <c r="L970" i="6"/>
  <c r="M970" i="6" s="1"/>
  <c r="L971" i="6"/>
  <c r="M971" i="6" s="1"/>
  <c r="L972" i="6"/>
  <c r="M972" i="6" s="1"/>
  <c r="L973" i="6"/>
  <c r="N973" i="6" s="1"/>
  <c r="L974" i="6"/>
  <c r="N974" i="6" s="1"/>
  <c r="L975" i="6"/>
  <c r="L976" i="6"/>
  <c r="L977" i="6"/>
  <c r="M977" i="6" s="1"/>
  <c r="L978" i="6"/>
  <c r="L979" i="6"/>
  <c r="L980" i="6"/>
  <c r="L981" i="6"/>
  <c r="M981" i="6" s="1"/>
  <c r="L982" i="6"/>
  <c r="L983" i="6"/>
  <c r="L984" i="6"/>
  <c r="L985" i="6"/>
  <c r="L986" i="6"/>
  <c r="L987" i="6"/>
  <c r="L988" i="6"/>
  <c r="M988" i="6" s="1"/>
  <c r="L989" i="6"/>
  <c r="M989" i="6" s="1"/>
  <c r="L990" i="6"/>
  <c r="L991" i="6"/>
  <c r="L992" i="6"/>
  <c r="L993" i="6"/>
  <c r="L994" i="6"/>
  <c r="L995" i="6"/>
  <c r="L996" i="6"/>
  <c r="M996" i="6" s="1"/>
  <c r="L997" i="6"/>
  <c r="M997" i="6" s="1"/>
  <c r="L998" i="6"/>
  <c r="M998" i="6" s="1"/>
  <c r="L999" i="6"/>
  <c r="L1000" i="6"/>
  <c r="L1001" i="6"/>
  <c r="M1001" i="6" s="1"/>
  <c r="L1002" i="6"/>
  <c r="M1002" i="6" s="1"/>
  <c r="L1003" i="6"/>
  <c r="L1004" i="6"/>
  <c r="L1005" i="6"/>
  <c r="N1005" i="6" s="1"/>
  <c r="L1006" i="6"/>
  <c r="L1007" i="6"/>
  <c r="L1008" i="6"/>
  <c r="M1008" i="6" s="1"/>
  <c r="L1009" i="6"/>
  <c r="N1009" i="6" s="1"/>
  <c r="L1010" i="6"/>
  <c r="M1010" i="6" s="1"/>
  <c r="L1011" i="6"/>
  <c r="L1012" i="6"/>
  <c r="N1012" i="6" s="1"/>
  <c r="L1013" i="6"/>
  <c r="M1013" i="6" s="1"/>
  <c r="L1014" i="6"/>
  <c r="M1014" i="6" s="1"/>
  <c r="L1015" i="6"/>
  <c r="L1016" i="6"/>
  <c r="L1017" i="6"/>
  <c r="N1017" i="6" s="1"/>
  <c r="L1018" i="6"/>
  <c r="L1019" i="6"/>
  <c r="N1019" i="6" s="1"/>
  <c r="L1020" i="6"/>
  <c r="L1021" i="6"/>
  <c r="N1021" i="6" s="1"/>
  <c r="L1022" i="6"/>
  <c r="N1022" i="6" s="1"/>
  <c r="L1023" i="6"/>
  <c r="L1024" i="6"/>
  <c r="L1025" i="6"/>
  <c r="N1025" i="6" s="1"/>
  <c r="L1026" i="6"/>
  <c r="L1027" i="6"/>
  <c r="L1028" i="6"/>
  <c r="L1029" i="6"/>
  <c r="N1029" i="6" s="1"/>
  <c r="L1030" i="6"/>
  <c r="M1030" i="6" s="1"/>
  <c r="L1031" i="6"/>
  <c r="N1031" i="6" s="1"/>
  <c r="L1032" i="6"/>
  <c r="L1033" i="6"/>
  <c r="N1033" i="6" s="1"/>
  <c r="L1034" i="6"/>
  <c r="N1034" i="6" s="1"/>
  <c r="L1035" i="6"/>
  <c r="L1036" i="6"/>
  <c r="L1037" i="6"/>
  <c r="M1037" i="6" s="1"/>
  <c r="L1038" i="6"/>
  <c r="N1038" i="6" s="1"/>
  <c r="L1039" i="6"/>
  <c r="L1040" i="6"/>
  <c r="N1040" i="6" s="1"/>
  <c r="L1041" i="6"/>
  <c r="M1041" i="6" s="1"/>
  <c r="L1042" i="6"/>
  <c r="L1043" i="6"/>
  <c r="M1043" i="6" s="1"/>
  <c r="L1044" i="6"/>
  <c r="M1044" i="6" s="1"/>
  <c r="L1045" i="6"/>
  <c r="M1045" i="6" s="1"/>
  <c r="L1046" i="6"/>
  <c r="L1047" i="6"/>
  <c r="L1048" i="6"/>
  <c r="L1049" i="6"/>
  <c r="M1049" i="6" s="1"/>
  <c r="L1050" i="6"/>
  <c r="L1051" i="6"/>
  <c r="L1052" i="6"/>
  <c r="L1053" i="6"/>
  <c r="L1054" i="6"/>
  <c r="L1055" i="6"/>
  <c r="N1055" i="6" s="1"/>
  <c r="L1056" i="6"/>
  <c r="M1056" i="6" s="1"/>
  <c r="L1057" i="6"/>
  <c r="L1058" i="6"/>
  <c r="L1059" i="6"/>
  <c r="L1060" i="6"/>
  <c r="N1060" i="6" s="1"/>
  <c r="L1061" i="6"/>
  <c r="N1061" i="6" s="1"/>
  <c r="L1062" i="6"/>
  <c r="L1063" i="6"/>
  <c r="L1064" i="6"/>
  <c r="L1065" i="6"/>
  <c r="N1065" i="6" s="1"/>
  <c r="L1066" i="6"/>
  <c r="L1067" i="6"/>
  <c r="L1068" i="6"/>
  <c r="N1068" i="6" s="1"/>
  <c r="L1069" i="6"/>
  <c r="M1069" i="6" s="1"/>
  <c r="L1070" i="6"/>
  <c r="L1071" i="6"/>
  <c r="L1072" i="6"/>
  <c r="L1073" i="6"/>
  <c r="L1074" i="6"/>
  <c r="L1075" i="6"/>
  <c r="L1076" i="6"/>
  <c r="L1077" i="6"/>
  <c r="L1078" i="6"/>
  <c r="N1078" i="6" s="1"/>
  <c r="L1079" i="6"/>
  <c r="L1080" i="6"/>
  <c r="L1081" i="6"/>
  <c r="N1081" i="6" s="1"/>
  <c r="L1082" i="6"/>
  <c r="L1083" i="6"/>
  <c r="L1084" i="6"/>
  <c r="L1085" i="6"/>
  <c r="L1086" i="6"/>
  <c r="L1087" i="6"/>
  <c r="L1088" i="6"/>
  <c r="L1089" i="6"/>
  <c r="L1090" i="6"/>
  <c r="L1091" i="6"/>
  <c r="L1092" i="6"/>
  <c r="L1093" i="6"/>
  <c r="N1093" i="6" s="1"/>
  <c r="L1094" i="6"/>
  <c r="L1095" i="6"/>
  <c r="L1096" i="6"/>
  <c r="L1097" i="6"/>
  <c r="M1097" i="6" s="1"/>
  <c r="L1098" i="6"/>
  <c r="L1099" i="6"/>
  <c r="L1100" i="6"/>
  <c r="L1101" i="6"/>
  <c r="L1102" i="6"/>
  <c r="N1102" i="6" s="1"/>
  <c r="L1103" i="6"/>
  <c r="M1103" i="6" s="1"/>
  <c r="L1104" i="6"/>
  <c r="N1104" i="6" s="1"/>
  <c r="L1105" i="6"/>
  <c r="L1106" i="6"/>
  <c r="L1107" i="6"/>
  <c r="L1108" i="6"/>
  <c r="L1109" i="6"/>
  <c r="L1110" i="6"/>
  <c r="N1110" i="6" s="1"/>
  <c r="L1111" i="6"/>
  <c r="L1112" i="6"/>
  <c r="N1112" i="6" s="1"/>
  <c r="L1113" i="6"/>
  <c r="L1114" i="6"/>
  <c r="N1114" i="6" s="1"/>
  <c r="L1115" i="6"/>
  <c r="N1115" i="6" s="1"/>
  <c r="L1116" i="6"/>
  <c r="L1117" i="6"/>
  <c r="L1118" i="6"/>
  <c r="N1118" i="6" s="1"/>
  <c r="L1119" i="6"/>
  <c r="L1120" i="6"/>
  <c r="L1121" i="6"/>
  <c r="M1121" i="6" s="1"/>
  <c r="L1122" i="6"/>
  <c r="L1123" i="6"/>
  <c r="L1124" i="6"/>
  <c r="N1124" i="6" s="1"/>
  <c r="L1125" i="6"/>
  <c r="N1125" i="6" s="1"/>
  <c r="L1126" i="6"/>
  <c r="N1126" i="6" s="1"/>
  <c r="L1127" i="6"/>
  <c r="N1127" i="6" s="1"/>
  <c r="L1128" i="6"/>
  <c r="L1129" i="6"/>
  <c r="N1129" i="6" s="1"/>
  <c r="L1130" i="6"/>
  <c r="L1131" i="6"/>
  <c r="L1132" i="6"/>
  <c r="L1133" i="6"/>
  <c r="N1133" i="6" s="1"/>
  <c r="L1134" i="6"/>
  <c r="L1135" i="6"/>
  <c r="L1136" i="6"/>
  <c r="N1136" i="6" s="1"/>
  <c r="L1137" i="6"/>
  <c r="N1137" i="6" s="1"/>
  <c r="L1138" i="6"/>
  <c r="N1138" i="6" s="1"/>
  <c r="L1139" i="6"/>
  <c r="L1140" i="6"/>
  <c r="L1141" i="6"/>
  <c r="L1142" i="6"/>
  <c r="L1143" i="6"/>
  <c r="L1144" i="6"/>
  <c r="L1145" i="6"/>
  <c r="M1145" i="6" s="1"/>
  <c r="L1146" i="6"/>
  <c r="L1147" i="6"/>
  <c r="L1148" i="6"/>
  <c r="L1149" i="6"/>
  <c r="L1150" i="6"/>
  <c r="L1151" i="6"/>
  <c r="N1151" i="6" s="1"/>
  <c r="L1152" i="6"/>
  <c r="N1152" i="6" s="1"/>
  <c r="L1153" i="6"/>
  <c r="M1153" i="6" s="1"/>
  <c r="L1154" i="6"/>
  <c r="L1155" i="6"/>
  <c r="L1156" i="6"/>
  <c r="L1157" i="6"/>
  <c r="L1158" i="6"/>
  <c r="L1159" i="6"/>
  <c r="M1159" i="6" s="1"/>
  <c r="L1160" i="6"/>
  <c r="N1160" i="6" s="1"/>
  <c r="L1161" i="6"/>
  <c r="L1162" i="6"/>
  <c r="M1162" i="6" s="1"/>
  <c r="L1163" i="6"/>
  <c r="M1163" i="6" s="1"/>
  <c r="L1164" i="6"/>
  <c r="N1164" i="6" s="1"/>
  <c r="L1165" i="6"/>
  <c r="N1165" i="6" s="1"/>
  <c r="L1166" i="6"/>
  <c r="L1167" i="6"/>
  <c r="L1168" i="6"/>
  <c r="N1168" i="6" s="1"/>
  <c r="L1169" i="6"/>
  <c r="N1169" i="6" s="1"/>
  <c r="L1170" i="6"/>
  <c r="L1171" i="6"/>
  <c r="N1171" i="6" s="1"/>
  <c r="L1172" i="6"/>
  <c r="L1173" i="6"/>
  <c r="N1173" i="6" s="1"/>
  <c r="L1174" i="6"/>
  <c r="N1174" i="6" s="1"/>
  <c r="L1175" i="6"/>
  <c r="N1175" i="6" s="1"/>
  <c r="L1176" i="6"/>
  <c r="N1176" i="6" s="1"/>
  <c r="L1177" i="6"/>
  <c r="N1177" i="6" s="1"/>
  <c r="L1178" i="6"/>
  <c r="N1178" i="6" s="1"/>
  <c r="L1179" i="6"/>
  <c r="L1180" i="6"/>
  <c r="N1180" i="6" s="1"/>
  <c r="L1181" i="6"/>
  <c r="N1181" i="6" s="1"/>
  <c r="L1182" i="6"/>
  <c r="L1183" i="6"/>
  <c r="L1184" i="6"/>
  <c r="L1185" i="6"/>
  <c r="L1186" i="6"/>
  <c r="M1186" i="6" s="1"/>
  <c r="L1187" i="6"/>
  <c r="M1187" i="6" s="1"/>
  <c r="L1188" i="6"/>
  <c r="L1189" i="6"/>
  <c r="L1190" i="6"/>
  <c r="N1190" i="6" s="1"/>
  <c r="L1191" i="6"/>
  <c r="L1192" i="6"/>
  <c r="L1193" i="6"/>
  <c r="L1194" i="6"/>
  <c r="M1194" i="6" s="1"/>
  <c r="L1195" i="6"/>
  <c r="L1196" i="6"/>
  <c r="N1196" i="6" s="1"/>
  <c r="L1197" i="6"/>
  <c r="L1198" i="6"/>
  <c r="L1199" i="6"/>
  <c r="L1200" i="6"/>
  <c r="L1201" i="6"/>
  <c r="L1202" i="6"/>
  <c r="L1203" i="6"/>
  <c r="L1204" i="6"/>
  <c r="L1205" i="6"/>
  <c r="L1206" i="6"/>
  <c r="L1207" i="6"/>
  <c r="L1208" i="6"/>
  <c r="L1209" i="6"/>
  <c r="N1209" i="6" s="1"/>
  <c r="L1210" i="6"/>
  <c r="N1210" i="6" s="1"/>
  <c r="L1211" i="6"/>
  <c r="L1212" i="6"/>
  <c r="L1213" i="6"/>
  <c r="L1214" i="6"/>
  <c r="N1214" i="6" s="1"/>
  <c r="L1215" i="6"/>
  <c r="L1216" i="6"/>
  <c r="M1216" i="6" s="1"/>
  <c r="L1217" i="6"/>
  <c r="L1218" i="6"/>
  <c r="M1218" i="6" s="1"/>
  <c r="L1219" i="6"/>
  <c r="M1219" i="6" s="1"/>
  <c r="L1220" i="6"/>
  <c r="L1221" i="6"/>
  <c r="N1221" i="6" s="1"/>
  <c r="L1222" i="6"/>
  <c r="L1223" i="6"/>
  <c r="M1223" i="6" s="1"/>
  <c r="L1224" i="6"/>
  <c r="L1225" i="6"/>
  <c r="N1225" i="6" s="1"/>
  <c r="L1226" i="6"/>
  <c r="N1226" i="6" s="1"/>
  <c r="L1227" i="6"/>
  <c r="L1228" i="6"/>
  <c r="M1228" i="6" s="1"/>
  <c r="L1229" i="6"/>
  <c r="L1230" i="6"/>
  <c r="M1230" i="6" s="1"/>
  <c r="L1231" i="6"/>
  <c r="M1231" i="6" s="1"/>
  <c r="L1232" i="6"/>
  <c r="M1232" i="6" s="1"/>
  <c r="L1233" i="6"/>
  <c r="M1233" i="6" s="1"/>
  <c r="L1234" i="6"/>
  <c r="M1234" i="6" s="1"/>
  <c r="L1235" i="6"/>
  <c r="N1235" i="6" s="1"/>
  <c r="L1236" i="6"/>
  <c r="N1236" i="6" s="1"/>
  <c r="L1237" i="6"/>
  <c r="L1238" i="6"/>
  <c r="L1239" i="6"/>
  <c r="N1239" i="6" s="1"/>
  <c r="L1240" i="6"/>
  <c r="L1241" i="6"/>
  <c r="N1241" i="6" s="1"/>
  <c r="L1242" i="6"/>
  <c r="M1242" i="6" s="1"/>
  <c r="L1243" i="6"/>
  <c r="M1243" i="6" s="1"/>
  <c r="L1244" i="6"/>
  <c r="L1245" i="6"/>
  <c r="M1245" i="6" s="1"/>
  <c r="L1246" i="6"/>
  <c r="M1246" i="6" s="1"/>
  <c r="L1247" i="6"/>
  <c r="M1247" i="6" s="1"/>
  <c r="L1248" i="6"/>
  <c r="L1249" i="6"/>
  <c r="N1249" i="6" s="1"/>
  <c r="L1250" i="6"/>
  <c r="N1250" i="6" s="1"/>
  <c r="L1251" i="6"/>
  <c r="M1251" i="6" s="1"/>
  <c r="L1252" i="6"/>
  <c r="L1253" i="6"/>
  <c r="L1254" i="6"/>
  <c r="N1254" i="6" s="1"/>
  <c r="L1255" i="6"/>
  <c r="L1256" i="6"/>
  <c r="L1257" i="6"/>
  <c r="L1258" i="6"/>
  <c r="M1258" i="6" s="1"/>
  <c r="L1259" i="6"/>
  <c r="N1259" i="6" s="1"/>
  <c r="L1260" i="6"/>
  <c r="L1261" i="6"/>
  <c r="L1262" i="6"/>
  <c r="L1263" i="6"/>
  <c r="M1263" i="6" s="1"/>
  <c r="L1264" i="6"/>
  <c r="N1264" i="6" s="1"/>
  <c r="L1265" i="6"/>
  <c r="L1266" i="6"/>
  <c r="N1266" i="6" s="1"/>
  <c r="L1267" i="6"/>
  <c r="L1268" i="6"/>
  <c r="N1268" i="6" s="1"/>
  <c r="L1269" i="6"/>
  <c r="L1270" i="6"/>
  <c r="N1270" i="6" s="1"/>
  <c r="L1271" i="6"/>
  <c r="M1271" i="6" s="1"/>
  <c r="L1272" i="6"/>
  <c r="L1273" i="6"/>
  <c r="L1274" i="6"/>
  <c r="N1274" i="6" s="1"/>
  <c r="L1275" i="6"/>
  <c r="L1276" i="6"/>
  <c r="L1277" i="6"/>
  <c r="L1278" i="6"/>
  <c r="L1279" i="6"/>
  <c r="L1280" i="6"/>
  <c r="M1280" i="6" s="1"/>
  <c r="L1281" i="6"/>
  <c r="L1282" i="6"/>
  <c r="L1283" i="6"/>
  <c r="N1283" i="6" s="1"/>
  <c r="L1284" i="6"/>
  <c r="M1284" i="6" s="1"/>
  <c r="L1285" i="6"/>
  <c r="L1286" i="6"/>
  <c r="M1286" i="6" s="1"/>
  <c r="L1287" i="6"/>
  <c r="L1288" i="6"/>
  <c r="L1289" i="6"/>
  <c r="L1290" i="6"/>
  <c r="L1291" i="6"/>
  <c r="M1291" i="6" s="1"/>
  <c r="L1292" i="6"/>
  <c r="M1292" i="6" s="1"/>
  <c r="L1293" i="6"/>
  <c r="L1294" i="6"/>
  <c r="M1294" i="6" s="1"/>
  <c r="L1295" i="6"/>
  <c r="N1295" i="6" s="1"/>
  <c r="L1296" i="6"/>
  <c r="N1296" i="6" s="1"/>
  <c r="L1297" i="6"/>
  <c r="L1298" i="6"/>
  <c r="N1298" i="6" s="1"/>
  <c r="L1299" i="6"/>
  <c r="L1300" i="6"/>
  <c r="N1300" i="6" s="1"/>
  <c r="L1301" i="6"/>
  <c r="L1302" i="6"/>
  <c r="N1302" i="6" s="1"/>
  <c r="L1303" i="6"/>
  <c r="M1303" i="6" s="1"/>
  <c r="L1304" i="6"/>
  <c r="N1304" i="6" s="1"/>
  <c r="L1305" i="6"/>
  <c r="N1305" i="6" s="1"/>
  <c r="L1306" i="6"/>
  <c r="M1306" i="6" s="1"/>
  <c r="L1307" i="6"/>
  <c r="N1307" i="6" s="1"/>
  <c r="L1308" i="6"/>
  <c r="L1309" i="6"/>
  <c r="L1310" i="6"/>
  <c r="L1311" i="6"/>
  <c r="M1311" i="6" s="1"/>
  <c r="L1312" i="6"/>
  <c r="N1312" i="6" s="1"/>
  <c r="L1313" i="6"/>
  <c r="L1314" i="6"/>
  <c r="N1314" i="6" s="1"/>
  <c r="L1315" i="6"/>
  <c r="N1315" i="6" s="1"/>
  <c r="L1316" i="6"/>
  <c r="M1316" i="6" s="1"/>
  <c r="L1317" i="6"/>
  <c r="L1318" i="6"/>
  <c r="L1319" i="6"/>
  <c r="M1319" i="6" s="1"/>
  <c r="L1320" i="6"/>
  <c r="L1321" i="6"/>
  <c r="L1322" i="6"/>
  <c r="N1322" i="6" s="1"/>
  <c r="L1323" i="6"/>
  <c r="L1324" i="6"/>
  <c r="N1324" i="6" s="1"/>
  <c r="L1325" i="6"/>
  <c r="L1326" i="6"/>
  <c r="N1326" i="6" s="1"/>
  <c r="L1327" i="6"/>
  <c r="N1327" i="6" s="1"/>
  <c r="L1328" i="6"/>
  <c r="N1328" i="6" s="1"/>
  <c r="L1329" i="6"/>
  <c r="L1330" i="6"/>
  <c r="L1331" i="6"/>
  <c r="M1331" i="6" s="1"/>
  <c r="L1332" i="6"/>
  <c r="M1332" i="6" s="1"/>
  <c r="L1333" i="6"/>
  <c r="L1334" i="6"/>
  <c r="M1334" i="6" s="1"/>
  <c r="L1335" i="6"/>
  <c r="M1335" i="6" s="1"/>
  <c r="L1336" i="6"/>
  <c r="M1336" i="6" s="1"/>
  <c r="L1337" i="6"/>
  <c r="L1338" i="6"/>
  <c r="L1339" i="6"/>
  <c r="L1340" i="6"/>
  <c r="N1340" i="6" s="1"/>
  <c r="L1341" i="6"/>
  <c r="L1342" i="6"/>
  <c r="L1343" i="6"/>
  <c r="M1343" i="6" s="1"/>
  <c r="L1344" i="6"/>
  <c r="N1344" i="6" s="1"/>
  <c r="L1345" i="6"/>
  <c r="L1346" i="6"/>
  <c r="M1346" i="6" s="1"/>
  <c r="L1347" i="6"/>
  <c r="L1348" i="6"/>
  <c r="L1349" i="6"/>
  <c r="L1350" i="6"/>
  <c r="M1350" i="6" s="1"/>
  <c r="L1351" i="6"/>
  <c r="M1351" i="6" s="1"/>
  <c r="L1352" i="6"/>
  <c r="N1352" i="6" s="1"/>
  <c r="L1353" i="6"/>
  <c r="M1353" i="6" s="1"/>
  <c r="L1354" i="6"/>
  <c r="M1354" i="6" s="1"/>
  <c r="L1355" i="6"/>
  <c r="N1355" i="6" s="1"/>
  <c r="L1356" i="6"/>
  <c r="M1356" i="6" s="1"/>
  <c r="L1357" i="6"/>
  <c r="L1358" i="6"/>
  <c r="L1359" i="6"/>
  <c r="L1360" i="6"/>
  <c r="M1360" i="6" s="1"/>
  <c r="L1361" i="6"/>
  <c r="L1362" i="6"/>
  <c r="L1363" i="6"/>
  <c r="L1364" i="6"/>
  <c r="L1365" i="6"/>
  <c r="L1366" i="6"/>
  <c r="M1366" i="6" s="1"/>
  <c r="L1367" i="6"/>
  <c r="N1367" i="6" s="1"/>
  <c r="L1368" i="6"/>
  <c r="L1369" i="6"/>
  <c r="L1370" i="6"/>
  <c r="N1370" i="6" s="1"/>
  <c r="L1371" i="6"/>
  <c r="N1371" i="6" s="1"/>
  <c r="L1372" i="6"/>
  <c r="M1372" i="6" s="1"/>
  <c r="L1373" i="6"/>
  <c r="L1374" i="6"/>
  <c r="N1374" i="6" s="1"/>
  <c r="L1375" i="6"/>
  <c r="M1375" i="6" s="1"/>
  <c r="L1376" i="6"/>
  <c r="N1376" i="6" s="1"/>
  <c r="L1377" i="6"/>
  <c r="L1378" i="6"/>
  <c r="M1378" i="6" s="1"/>
  <c r="L1379" i="6"/>
  <c r="N1379" i="6" s="1"/>
  <c r="L1380" i="6"/>
  <c r="L1381" i="6"/>
  <c r="M1381" i="6" s="1"/>
  <c r="L1382" i="6"/>
  <c r="L1383" i="6"/>
  <c r="N1383" i="6" s="1"/>
  <c r="L1384" i="6"/>
  <c r="M1384" i="6"/>
  <c r="L1385" i="6"/>
  <c r="L1386" i="6"/>
  <c r="N1386" i="6" s="1"/>
  <c r="L1387" i="6"/>
  <c r="N1387" i="6" s="1"/>
  <c r="L1388" i="6"/>
  <c r="M1388" i="6" s="1"/>
  <c r="L1389" i="6"/>
  <c r="L1390" i="6"/>
  <c r="L1391" i="6"/>
  <c r="L1392" i="6"/>
  <c r="N1392" i="6" s="1"/>
  <c r="L1393" i="6"/>
  <c r="L1394" i="6"/>
  <c r="N1394" i="6" s="1"/>
  <c r="L1395" i="6"/>
  <c r="L1396" i="6"/>
  <c r="L1397" i="6"/>
  <c r="L1398" i="6"/>
  <c r="M1398" i="6" s="1"/>
  <c r="L1399" i="6"/>
  <c r="L1400" i="6"/>
  <c r="L1401" i="6"/>
  <c r="N1401" i="6" s="1"/>
  <c r="L1402" i="6"/>
  <c r="L1403" i="6"/>
  <c r="L1404" i="6"/>
  <c r="L1405" i="6"/>
  <c r="L1406" i="6"/>
  <c r="L1407" i="6"/>
  <c r="L1408" i="6"/>
  <c r="L1409" i="6"/>
  <c r="L1410" i="6"/>
  <c r="L1411" i="6"/>
  <c r="L1412" i="6"/>
  <c r="L1413" i="6"/>
  <c r="N1413" i="6" s="1"/>
  <c r="L1414" i="6"/>
  <c r="L1415" i="6"/>
  <c r="L1416" i="6"/>
  <c r="L1417" i="6"/>
  <c r="L1418" i="6"/>
  <c r="L1419" i="6"/>
  <c r="N1419" i="6" s="1"/>
  <c r="L1420" i="6"/>
  <c r="L1421" i="6"/>
  <c r="L1422" i="6"/>
  <c r="L1423" i="6"/>
  <c r="L1424" i="6"/>
  <c r="N1424" i="6" s="1"/>
  <c r="L1425" i="6"/>
  <c r="L1426" i="6"/>
  <c r="M1426" i="6" s="1"/>
  <c r="L1427" i="6"/>
  <c r="N1427" i="6" s="1"/>
  <c r="L1428" i="6"/>
  <c r="N1428" i="6" s="1"/>
  <c r="L1429" i="6"/>
  <c r="M1429" i="6" s="1"/>
  <c r="L1430" i="6"/>
  <c r="L1431" i="6"/>
  <c r="L1432" i="6"/>
  <c r="L1433" i="6"/>
  <c r="N1433" i="6" s="1"/>
  <c r="L1434" i="6"/>
  <c r="N1434" i="6" s="1"/>
  <c r="L1435" i="6"/>
  <c r="L1436" i="6"/>
  <c r="L1437" i="6"/>
  <c r="L1438" i="6"/>
  <c r="M1438" i="6" s="1"/>
  <c r="L1439" i="6"/>
  <c r="L1440" i="6"/>
  <c r="M1440" i="6" s="1"/>
  <c r="L1441" i="6"/>
  <c r="N1441" i="6" s="1"/>
  <c r="L1442" i="6"/>
  <c r="N1442" i="6" s="1"/>
  <c r="L1443" i="6"/>
  <c r="L1444" i="6"/>
  <c r="M1444" i="6" s="1"/>
  <c r="L1445" i="6"/>
  <c r="L1446" i="6"/>
  <c r="N1446" i="6" s="1"/>
  <c r="L1447" i="6"/>
  <c r="L1448" i="6"/>
  <c r="M1448" i="6" s="1"/>
  <c r="L1449" i="6"/>
  <c r="M1449" i="6" s="1"/>
  <c r="L1450" i="6"/>
  <c r="N1450" i="6" s="1"/>
  <c r="L1451" i="6"/>
  <c r="L1452" i="6"/>
  <c r="L1453" i="6"/>
  <c r="L1454" i="6"/>
  <c r="L1455" i="6"/>
  <c r="M1455" i="6" s="1"/>
  <c r="L1456" i="6"/>
  <c r="L1457" i="6"/>
  <c r="M1457" i="6" s="1"/>
  <c r="L1458" i="6"/>
  <c r="N1458" i="6" s="1"/>
  <c r="L1459" i="6"/>
  <c r="L1460" i="6"/>
  <c r="L1461" i="6"/>
  <c r="N1461" i="6" s="1"/>
  <c r="L1462" i="6"/>
  <c r="M1462" i="6" s="1"/>
  <c r="L1463" i="6"/>
  <c r="L1464" i="6"/>
  <c r="L1465" i="6"/>
  <c r="L1466" i="6"/>
  <c r="M1466" i="6" s="1"/>
  <c r="L1467" i="6"/>
  <c r="L1468" i="6"/>
  <c r="N1468" i="6" s="1"/>
  <c r="L1469" i="6"/>
  <c r="L1470" i="6"/>
  <c r="M1470" i="6" s="1"/>
  <c r="L1471" i="6"/>
  <c r="M1471" i="6" s="1"/>
  <c r="L1472" i="6"/>
  <c r="N1472" i="6" s="1"/>
  <c r="L1473" i="6"/>
  <c r="M1473" i="6" s="1"/>
  <c r="L1474" i="6"/>
  <c r="M1474" i="6" s="1"/>
  <c r="L1475" i="6"/>
  <c r="N1475" i="6" s="1"/>
  <c r="L1476" i="6"/>
  <c r="L1477" i="6"/>
  <c r="N1477" i="6" s="1"/>
  <c r="L1478" i="6"/>
  <c r="L1479" i="6"/>
  <c r="L1480" i="6"/>
  <c r="L1481" i="6"/>
  <c r="L1482" i="6"/>
  <c r="L1483" i="6"/>
  <c r="M1483" i="6" s="1"/>
  <c r="L1484" i="6"/>
  <c r="L1485" i="6"/>
  <c r="L1486" i="6"/>
  <c r="N1486" i="6" s="1"/>
  <c r="L1487" i="6"/>
  <c r="M1487" i="6" s="1"/>
  <c r="L1488" i="6"/>
  <c r="M1488" i="6" s="1"/>
  <c r="L1489" i="6"/>
  <c r="L1490" i="6"/>
  <c r="L1491" i="6"/>
  <c r="L1492" i="6"/>
  <c r="N1492" i="6" s="1"/>
  <c r="L1493" i="6"/>
  <c r="L1494" i="6"/>
  <c r="L1495" i="6"/>
  <c r="N1495" i="6" s="1"/>
  <c r="L1496" i="6"/>
  <c r="L1497" i="6"/>
  <c r="N1497" i="6" s="1"/>
  <c r="L1498" i="6"/>
  <c r="L1499" i="6"/>
  <c r="M1499" i="6" s="1"/>
  <c r="L1500" i="6"/>
  <c r="L1501" i="6"/>
  <c r="L1502" i="6"/>
  <c r="L1503" i="6"/>
  <c r="M1503" i="6" s="1"/>
  <c r="L1504" i="6"/>
  <c r="L1505" i="6"/>
  <c r="L1506" i="6"/>
  <c r="L1507" i="6"/>
  <c r="L1508" i="6"/>
  <c r="N1508" i="6" s="1"/>
  <c r="L1509" i="6"/>
  <c r="L1510" i="6"/>
  <c r="M1510" i="6" s="1"/>
  <c r="L1511" i="6"/>
  <c r="L1512" i="6"/>
  <c r="L1513" i="6"/>
  <c r="L1514" i="6"/>
  <c r="L1515" i="6"/>
  <c r="N1515" i="6" s="1"/>
  <c r="L1516" i="6"/>
  <c r="N1516" i="6" s="1"/>
  <c r="L1517" i="6"/>
  <c r="L1518" i="6"/>
  <c r="L1519" i="6"/>
  <c r="N1519" i="6" s="1"/>
  <c r="L1520" i="6"/>
  <c r="L1521" i="6"/>
  <c r="L1522" i="6"/>
  <c r="L1523" i="6"/>
  <c r="N1523" i="6" s="1"/>
  <c r="L1524" i="6"/>
  <c r="L1525" i="6"/>
  <c r="L1526" i="6"/>
  <c r="L1527" i="6"/>
  <c r="L1528" i="6"/>
  <c r="L1529" i="6"/>
  <c r="L1530" i="6"/>
  <c r="L1531" i="6"/>
  <c r="L1532" i="6"/>
  <c r="N1532" i="6" s="1"/>
  <c r="L1533" i="6"/>
  <c r="L1534" i="6"/>
  <c r="M1534" i="6" s="1"/>
  <c r="L1535" i="6"/>
  <c r="L1536" i="6"/>
  <c r="L1537" i="6"/>
  <c r="L1538" i="6"/>
  <c r="L1539" i="6"/>
  <c r="N1539" i="6" s="1"/>
  <c r="L1540" i="6"/>
  <c r="L1541" i="6"/>
  <c r="L1542" i="6"/>
  <c r="L1543" i="6"/>
  <c r="L1544" i="6"/>
  <c r="L1545" i="6"/>
  <c r="L1546" i="6"/>
  <c r="L1547" i="6"/>
  <c r="L1548" i="6"/>
  <c r="N1548" i="6" s="1"/>
  <c r="L1549" i="6"/>
  <c r="M1549" i="6" s="1"/>
  <c r="L1550" i="6"/>
  <c r="L1551" i="6"/>
  <c r="N1551" i="6" s="1"/>
  <c r="L1552" i="6"/>
  <c r="N1552" i="6" s="1"/>
  <c r="L1553" i="6"/>
  <c r="L1554" i="6"/>
  <c r="L1555" i="6"/>
  <c r="M1555" i="6" s="1"/>
  <c r="L1556" i="6"/>
  <c r="M1556" i="6" s="1"/>
  <c r="L1557" i="6"/>
  <c r="N1557" i="6" s="1"/>
  <c r="L1558" i="6"/>
  <c r="N1558" i="6" s="1"/>
  <c r="L1559" i="6"/>
  <c r="M1559" i="6" s="1"/>
  <c r="L1560" i="6"/>
  <c r="L1561" i="6"/>
  <c r="L1562" i="6"/>
  <c r="L1563" i="6"/>
  <c r="M1563" i="6" s="1"/>
  <c r="L1564" i="6"/>
  <c r="M1564" i="6" s="1"/>
  <c r="L1565" i="6"/>
  <c r="M1565" i="6" s="1"/>
  <c r="L1566" i="6"/>
  <c r="M1566" i="6" s="1"/>
  <c r="L1567" i="6"/>
  <c r="L1568" i="6"/>
  <c r="N1568" i="6" s="1"/>
  <c r="L1569" i="6"/>
  <c r="N1569" i="6" s="1"/>
  <c r="L1570" i="6"/>
  <c r="L1571" i="6"/>
  <c r="L1572" i="6"/>
  <c r="L1573" i="6"/>
  <c r="L1574" i="6"/>
  <c r="L1575" i="6"/>
  <c r="M1575" i="6" s="1"/>
  <c r="L1576" i="6"/>
  <c r="N1576" i="6" s="1"/>
  <c r="L1577" i="6"/>
  <c r="L1578" i="6"/>
  <c r="L1579" i="6"/>
  <c r="L1580" i="6"/>
  <c r="M1580" i="6" s="1"/>
  <c r="L1581" i="6"/>
  <c r="L1582" i="6"/>
  <c r="L1583" i="6"/>
  <c r="M1583" i="6" s="1"/>
  <c r="L1584" i="6"/>
  <c r="L1585" i="6"/>
  <c r="L1586" i="6"/>
  <c r="L1587" i="6"/>
  <c r="L1588" i="6"/>
  <c r="N1588" i="6" s="1"/>
  <c r="L1589" i="6"/>
  <c r="L1590" i="6"/>
  <c r="L1591" i="6"/>
  <c r="L1592" i="6"/>
  <c r="M1592" i="6" s="1"/>
  <c r="L1593" i="6"/>
  <c r="L1594" i="6"/>
  <c r="N1594" i="6" s="1"/>
  <c r="L1595" i="6"/>
  <c r="N1595" i="6" s="1"/>
  <c r="L1596" i="6"/>
  <c r="N1596" i="6" s="1"/>
  <c r="L1597" i="6"/>
  <c r="L1598" i="6"/>
  <c r="L1599" i="6"/>
  <c r="M1599" i="6" s="1"/>
  <c r="L1600" i="6"/>
  <c r="L1601" i="6"/>
  <c r="M1601" i="6" s="1"/>
  <c r="L1602" i="6"/>
  <c r="L1603" i="6"/>
  <c r="L1604" i="6"/>
  <c r="N1604" i="6" s="1"/>
  <c r="L1605" i="6"/>
  <c r="L1606" i="6"/>
  <c r="L1607" i="6"/>
  <c r="M1607" i="6" s="1"/>
  <c r="L1608" i="6"/>
  <c r="L1609" i="6"/>
  <c r="M1609" i="6" s="1"/>
  <c r="L1610" i="6"/>
  <c r="L1611" i="6"/>
  <c r="L1612" i="6"/>
  <c r="L1613" i="6"/>
  <c r="L1614" i="6"/>
  <c r="L1615" i="6"/>
  <c r="M1615" i="6" s="1"/>
  <c r="L1616" i="6"/>
  <c r="N1616" i="6" s="1"/>
  <c r="L1617" i="6"/>
  <c r="L1618" i="6"/>
  <c r="L1619" i="6"/>
  <c r="L1620" i="6"/>
  <c r="L1621" i="6"/>
  <c r="L1622" i="6"/>
  <c r="L1623" i="6"/>
  <c r="M1623" i="6" s="1"/>
  <c r="L1624" i="6"/>
  <c r="L1625" i="6"/>
  <c r="M1625" i="6" s="1"/>
  <c r="L1626" i="6"/>
  <c r="N1626" i="6" s="1"/>
  <c r="L1627" i="6"/>
  <c r="N1627" i="6" s="1"/>
  <c r="L1628" i="6"/>
  <c r="M1628" i="6" s="1"/>
  <c r="L1629" i="6"/>
  <c r="M1629" i="6" s="1"/>
  <c r="L1630" i="6"/>
  <c r="N1630" i="6" s="1"/>
  <c r="L1631" i="6"/>
  <c r="L1632" i="6"/>
  <c r="M1632" i="6" s="1"/>
  <c r="L1633" i="6"/>
  <c r="L1634" i="6"/>
  <c r="N1634" i="6" s="1"/>
  <c r="L1635" i="6"/>
  <c r="L1636" i="6"/>
  <c r="M1636" i="6" s="1"/>
  <c r="L1637" i="6"/>
  <c r="N1637" i="6" s="1"/>
  <c r="L1638" i="6"/>
  <c r="L1644" i="6"/>
  <c r="L8" i="6"/>
  <c r="L9" i="6"/>
  <c r="L10" i="6"/>
  <c r="N10" i="6" s="1"/>
  <c r="L11" i="6"/>
  <c r="N11" i="6" s="1"/>
  <c r="L12" i="6"/>
  <c r="L13" i="6"/>
  <c r="L14" i="6"/>
  <c r="N14" i="6" s="1"/>
  <c r="L15" i="6"/>
  <c r="N15" i="6" s="1"/>
  <c r="L16" i="6"/>
  <c r="N16" i="6" s="1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N31" i="6" s="1"/>
  <c r="L32" i="6"/>
  <c r="N32" i="6" s="1"/>
  <c r="L33" i="6"/>
  <c r="L34" i="6"/>
  <c r="N34" i="6" s="1"/>
  <c r="L35" i="6"/>
  <c r="N35" i="6" s="1"/>
  <c r="L36" i="6"/>
  <c r="N36" i="6" s="1"/>
  <c r="L37" i="6"/>
  <c r="L38" i="6"/>
  <c r="L39" i="6"/>
  <c r="N39" i="6" s="1"/>
  <c r="L40" i="6"/>
  <c r="N40" i="6" s="1"/>
  <c r="L41" i="6"/>
  <c r="L42" i="6"/>
  <c r="N42" i="6" s="1"/>
  <c r="L43" i="6"/>
  <c r="L44" i="6"/>
  <c r="L45" i="6"/>
  <c r="L46" i="6"/>
  <c r="L47" i="6"/>
  <c r="L48" i="6"/>
  <c r="L49" i="6"/>
  <c r="L52" i="6"/>
  <c r="L53" i="6"/>
  <c r="L54" i="6"/>
  <c r="L55" i="6"/>
  <c r="L7" i="6"/>
  <c r="N7" i="6" s="1"/>
  <c r="I50" i="6"/>
  <c r="O50" i="6" s="1"/>
  <c r="I51" i="6"/>
  <c r="I59" i="6"/>
  <c r="O59" i="6" s="1"/>
  <c r="I60" i="6"/>
  <c r="J60" i="6" s="1"/>
  <c r="M60" i="6"/>
  <c r="I61" i="6"/>
  <c r="I62" i="6"/>
  <c r="I63" i="6"/>
  <c r="O63" i="6" s="1"/>
  <c r="I69" i="6"/>
  <c r="I70" i="6"/>
  <c r="I71" i="6"/>
  <c r="O71" i="6" s="1"/>
  <c r="I72" i="6"/>
  <c r="O72" i="6" s="1"/>
  <c r="N72" i="6"/>
  <c r="I87" i="6"/>
  <c r="J87" i="6" s="1"/>
  <c r="I140" i="6"/>
  <c r="I141" i="6"/>
  <c r="J141" i="6" s="1"/>
  <c r="M141" i="6"/>
  <c r="I142" i="6"/>
  <c r="I143" i="6"/>
  <c r="I144" i="6"/>
  <c r="J144" i="6" s="1"/>
  <c r="I145" i="6"/>
  <c r="I146" i="6"/>
  <c r="I147" i="6"/>
  <c r="J147" i="6" s="1"/>
  <c r="I148" i="6"/>
  <c r="J148" i="6" s="1"/>
  <c r="I149" i="6"/>
  <c r="O149" i="6" s="1"/>
  <c r="I150" i="6"/>
  <c r="I151" i="6"/>
  <c r="J151" i="6" s="1"/>
  <c r="I152" i="6"/>
  <c r="I153" i="6"/>
  <c r="O153" i="6" s="1"/>
  <c r="I154" i="6"/>
  <c r="I155" i="6"/>
  <c r="O155" i="6" s="1"/>
  <c r="I156" i="6"/>
  <c r="J156" i="6" s="1"/>
  <c r="I157" i="6"/>
  <c r="I158" i="6"/>
  <c r="J158" i="6" s="1"/>
  <c r="I159" i="6"/>
  <c r="J159" i="6" s="1"/>
  <c r="I160" i="6"/>
  <c r="I161" i="6"/>
  <c r="I162" i="6"/>
  <c r="I163" i="6"/>
  <c r="I164" i="6"/>
  <c r="I165" i="6"/>
  <c r="I166" i="6"/>
  <c r="I167" i="6"/>
  <c r="I168" i="6"/>
  <c r="I169" i="6"/>
  <c r="I170" i="6"/>
  <c r="J170" i="6" s="1"/>
  <c r="I171" i="6"/>
  <c r="O171" i="6" s="1"/>
  <c r="I172" i="6"/>
  <c r="I173" i="6"/>
  <c r="I174" i="6"/>
  <c r="O174" i="6" s="1"/>
  <c r="I175" i="6"/>
  <c r="J175" i="6" s="1"/>
  <c r="I176" i="6"/>
  <c r="I177" i="6"/>
  <c r="I178" i="6"/>
  <c r="I179" i="6"/>
  <c r="J179" i="6" s="1"/>
  <c r="I180" i="6"/>
  <c r="O180" i="6" s="1"/>
  <c r="I181" i="6"/>
  <c r="I182" i="6"/>
  <c r="J182" i="6" s="1"/>
  <c r="I183" i="6"/>
  <c r="O183" i="6" s="1"/>
  <c r="I184" i="6"/>
  <c r="I185" i="6"/>
  <c r="I186" i="6"/>
  <c r="O186" i="6" s="1"/>
  <c r="I187" i="6"/>
  <c r="J187" i="6" s="1"/>
  <c r="I188" i="6"/>
  <c r="I189" i="6"/>
  <c r="I190" i="6"/>
  <c r="J190" i="6" s="1"/>
  <c r="I191" i="6"/>
  <c r="I192" i="6"/>
  <c r="J192" i="6" s="1"/>
  <c r="I193" i="6"/>
  <c r="I194" i="6"/>
  <c r="I195" i="6"/>
  <c r="O195" i="6" s="1"/>
  <c r="I196" i="6"/>
  <c r="I197" i="6"/>
  <c r="I198" i="6"/>
  <c r="I199" i="6"/>
  <c r="I200" i="6"/>
  <c r="J200" i="6" s="1"/>
  <c r="I201" i="6"/>
  <c r="I202" i="6"/>
  <c r="O202" i="6" s="1"/>
  <c r="I203" i="6"/>
  <c r="O203" i="6" s="1"/>
  <c r="I204" i="6"/>
  <c r="I205" i="6"/>
  <c r="O205" i="6" s="1"/>
  <c r="I206" i="6"/>
  <c r="J206" i="6" s="1"/>
  <c r="I207" i="6"/>
  <c r="J207" i="6" s="1"/>
  <c r="I208" i="6"/>
  <c r="I209" i="6"/>
  <c r="I210" i="6"/>
  <c r="O210" i="6" s="1"/>
  <c r="I211" i="6"/>
  <c r="J211" i="6" s="1"/>
  <c r="I212" i="6"/>
  <c r="I213" i="6"/>
  <c r="I214" i="6"/>
  <c r="J214" i="6" s="1"/>
  <c r="I215" i="6"/>
  <c r="J215" i="6" s="1"/>
  <c r="I216" i="6"/>
  <c r="J216" i="6" s="1"/>
  <c r="I217" i="6"/>
  <c r="I218" i="6"/>
  <c r="I219" i="6"/>
  <c r="J219" i="6" s="1"/>
  <c r="I220" i="6"/>
  <c r="I221" i="6"/>
  <c r="I222" i="6"/>
  <c r="I223" i="6"/>
  <c r="I224" i="6"/>
  <c r="I225" i="6"/>
  <c r="I226" i="6"/>
  <c r="I227" i="6"/>
  <c r="O227" i="6" s="1"/>
  <c r="I228" i="6"/>
  <c r="J228" i="6" s="1"/>
  <c r="I229" i="6"/>
  <c r="I230" i="6"/>
  <c r="J230" i="6" s="1"/>
  <c r="I231" i="6"/>
  <c r="J231" i="6" s="1"/>
  <c r="I232" i="6"/>
  <c r="I233" i="6"/>
  <c r="I234" i="6"/>
  <c r="I235" i="6"/>
  <c r="I236" i="6"/>
  <c r="I237" i="6"/>
  <c r="I238" i="6"/>
  <c r="I239" i="6"/>
  <c r="J239" i="6" s="1"/>
  <c r="I240" i="6"/>
  <c r="I241" i="6"/>
  <c r="I242" i="6"/>
  <c r="O242" i="6" s="1"/>
  <c r="I243" i="6"/>
  <c r="J243" i="6" s="1"/>
  <c r="I244" i="6"/>
  <c r="O244" i="6" s="1"/>
  <c r="I245" i="6"/>
  <c r="I246" i="6"/>
  <c r="I247" i="6"/>
  <c r="I248" i="6"/>
  <c r="I249" i="6"/>
  <c r="O249" i="6" s="1"/>
  <c r="I250" i="6"/>
  <c r="J250" i="6" s="1"/>
  <c r="I251" i="6"/>
  <c r="O251" i="6" s="1"/>
  <c r="I252" i="6"/>
  <c r="I253" i="6"/>
  <c r="I254" i="6"/>
  <c r="J254" i="6" s="1"/>
  <c r="I255" i="6"/>
  <c r="J255" i="6" s="1"/>
  <c r="I256" i="6"/>
  <c r="O256" i="6" s="1"/>
  <c r="I257" i="6"/>
  <c r="J257" i="6" s="1"/>
  <c r="I258" i="6"/>
  <c r="I259" i="6"/>
  <c r="J259" i="6" s="1"/>
  <c r="I260" i="6"/>
  <c r="O260" i="6" s="1"/>
  <c r="I261" i="6"/>
  <c r="I262" i="6"/>
  <c r="I263" i="6"/>
  <c r="I264" i="6"/>
  <c r="I265" i="6"/>
  <c r="I266" i="6"/>
  <c r="I267" i="6"/>
  <c r="O267" i="6" s="1"/>
  <c r="I268" i="6"/>
  <c r="I269" i="6"/>
  <c r="J269" i="6" s="1"/>
  <c r="I270" i="6"/>
  <c r="O270" i="6" s="1"/>
  <c r="I271" i="6"/>
  <c r="O271" i="6" s="1"/>
  <c r="I272" i="6"/>
  <c r="I273" i="6"/>
  <c r="J273" i="6" s="1"/>
  <c r="I274" i="6"/>
  <c r="J274" i="6" s="1"/>
  <c r="I275" i="6"/>
  <c r="J275" i="6" s="1"/>
  <c r="I276" i="6"/>
  <c r="I277" i="6"/>
  <c r="I278" i="6"/>
  <c r="O278" i="6" s="1"/>
  <c r="I279" i="6"/>
  <c r="O279" i="6" s="1"/>
  <c r="I280" i="6"/>
  <c r="I281" i="6"/>
  <c r="I282" i="6"/>
  <c r="O282" i="6" s="1"/>
  <c r="I283" i="6"/>
  <c r="O283" i="6" s="1"/>
  <c r="I284" i="6"/>
  <c r="I285" i="6"/>
  <c r="I286" i="6"/>
  <c r="I287" i="6"/>
  <c r="I288" i="6"/>
  <c r="I289" i="6"/>
  <c r="I290" i="6"/>
  <c r="I291" i="6"/>
  <c r="O291" i="6" s="1"/>
  <c r="I292" i="6"/>
  <c r="I293" i="6"/>
  <c r="O293" i="6" s="1"/>
  <c r="I294" i="6"/>
  <c r="J294" i="6" s="1"/>
  <c r="I295" i="6"/>
  <c r="I296" i="6"/>
  <c r="O296" i="6" s="1"/>
  <c r="I297" i="6"/>
  <c r="I298" i="6"/>
  <c r="O298" i="6" s="1"/>
  <c r="I299" i="6"/>
  <c r="I300" i="6"/>
  <c r="O300" i="6" s="1"/>
  <c r="I301" i="6"/>
  <c r="I302" i="6"/>
  <c r="O302" i="6" s="1"/>
  <c r="I303" i="6"/>
  <c r="O303" i="6" s="1"/>
  <c r="I304" i="6"/>
  <c r="I305" i="6"/>
  <c r="O305" i="6" s="1"/>
  <c r="I306" i="6"/>
  <c r="O306" i="6" s="1"/>
  <c r="I307" i="6"/>
  <c r="J307" i="6" s="1"/>
  <c r="I308" i="6"/>
  <c r="I309" i="6"/>
  <c r="J309" i="6" s="1"/>
  <c r="I310" i="6"/>
  <c r="J310" i="6" s="1"/>
  <c r="I311" i="6"/>
  <c r="I312" i="6"/>
  <c r="I313" i="6"/>
  <c r="I314" i="6"/>
  <c r="I315" i="6"/>
  <c r="J315" i="6" s="1"/>
  <c r="I316" i="6"/>
  <c r="I317" i="6"/>
  <c r="I318" i="6"/>
  <c r="J318" i="6" s="1"/>
  <c r="I319" i="6"/>
  <c r="O319" i="6" s="1"/>
  <c r="I320" i="6"/>
  <c r="I321" i="6"/>
  <c r="I322" i="6"/>
  <c r="I323" i="6"/>
  <c r="O323" i="6" s="1"/>
  <c r="I324" i="6"/>
  <c r="J324" i="6" s="1"/>
  <c r="I325" i="6"/>
  <c r="J325" i="6" s="1"/>
  <c r="I326" i="6"/>
  <c r="O326" i="6" s="1"/>
  <c r="I327" i="6"/>
  <c r="O327" i="6" s="1"/>
  <c r="I328" i="6"/>
  <c r="J328" i="6" s="1"/>
  <c r="I329" i="6"/>
  <c r="I330" i="6"/>
  <c r="O330" i="6" s="1"/>
  <c r="I331" i="6"/>
  <c r="O331" i="6" s="1"/>
  <c r="I332" i="6"/>
  <c r="J332" i="6" s="1"/>
  <c r="I333" i="6"/>
  <c r="J333" i="6" s="1"/>
  <c r="I334" i="6"/>
  <c r="J334" i="6" s="1"/>
  <c r="I335" i="6"/>
  <c r="J335" i="6" s="1"/>
  <c r="I336" i="6"/>
  <c r="I337" i="6"/>
  <c r="I338" i="6"/>
  <c r="O338" i="6" s="1"/>
  <c r="I339" i="6"/>
  <c r="J339" i="6" s="1"/>
  <c r="I340" i="6"/>
  <c r="I341" i="6"/>
  <c r="J341" i="6" s="1"/>
  <c r="I342" i="6"/>
  <c r="J342" i="6" s="1"/>
  <c r="I343" i="6"/>
  <c r="I344" i="6"/>
  <c r="O344" i="6" s="1"/>
  <c r="I345" i="6"/>
  <c r="I346" i="6"/>
  <c r="J346" i="6" s="1"/>
  <c r="I347" i="6"/>
  <c r="I348" i="6"/>
  <c r="I349" i="6"/>
  <c r="O349" i="6" s="1"/>
  <c r="I350" i="6"/>
  <c r="O350" i="6" s="1"/>
  <c r="I351" i="6"/>
  <c r="O351" i="6" s="1"/>
  <c r="I352" i="6"/>
  <c r="J352" i="6" s="1"/>
  <c r="I353" i="6"/>
  <c r="O353" i="6" s="1"/>
  <c r="I354" i="6"/>
  <c r="J354" i="6" s="1"/>
  <c r="I355" i="6"/>
  <c r="O355" i="6" s="1"/>
  <c r="I356" i="6"/>
  <c r="O356" i="6" s="1"/>
  <c r="I357" i="6"/>
  <c r="I358" i="6"/>
  <c r="J358" i="6" s="1"/>
  <c r="I359" i="6"/>
  <c r="O359" i="6" s="1"/>
  <c r="I360" i="6"/>
  <c r="I361" i="6"/>
  <c r="I362" i="6"/>
  <c r="O362" i="6" s="1"/>
  <c r="I363" i="6"/>
  <c r="O363" i="6" s="1"/>
  <c r="I364" i="6"/>
  <c r="I365" i="6"/>
  <c r="I366" i="6"/>
  <c r="O366" i="6" s="1"/>
  <c r="I367" i="6"/>
  <c r="I368" i="6"/>
  <c r="I369" i="6"/>
  <c r="I370" i="6"/>
  <c r="O370" i="6" s="1"/>
  <c r="I371" i="6"/>
  <c r="J371" i="6" s="1"/>
  <c r="I372" i="6"/>
  <c r="I373" i="6"/>
  <c r="O373" i="6" s="1"/>
  <c r="I374" i="6"/>
  <c r="O374" i="6" s="1"/>
  <c r="I375" i="6"/>
  <c r="J375" i="6" s="1"/>
  <c r="I376" i="6"/>
  <c r="I377" i="6"/>
  <c r="O377" i="6" s="1"/>
  <c r="I378" i="6"/>
  <c r="O378" i="6" s="1"/>
  <c r="I379" i="6"/>
  <c r="I380" i="6"/>
  <c r="O380" i="6" s="1"/>
  <c r="I381" i="6"/>
  <c r="I382" i="6"/>
  <c r="O382" i="6" s="1"/>
  <c r="I383" i="6"/>
  <c r="I384" i="6"/>
  <c r="I385" i="6"/>
  <c r="I386" i="6"/>
  <c r="O386" i="6" s="1"/>
  <c r="I387" i="6"/>
  <c r="J387" i="6" s="1"/>
  <c r="I388" i="6"/>
  <c r="I389" i="6"/>
  <c r="I390" i="6"/>
  <c r="J390" i="6" s="1"/>
  <c r="I391" i="6"/>
  <c r="O391" i="6" s="1"/>
  <c r="I392" i="6"/>
  <c r="I393" i="6"/>
  <c r="I394" i="6"/>
  <c r="J394" i="6" s="1"/>
  <c r="I395" i="6"/>
  <c r="I396" i="6"/>
  <c r="I397" i="6"/>
  <c r="I398" i="6"/>
  <c r="O398" i="6" s="1"/>
  <c r="I399" i="6"/>
  <c r="O399" i="6" s="1"/>
  <c r="I400" i="6"/>
  <c r="I401" i="6"/>
  <c r="I402" i="6"/>
  <c r="J402" i="6" s="1"/>
  <c r="I403" i="6"/>
  <c r="J403" i="6" s="1"/>
  <c r="I404" i="6"/>
  <c r="I405" i="6"/>
  <c r="I406" i="6"/>
  <c r="O406" i="6" s="1"/>
  <c r="I407" i="6"/>
  <c r="I408" i="6"/>
  <c r="I409" i="6"/>
  <c r="J409" i="6" s="1"/>
  <c r="I410" i="6"/>
  <c r="I411" i="6"/>
  <c r="J411" i="6" s="1"/>
  <c r="I412" i="6"/>
  <c r="I413" i="6"/>
  <c r="O413" i="6" s="1"/>
  <c r="I414" i="6"/>
  <c r="O414" i="6" s="1"/>
  <c r="I415" i="6"/>
  <c r="O415" i="6" s="1"/>
  <c r="I416" i="6"/>
  <c r="O416" i="6" s="1"/>
  <c r="I417" i="6"/>
  <c r="I418" i="6"/>
  <c r="J418" i="6" s="1"/>
  <c r="I419" i="6"/>
  <c r="O419" i="6" s="1"/>
  <c r="I420" i="6"/>
  <c r="J420" i="6" s="1"/>
  <c r="I421" i="6"/>
  <c r="J421" i="6" s="1"/>
  <c r="I422" i="6"/>
  <c r="O422" i="6" s="1"/>
  <c r="I423" i="6"/>
  <c r="O423" i="6" s="1"/>
  <c r="I424" i="6"/>
  <c r="O424" i="6" s="1"/>
  <c r="I425" i="6"/>
  <c r="I426" i="6"/>
  <c r="I427" i="6"/>
  <c r="I428" i="6"/>
  <c r="I429" i="6"/>
  <c r="O429" i="6" s="1"/>
  <c r="I430" i="6"/>
  <c r="I431" i="6"/>
  <c r="I432" i="6"/>
  <c r="O432" i="6" s="1"/>
  <c r="I433" i="6"/>
  <c r="O433" i="6" s="1"/>
  <c r="I434" i="6"/>
  <c r="J434" i="6" s="1"/>
  <c r="I435" i="6"/>
  <c r="J435" i="6" s="1"/>
  <c r="I436" i="6"/>
  <c r="J436" i="6" s="1"/>
  <c r="I437" i="6"/>
  <c r="I438" i="6"/>
  <c r="O438" i="6" s="1"/>
  <c r="I439" i="6"/>
  <c r="I440" i="6"/>
  <c r="I441" i="6"/>
  <c r="I442" i="6"/>
  <c r="I443" i="6"/>
  <c r="I444" i="6"/>
  <c r="J444" i="6" s="1"/>
  <c r="I445" i="6"/>
  <c r="I446" i="6"/>
  <c r="J446" i="6" s="1"/>
  <c r="I447" i="6"/>
  <c r="J447" i="6" s="1"/>
  <c r="I448" i="6"/>
  <c r="I449" i="6"/>
  <c r="J449" i="6" s="1"/>
  <c r="I450" i="6"/>
  <c r="I451" i="6"/>
  <c r="I452" i="6"/>
  <c r="I453" i="6"/>
  <c r="I454" i="6"/>
  <c r="J454" i="6" s="1"/>
  <c r="I455" i="6"/>
  <c r="J455" i="6" s="1"/>
  <c r="I456" i="6"/>
  <c r="I457" i="6"/>
  <c r="I458" i="6"/>
  <c r="I459" i="6"/>
  <c r="J459" i="6" s="1"/>
  <c r="I460" i="6"/>
  <c r="I461" i="6"/>
  <c r="I462" i="6"/>
  <c r="J462" i="6" s="1"/>
  <c r="I463" i="6"/>
  <c r="J463" i="6" s="1"/>
  <c r="I464" i="6"/>
  <c r="J464" i="6" s="1"/>
  <c r="I465" i="6"/>
  <c r="O465" i="6" s="1"/>
  <c r="I466" i="6"/>
  <c r="J466" i="6" s="1"/>
  <c r="I467" i="6"/>
  <c r="I468" i="6"/>
  <c r="I469" i="6"/>
  <c r="J469" i="6" s="1"/>
  <c r="I470" i="6"/>
  <c r="I471" i="6"/>
  <c r="O471" i="6" s="1"/>
  <c r="I472" i="6"/>
  <c r="O472" i="6" s="1"/>
  <c r="I473" i="6"/>
  <c r="O473" i="6" s="1"/>
  <c r="I474" i="6"/>
  <c r="I475" i="6"/>
  <c r="O475" i="6" s="1"/>
  <c r="I476" i="6"/>
  <c r="I477" i="6"/>
  <c r="I478" i="6"/>
  <c r="I479" i="6"/>
  <c r="O479" i="6" s="1"/>
  <c r="I480" i="6"/>
  <c r="O480" i="6" s="1"/>
  <c r="I481" i="6"/>
  <c r="I482" i="6"/>
  <c r="O482" i="6" s="1"/>
  <c r="I483" i="6"/>
  <c r="O483" i="6" s="1"/>
  <c r="I484" i="6"/>
  <c r="I485" i="6"/>
  <c r="O485" i="6" s="1"/>
  <c r="I486" i="6"/>
  <c r="J486" i="6" s="1"/>
  <c r="I487" i="6"/>
  <c r="O487" i="6" s="1"/>
  <c r="I488" i="6"/>
  <c r="I489" i="6"/>
  <c r="I490" i="6"/>
  <c r="I491" i="6"/>
  <c r="O491" i="6" s="1"/>
  <c r="I492" i="6"/>
  <c r="I493" i="6"/>
  <c r="I494" i="6"/>
  <c r="I495" i="6"/>
  <c r="O495" i="6" s="1"/>
  <c r="I496" i="6"/>
  <c r="I497" i="6"/>
  <c r="I498" i="6"/>
  <c r="J498" i="6" s="1"/>
  <c r="I499" i="6"/>
  <c r="J499" i="6" s="1"/>
  <c r="I500" i="6"/>
  <c r="I501" i="6"/>
  <c r="J501" i="6" s="1"/>
  <c r="I502" i="6"/>
  <c r="O502" i="6" s="1"/>
  <c r="I503" i="6"/>
  <c r="O503" i="6" s="1"/>
  <c r="I504" i="6"/>
  <c r="O504" i="6" s="1"/>
  <c r="I505" i="6"/>
  <c r="I506" i="6"/>
  <c r="I507" i="6"/>
  <c r="J507" i="6" s="1"/>
  <c r="I508" i="6"/>
  <c r="O508" i="6" s="1"/>
  <c r="I509" i="6"/>
  <c r="I510" i="6"/>
  <c r="I511" i="6"/>
  <c r="O511" i="6" s="1"/>
  <c r="I512" i="6"/>
  <c r="I513" i="6"/>
  <c r="J513" i="6" s="1"/>
  <c r="I514" i="6"/>
  <c r="I515" i="6"/>
  <c r="O515" i="6" s="1"/>
  <c r="I516" i="6"/>
  <c r="I517" i="6"/>
  <c r="I518" i="6"/>
  <c r="I519" i="6"/>
  <c r="O519" i="6" s="1"/>
  <c r="I520" i="6"/>
  <c r="I521" i="6"/>
  <c r="J521" i="6" s="1"/>
  <c r="I522" i="6"/>
  <c r="O522" i="6" s="1"/>
  <c r="I523" i="6"/>
  <c r="J523" i="6" s="1"/>
  <c r="I524" i="6"/>
  <c r="I525" i="6"/>
  <c r="I526" i="6"/>
  <c r="I527" i="6"/>
  <c r="I528" i="6"/>
  <c r="I529" i="6"/>
  <c r="I530" i="6"/>
  <c r="I531" i="6"/>
  <c r="J531" i="6" s="1"/>
  <c r="I532" i="6"/>
  <c r="J532" i="6" s="1"/>
  <c r="I533" i="6"/>
  <c r="J533" i="6" s="1"/>
  <c r="I534" i="6"/>
  <c r="J534" i="6" s="1"/>
  <c r="I535" i="6"/>
  <c r="I536" i="6"/>
  <c r="J536" i="6" s="1"/>
  <c r="I537" i="6"/>
  <c r="J537" i="6" s="1"/>
  <c r="I538" i="6"/>
  <c r="I539" i="6"/>
  <c r="O539" i="6" s="1"/>
  <c r="I540" i="6"/>
  <c r="J540" i="6" s="1"/>
  <c r="I541" i="6"/>
  <c r="I542" i="6"/>
  <c r="I543" i="6"/>
  <c r="J543" i="6" s="1"/>
  <c r="I544" i="6"/>
  <c r="I545" i="6"/>
  <c r="I546" i="6"/>
  <c r="O546" i="6" s="1"/>
  <c r="I547" i="6"/>
  <c r="I548" i="6"/>
  <c r="I549" i="6"/>
  <c r="J549" i="6" s="1"/>
  <c r="I550" i="6"/>
  <c r="I551" i="6"/>
  <c r="J551" i="6" s="1"/>
  <c r="I552" i="6"/>
  <c r="I553" i="6"/>
  <c r="I554" i="6"/>
  <c r="O554" i="6" s="1"/>
  <c r="I555" i="6"/>
  <c r="O555" i="6" s="1"/>
  <c r="I556" i="6"/>
  <c r="I557" i="6"/>
  <c r="I558" i="6"/>
  <c r="I559" i="6"/>
  <c r="I560" i="6"/>
  <c r="J560" i="6" s="1"/>
  <c r="I561" i="6"/>
  <c r="J561" i="6" s="1"/>
  <c r="I562" i="6"/>
  <c r="O562" i="6" s="1"/>
  <c r="I563" i="6"/>
  <c r="J563" i="6" s="1"/>
  <c r="I564" i="6"/>
  <c r="O564" i="6" s="1"/>
  <c r="I565" i="6"/>
  <c r="I566" i="6"/>
  <c r="O566" i="6" s="1"/>
  <c r="I567" i="6"/>
  <c r="J567" i="6" s="1"/>
  <c r="I568" i="6"/>
  <c r="I569" i="6"/>
  <c r="O569" i="6" s="1"/>
  <c r="I570" i="6"/>
  <c r="I571" i="6"/>
  <c r="O571" i="6" s="1"/>
  <c r="I572" i="6"/>
  <c r="J572" i="6" s="1"/>
  <c r="I573" i="6"/>
  <c r="I574" i="6"/>
  <c r="I575" i="6"/>
  <c r="O575" i="6" s="1"/>
  <c r="I576" i="6"/>
  <c r="I577" i="6"/>
  <c r="O577" i="6" s="1"/>
  <c r="I578" i="6"/>
  <c r="I579" i="6"/>
  <c r="J579" i="6" s="1"/>
  <c r="I580" i="6"/>
  <c r="J580" i="6" s="1"/>
  <c r="I581" i="6"/>
  <c r="I582" i="6"/>
  <c r="I583" i="6"/>
  <c r="I584" i="6"/>
  <c r="I585" i="6"/>
  <c r="I586" i="6"/>
  <c r="O586" i="6" s="1"/>
  <c r="I587" i="6"/>
  <c r="O587" i="6" s="1"/>
  <c r="I588" i="6"/>
  <c r="I589" i="6"/>
  <c r="J589" i="6" s="1"/>
  <c r="I590" i="6"/>
  <c r="I591" i="6"/>
  <c r="J591" i="6" s="1"/>
  <c r="I592" i="6"/>
  <c r="I593" i="6"/>
  <c r="I594" i="6"/>
  <c r="J594" i="6" s="1"/>
  <c r="I595" i="6"/>
  <c r="I596" i="6"/>
  <c r="I597" i="6"/>
  <c r="O597" i="6" s="1"/>
  <c r="I598" i="6"/>
  <c r="O598" i="6" s="1"/>
  <c r="I599" i="6"/>
  <c r="I600" i="6"/>
  <c r="I601" i="6"/>
  <c r="J601" i="6" s="1"/>
  <c r="I602" i="6"/>
  <c r="I603" i="6"/>
  <c r="O603" i="6" s="1"/>
  <c r="I604" i="6"/>
  <c r="O604" i="6" s="1"/>
  <c r="I605" i="6"/>
  <c r="I606" i="6"/>
  <c r="I607" i="6"/>
  <c r="I608" i="6"/>
  <c r="I609" i="6"/>
  <c r="J609" i="6" s="1"/>
  <c r="I610" i="6"/>
  <c r="I611" i="6"/>
  <c r="O611" i="6" s="1"/>
  <c r="I612" i="6"/>
  <c r="I613" i="6"/>
  <c r="I614" i="6"/>
  <c r="O614" i="6" s="1"/>
  <c r="I615" i="6"/>
  <c r="J615" i="6" s="1"/>
  <c r="I616" i="6"/>
  <c r="I617" i="6"/>
  <c r="I618" i="6"/>
  <c r="I619" i="6"/>
  <c r="I620" i="6"/>
  <c r="I621" i="6"/>
  <c r="I622" i="6"/>
  <c r="I623" i="6"/>
  <c r="O623" i="6"/>
  <c r="I624" i="6"/>
  <c r="J624" i="6" s="1"/>
  <c r="I625" i="6"/>
  <c r="I626" i="6"/>
  <c r="J626" i="6" s="1"/>
  <c r="I627" i="6"/>
  <c r="J627" i="6" s="1"/>
  <c r="I628" i="6"/>
  <c r="I629" i="6"/>
  <c r="O629" i="6" s="1"/>
  <c r="I630" i="6"/>
  <c r="J630" i="6" s="1"/>
  <c r="I631" i="6"/>
  <c r="O631" i="6" s="1"/>
  <c r="I632" i="6"/>
  <c r="J632" i="6" s="1"/>
  <c r="I633" i="6"/>
  <c r="I634" i="6"/>
  <c r="I635" i="6"/>
  <c r="I636" i="6"/>
  <c r="I637" i="6"/>
  <c r="O637" i="6" s="1"/>
  <c r="I638" i="6"/>
  <c r="O638" i="6" s="1"/>
  <c r="I639" i="6"/>
  <c r="O639" i="6" s="1"/>
  <c r="I640" i="6"/>
  <c r="I641" i="6"/>
  <c r="J641" i="6" s="1"/>
  <c r="I642" i="6"/>
  <c r="I643" i="6"/>
  <c r="O643" i="6" s="1"/>
  <c r="I644" i="6"/>
  <c r="O644" i="6" s="1"/>
  <c r="I645" i="6"/>
  <c r="I646" i="6"/>
  <c r="I647" i="6"/>
  <c r="O647" i="6" s="1"/>
  <c r="I648" i="6"/>
  <c r="O648" i="6" s="1"/>
  <c r="I649" i="6"/>
  <c r="I650" i="6"/>
  <c r="O650" i="6" s="1"/>
  <c r="I651" i="6"/>
  <c r="J651" i="6" s="1"/>
  <c r="I652" i="6"/>
  <c r="O652" i="6" s="1"/>
  <c r="I653" i="6"/>
  <c r="J653" i="6" s="1"/>
  <c r="I654" i="6"/>
  <c r="I655" i="6"/>
  <c r="I656" i="6"/>
  <c r="I657" i="6"/>
  <c r="I658" i="6"/>
  <c r="J658" i="6" s="1"/>
  <c r="I659" i="6"/>
  <c r="J659" i="6" s="1"/>
  <c r="I660" i="6"/>
  <c r="I661" i="6"/>
  <c r="I662" i="6"/>
  <c r="J662" i="6" s="1"/>
  <c r="I663" i="6"/>
  <c r="O663" i="6" s="1"/>
  <c r="I664" i="6"/>
  <c r="O664" i="6" s="1"/>
  <c r="I665" i="6"/>
  <c r="J665" i="6" s="1"/>
  <c r="I666" i="6"/>
  <c r="J666" i="6" s="1"/>
  <c r="I667" i="6"/>
  <c r="J667" i="6" s="1"/>
  <c r="I668" i="6"/>
  <c r="I669" i="6"/>
  <c r="I670" i="6"/>
  <c r="I671" i="6"/>
  <c r="O671" i="6" s="1"/>
  <c r="I672" i="6"/>
  <c r="J672" i="6" s="1"/>
  <c r="I673" i="6"/>
  <c r="I674" i="6"/>
  <c r="J674" i="6" s="1"/>
  <c r="I675" i="6"/>
  <c r="J675" i="6" s="1"/>
  <c r="I676" i="6"/>
  <c r="I677" i="6"/>
  <c r="O677" i="6" s="1"/>
  <c r="Q677" i="6" s="1"/>
  <c r="U677" i="6" s="1"/>
  <c r="I678" i="6"/>
  <c r="J678" i="6" s="1"/>
  <c r="I679" i="6"/>
  <c r="I680" i="6"/>
  <c r="I681" i="6"/>
  <c r="J681" i="6" s="1"/>
  <c r="I682" i="6"/>
  <c r="O682" i="6" s="1"/>
  <c r="I683" i="6"/>
  <c r="I684" i="6"/>
  <c r="I685" i="6"/>
  <c r="I686" i="6"/>
  <c r="O686" i="6" s="1"/>
  <c r="I687" i="6"/>
  <c r="O687" i="6" s="1"/>
  <c r="I688" i="6"/>
  <c r="I689" i="6"/>
  <c r="J689" i="6" s="1"/>
  <c r="I690" i="6"/>
  <c r="O690" i="6" s="1"/>
  <c r="I691" i="6"/>
  <c r="J691" i="6" s="1"/>
  <c r="I692" i="6"/>
  <c r="I693" i="6"/>
  <c r="O693" i="6" s="1"/>
  <c r="I694" i="6"/>
  <c r="I695" i="6"/>
  <c r="J695" i="6" s="1"/>
  <c r="I696" i="6"/>
  <c r="I697" i="6"/>
  <c r="J697" i="6" s="1"/>
  <c r="I698" i="6"/>
  <c r="I699" i="6"/>
  <c r="O699" i="6" s="1"/>
  <c r="I700" i="6"/>
  <c r="O700" i="6" s="1"/>
  <c r="I701" i="6"/>
  <c r="O701" i="6" s="1"/>
  <c r="I702" i="6"/>
  <c r="O702" i="6" s="1"/>
  <c r="I703" i="6"/>
  <c r="O703" i="6" s="1"/>
  <c r="I704" i="6"/>
  <c r="I705" i="6"/>
  <c r="O705" i="6" s="1"/>
  <c r="I706" i="6"/>
  <c r="O706" i="6" s="1"/>
  <c r="I707" i="6"/>
  <c r="J707" i="6" s="1"/>
  <c r="I708" i="6"/>
  <c r="I709" i="6"/>
  <c r="I710" i="6"/>
  <c r="I711" i="6"/>
  <c r="O711" i="6" s="1"/>
  <c r="I712" i="6"/>
  <c r="J712" i="6" s="1"/>
  <c r="I713" i="6"/>
  <c r="O713" i="6" s="1"/>
  <c r="I714" i="6"/>
  <c r="J714" i="6" s="1"/>
  <c r="I715" i="6"/>
  <c r="I716" i="6"/>
  <c r="I717" i="6"/>
  <c r="J717" i="6" s="1"/>
  <c r="I718" i="6"/>
  <c r="I719" i="6"/>
  <c r="I720" i="6"/>
  <c r="I721" i="6"/>
  <c r="I722" i="6"/>
  <c r="O722" i="6" s="1"/>
  <c r="I723" i="6"/>
  <c r="O723" i="6" s="1"/>
  <c r="I724" i="6"/>
  <c r="I725" i="6"/>
  <c r="O725" i="6" s="1"/>
  <c r="Q725" i="6" s="1"/>
  <c r="U725" i="6" s="1"/>
  <c r="I726" i="6"/>
  <c r="O726" i="6" s="1"/>
  <c r="I727" i="6"/>
  <c r="I728" i="6"/>
  <c r="I729" i="6"/>
  <c r="I730" i="6"/>
  <c r="J730" i="6" s="1"/>
  <c r="I731" i="6"/>
  <c r="I732" i="6"/>
  <c r="I733" i="6"/>
  <c r="I734" i="6"/>
  <c r="J734" i="6" s="1"/>
  <c r="I735" i="6"/>
  <c r="O735" i="6" s="1"/>
  <c r="I736" i="6"/>
  <c r="J736" i="6" s="1"/>
  <c r="I737" i="6"/>
  <c r="O737" i="6" s="1"/>
  <c r="Q737" i="6" s="1"/>
  <c r="U737" i="6" s="1"/>
  <c r="I738" i="6"/>
  <c r="O738" i="6" s="1"/>
  <c r="I739" i="6"/>
  <c r="I740" i="6"/>
  <c r="I741" i="6"/>
  <c r="I742" i="6"/>
  <c r="O742" i="6" s="1"/>
  <c r="I743" i="6"/>
  <c r="J743" i="6" s="1"/>
  <c r="I744" i="6"/>
  <c r="I745" i="6"/>
  <c r="J745" i="6" s="1"/>
  <c r="I746" i="6"/>
  <c r="J746" i="6" s="1"/>
  <c r="I747" i="6"/>
  <c r="O747" i="6" s="1"/>
  <c r="I748" i="6"/>
  <c r="I749" i="6"/>
  <c r="O749" i="6" s="1"/>
  <c r="Q749" i="6" s="1"/>
  <c r="U749" i="6" s="1"/>
  <c r="I750" i="6"/>
  <c r="J750" i="6" s="1"/>
  <c r="I751" i="6"/>
  <c r="O751" i="6" s="1"/>
  <c r="I752" i="6"/>
  <c r="I753" i="6"/>
  <c r="J753" i="6" s="1"/>
  <c r="I754" i="6"/>
  <c r="O754" i="6" s="1"/>
  <c r="I755" i="6"/>
  <c r="J755" i="6" s="1"/>
  <c r="I756" i="6"/>
  <c r="I757" i="6"/>
  <c r="I758" i="6"/>
  <c r="O758" i="6" s="1"/>
  <c r="I759" i="6"/>
  <c r="O759" i="6" s="1"/>
  <c r="I760" i="6"/>
  <c r="J760" i="6" s="1"/>
  <c r="I761" i="6"/>
  <c r="O761" i="6" s="1"/>
  <c r="I762" i="6"/>
  <c r="O762" i="6" s="1"/>
  <c r="I763" i="6"/>
  <c r="I764" i="6"/>
  <c r="I765" i="6"/>
  <c r="J765" i="6" s="1"/>
  <c r="I766" i="6"/>
  <c r="O766" i="6" s="1"/>
  <c r="I767" i="6"/>
  <c r="I768" i="6"/>
  <c r="I769" i="6"/>
  <c r="I770" i="6"/>
  <c r="J770" i="6" s="1"/>
  <c r="I771" i="6"/>
  <c r="O771" i="6" s="1"/>
  <c r="I772" i="6"/>
  <c r="I773" i="6"/>
  <c r="O773" i="6" s="1"/>
  <c r="I774" i="6"/>
  <c r="I775" i="6"/>
  <c r="O775" i="6" s="1"/>
  <c r="I776" i="6"/>
  <c r="I777" i="6"/>
  <c r="I778" i="6"/>
  <c r="I779" i="6"/>
  <c r="I780" i="6"/>
  <c r="I781" i="6"/>
  <c r="I782" i="6"/>
  <c r="O782" i="6" s="1"/>
  <c r="I783" i="6"/>
  <c r="O783" i="6" s="1"/>
  <c r="I784" i="6"/>
  <c r="I785" i="6"/>
  <c r="O785" i="6" s="1"/>
  <c r="I786" i="6"/>
  <c r="O786" i="6" s="1"/>
  <c r="I787" i="6"/>
  <c r="I788" i="6"/>
  <c r="I789" i="6"/>
  <c r="I790" i="6"/>
  <c r="J790" i="6" s="1"/>
  <c r="I791" i="6"/>
  <c r="J791" i="6" s="1"/>
  <c r="I792" i="6"/>
  <c r="O792" i="6" s="1"/>
  <c r="I793" i="6"/>
  <c r="J793" i="6" s="1"/>
  <c r="I794" i="6"/>
  <c r="O794" i="6" s="1"/>
  <c r="I795" i="6"/>
  <c r="J795" i="6" s="1"/>
  <c r="I796" i="6"/>
  <c r="I797" i="6"/>
  <c r="J797" i="6" s="1"/>
  <c r="I798" i="6"/>
  <c r="I799" i="6"/>
  <c r="O799" i="6" s="1"/>
  <c r="I800" i="6"/>
  <c r="O800" i="6" s="1"/>
  <c r="I801" i="6"/>
  <c r="I802" i="6"/>
  <c r="O802" i="6" s="1"/>
  <c r="I803" i="6"/>
  <c r="J803" i="6" s="1"/>
  <c r="I804" i="6"/>
  <c r="I805" i="6"/>
  <c r="J805" i="6" s="1"/>
  <c r="I806" i="6"/>
  <c r="I807" i="6"/>
  <c r="I808" i="6"/>
  <c r="I809" i="6"/>
  <c r="O809" i="6" s="1"/>
  <c r="I810" i="6"/>
  <c r="J810" i="6" s="1"/>
  <c r="I811" i="6"/>
  <c r="O811" i="6" s="1"/>
  <c r="I812" i="6"/>
  <c r="O812" i="6" s="1"/>
  <c r="I813" i="6"/>
  <c r="I814" i="6"/>
  <c r="O814" i="6" s="1"/>
  <c r="I815" i="6"/>
  <c r="O815" i="6" s="1"/>
  <c r="I816" i="6"/>
  <c r="I817" i="6"/>
  <c r="I818" i="6"/>
  <c r="I819" i="6"/>
  <c r="O819" i="6" s="1"/>
  <c r="I820" i="6"/>
  <c r="O820" i="6" s="1"/>
  <c r="I821" i="6"/>
  <c r="J821" i="6" s="1"/>
  <c r="I822" i="6"/>
  <c r="I823" i="6"/>
  <c r="O823" i="6" s="1"/>
  <c r="I824" i="6"/>
  <c r="I825" i="6"/>
  <c r="O825" i="6" s="1"/>
  <c r="I826" i="6"/>
  <c r="O826" i="6" s="1"/>
  <c r="I827" i="6"/>
  <c r="I828" i="6"/>
  <c r="I829" i="6"/>
  <c r="I830" i="6"/>
  <c r="I831" i="6"/>
  <c r="J831" i="6" s="1"/>
  <c r="I832" i="6"/>
  <c r="I833" i="6"/>
  <c r="O833" i="6" s="1"/>
  <c r="Q833" i="6" s="1"/>
  <c r="U833" i="6" s="1"/>
  <c r="I834" i="6"/>
  <c r="I835" i="6"/>
  <c r="J835" i="6" s="1"/>
  <c r="I836" i="6"/>
  <c r="I837" i="6"/>
  <c r="O837" i="6" s="1"/>
  <c r="I838" i="6"/>
  <c r="J838" i="6" s="1"/>
  <c r="I839" i="6"/>
  <c r="O839" i="6" s="1"/>
  <c r="I840" i="6"/>
  <c r="I841" i="6"/>
  <c r="J841" i="6" s="1"/>
  <c r="I842" i="6"/>
  <c r="O842" i="6" s="1"/>
  <c r="I843" i="6"/>
  <c r="O843" i="6" s="1"/>
  <c r="I844" i="6"/>
  <c r="I845" i="6"/>
  <c r="O845" i="6" s="1"/>
  <c r="I846" i="6"/>
  <c r="J846" i="6" s="1"/>
  <c r="I847" i="6"/>
  <c r="O847" i="6" s="1"/>
  <c r="I848" i="6"/>
  <c r="O848" i="6" s="1"/>
  <c r="I849" i="6"/>
  <c r="I850" i="6"/>
  <c r="O850" i="6" s="1"/>
  <c r="I851" i="6"/>
  <c r="I852" i="6"/>
  <c r="J852" i="6" s="1"/>
  <c r="I853" i="6"/>
  <c r="I854" i="6"/>
  <c r="O854" i="6" s="1"/>
  <c r="I855" i="6"/>
  <c r="J855" i="6" s="1"/>
  <c r="I856" i="6"/>
  <c r="I857" i="6"/>
  <c r="O857" i="6" s="1"/>
  <c r="Q857" i="6" s="1"/>
  <c r="U857" i="6" s="1"/>
  <c r="I858" i="6"/>
  <c r="J858" i="6" s="1"/>
  <c r="I859" i="6"/>
  <c r="O859" i="6" s="1"/>
  <c r="I860" i="6"/>
  <c r="I861" i="6"/>
  <c r="O861" i="6" s="1"/>
  <c r="I862" i="6"/>
  <c r="J862" i="6" s="1"/>
  <c r="I863" i="6"/>
  <c r="I864" i="6"/>
  <c r="I865" i="6"/>
  <c r="I866" i="6"/>
  <c r="I867" i="6"/>
  <c r="I868" i="6"/>
  <c r="J868" i="6" s="1"/>
  <c r="I869" i="6"/>
  <c r="J869" i="6" s="1"/>
  <c r="I870" i="6"/>
  <c r="J870" i="6" s="1"/>
  <c r="I871" i="6"/>
  <c r="O871" i="6" s="1"/>
  <c r="I872" i="6"/>
  <c r="I873" i="6"/>
  <c r="I874" i="6"/>
  <c r="O874" i="6" s="1"/>
  <c r="I875" i="6"/>
  <c r="J875" i="6" s="1"/>
  <c r="I876" i="6"/>
  <c r="I877" i="6"/>
  <c r="O877" i="6" s="1"/>
  <c r="I878" i="6"/>
  <c r="O878" i="6" s="1"/>
  <c r="I879" i="6"/>
  <c r="O879" i="6" s="1"/>
  <c r="I880" i="6"/>
  <c r="I881" i="6"/>
  <c r="O881" i="6" s="1"/>
  <c r="I882" i="6"/>
  <c r="O882" i="6" s="1"/>
  <c r="I883" i="6"/>
  <c r="O883" i="6" s="1"/>
  <c r="I884" i="6"/>
  <c r="O884" i="6" s="1"/>
  <c r="I885" i="6"/>
  <c r="I886" i="6"/>
  <c r="J886" i="6" s="1"/>
  <c r="I887" i="6"/>
  <c r="I888" i="6"/>
  <c r="J888" i="6" s="1"/>
  <c r="I889" i="6"/>
  <c r="J889" i="6" s="1"/>
  <c r="I890" i="6"/>
  <c r="I891" i="6"/>
  <c r="O891" i="6" s="1"/>
  <c r="I892" i="6"/>
  <c r="I893" i="6"/>
  <c r="J893" i="6" s="1"/>
  <c r="I894" i="6"/>
  <c r="I895" i="6"/>
  <c r="J895" i="6" s="1"/>
  <c r="I896" i="6"/>
  <c r="I897" i="6"/>
  <c r="J897" i="6" s="1"/>
  <c r="I898" i="6"/>
  <c r="I899" i="6"/>
  <c r="J899" i="6" s="1"/>
  <c r="I900" i="6"/>
  <c r="J900" i="6" s="1"/>
  <c r="I901" i="6"/>
  <c r="J901" i="6" s="1"/>
  <c r="I902" i="6"/>
  <c r="I903" i="6"/>
  <c r="O903" i="6" s="1"/>
  <c r="I904" i="6"/>
  <c r="J904" i="6" s="1"/>
  <c r="I905" i="6"/>
  <c r="O905" i="6" s="1"/>
  <c r="I906" i="6"/>
  <c r="J906" i="6" s="1"/>
  <c r="I907" i="6"/>
  <c r="I908" i="6"/>
  <c r="J908" i="6" s="1"/>
  <c r="I909" i="6"/>
  <c r="I910" i="6"/>
  <c r="J910" i="6" s="1"/>
  <c r="I911" i="6"/>
  <c r="J911" i="6" s="1"/>
  <c r="I912" i="6"/>
  <c r="O912" i="6" s="1"/>
  <c r="I913" i="6"/>
  <c r="O913" i="6" s="1"/>
  <c r="I914" i="6"/>
  <c r="J914" i="6" s="1"/>
  <c r="I915" i="6"/>
  <c r="O915" i="6" s="1"/>
  <c r="I916" i="6"/>
  <c r="I917" i="6"/>
  <c r="J917" i="6" s="1"/>
  <c r="I918" i="6"/>
  <c r="J918" i="6" s="1"/>
  <c r="I919" i="6"/>
  <c r="I920" i="6"/>
  <c r="O920" i="6" s="1"/>
  <c r="I921" i="6"/>
  <c r="I922" i="6"/>
  <c r="O922" i="6" s="1"/>
  <c r="I923" i="6"/>
  <c r="J923" i="6" s="1"/>
  <c r="I924" i="6"/>
  <c r="I925" i="6"/>
  <c r="J925" i="6" s="1"/>
  <c r="I926" i="6"/>
  <c r="J926" i="6" s="1"/>
  <c r="I927" i="6"/>
  <c r="I928" i="6"/>
  <c r="I929" i="6"/>
  <c r="O929" i="6" s="1"/>
  <c r="Q929" i="6" s="1"/>
  <c r="U929" i="6" s="1"/>
  <c r="I930" i="6"/>
  <c r="J930" i="6" s="1"/>
  <c r="I931" i="6"/>
  <c r="J931" i="6" s="1"/>
  <c r="I932" i="6"/>
  <c r="J932" i="6" s="1"/>
  <c r="I933" i="6"/>
  <c r="I934" i="6"/>
  <c r="O934" i="6" s="1"/>
  <c r="I935" i="6"/>
  <c r="J935" i="6" s="1"/>
  <c r="I936" i="6"/>
  <c r="O936" i="6" s="1"/>
  <c r="I937" i="6"/>
  <c r="I938" i="6"/>
  <c r="O938" i="6" s="1"/>
  <c r="I939" i="6"/>
  <c r="I940" i="6"/>
  <c r="I941" i="6"/>
  <c r="J941" i="6" s="1"/>
  <c r="I942" i="6"/>
  <c r="O942" i="6" s="1"/>
  <c r="I943" i="6"/>
  <c r="I944" i="6"/>
  <c r="I945" i="6"/>
  <c r="O945" i="6" s="1"/>
  <c r="I946" i="6"/>
  <c r="O946" i="6" s="1"/>
  <c r="I947" i="6"/>
  <c r="I948" i="6"/>
  <c r="O948" i="6" s="1"/>
  <c r="I949" i="6"/>
  <c r="O949" i="6" s="1"/>
  <c r="I950" i="6"/>
  <c r="I951" i="6"/>
  <c r="O951" i="6" s="1"/>
  <c r="I952" i="6"/>
  <c r="I953" i="6"/>
  <c r="J953" i="6" s="1"/>
  <c r="I954" i="6"/>
  <c r="O954" i="6" s="1"/>
  <c r="I955" i="6"/>
  <c r="I956" i="6"/>
  <c r="O956" i="6" s="1"/>
  <c r="I957" i="6"/>
  <c r="I958" i="6"/>
  <c r="J958" i="6"/>
  <c r="I959" i="6"/>
  <c r="I960" i="6"/>
  <c r="I961" i="6"/>
  <c r="I962" i="6"/>
  <c r="O962" i="6" s="1"/>
  <c r="I963" i="6"/>
  <c r="J963" i="6" s="1"/>
  <c r="I964" i="6"/>
  <c r="J964" i="6" s="1"/>
  <c r="I965" i="6"/>
  <c r="I966" i="6"/>
  <c r="J966" i="6" s="1"/>
  <c r="I967" i="6"/>
  <c r="J967" i="6" s="1"/>
  <c r="I968" i="6"/>
  <c r="O968" i="6" s="1"/>
  <c r="I969" i="6"/>
  <c r="J969" i="6" s="1"/>
  <c r="I970" i="6"/>
  <c r="O970" i="6" s="1"/>
  <c r="I971" i="6"/>
  <c r="I972" i="6"/>
  <c r="I973" i="6"/>
  <c r="I974" i="6"/>
  <c r="I975" i="6"/>
  <c r="O975" i="6" s="1"/>
  <c r="I976" i="6"/>
  <c r="J976" i="6" s="1"/>
  <c r="I977" i="6"/>
  <c r="J977" i="6" s="1"/>
  <c r="I978" i="6"/>
  <c r="J978" i="6" s="1"/>
  <c r="I979" i="6"/>
  <c r="O979" i="6" s="1"/>
  <c r="I980" i="6"/>
  <c r="I981" i="6"/>
  <c r="I982" i="6"/>
  <c r="O982" i="6" s="1"/>
  <c r="I983" i="6"/>
  <c r="O983" i="6" s="1"/>
  <c r="I984" i="6"/>
  <c r="O984" i="6" s="1"/>
  <c r="I985" i="6"/>
  <c r="O985" i="6" s="1"/>
  <c r="I986" i="6"/>
  <c r="I987" i="6"/>
  <c r="O987" i="6" s="1"/>
  <c r="I988" i="6"/>
  <c r="J988" i="6" s="1"/>
  <c r="I989" i="6"/>
  <c r="J989" i="6" s="1"/>
  <c r="I990" i="6"/>
  <c r="J990" i="6" s="1"/>
  <c r="I991" i="6"/>
  <c r="J991" i="6" s="1"/>
  <c r="I992" i="6"/>
  <c r="I993" i="6"/>
  <c r="J993" i="6" s="1"/>
  <c r="I994" i="6"/>
  <c r="O994" i="6" s="1"/>
  <c r="I995" i="6"/>
  <c r="O995" i="6" s="1"/>
  <c r="I996" i="6"/>
  <c r="J996" i="6" s="1"/>
  <c r="I997" i="6"/>
  <c r="I998" i="6"/>
  <c r="O998" i="6" s="1"/>
  <c r="I999" i="6"/>
  <c r="J999" i="6" s="1"/>
  <c r="I1000" i="6"/>
  <c r="J1000" i="6" s="1"/>
  <c r="I1001" i="6"/>
  <c r="I1002" i="6"/>
  <c r="I1003" i="6"/>
  <c r="O1003" i="6" s="1"/>
  <c r="I1004" i="6"/>
  <c r="I1005" i="6"/>
  <c r="J1005" i="6" s="1"/>
  <c r="I1006" i="6"/>
  <c r="I1007" i="6"/>
  <c r="I1008" i="6"/>
  <c r="I1009" i="6"/>
  <c r="O1009" i="6" s="1"/>
  <c r="I1010" i="6"/>
  <c r="J1010" i="6" s="1"/>
  <c r="I1011" i="6"/>
  <c r="O1011" i="6" s="1"/>
  <c r="I1012" i="6"/>
  <c r="I1013" i="6"/>
  <c r="I1014" i="6"/>
  <c r="I1015" i="6"/>
  <c r="O1015" i="6" s="1"/>
  <c r="I1016" i="6"/>
  <c r="I1017" i="6"/>
  <c r="J1017" i="6" s="1"/>
  <c r="I1018" i="6"/>
  <c r="I1019" i="6"/>
  <c r="J1019" i="6" s="1"/>
  <c r="I1020" i="6"/>
  <c r="J1020" i="6" s="1"/>
  <c r="I1021" i="6"/>
  <c r="O1021" i="6" s="1"/>
  <c r="I1022" i="6"/>
  <c r="I1023" i="6"/>
  <c r="J1023" i="6" s="1"/>
  <c r="I1024" i="6"/>
  <c r="J1024" i="6" s="1"/>
  <c r="I1025" i="6"/>
  <c r="I1026" i="6"/>
  <c r="I1027" i="6"/>
  <c r="I1028" i="6"/>
  <c r="I1029" i="6"/>
  <c r="J1029" i="6" s="1"/>
  <c r="I1030" i="6"/>
  <c r="O1030" i="6" s="1"/>
  <c r="I1031" i="6"/>
  <c r="O1031" i="6" s="1"/>
  <c r="I1032" i="6"/>
  <c r="I1033" i="6"/>
  <c r="I1034" i="6"/>
  <c r="I1035" i="6"/>
  <c r="O1035" i="6" s="1"/>
  <c r="I1036" i="6"/>
  <c r="O1036" i="6" s="1"/>
  <c r="I1037" i="6"/>
  <c r="I1038" i="6"/>
  <c r="O1038" i="6" s="1"/>
  <c r="I1039" i="6"/>
  <c r="O1039" i="6" s="1"/>
  <c r="I1040" i="6"/>
  <c r="I1041" i="6"/>
  <c r="O1041" i="6" s="1"/>
  <c r="I1042" i="6"/>
  <c r="I1043" i="6"/>
  <c r="J1043" i="6" s="1"/>
  <c r="I1044" i="6"/>
  <c r="O1044" i="6" s="1"/>
  <c r="I1045" i="6"/>
  <c r="O1045" i="6" s="1"/>
  <c r="I1046" i="6"/>
  <c r="I1047" i="6"/>
  <c r="J1047" i="6" s="1"/>
  <c r="I1048" i="6"/>
  <c r="J1048" i="6" s="1"/>
  <c r="I1049" i="6"/>
  <c r="O1049" i="6" s="1"/>
  <c r="I1050" i="6"/>
  <c r="I1051" i="6"/>
  <c r="O1051" i="6" s="1"/>
  <c r="I1052" i="6"/>
  <c r="I1053" i="6"/>
  <c r="J1053" i="6" s="1"/>
  <c r="I1054" i="6"/>
  <c r="I1055" i="6"/>
  <c r="O1055" i="6" s="1"/>
  <c r="I1056" i="6"/>
  <c r="I1057" i="6"/>
  <c r="I1058" i="6"/>
  <c r="J1058" i="6" s="1"/>
  <c r="I1059" i="6"/>
  <c r="O1059" i="6" s="1"/>
  <c r="I1060" i="6"/>
  <c r="O1060" i="6" s="1"/>
  <c r="I1061" i="6"/>
  <c r="O1061" i="6" s="1"/>
  <c r="I1062" i="6"/>
  <c r="I1063" i="6"/>
  <c r="O1063" i="6" s="1"/>
  <c r="I1064" i="6"/>
  <c r="J1064" i="6" s="1"/>
  <c r="I1065" i="6"/>
  <c r="I1066" i="6"/>
  <c r="I1067" i="6"/>
  <c r="O1067" i="6" s="1"/>
  <c r="I1068" i="6"/>
  <c r="I1069" i="6"/>
  <c r="O1069" i="6" s="1"/>
  <c r="I1070" i="6"/>
  <c r="I1071" i="6"/>
  <c r="I1072" i="6"/>
  <c r="J1072" i="6" s="1"/>
  <c r="I1073" i="6"/>
  <c r="I1074" i="6"/>
  <c r="I1075" i="6"/>
  <c r="J1075" i="6" s="1"/>
  <c r="I1076" i="6"/>
  <c r="I1077" i="6"/>
  <c r="O1077" i="6" s="1"/>
  <c r="I1078" i="6"/>
  <c r="J1078" i="6" s="1"/>
  <c r="I1079" i="6"/>
  <c r="J1079" i="6" s="1"/>
  <c r="I1080" i="6"/>
  <c r="I1081" i="6"/>
  <c r="J1081" i="6" s="1"/>
  <c r="I1082" i="6"/>
  <c r="O1082" i="6" s="1"/>
  <c r="I1083" i="6"/>
  <c r="J1083" i="6" s="1"/>
  <c r="I1084" i="6"/>
  <c r="I1085" i="6"/>
  <c r="J1085" i="6" s="1"/>
  <c r="I1086" i="6"/>
  <c r="I1087" i="6"/>
  <c r="I1088" i="6"/>
  <c r="O1088" i="6" s="1"/>
  <c r="I1089" i="6"/>
  <c r="I1090" i="6"/>
  <c r="O1090" i="6" s="1"/>
  <c r="I1091" i="6"/>
  <c r="J1091" i="6" s="1"/>
  <c r="I1092" i="6"/>
  <c r="I1093" i="6"/>
  <c r="I1094" i="6"/>
  <c r="I1095" i="6"/>
  <c r="J1095" i="6" s="1"/>
  <c r="I1096" i="6"/>
  <c r="I1097" i="6"/>
  <c r="J1097" i="6" s="1"/>
  <c r="I1098" i="6"/>
  <c r="O1098" i="6" s="1"/>
  <c r="I1099" i="6"/>
  <c r="O1099" i="6" s="1"/>
  <c r="I1100" i="6"/>
  <c r="I1101" i="6"/>
  <c r="O1101" i="6" s="1"/>
  <c r="I1102" i="6"/>
  <c r="I1103" i="6"/>
  <c r="O1103" i="6" s="1"/>
  <c r="I1104" i="6"/>
  <c r="I1105" i="6"/>
  <c r="J1105" i="6" s="1"/>
  <c r="I1106" i="6"/>
  <c r="I1107" i="6"/>
  <c r="O1107" i="6" s="1"/>
  <c r="I1108" i="6"/>
  <c r="J1108" i="6" s="1"/>
  <c r="I1109" i="6"/>
  <c r="I1110" i="6"/>
  <c r="O1110" i="6" s="1"/>
  <c r="I1111" i="6"/>
  <c r="O1111" i="6" s="1"/>
  <c r="I1112" i="6"/>
  <c r="J1112" i="6" s="1"/>
  <c r="I1113" i="6"/>
  <c r="I1114" i="6"/>
  <c r="I1115" i="6"/>
  <c r="O1115" i="6" s="1"/>
  <c r="I1116" i="6"/>
  <c r="I1117" i="6"/>
  <c r="O1117" i="6" s="1"/>
  <c r="I1118" i="6"/>
  <c r="J1118" i="6" s="1"/>
  <c r="I1119" i="6"/>
  <c r="I1120" i="6"/>
  <c r="I1121" i="6"/>
  <c r="O1121" i="6" s="1"/>
  <c r="I1122" i="6"/>
  <c r="O1122" i="6" s="1"/>
  <c r="I1123" i="6"/>
  <c r="O1123" i="6" s="1"/>
  <c r="I1124" i="6"/>
  <c r="J1124" i="6" s="1"/>
  <c r="I1125" i="6"/>
  <c r="I1126" i="6"/>
  <c r="I1127" i="6"/>
  <c r="J1127" i="6" s="1"/>
  <c r="I1128" i="6"/>
  <c r="I1129" i="6"/>
  <c r="J1129" i="6" s="1"/>
  <c r="I1130" i="6"/>
  <c r="I1131" i="6"/>
  <c r="O1131" i="6" s="1"/>
  <c r="I1132" i="6"/>
  <c r="O1132" i="6" s="1"/>
  <c r="I1133" i="6"/>
  <c r="O1133" i="6" s="1"/>
  <c r="I1134" i="6"/>
  <c r="O1134" i="6" s="1"/>
  <c r="I1135" i="6"/>
  <c r="O1135" i="6" s="1"/>
  <c r="I1136" i="6"/>
  <c r="J1136" i="6" s="1"/>
  <c r="I1137" i="6"/>
  <c r="I1138" i="6"/>
  <c r="I1139" i="6"/>
  <c r="O1139" i="6" s="1"/>
  <c r="I1140" i="6"/>
  <c r="I1141" i="6"/>
  <c r="J1141" i="6" s="1"/>
  <c r="I1142" i="6"/>
  <c r="J1142" i="6" s="1"/>
  <c r="I1143" i="6"/>
  <c r="O1143" i="6" s="1"/>
  <c r="I1144" i="6"/>
  <c r="O1144" i="6" s="1"/>
  <c r="I1145" i="6"/>
  <c r="I1146" i="6"/>
  <c r="I1147" i="6"/>
  <c r="J1147" i="6" s="1"/>
  <c r="I1148" i="6"/>
  <c r="I1149" i="6"/>
  <c r="I1150" i="6"/>
  <c r="J1150" i="6" s="1"/>
  <c r="I1151" i="6"/>
  <c r="O1151" i="6" s="1"/>
  <c r="I1152" i="6"/>
  <c r="O1152" i="6" s="1"/>
  <c r="I1153" i="6"/>
  <c r="I1154" i="6"/>
  <c r="I1155" i="6"/>
  <c r="J1155" i="6" s="1"/>
  <c r="I1156" i="6"/>
  <c r="J1156" i="6" s="1"/>
  <c r="I1157" i="6"/>
  <c r="I1158" i="6"/>
  <c r="O1158" i="6" s="1"/>
  <c r="I1159" i="6"/>
  <c r="I1160" i="6"/>
  <c r="I1161" i="6"/>
  <c r="I1162" i="6"/>
  <c r="J1162" i="6" s="1"/>
  <c r="I1163" i="6"/>
  <c r="O1163" i="6" s="1"/>
  <c r="I1164" i="6"/>
  <c r="J1164" i="6" s="1"/>
  <c r="I1165" i="6"/>
  <c r="I1166" i="6"/>
  <c r="O1166" i="6" s="1"/>
  <c r="I1167" i="6"/>
  <c r="O1167" i="6" s="1"/>
  <c r="I1168" i="6"/>
  <c r="I1169" i="6"/>
  <c r="O1169" i="6" s="1"/>
  <c r="I1170" i="6"/>
  <c r="O1170" i="6" s="1"/>
  <c r="I1171" i="6"/>
  <c r="I1172" i="6"/>
  <c r="I1173" i="6"/>
  <c r="I1174" i="6"/>
  <c r="O1174" i="6" s="1"/>
  <c r="I1175" i="6"/>
  <c r="O1175" i="6" s="1"/>
  <c r="I1176" i="6"/>
  <c r="O1176" i="6" s="1"/>
  <c r="I1177" i="6"/>
  <c r="I1178" i="6"/>
  <c r="O1178" i="6" s="1"/>
  <c r="I1179" i="6"/>
  <c r="I1180" i="6"/>
  <c r="I1181" i="6"/>
  <c r="I1182" i="6"/>
  <c r="I1183" i="6"/>
  <c r="I1184" i="6"/>
  <c r="I1185" i="6"/>
  <c r="I1186" i="6"/>
  <c r="J1186" i="6" s="1"/>
  <c r="I1187" i="6"/>
  <c r="O1187" i="6" s="1"/>
  <c r="I1188" i="6"/>
  <c r="O1188" i="6" s="1"/>
  <c r="I1189" i="6"/>
  <c r="J1189" i="6" s="1"/>
  <c r="I1190" i="6"/>
  <c r="J1190" i="6" s="1"/>
  <c r="I1191" i="6"/>
  <c r="J1191" i="6" s="1"/>
  <c r="I1192" i="6"/>
  <c r="O1192" i="6" s="1"/>
  <c r="I1193" i="6"/>
  <c r="J1193" i="6" s="1"/>
  <c r="I1194" i="6"/>
  <c r="I1195" i="6"/>
  <c r="J1195" i="6" s="1"/>
  <c r="I1196" i="6"/>
  <c r="J1196" i="6" s="1"/>
  <c r="I1197" i="6"/>
  <c r="I1198" i="6"/>
  <c r="O1198" i="6" s="1"/>
  <c r="I1199" i="6"/>
  <c r="O1199" i="6" s="1"/>
  <c r="I1200" i="6"/>
  <c r="O1200" i="6" s="1"/>
  <c r="I1201" i="6"/>
  <c r="J1201" i="6" s="1"/>
  <c r="I1202" i="6"/>
  <c r="J1202" i="6" s="1"/>
  <c r="I1203" i="6"/>
  <c r="J1203" i="6" s="1"/>
  <c r="I1204" i="6"/>
  <c r="I1205" i="6"/>
  <c r="I1206" i="6"/>
  <c r="O1206" i="6" s="1"/>
  <c r="I1207" i="6"/>
  <c r="J1207" i="6" s="1"/>
  <c r="I1208" i="6"/>
  <c r="I1209" i="6"/>
  <c r="J1209" i="6" s="1"/>
  <c r="I1210" i="6"/>
  <c r="I1211" i="6"/>
  <c r="I1212" i="6"/>
  <c r="O1212" i="6" s="1"/>
  <c r="I1213" i="6"/>
  <c r="J1213" i="6" s="1"/>
  <c r="I1214" i="6"/>
  <c r="I1215" i="6"/>
  <c r="J1215" i="6" s="1"/>
  <c r="I1216" i="6"/>
  <c r="I1217" i="6"/>
  <c r="J1217" i="6" s="1"/>
  <c r="I1218" i="6"/>
  <c r="J1218" i="6" s="1"/>
  <c r="I1219" i="6"/>
  <c r="O1219" i="6" s="1"/>
  <c r="I1220" i="6"/>
  <c r="O1220" i="6" s="1"/>
  <c r="I1221" i="6"/>
  <c r="J1221" i="6" s="1"/>
  <c r="I1222" i="6"/>
  <c r="J1222" i="6" s="1"/>
  <c r="I1223" i="6"/>
  <c r="I1224" i="6"/>
  <c r="J1224" i="6" s="1"/>
  <c r="I1225" i="6"/>
  <c r="I1226" i="6"/>
  <c r="I1227" i="6"/>
  <c r="O1227" i="6" s="1"/>
  <c r="I1228" i="6"/>
  <c r="I1229" i="6"/>
  <c r="I1230" i="6"/>
  <c r="O1230" i="6" s="1"/>
  <c r="I1231" i="6"/>
  <c r="J1231" i="6" s="1"/>
  <c r="I1232" i="6"/>
  <c r="J1232" i="6" s="1"/>
  <c r="I1233" i="6"/>
  <c r="O1233" i="6" s="1"/>
  <c r="I1234" i="6"/>
  <c r="O1234" i="6" s="1"/>
  <c r="I1235" i="6"/>
  <c r="J1235" i="6" s="1"/>
  <c r="I1236" i="6"/>
  <c r="O1236" i="6" s="1"/>
  <c r="I1237" i="6"/>
  <c r="J1237" i="6" s="1"/>
  <c r="I1238" i="6"/>
  <c r="J1238" i="6" s="1"/>
  <c r="I1239" i="6"/>
  <c r="J1239" i="6" s="1"/>
  <c r="I1240" i="6"/>
  <c r="I1241" i="6"/>
  <c r="O1241" i="6" s="1"/>
  <c r="I1242" i="6"/>
  <c r="I1243" i="6"/>
  <c r="I1244" i="6"/>
  <c r="I1245" i="6"/>
  <c r="I1246" i="6"/>
  <c r="O1246" i="6" s="1"/>
  <c r="I1247" i="6"/>
  <c r="J1247" i="6" s="1"/>
  <c r="I1248" i="6"/>
  <c r="J1248" i="6" s="1"/>
  <c r="I1249" i="6"/>
  <c r="J1249" i="6" s="1"/>
  <c r="I1250" i="6"/>
  <c r="O1250" i="6" s="1"/>
  <c r="I1251" i="6"/>
  <c r="O1251" i="6" s="1"/>
  <c r="I1252" i="6"/>
  <c r="I1253" i="6"/>
  <c r="I1254" i="6"/>
  <c r="I1255" i="6"/>
  <c r="J1255" i="6" s="1"/>
  <c r="I1256" i="6"/>
  <c r="I1257" i="6"/>
  <c r="J1257" i="6" s="1"/>
  <c r="I1258" i="6"/>
  <c r="I1259" i="6"/>
  <c r="I1260" i="6"/>
  <c r="J1260" i="6" s="1"/>
  <c r="I1261" i="6"/>
  <c r="O1261" i="6" s="1"/>
  <c r="I1262" i="6"/>
  <c r="J1262" i="6" s="1"/>
  <c r="I1263" i="6"/>
  <c r="O1263" i="6" s="1"/>
  <c r="I1264" i="6"/>
  <c r="I1265" i="6"/>
  <c r="I1266" i="6"/>
  <c r="I1267" i="6"/>
  <c r="J1267" i="6" s="1"/>
  <c r="I1268" i="6"/>
  <c r="I1269" i="6"/>
  <c r="O1269" i="6" s="1"/>
  <c r="I1270" i="6"/>
  <c r="J1270" i="6" s="1"/>
  <c r="I1271" i="6"/>
  <c r="O1271" i="6" s="1"/>
  <c r="I1272" i="6"/>
  <c r="O1272" i="6" s="1"/>
  <c r="I1273" i="6"/>
  <c r="O1273" i="6" s="1"/>
  <c r="I1274" i="6"/>
  <c r="J1274" i="6" s="1"/>
  <c r="I1275" i="6"/>
  <c r="I1276" i="6"/>
  <c r="O1276" i="6" s="1"/>
  <c r="I1277" i="6"/>
  <c r="J1277" i="6" s="1"/>
  <c r="I1278" i="6"/>
  <c r="J1278" i="6" s="1"/>
  <c r="I1279" i="6"/>
  <c r="J1279" i="6" s="1"/>
  <c r="I1280" i="6"/>
  <c r="J1280" i="6" s="1"/>
  <c r="I1281" i="6"/>
  <c r="J1281" i="6" s="1"/>
  <c r="I1282" i="6"/>
  <c r="I1283" i="6"/>
  <c r="O1283" i="6" s="1"/>
  <c r="I1284" i="6"/>
  <c r="O1284" i="6" s="1"/>
  <c r="I1285" i="6"/>
  <c r="J1285" i="6" s="1"/>
  <c r="I1286" i="6"/>
  <c r="O1286" i="6" s="1"/>
  <c r="I1287" i="6"/>
  <c r="J1287" i="6" s="1"/>
  <c r="I1288" i="6"/>
  <c r="I1289" i="6"/>
  <c r="I1290" i="6"/>
  <c r="J1290" i="6" s="1"/>
  <c r="I1291" i="6"/>
  <c r="I1292" i="6"/>
  <c r="J1292" i="6" s="1"/>
  <c r="I1293" i="6"/>
  <c r="O1293" i="6" s="1"/>
  <c r="I1294" i="6"/>
  <c r="I1295" i="6"/>
  <c r="J1295" i="6" s="1"/>
  <c r="I1296" i="6"/>
  <c r="I1297" i="6"/>
  <c r="O1297" i="6" s="1"/>
  <c r="I1298" i="6"/>
  <c r="O1298" i="6" s="1"/>
  <c r="I1299" i="6"/>
  <c r="O1299" i="6" s="1"/>
  <c r="I1300" i="6"/>
  <c r="J1300" i="6" s="1"/>
  <c r="I1301" i="6"/>
  <c r="I1302" i="6"/>
  <c r="O1302" i="6" s="1"/>
  <c r="I1303" i="6"/>
  <c r="J1303" i="6" s="1"/>
  <c r="I1304" i="6"/>
  <c r="I1305" i="6"/>
  <c r="I1306" i="6"/>
  <c r="J1306" i="6" s="1"/>
  <c r="I1307" i="6"/>
  <c r="I1308" i="6"/>
  <c r="O1308" i="6" s="1"/>
  <c r="I1309" i="6"/>
  <c r="I1310" i="6"/>
  <c r="J1310" i="6" s="1"/>
  <c r="I1311" i="6"/>
  <c r="J1311" i="6" s="1"/>
  <c r="I1312" i="6"/>
  <c r="I1313" i="6"/>
  <c r="O1313" i="6" s="1"/>
  <c r="I1314" i="6"/>
  <c r="I1315" i="6"/>
  <c r="J1315" i="6" s="1"/>
  <c r="I1316" i="6"/>
  <c r="J1316" i="6" s="1"/>
  <c r="I1317" i="6"/>
  <c r="I1318" i="6"/>
  <c r="I1319" i="6"/>
  <c r="I1320" i="6"/>
  <c r="J1320" i="6" s="1"/>
  <c r="I1321" i="6"/>
  <c r="O1321" i="6" s="1"/>
  <c r="I1322" i="6"/>
  <c r="I1323" i="6"/>
  <c r="J1323" i="6" s="1"/>
  <c r="I1324" i="6"/>
  <c r="J1324" i="6" s="1"/>
  <c r="I1325" i="6"/>
  <c r="I1326" i="6"/>
  <c r="J1326" i="6" s="1"/>
  <c r="I1327" i="6"/>
  <c r="O1327" i="6" s="1"/>
  <c r="I1328" i="6"/>
  <c r="I1329" i="6"/>
  <c r="I1330" i="6"/>
  <c r="I1331" i="6"/>
  <c r="I1332" i="6"/>
  <c r="O1332" i="6" s="1"/>
  <c r="I1333" i="6"/>
  <c r="J1333" i="6" s="1"/>
  <c r="I1334" i="6"/>
  <c r="I1335" i="6"/>
  <c r="J1335" i="6" s="1"/>
  <c r="I1336" i="6"/>
  <c r="I1337" i="6"/>
  <c r="I1338" i="6"/>
  <c r="O1338" i="6" s="1"/>
  <c r="I1339" i="6"/>
  <c r="O1339" i="6" s="1"/>
  <c r="I1340" i="6"/>
  <c r="I1341" i="6"/>
  <c r="I1342" i="6"/>
  <c r="I1343" i="6"/>
  <c r="I1344" i="6"/>
  <c r="O1344" i="6" s="1"/>
  <c r="I1345" i="6"/>
  <c r="O1345" i="6" s="1"/>
  <c r="I1346" i="6"/>
  <c r="J1346" i="6" s="1"/>
  <c r="I1347" i="6"/>
  <c r="O1347" i="6" s="1"/>
  <c r="I1348" i="6"/>
  <c r="I1349" i="6"/>
  <c r="I1350" i="6"/>
  <c r="I1351" i="6"/>
  <c r="O1351" i="6" s="1"/>
  <c r="I1352" i="6"/>
  <c r="O1352" i="6" s="1"/>
  <c r="I1353" i="6"/>
  <c r="J1353" i="6" s="1"/>
  <c r="I1354" i="6"/>
  <c r="O1354" i="6" s="1"/>
  <c r="I1355" i="6"/>
  <c r="I1356" i="6"/>
  <c r="O1356" i="6" s="1"/>
  <c r="I1357" i="6"/>
  <c r="J1357" i="6" s="1"/>
  <c r="I1358" i="6"/>
  <c r="J1358" i="6" s="1"/>
  <c r="I1359" i="6"/>
  <c r="I1360" i="6"/>
  <c r="I1361" i="6"/>
  <c r="I1362" i="6"/>
  <c r="O1362" i="6" s="1"/>
  <c r="I1363" i="6"/>
  <c r="O1363" i="6" s="1"/>
  <c r="I1364" i="6"/>
  <c r="I1365" i="6"/>
  <c r="I1366" i="6"/>
  <c r="J1366" i="6" s="1"/>
  <c r="I1367" i="6"/>
  <c r="I1368" i="6"/>
  <c r="O1368" i="6" s="1"/>
  <c r="I1369" i="6"/>
  <c r="O1369" i="6" s="1"/>
  <c r="I1370" i="6"/>
  <c r="I1371" i="6"/>
  <c r="O1371" i="6" s="1"/>
  <c r="I1372" i="6"/>
  <c r="I1373" i="6"/>
  <c r="J1373" i="6" s="1"/>
  <c r="I1374" i="6"/>
  <c r="I1375" i="6"/>
  <c r="O1375" i="6" s="1"/>
  <c r="I1376" i="6"/>
  <c r="I1377" i="6"/>
  <c r="I1378" i="6"/>
  <c r="I1379" i="6"/>
  <c r="J1379" i="6" s="1"/>
  <c r="I1380" i="6"/>
  <c r="O1380" i="6" s="1"/>
  <c r="I1381" i="6"/>
  <c r="O1381" i="6" s="1"/>
  <c r="I1382" i="6"/>
  <c r="I1383" i="6"/>
  <c r="J1383" i="6" s="1"/>
  <c r="I1384" i="6"/>
  <c r="I1385" i="6"/>
  <c r="I1386" i="6"/>
  <c r="J1386" i="6" s="1"/>
  <c r="I1387" i="6"/>
  <c r="J1387" i="6" s="1"/>
  <c r="I1388" i="6"/>
  <c r="I1389" i="6"/>
  <c r="J1389" i="6" s="1"/>
  <c r="I1390" i="6"/>
  <c r="J1390" i="6" s="1"/>
  <c r="I1391" i="6"/>
  <c r="J1391" i="6" s="1"/>
  <c r="I1392" i="6"/>
  <c r="J1392" i="6" s="1"/>
  <c r="I1393" i="6"/>
  <c r="I1394" i="6"/>
  <c r="O1394" i="6" s="1"/>
  <c r="I1395" i="6"/>
  <c r="J1395" i="6" s="1"/>
  <c r="I1396" i="6"/>
  <c r="I1397" i="6"/>
  <c r="O1397" i="6" s="1"/>
  <c r="I1398" i="6"/>
  <c r="I1399" i="6"/>
  <c r="I1400" i="6"/>
  <c r="I1401" i="6"/>
  <c r="O1401" i="6" s="1"/>
  <c r="I1402" i="6"/>
  <c r="I1403" i="6"/>
  <c r="J1403" i="6" s="1"/>
  <c r="I1404" i="6"/>
  <c r="J1404" i="6" s="1"/>
  <c r="I1405" i="6"/>
  <c r="I1406" i="6"/>
  <c r="I1407" i="6"/>
  <c r="O1407" i="6" s="1"/>
  <c r="I1408" i="6"/>
  <c r="I1409" i="6"/>
  <c r="J1409" i="6" s="1"/>
  <c r="I1410" i="6"/>
  <c r="O1410" i="6" s="1"/>
  <c r="I1411" i="6"/>
  <c r="I1412" i="6"/>
  <c r="I1413" i="6"/>
  <c r="J1413" i="6" s="1"/>
  <c r="I1414" i="6"/>
  <c r="O1414" i="6" s="1"/>
  <c r="I1415" i="6"/>
  <c r="I1416" i="6"/>
  <c r="J1416" i="6" s="1"/>
  <c r="I1417" i="6"/>
  <c r="I1418" i="6"/>
  <c r="J1418" i="6" s="1"/>
  <c r="I1419" i="6"/>
  <c r="J1419" i="6" s="1"/>
  <c r="I1420" i="6"/>
  <c r="O1420" i="6" s="1"/>
  <c r="I1421" i="6"/>
  <c r="O1421" i="6" s="1"/>
  <c r="I1422" i="6"/>
  <c r="O1422" i="6" s="1"/>
  <c r="I1423" i="6"/>
  <c r="O1423" i="6" s="1"/>
  <c r="I1424" i="6"/>
  <c r="J1424" i="6" s="1"/>
  <c r="I1425" i="6"/>
  <c r="J1425" i="6" s="1"/>
  <c r="I1426" i="6"/>
  <c r="I1427" i="6"/>
  <c r="I1428" i="6"/>
  <c r="J1428" i="6" s="1"/>
  <c r="I1429" i="6"/>
  <c r="O1429" i="6" s="1"/>
  <c r="I1430" i="6"/>
  <c r="O1430" i="6" s="1"/>
  <c r="I1431" i="6"/>
  <c r="J1431" i="6" s="1"/>
  <c r="I1432" i="6"/>
  <c r="I1433" i="6"/>
  <c r="J1433" i="6" s="1"/>
  <c r="I1434" i="6"/>
  <c r="J1434" i="6" s="1"/>
  <c r="I1435" i="6"/>
  <c r="J1435" i="6" s="1"/>
  <c r="I1436" i="6"/>
  <c r="I1437" i="6"/>
  <c r="I1438" i="6"/>
  <c r="O1438" i="6" s="1"/>
  <c r="I1439" i="6"/>
  <c r="O1439" i="6" s="1"/>
  <c r="I1440" i="6"/>
  <c r="J1440" i="6" s="1"/>
  <c r="I1441" i="6"/>
  <c r="O1441" i="6" s="1"/>
  <c r="I1442" i="6"/>
  <c r="J1442" i="6" s="1"/>
  <c r="I1443" i="6"/>
  <c r="O1443" i="6" s="1"/>
  <c r="I1444" i="6"/>
  <c r="O1444" i="6" s="1"/>
  <c r="I1445" i="6"/>
  <c r="O1445" i="6" s="1"/>
  <c r="I1446" i="6"/>
  <c r="I1447" i="6"/>
  <c r="J1447" i="6" s="1"/>
  <c r="I1448" i="6"/>
  <c r="I1449" i="6"/>
  <c r="I1450" i="6"/>
  <c r="I1451" i="6"/>
  <c r="O1451" i="6" s="1"/>
  <c r="I1452" i="6"/>
  <c r="J1452" i="6" s="1"/>
  <c r="I1453" i="6"/>
  <c r="I1454" i="6"/>
  <c r="J1454" i="6" s="1"/>
  <c r="I1455" i="6"/>
  <c r="J1455" i="6" s="1"/>
  <c r="I1456" i="6"/>
  <c r="I1457" i="6"/>
  <c r="O1457" i="6" s="1"/>
  <c r="I1458" i="6"/>
  <c r="O1458" i="6" s="1"/>
  <c r="I1459" i="6"/>
  <c r="I1460" i="6"/>
  <c r="I1461" i="6"/>
  <c r="I1462" i="6"/>
  <c r="I1463" i="6"/>
  <c r="O1463" i="6" s="1"/>
  <c r="I1464" i="6"/>
  <c r="J1464" i="6" s="1"/>
  <c r="I1465" i="6"/>
  <c r="I1466" i="6"/>
  <c r="I1467" i="6"/>
  <c r="O1467" i="6" s="1"/>
  <c r="I1468" i="6"/>
  <c r="O1468" i="6" s="1"/>
  <c r="I1469" i="6"/>
  <c r="O1469" i="6" s="1"/>
  <c r="I1470" i="6"/>
  <c r="I1471" i="6"/>
  <c r="O1471" i="6" s="1"/>
  <c r="I1472" i="6"/>
  <c r="I1473" i="6"/>
  <c r="O1473" i="6" s="1"/>
  <c r="I1474" i="6"/>
  <c r="I1475" i="6"/>
  <c r="I1476" i="6"/>
  <c r="O1476" i="6" s="1"/>
  <c r="I1477" i="6"/>
  <c r="O1477" i="6" s="1"/>
  <c r="I1478" i="6"/>
  <c r="J1478" i="6" s="1"/>
  <c r="I1479" i="6"/>
  <c r="J1479" i="6" s="1"/>
  <c r="I1480" i="6"/>
  <c r="I1481" i="6"/>
  <c r="J1481" i="6" s="1"/>
  <c r="I1482" i="6"/>
  <c r="I1483" i="6"/>
  <c r="O1483" i="6" s="1"/>
  <c r="I1484" i="6"/>
  <c r="I1485" i="6"/>
  <c r="J1485" i="6" s="1"/>
  <c r="I1486" i="6"/>
  <c r="I1487" i="6"/>
  <c r="O1487" i="6" s="1"/>
  <c r="I1488" i="6"/>
  <c r="J1488" i="6" s="1"/>
  <c r="I1489" i="6"/>
  <c r="O1489" i="6" s="1"/>
  <c r="I1490" i="6"/>
  <c r="I1491" i="6"/>
  <c r="I1492" i="6"/>
  <c r="I1493" i="6"/>
  <c r="O1493" i="6" s="1"/>
  <c r="I1494" i="6"/>
  <c r="I1495" i="6"/>
  <c r="I1496" i="6"/>
  <c r="I1497" i="6"/>
  <c r="J1497" i="6" s="1"/>
  <c r="I1498" i="6"/>
  <c r="J1498" i="6" s="1"/>
  <c r="I1499" i="6"/>
  <c r="O1499" i="6" s="1"/>
  <c r="I1500" i="6"/>
  <c r="O1500" i="6" s="1"/>
  <c r="I1501" i="6"/>
  <c r="I1502" i="6"/>
  <c r="O1502" i="6" s="1"/>
  <c r="I1503" i="6"/>
  <c r="O1503" i="6" s="1"/>
  <c r="I1504" i="6"/>
  <c r="J1504" i="6" s="1"/>
  <c r="I1505" i="6"/>
  <c r="O1505" i="6" s="1"/>
  <c r="I1506" i="6"/>
  <c r="O1506" i="6" s="1"/>
  <c r="I1507" i="6"/>
  <c r="I1508" i="6"/>
  <c r="I1509" i="6"/>
  <c r="J1509" i="6" s="1"/>
  <c r="I1510" i="6"/>
  <c r="J1510" i="6" s="1"/>
  <c r="I1511" i="6"/>
  <c r="I1512" i="6"/>
  <c r="O1512" i="6" s="1"/>
  <c r="I1513" i="6"/>
  <c r="I1514" i="6"/>
  <c r="O1514" i="6" s="1"/>
  <c r="I1515" i="6"/>
  <c r="J1515" i="6" s="1"/>
  <c r="I1516" i="6"/>
  <c r="I1517" i="6"/>
  <c r="J1517" i="6" s="1"/>
  <c r="I1518" i="6"/>
  <c r="O1518" i="6" s="1"/>
  <c r="I1519" i="6"/>
  <c r="O1519" i="6" s="1"/>
  <c r="I1520" i="6"/>
  <c r="O1520" i="6" s="1"/>
  <c r="I1521" i="6"/>
  <c r="I1522" i="6"/>
  <c r="I1523" i="6"/>
  <c r="I1524" i="6"/>
  <c r="J1524" i="6" s="1"/>
  <c r="I1525" i="6"/>
  <c r="I1526" i="6"/>
  <c r="I1527" i="6"/>
  <c r="O1527" i="6" s="1"/>
  <c r="I1528" i="6"/>
  <c r="I1529" i="6"/>
  <c r="O1529" i="6" s="1"/>
  <c r="I1530" i="6"/>
  <c r="J1530" i="6" s="1"/>
  <c r="I1531" i="6"/>
  <c r="I1532" i="6"/>
  <c r="O1532" i="6" s="1"/>
  <c r="I1533" i="6"/>
  <c r="I1534" i="6"/>
  <c r="I1535" i="6"/>
  <c r="I1536" i="6"/>
  <c r="J1536" i="6" s="1"/>
  <c r="I1537" i="6"/>
  <c r="I1538" i="6"/>
  <c r="O1538" i="6" s="1"/>
  <c r="I1539" i="6"/>
  <c r="J1539" i="6" s="1"/>
  <c r="I1540" i="6"/>
  <c r="J1540" i="6" s="1"/>
  <c r="I1541" i="6"/>
  <c r="O1541" i="6" s="1"/>
  <c r="I1542" i="6"/>
  <c r="J1542" i="6" s="1"/>
  <c r="I1543" i="6"/>
  <c r="I1544" i="6"/>
  <c r="O1544" i="6" s="1"/>
  <c r="I1545" i="6"/>
  <c r="O1545" i="6" s="1"/>
  <c r="I1546" i="6"/>
  <c r="J1546" i="6" s="1"/>
  <c r="I1547" i="6"/>
  <c r="I1548" i="6"/>
  <c r="J1548" i="6" s="1"/>
  <c r="I1549" i="6"/>
  <c r="O1549" i="6" s="1"/>
  <c r="I1550" i="6"/>
  <c r="O1550" i="6" s="1"/>
  <c r="I1551" i="6"/>
  <c r="I1552" i="6"/>
  <c r="I1553" i="6"/>
  <c r="J1553" i="6" s="1"/>
  <c r="I1554" i="6"/>
  <c r="I1555" i="6"/>
  <c r="O1555" i="6" s="1"/>
  <c r="I1556" i="6"/>
  <c r="J1556" i="6" s="1"/>
  <c r="I1557" i="6"/>
  <c r="O1557" i="6" s="1"/>
  <c r="I1558" i="6"/>
  <c r="I1559" i="6"/>
  <c r="J1559" i="6" s="1"/>
  <c r="I1560" i="6"/>
  <c r="J1560" i="6" s="1"/>
  <c r="I1561" i="6"/>
  <c r="I1562" i="6"/>
  <c r="J1562" i="6" s="1"/>
  <c r="I1563" i="6"/>
  <c r="I1564" i="6"/>
  <c r="J1564" i="6" s="1"/>
  <c r="I1565" i="6"/>
  <c r="O1565" i="6" s="1"/>
  <c r="I1566" i="6"/>
  <c r="I1567" i="6"/>
  <c r="J1567" i="6" s="1"/>
  <c r="I1568" i="6"/>
  <c r="J1568" i="6" s="1"/>
  <c r="I1569" i="6"/>
  <c r="J1569" i="6" s="1"/>
  <c r="I1570" i="6"/>
  <c r="I1571" i="6"/>
  <c r="J1571" i="6" s="1"/>
  <c r="I1572" i="6"/>
  <c r="O1572" i="6" s="1"/>
  <c r="I1573" i="6"/>
  <c r="I1574" i="6"/>
  <c r="O1574" i="6" s="1"/>
  <c r="I1575" i="6"/>
  <c r="I1576" i="6"/>
  <c r="J1576" i="6" s="1"/>
  <c r="I1577" i="6"/>
  <c r="J1577" i="6" s="1"/>
  <c r="I1578" i="6"/>
  <c r="I1579" i="6"/>
  <c r="O1579" i="6" s="1"/>
  <c r="I1580" i="6"/>
  <c r="I1581" i="6"/>
  <c r="O1581" i="6" s="1"/>
  <c r="I1582" i="6"/>
  <c r="I1583" i="6"/>
  <c r="I1584" i="6"/>
  <c r="J1584" i="6" s="1"/>
  <c r="I1585" i="6"/>
  <c r="I1586" i="6"/>
  <c r="O1586" i="6" s="1"/>
  <c r="I1587" i="6"/>
  <c r="I1588" i="6"/>
  <c r="J1588" i="6" s="1"/>
  <c r="I1589" i="6"/>
  <c r="J1589" i="6" s="1"/>
  <c r="I1590" i="6"/>
  <c r="O1590" i="6" s="1"/>
  <c r="I1591" i="6"/>
  <c r="O1591" i="6" s="1"/>
  <c r="I1592" i="6"/>
  <c r="O1592" i="6" s="1"/>
  <c r="I1593" i="6"/>
  <c r="J1593" i="6" s="1"/>
  <c r="I1594" i="6"/>
  <c r="O1594" i="6" s="1"/>
  <c r="I1595" i="6"/>
  <c r="I1596" i="6"/>
  <c r="J1596" i="6" s="1"/>
  <c r="I1597" i="6"/>
  <c r="O1597" i="6" s="1"/>
  <c r="I1598" i="6"/>
  <c r="O1598" i="6" s="1"/>
  <c r="I1599" i="6"/>
  <c r="O1599" i="6" s="1"/>
  <c r="I1600" i="6"/>
  <c r="I1601" i="6"/>
  <c r="J1601" i="6" s="1"/>
  <c r="I1602" i="6"/>
  <c r="I1603" i="6"/>
  <c r="I1604" i="6"/>
  <c r="O1604" i="6" s="1"/>
  <c r="I1605" i="6"/>
  <c r="J1605" i="6" s="1"/>
  <c r="I1606" i="6"/>
  <c r="I1607" i="6"/>
  <c r="I1608" i="6"/>
  <c r="J1608" i="6" s="1"/>
  <c r="I1609" i="6"/>
  <c r="J1609" i="6" s="1"/>
  <c r="I1610" i="6"/>
  <c r="J1610" i="6" s="1"/>
  <c r="I1611" i="6"/>
  <c r="I1612" i="6"/>
  <c r="I1613" i="6"/>
  <c r="O1613" i="6" s="1"/>
  <c r="I1614" i="6"/>
  <c r="J1614" i="6" s="1"/>
  <c r="I1615" i="6"/>
  <c r="I1616" i="6"/>
  <c r="I1617" i="6"/>
  <c r="O1617" i="6" s="1"/>
  <c r="I1618" i="6"/>
  <c r="I1619" i="6"/>
  <c r="J1619" i="6" s="1"/>
  <c r="I1620" i="6"/>
  <c r="J1620" i="6" s="1"/>
  <c r="I1621" i="6"/>
  <c r="I1622" i="6"/>
  <c r="J1622" i="6" s="1"/>
  <c r="I1623" i="6"/>
  <c r="I1624" i="6"/>
  <c r="I1625" i="6"/>
  <c r="O1625" i="6" s="1"/>
  <c r="I1626" i="6"/>
  <c r="I1627" i="6"/>
  <c r="O1627" i="6" s="1"/>
  <c r="I1628" i="6"/>
  <c r="O1628" i="6" s="1"/>
  <c r="I1629" i="6"/>
  <c r="O1629" i="6" s="1"/>
  <c r="I1630" i="6"/>
  <c r="I1631" i="6"/>
  <c r="I1632" i="6"/>
  <c r="J1632" i="6" s="1"/>
  <c r="I1633" i="6"/>
  <c r="I1634" i="6"/>
  <c r="I1635" i="6"/>
  <c r="O1635" i="6" s="1"/>
  <c r="I1636" i="6"/>
  <c r="J1636" i="6" s="1"/>
  <c r="I1637" i="6"/>
  <c r="O1637" i="6" s="1"/>
  <c r="I1638" i="6"/>
  <c r="I1644" i="6"/>
  <c r="O1644" i="6" s="1"/>
  <c r="G8" i="6"/>
  <c r="H8" i="6" s="1"/>
  <c r="G9" i="6"/>
  <c r="H9" i="6" s="1"/>
  <c r="G10" i="6"/>
  <c r="H10" i="6" s="1"/>
  <c r="G11" i="6"/>
  <c r="H11" i="6" s="1"/>
  <c r="G12" i="6"/>
  <c r="H12" i="6" s="1"/>
  <c r="G13" i="6"/>
  <c r="H13" i="6" s="1"/>
  <c r="G14" i="6"/>
  <c r="H14" i="6" s="1"/>
  <c r="G15" i="6"/>
  <c r="H15" i="6" s="1"/>
  <c r="R15" i="6" s="1"/>
  <c r="G16" i="6"/>
  <c r="G17" i="6"/>
  <c r="H17" i="6" s="1"/>
  <c r="G18" i="6"/>
  <c r="H18" i="6" s="1"/>
  <c r="G19" i="6"/>
  <c r="H19" i="6" s="1"/>
  <c r="G20" i="6"/>
  <c r="H20" i="6" s="1"/>
  <c r="G21" i="6"/>
  <c r="G22" i="6"/>
  <c r="H22" i="6" s="1"/>
  <c r="G23" i="6"/>
  <c r="H23" i="6" s="1"/>
  <c r="P23" i="6" s="1"/>
  <c r="G24" i="6"/>
  <c r="H24" i="6" s="1"/>
  <c r="G25" i="6"/>
  <c r="H25" i="6" s="1"/>
  <c r="R25" i="6" s="1"/>
  <c r="G26" i="6"/>
  <c r="H26" i="6" s="1"/>
  <c r="G27" i="6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4" i="6"/>
  <c r="H34" i="6" s="1"/>
  <c r="R34" i="6" s="1"/>
  <c r="S34" i="6" s="1"/>
  <c r="T34" i="6" s="1"/>
  <c r="G35" i="6"/>
  <c r="H35" i="6" s="1"/>
  <c r="G36" i="6"/>
  <c r="H36" i="6" s="1"/>
  <c r="R36" i="6" s="1"/>
  <c r="S36" i="6" s="1"/>
  <c r="T36" i="6" s="1"/>
  <c r="G37" i="6"/>
  <c r="H37" i="6" s="1"/>
  <c r="R37" i="6" s="1"/>
  <c r="G38" i="6"/>
  <c r="G39" i="6"/>
  <c r="H39" i="6" s="1"/>
  <c r="G40" i="6"/>
  <c r="H40" i="6" s="1"/>
  <c r="G41" i="6"/>
  <c r="H41" i="6" s="1"/>
  <c r="G42" i="6"/>
  <c r="H42" i="6" s="1"/>
  <c r="G43" i="6"/>
  <c r="H43" i="6" s="1"/>
  <c r="G44" i="6"/>
  <c r="H44" i="6" s="1"/>
  <c r="G45" i="6"/>
  <c r="H45" i="6" s="1"/>
  <c r="R45" i="6" s="1"/>
  <c r="G46" i="6"/>
  <c r="H46" i="6" s="1"/>
  <c r="G47" i="6"/>
  <c r="H47" i="6" s="1"/>
  <c r="G48" i="6"/>
  <c r="H48" i="6" s="1"/>
  <c r="P48" i="6" s="1"/>
  <c r="G49" i="6"/>
  <c r="H49" i="6" s="1"/>
  <c r="G50" i="6"/>
  <c r="H50" i="6" s="1"/>
  <c r="R50" i="6" s="1"/>
  <c r="G51" i="6"/>
  <c r="G52" i="6"/>
  <c r="H52" i="6" s="1"/>
  <c r="G53" i="6"/>
  <c r="H53" i="6" s="1"/>
  <c r="G54" i="6"/>
  <c r="H54" i="6" s="1"/>
  <c r="G55" i="6"/>
  <c r="H55" i="6" s="1"/>
  <c r="G56" i="6"/>
  <c r="H56" i="6" s="1"/>
  <c r="G57" i="6"/>
  <c r="H57" i="6" s="1"/>
  <c r="G58" i="6"/>
  <c r="H58" i="6" s="1"/>
  <c r="G59" i="6"/>
  <c r="H59" i="6" s="1"/>
  <c r="G60" i="6"/>
  <c r="H60" i="6" s="1"/>
  <c r="G61" i="6"/>
  <c r="H61" i="6" s="1"/>
  <c r="G62" i="6"/>
  <c r="H62" i="6" s="1"/>
  <c r="P62" i="6" s="1"/>
  <c r="G63" i="6"/>
  <c r="H63" i="6" s="1"/>
  <c r="G64" i="6"/>
  <c r="H64" i="6" s="1"/>
  <c r="G65" i="6"/>
  <c r="H65" i="6" s="1"/>
  <c r="P65" i="6" s="1"/>
  <c r="G66" i="6"/>
  <c r="G67" i="6"/>
  <c r="H67" i="6" s="1"/>
  <c r="G68" i="6"/>
  <c r="H68" i="6" s="1"/>
  <c r="G69" i="6"/>
  <c r="H69" i="6" s="1"/>
  <c r="G70" i="6"/>
  <c r="H70" i="6" s="1"/>
  <c r="G71" i="6"/>
  <c r="H71" i="6" s="1"/>
  <c r="G72" i="6"/>
  <c r="H72" i="6" s="1"/>
  <c r="G73" i="6"/>
  <c r="H73" i="6" s="1"/>
  <c r="R73" i="6" s="1"/>
  <c r="G74" i="6"/>
  <c r="H74" i="6" s="1"/>
  <c r="G75" i="6"/>
  <c r="H75" i="6" s="1"/>
  <c r="G76" i="6"/>
  <c r="G77" i="6"/>
  <c r="H77" i="6" s="1"/>
  <c r="R77" i="6" s="1"/>
  <c r="G78" i="6"/>
  <c r="G79" i="6"/>
  <c r="H79" i="6" s="1"/>
  <c r="P79" i="6" s="1"/>
  <c r="G80" i="6"/>
  <c r="H80" i="6" s="1"/>
  <c r="R80" i="6" s="1"/>
  <c r="G81" i="6"/>
  <c r="H81" i="6" s="1"/>
  <c r="R81" i="6" s="1"/>
  <c r="G82" i="6"/>
  <c r="G83" i="6"/>
  <c r="H83" i="6" s="1"/>
  <c r="P83" i="6" s="1"/>
  <c r="G84" i="6"/>
  <c r="H84" i="6" s="1"/>
  <c r="P84" i="6" s="1"/>
  <c r="G85" i="6"/>
  <c r="H85" i="6" s="1"/>
  <c r="G86" i="6"/>
  <c r="H86" i="6" s="1"/>
  <c r="G87" i="6"/>
  <c r="H87" i="6" s="1"/>
  <c r="G88" i="6"/>
  <c r="H88" i="6" s="1"/>
  <c r="G89" i="6"/>
  <c r="H89" i="6" s="1"/>
  <c r="R89" i="6" s="1"/>
  <c r="G90" i="6"/>
  <c r="H90" i="6" s="1"/>
  <c r="P90" i="6" s="1"/>
  <c r="G91" i="6"/>
  <c r="H91" i="6" s="1"/>
  <c r="G92" i="6"/>
  <c r="H92" i="6" s="1"/>
  <c r="R92" i="6" s="1"/>
  <c r="G93" i="6"/>
  <c r="H93" i="6" s="1"/>
  <c r="G94" i="6"/>
  <c r="H94" i="6" s="1"/>
  <c r="G95" i="6"/>
  <c r="H95" i="6" s="1"/>
  <c r="G96" i="6"/>
  <c r="H96" i="6" s="1"/>
  <c r="P96" i="6" s="1"/>
  <c r="G97" i="6"/>
  <c r="H97" i="6" s="1"/>
  <c r="G98" i="6"/>
  <c r="H98" i="6" s="1"/>
  <c r="G99" i="6"/>
  <c r="G100" i="6"/>
  <c r="H100" i="6" s="1"/>
  <c r="G101" i="6"/>
  <c r="H101" i="6" s="1"/>
  <c r="P101" i="6" s="1"/>
  <c r="G102" i="6"/>
  <c r="H102" i="6" s="1"/>
  <c r="G103" i="6"/>
  <c r="H103" i="6" s="1"/>
  <c r="G104" i="6"/>
  <c r="H104" i="6" s="1"/>
  <c r="G105" i="6"/>
  <c r="H105" i="6" s="1"/>
  <c r="P105" i="6" s="1"/>
  <c r="G106" i="6"/>
  <c r="G107" i="6"/>
  <c r="H107" i="6" s="1"/>
  <c r="G108" i="6"/>
  <c r="H108" i="6" s="1"/>
  <c r="P108" i="6" s="1"/>
  <c r="G109" i="6"/>
  <c r="G110" i="6"/>
  <c r="H110" i="6" s="1"/>
  <c r="G111" i="6"/>
  <c r="H111" i="6" s="1"/>
  <c r="G112" i="6"/>
  <c r="G113" i="6"/>
  <c r="H113" i="6" s="1"/>
  <c r="R113" i="6" s="1"/>
  <c r="G114" i="6"/>
  <c r="H114" i="6" s="1"/>
  <c r="G115" i="6"/>
  <c r="G116" i="6"/>
  <c r="H116" i="6" s="1"/>
  <c r="G117" i="6"/>
  <c r="H117" i="6" s="1"/>
  <c r="R117" i="6" s="1"/>
  <c r="G118" i="6"/>
  <c r="H118" i="6" s="1"/>
  <c r="G119" i="6"/>
  <c r="G120" i="6"/>
  <c r="H120" i="6" s="1"/>
  <c r="P120" i="6" s="1"/>
  <c r="G121" i="6"/>
  <c r="H121" i="6" s="1"/>
  <c r="G122" i="6"/>
  <c r="H122" i="6" s="1"/>
  <c r="G123" i="6"/>
  <c r="H123" i="6" s="1"/>
  <c r="G124" i="6"/>
  <c r="H124" i="6" s="1"/>
  <c r="R124" i="6" s="1"/>
  <c r="G125" i="6"/>
  <c r="H125" i="6" s="1"/>
  <c r="R125" i="6" s="1"/>
  <c r="G126" i="6"/>
  <c r="H126" i="6" s="1"/>
  <c r="G127" i="6"/>
  <c r="H127" i="6" s="1"/>
  <c r="G128" i="6"/>
  <c r="H128" i="6" s="1"/>
  <c r="P128" i="6" s="1"/>
  <c r="G129" i="6"/>
  <c r="H129" i="6" s="1"/>
  <c r="R129" i="6" s="1"/>
  <c r="G130" i="6"/>
  <c r="H130" i="6" s="1"/>
  <c r="P130" i="6" s="1"/>
  <c r="G131" i="6"/>
  <c r="H131" i="6" s="1"/>
  <c r="G132" i="6"/>
  <c r="H132" i="6" s="1"/>
  <c r="P132" i="6" s="1"/>
  <c r="G133" i="6"/>
  <c r="H133" i="6" s="1"/>
  <c r="G134" i="6"/>
  <c r="H134" i="6" s="1"/>
  <c r="G135" i="6"/>
  <c r="H135" i="6" s="1"/>
  <c r="G136" i="6"/>
  <c r="H136" i="6" s="1"/>
  <c r="G137" i="6"/>
  <c r="H137" i="6" s="1"/>
  <c r="R137" i="6" s="1"/>
  <c r="G138" i="6"/>
  <c r="H138" i="6" s="1"/>
  <c r="G139" i="6"/>
  <c r="G140" i="6"/>
  <c r="H140" i="6" s="1"/>
  <c r="P140" i="6" s="1"/>
  <c r="G141" i="6"/>
  <c r="H141" i="6" s="1"/>
  <c r="G142" i="6"/>
  <c r="H142" i="6" s="1"/>
  <c r="R142" i="6" s="1"/>
  <c r="G143" i="6"/>
  <c r="H143" i="6" s="1"/>
  <c r="G144" i="6"/>
  <c r="H144" i="6" s="1"/>
  <c r="P144" i="6" s="1"/>
  <c r="G145" i="6"/>
  <c r="H145" i="6" s="1"/>
  <c r="P145" i="6" s="1"/>
  <c r="G146" i="6"/>
  <c r="H146" i="6" s="1"/>
  <c r="R146" i="6" s="1"/>
  <c r="S146" i="6" s="1"/>
  <c r="T146" i="6" s="1"/>
  <c r="G147" i="6"/>
  <c r="H147" i="6" s="1"/>
  <c r="G148" i="6"/>
  <c r="H148" i="6" s="1"/>
  <c r="R148" i="6" s="1"/>
  <c r="S148" i="6" s="1"/>
  <c r="T148" i="6" s="1"/>
  <c r="G149" i="6"/>
  <c r="H149" i="6" s="1"/>
  <c r="R149" i="6" s="1"/>
  <c r="S149" i="6" s="1"/>
  <c r="T149" i="6" s="1"/>
  <c r="G150" i="6"/>
  <c r="H150" i="6" s="1"/>
  <c r="P150" i="6" s="1"/>
  <c r="G151" i="6"/>
  <c r="H151" i="6" s="1"/>
  <c r="R151" i="6" s="1"/>
  <c r="S151" i="6" s="1"/>
  <c r="T151" i="6" s="1"/>
  <c r="G152" i="6"/>
  <c r="H152" i="6" s="1"/>
  <c r="G153" i="6"/>
  <c r="H153" i="6" s="1"/>
  <c r="G154" i="6"/>
  <c r="G155" i="6"/>
  <c r="H155" i="6" s="1"/>
  <c r="P155" i="6" s="1"/>
  <c r="G156" i="6"/>
  <c r="H156" i="6" s="1"/>
  <c r="R156" i="6" s="1"/>
  <c r="S156" i="6" s="1"/>
  <c r="T156" i="6" s="1"/>
  <c r="G157" i="6"/>
  <c r="H157" i="6" s="1"/>
  <c r="R157" i="6" s="1"/>
  <c r="S157" i="6" s="1"/>
  <c r="T157" i="6" s="1"/>
  <c r="G158" i="6"/>
  <c r="H158" i="6" s="1"/>
  <c r="R158" i="6" s="1"/>
  <c r="S158" i="6" s="1"/>
  <c r="T158" i="6" s="1"/>
  <c r="G159" i="6"/>
  <c r="H159" i="6" s="1"/>
  <c r="G160" i="6"/>
  <c r="H160" i="6" s="1"/>
  <c r="G161" i="6"/>
  <c r="H161" i="6" s="1"/>
  <c r="R161" i="6" s="1"/>
  <c r="S161" i="6" s="1"/>
  <c r="T161" i="6" s="1"/>
  <c r="G162" i="6"/>
  <c r="H162" i="6" s="1"/>
  <c r="G163" i="6"/>
  <c r="H163" i="6" s="1"/>
  <c r="R163" i="6" s="1"/>
  <c r="S163" i="6" s="1"/>
  <c r="T163" i="6" s="1"/>
  <c r="G164" i="6"/>
  <c r="H164" i="6" s="1"/>
  <c r="P164" i="6" s="1"/>
  <c r="G165" i="6"/>
  <c r="H165" i="6" s="1"/>
  <c r="G166" i="6"/>
  <c r="H166" i="6" s="1"/>
  <c r="G167" i="6"/>
  <c r="H167" i="6" s="1"/>
  <c r="R167" i="6" s="1"/>
  <c r="G168" i="6"/>
  <c r="H168" i="6" s="1"/>
  <c r="R168" i="6" s="1"/>
  <c r="S168" i="6" s="1"/>
  <c r="T168" i="6" s="1"/>
  <c r="G169" i="6"/>
  <c r="H169" i="6" s="1"/>
  <c r="P169" i="6" s="1"/>
  <c r="G170" i="6"/>
  <c r="H170" i="6" s="1"/>
  <c r="G171" i="6"/>
  <c r="H171" i="6" s="1"/>
  <c r="G172" i="6"/>
  <c r="H172" i="6" s="1"/>
  <c r="P172" i="6" s="1"/>
  <c r="G173" i="6"/>
  <c r="H173" i="6" s="1"/>
  <c r="R173" i="6" s="1"/>
  <c r="S173" i="6" s="1"/>
  <c r="T173" i="6" s="1"/>
  <c r="G174" i="6"/>
  <c r="H174" i="6" s="1"/>
  <c r="P174" i="6" s="1"/>
  <c r="G175" i="6"/>
  <c r="H175" i="6" s="1"/>
  <c r="P175" i="6" s="1"/>
  <c r="G176" i="6"/>
  <c r="H176" i="6" s="1"/>
  <c r="R176" i="6" s="1"/>
  <c r="S176" i="6" s="1"/>
  <c r="T176" i="6" s="1"/>
  <c r="G177" i="6"/>
  <c r="H177" i="6" s="1"/>
  <c r="G178" i="6"/>
  <c r="H178" i="6" s="1"/>
  <c r="R178" i="6" s="1"/>
  <c r="S178" i="6" s="1"/>
  <c r="T178" i="6" s="1"/>
  <c r="G179" i="6"/>
  <c r="H179" i="6" s="1"/>
  <c r="G180" i="6"/>
  <c r="H180" i="6" s="1"/>
  <c r="G181" i="6"/>
  <c r="H181" i="6" s="1"/>
  <c r="R181" i="6" s="1"/>
  <c r="S181" i="6" s="1"/>
  <c r="T181" i="6" s="1"/>
  <c r="G182" i="6"/>
  <c r="H182" i="6" s="1"/>
  <c r="P182" i="6" s="1"/>
  <c r="G183" i="6"/>
  <c r="H183" i="6" s="1"/>
  <c r="G184" i="6"/>
  <c r="H184" i="6" s="1"/>
  <c r="G185" i="6"/>
  <c r="H185" i="6" s="1"/>
  <c r="P185" i="6" s="1"/>
  <c r="G186" i="6"/>
  <c r="H186" i="6" s="1"/>
  <c r="P186" i="6" s="1"/>
  <c r="G187" i="6"/>
  <c r="H187" i="6" s="1"/>
  <c r="P187" i="6" s="1"/>
  <c r="G188" i="6"/>
  <c r="H188" i="6" s="1"/>
  <c r="G189" i="6"/>
  <c r="H189" i="6" s="1"/>
  <c r="G190" i="6"/>
  <c r="H190" i="6" s="1"/>
  <c r="G191" i="6"/>
  <c r="H191" i="6" s="1"/>
  <c r="G192" i="6"/>
  <c r="H192" i="6" s="1"/>
  <c r="P192" i="6" s="1"/>
  <c r="G193" i="6"/>
  <c r="H193" i="6" s="1"/>
  <c r="G194" i="6"/>
  <c r="H194" i="6" s="1"/>
  <c r="G195" i="6"/>
  <c r="H195" i="6" s="1"/>
  <c r="G196" i="6"/>
  <c r="H196" i="6" s="1"/>
  <c r="G197" i="6"/>
  <c r="H197" i="6" s="1"/>
  <c r="R197" i="6" s="1"/>
  <c r="S197" i="6" s="1"/>
  <c r="T197" i="6" s="1"/>
  <c r="G198" i="6"/>
  <c r="H198" i="6" s="1"/>
  <c r="R198" i="6" s="1"/>
  <c r="S198" i="6" s="1"/>
  <c r="T198" i="6" s="1"/>
  <c r="G199" i="6"/>
  <c r="H199" i="6" s="1"/>
  <c r="R199" i="6" s="1"/>
  <c r="S199" i="6" s="1"/>
  <c r="T199" i="6" s="1"/>
  <c r="G200" i="6"/>
  <c r="H200" i="6" s="1"/>
  <c r="G201" i="6"/>
  <c r="H201" i="6" s="1"/>
  <c r="G202" i="6"/>
  <c r="H202" i="6" s="1"/>
  <c r="G203" i="6"/>
  <c r="H203" i="6" s="1"/>
  <c r="R203" i="6" s="1"/>
  <c r="S203" i="6" s="1"/>
  <c r="T203" i="6" s="1"/>
  <c r="G204" i="6"/>
  <c r="H204" i="6" s="1"/>
  <c r="G205" i="6"/>
  <c r="H205" i="6" s="1"/>
  <c r="G206" i="6"/>
  <c r="H206" i="6" s="1"/>
  <c r="G207" i="6"/>
  <c r="H207" i="6" s="1"/>
  <c r="G208" i="6"/>
  <c r="H208" i="6" s="1"/>
  <c r="G209" i="6"/>
  <c r="H209" i="6" s="1"/>
  <c r="R209" i="6" s="1"/>
  <c r="S209" i="6" s="1"/>
  <c r="T209" i="6" s="1"/>
  <c r="G210" i="6"/>
  <c r="H210" i="6" s="1"/>
  <c r="R210" i="6" s="1"/>
  <c r="G211" i="6"/>
  <c r="H211" i="6" s="1"/>
  <c r="G212" i="6"/>
  <c r="H212" i="6" s="1"/>
  <c r="G213" i="6"/>
  <c r="H213" i="6" s="1"/>
  <c r="G214" i="6"/>
  <c r="H214" i="6" s="1"/>
  <c r="G215" i="6"/>
  <c r="H215" i="6" s="1"/>
  <c r="G216" i="6"/>
  <c r="H216" i="6" s="1"/>
  <c r="P216" i="6" s="1"/>
  <c r="G217" i="6"/>
  <c r="H217" i="6" s="1"/>
  <c r="G218" i="6"/>
  <c r="H218" i="6" s="1"/>
  <c r="G219" i="6"/>
  <c r="H219" i="6" s="1"/>
  <c r="G220" i="6"/>
  <c r="H220" i="6" s="1"/>
  <c r="G221" i="6"/>
  <c r="H221" i="6" s="1"/>
  <c r="R221" i="6" s="1"/>
  <c r="S221" i="6" s="1"/>
  <c r="T221" i="6" s="1"/>
  <c r="G222" i="6"/>
  <c r="H222" i="6" s="1"/>
  <c r="G223" i="6"/>
  <c r="H223" i="6" s="1"/>
  <c r="R223" i="6" s="1"/>
  <c r="S223" i="6" s="1"/>
  <c r="T223" i="6" s="1"/>
  <c r="G224" i="6"/>
  <c r="H224" i="6" s="1"/>
  <c r="G225" i="6"/>
  <c r="H225" i="6" s="1"/>
  <c r="G226" i="6"/>
  <c r="H226" i="6" s="1"/>
  <c r="R226" i="6" s="1"/>
  <c r="S226" i="6" s="1"/>
  <c r="T226" i="6" s="1"/>
  <c r="G227" i="6"/>
  <c r="H227" i="6" s="1"/>
  <c r="R227" i="6" s="1"/>
  <c r="G228" i="6"/>
  <c r="H228" i="6" s="1"/>
  <c r="P228" i="6" s="1"/>
  <c r="G229" i="6"/>
  <c r="H229" i="6" s="1"/>
  <c r="P229" i="6" s="1"/>
  <c r="G230" i="6"/>
  <c r="H230" i="6" s="1"/>
  <c r="G231" i="6"/>
  <c r="H231" i="6" s="1"/>
  <c r="G232" i="6"/>
  <c r="H232" i="6" s="1"/>
  <c r="G233" i="6"/>
  <c r="H233" i="6" s="1"/>
  <c r="R233" i="6" s="1"/>
  <c r="S233" i="6" s="1"/>
  <c r="T233" i="6" s="1"/>
  <c r="G234" i="6"/>
  <c r="H234" i="6" s="1"/>
  <c r="G235" i="6"/>
  <c r="H235" i="6" s="1"/>
  <c r="G236" i="6"/>
  <c r="H236" i="6" s="1"/>
  <c r="P236" i="6" s="1"/>
  <c r="G237" i="6"/>
  <c r="H237" i="6" s="1"/>
  <c r="G238" i="6"/>
  <c r="H238" i="6" s="1"/>
  <c r="P238" i="6" s="1"/>
  <c r="G239" i="6"/>
  <c r="H239" i="6" s="1"/>
  <c r="R239" i="6" s="1"/>
  <c r="S239" i="6" s="1"/>
  <c r="T239" i="6" s="1"/>
  <c r="G240" i="6"/>
  <c r="H240" i="6" s="1"/>
  <c r="G241" i="6"/>
  <c r="H241" i="6" s="1"/>
  <c r="G242" i="6"/>
  <c r="H242" i="6" s="1"/>
  <c r="P242" i="6" s="1"/>
  <c r="G243" i="6"/>
  <c r="H243" i="6" s="1"/>
  <c r="G244" i="6"/>
  <c r="H244" i="6" s="1"/>
  <c r="P244" i="6" s="1"/>
  <c r="G245" i="6"/>
  <c r="H245" i="6" s="1"/>
  <c r="R245" i="6" s="1"/>
  <c r="S245" i="6" s="1"/>
  <c r="T245" i="6" s="1"/>
  <c r="G246" i="6"/>
  <c r="H246" i="6" s="1"/>
  <c r="P246" i="6" s="1"/>
  <c r="G247" i="6"/>
  <c r="H247" i="6" s="1"/>
  <c r="R247" i="6" s="1"/>
  <c r="S247" i="6" s="1"/>
  <c r="T247" i="6" s="1"/>
  <c r="G248" i="6"/>
  <c r="H248" i="6" s="1"/>
  <c r="P248" i="6" s="1"/>
  <c r="G249" i="6"/>
  <c r="H249" i="6" s="1"/>
  <c r="R249" i="6" s="1"/>
  <c r="S249" i="6" s="1"/>
  <c r="T249" i="6" s="1"/>
  <c r="G250" i="6"/>
  <c r="H250" i="6" s="1"/>
  <c r="P250" i="6" s="1"/>
  <c r="G251" i="6"/>
  <c r="H251" i="6" s="1"/>
  <c r="G252" i="6"/>
  <c r="H252" i="6" s="1"/>
  <c r="G253" i="6"/>
  <c r="H253" i="6" s="1"/>
  <c r="G254" i="6"/>
  <c r="H254" i="6" s="1"/>
  <c r="P254" i="6" s="1"/>
  <c r="G255" i="6"/>
  <c r="H255" i="6" s="1"/>
  <c r="G256" i="6"/>
  <c r="H256" i="6" s="1"/>
  <c r="G257" i="6"/>
  <c r="H257" i="6" s="1"/>
  <c r="P257" i="6" s="1"/>
  <c r="G258" i="6"/>
  <c r="H258" i="6" s="1"/>
  <c r="G259" i="6"/>
  <c r="H259" i="6" s="1"/>
  <c r="P259" i="6" s="1"/>
  <c r="G260" i="6"/>
  <c r="H260" i="6" s="1"/>
  <c r="G261" i="6"/>
  <c r="H261" i="6" s="1"/>
  <c r="P261" i="6" s="1"/>
  <c r="G262" i="6"/>
  <c r="H262" i="6" s="1"/>
  <c r="G263" i="6"/>
  <c r="H263" i="6" s="1"/>
  <c r="G264" i="6"/>
  <c r="H264" i="6" s="1"/>
  <c r="G265" i="6"/>
  <c r="H265" i="6" s="1"/>
  <c r="G266" i="6"/>
  <c r="H266" i="6" s="1"/>
  <c r="G267" i="6"/>
  <c r="H267" i="6" s="1"/>
  <c r="G268" i="6"/>
  <c r="H268" i="6" s="1"/>
  <c r="R268" i="6" s="1"/>
  <c r="S268" i="6" s="1"/>
  <c r="T268" i="6" s="1"/>
  <c r="G269" i="6"/>
  <c r="H269" i="6" s="1"/>
  <c r="G270" i="6"/>
  <c r="H270" i="6" s="1"/>
  <c r="R270" i="6" s="1"/>
  <c r="G271" i="6"/>
  <c r="H271" i="6" s="1"/>
  <c r="G272" i="6"/>
  <c r="H272" i="6" s="1"/>
  <c r="G273" i="6"/>
  <c r="H273" i="6" s="1"/>
  <c r="G274" i="6"/>
  <c r="H274" i="6" s="1"/>
  <c r="P274" i="6" s="1"/>
  <c r="G275" i="6"/>
  <c r="H275" i="6" s="1"/>
  <c r="G276" i="6"/>
  <c r="H276" i="6" s="1"/>
  <c r="G277" i="6"/>
  <c r="H277" i="6" s="1"/>
  <c r="G278" i="6"/>
  <c r="H278" i="6" s="1"/>
  <c r="G279" i="6"/>
  <c r="H279" i="6" s="1"/>
  <c r="G280" i="6"/>
  <c r="H280" i="6" s="1"/>
  <c r="G281" i="6"/>
  <c r="H281" i="6" s="1"/>
  <c r="R281" i="6" s="1"/>
  <c r="S281" i="6" s="1"/>
  <c r="T281" i="6" s="1"/>
  <c r="G282" i="6"/>
  <c r="H282" i="6" s="1"/>
  <c r="G283" i="6"/>
  <c r="H283" i="6" s="1"/>
  <c r="P283" i="6" s="1"/>
  <c r="G284" i="6"/>
  <c r="H284" i="6" s="1"/>
  <c r="G285" i="6"/>
  <c r="H285" i="6" s="1"/>
  <c r="P285" i="6" s="1"/>
  <c r="G286" i="6"/>
  <c r="H286" i="6" s="1"/>
  <c r="G287" i="6"/>
  <c r="H287" i="6" s="1"/>
  <c r="G288" i="6"/>
  <c r="H288" i="6" s="1"/>
  <c r="G289" i="6"/>
  <c r="H289" i="6" s="1"/>
  <c r="G290" i="6"/>
  <c r="H290" i="6" s="1"/>
  <c r="G291" i="6"/>
  <c r="H291" i="6" s="1"/>
  <c r="P291" i="6" s="1"/>
  <c r="G292" i="6"/>
  <c r="H292" i="6" s="1"/>
  <c r="G293" i="6"/>
  <c r="H293" i="6" s="1"/>
  <c r="G294" i="6"/>
  <c r="H294" i="6" s="1"/>
  <c r="G295" i="6"/>
  <c r="H295" i="6" s="1"/>
  <c r="R295" i="6" s="1"/>
  <c r="S295" i="6" s="1"/>
  <c r="T295" i="6" s="1"/>
  <c r="G296" i="6"/>
  <c r="H296" i="6" s="1"/>
  <c r="G297" i="6"/>
  <c r="H297" i="6" s="1"/>
  <c r="P297" i="6" s="1"/>
  <c r="G298" i="6"/>
  <c r="H298" i="6" s="1"/>
  <c r="G299" i="6"/>
  <c r="H299" i="6" s="1"/>
  <c r="P299" i="6" s="1"/>
  <c r="G300" i="6"/>
  <c r="H300" i="6" s="1"/>
  <c r="G301" i="6"/>
  <c r="H301" i="6" s="1"/>
  <c r="R301" i="6" s="1"/>
  <c r="S301" i="6" s="1"/>
  <c r="T301" i="6" s="1"/>
  <c r="G302" i="6"/>
  <c r="G303" i="6"/>
  <c r="H303" i="6" s="1"/>
  <c r="G304" i="6"/>
  <c r="H304" i="6" s="1"/>
  <c r="R304" i="6" s="1"/>
  <c r="S304" i="6" s="1"/>
  <c r="T304" i="6" s="1"/>
  <c r="G305" i="6"/>
  <c r="H305" i="6" s="1"/>
  <c r="R305" i="6" s="1"/>
  <c r="S305" i="6" s="1"/>
  <c r="T305" i="6" s="1"/>
  <c r="G306" i="6"/>
  <c r="H306" i="6" s="1"/>
  <c r="G307" i="6"/>
  <c r="H307" i="6" s="1"/>
  <c r="G308" i="6"/>
  <c r="H308" i="6" s="1"/>
  <c r="P308" i="6" s="1"/>
  <c r="G309" i="6"/>
  <c r="H309" i="6" s="1"/>
  <c r="G310" i="6"/>
  <c r="H310" i="6" s="1"/>
  <c r="R310" i="6" s="1"/>
  <c r="S310" i="6" s="1"/>
  <c r="G311" i="6"/>
  <c r="H311" i="6" s="1"/>
  <c r="G312" i="6"/>
  <c r="H312" i="6" s="1"/>
  <c r="G313" i="6"/>
  <c r="H313" i="6" s="1"/>
  <c r="G314" i="6"/>
  <c r="H314" i="6" s="1"/>
  <c r="G315" i="6"/>
  <c r="H315" i="6" s="1"/>
  <c r="G316" i="6"/>
  <c r="H316" i="6" s="1"/>
  <c r="R316" i="6" s="1"/>
  <c r="S316" i="6" s="1"/>
  <c r="T316" i="6" s="1"/>
  <c r="G317" i="6"/>
  <c r="H317" i="6" s="1"/>
  <c r="P317" i="6" s="1"/>
  <c r="G318" i="6"/>
  <c r="G319" i="6"/>
  <c r="H319" i="6" s="1"/>
  <c r="G320" i="6"/>
  <c r="H320" i="6" s="1"/>
  <c r="G321" i="6"/>
  <c r="H321" i="6" s="1"/>
  <c r="G322" i="6"/>
  <c r="H322" i="6" s="1"/>
  <c r="G323" i="6"/>
  <c r="H323" i="6" s="1"/>
  <c r="P323" i="6" s="1"/>
  <c r="G324" i="6"/>
  <c r="H324" i="6" s="1"/>
  <c r="G325" i="6"/>
  <c r="H325" i="6" s="1"/>
  <c r="G326" i="6"/>
  <c r="H326" i="6" s="1"/>
  <c r="R326" i="6" s="1"/>
  <c r="S326" i="6" s="1"/>
  <c r="T326" i="6" s="1"/>
  <c r="G327" i="6"/>
  <c r="H327" i="6" s="1"/>
  <c r="P327" i="6" s="1"/>
  <c r="Q327" i="6" s="1"/>
  <c r="U327" i="6" s="1"/>
  <c r="G328" i="6"/>
  <c r="H328" i="6" s="1"/>
  <c r="G329" i="6"/>
  <c r="H329" i="6" s="1"/>
  <c r="P329" i="6" s="1"/>
  <c r="G330" i="6"/>
  <c r="H330" i="6" s="1"/>
  <c r="G331" i="6"/>
  <c r="H331" i="6" s="1"/>
  <c r="G332" i="6"/>
  <c r="H332" i="6" s="1"/>
  <c r="G333" i="6"/>
  <c r="H333" i="6" s="1"/>
  <c r="G334" i="6"/>
  <c r="H334" i="6" s="1"/>
  <c r="P334" i="6" s="1"/>
  <c r="G335" i="6"/>
  <c r="H335" i="6" s="1"/>
  <c r="G336" i="6"/>
  <c r="H336" i="6" s="1"/>
  <c r="G337" i="6"/>
  <c r="H337" i="6" s="1"/>
  <c r="G338" i="6"/>
  <c r="H338" i="6" s="1"/>
  <c r="G339" i="6"/>
  <c r="H339" i="6" s="1"/>
  <c r="P339" i="6" s="1"/>
  <c r="G340" i="6"/>
  <c r="H340" i="6" s="1"/>
  <c r="G341" i="6"/>
  <c r="H341" i="6" s="1"/>
  <c r="G342" i="6"/>
  <c r="H342" i="6" s="1"/>
  <c r="G343" i="6"/>
  <c r="H343" i="6" s="1"/>
  <c r="P343" i="6" s="1"/>
  <c r="G344" i="6"/>
  <c r="H344" i="6" s="1"/>
  <c r="G345" i="6"/>
  <c r="H345" i="6" s="1"/>
  <c r="R345" i="6" s="1"/>
  <c r="S345" i="6" s="1"/>
  <c r="T345" i="6" s="1"/>
  <c r="G346" i="6"/>
  <c r="H346" i="6" s="1"/>
  <c r="P346" i="6" s="1"/>
  <c r="G347" i="6"/>
  <c r="H347" i="6" s="1"/>
  <c r="G348" i="6"/>
  <c r="H348" i="6" s="1"/>
  <c r="G349" i="6"/>
  <c r="H349" i="6" s="1"/>
  <c r="P349" i="6" s="1"/>
  <c r="G350" i="6"/>
  <c r="H350" i="6" s="1"/>
  <c r="G351" i="6"/>
  <c r="H351" i="6" s="1"/>
  <c r="G352" i="6"/>
  <c r="H352" i="6" s="1"/>
  <c r="P352" i="6" s="1"/>
  <c r="G353" i="6"/>
  <c r="H353" i="6" s="1"/>
  <c r="P353" i="6" s="1"/>
  <c r="G354" i="6"/>
  <c r="H354" i="6" s="1"/>
  <c r="G355" i="6"/>
  <c r="H355" i="6" s="1"/>
  <c r="G356" i="6"/>
  <c r="H356" i="6" s="1"/>
  <c r="R356" i="6" s="1"/>
  <c r="S356" i="6" s="1"/>
  <c r="T356" i="6" s="1"/>
  <c r="G357" i="6"/>
  <c r="H357" i="6" s="1"/>
  <c r="G358" i="6"/>
  <c r="H358" i="6" s="1"/>
  <c r="G359" i="6"/>
  <c r="H359" i="6" s="1"/>
  <c r="P359" i="6" s="1"/>
  <c r="G360" i="6"/>
  <c r="H360" i="6" s="1"/>
  <c r="R360" i="6" s="1"/>
  <c r="S360" i="6" s="1"/>
  <c r="T360" i="6" s="1"/>
  <c r="G361" i="6"/>
  <c r="H361" i="6" s="1"/>
  <c r="G362" i="6"/>
  <c r="H362" i="6" s="1"/>
  <c r="G363" i="6"/>
  <c r="H363" i="6" s="1"/>
  <c r="G364" i="6"/>
  <c r="H364" i="6" s="1"/>
  <c r="G365" i="6"/>
  <c r="H365" i="6" s="1"/>
  <c r="G366" i="6"/>
  <c r="H366" i="6" s="1"/>
  <c r="G367" i="6"/>
  <c r="H367" i="6" s="1"/>
  <c r="G368" i="6"/>
  <c r="H368" i="6" s="1"/>
  <c r="G369" i="6"/>
  <c r="H369" i="6" s="1"/>
  <c r="G370" i="6"/>
  <c r="H370" i="6" s="1"/>
  <c r="R370" i="6" s="1"/>
  <c r="G371" i="6"/>
  <c r="H371" i="6" s="1"/>
  <c r="P371" i="6" s="1"/>
  <c r="G372" i="6"/>
  <c r="H372" i="6" s="1"/>
  <c r="G373" i="6"/>
  <c r="H373" i="6" s="1"/>
  <c r="P373" i="6" s="1"/>
  <c r="G374" i="6"/>
  <c r="H374" i="6" s="1"/>
  <c r="G375" i="6"/>
  <c r="H375" i="6" s="1"/>
  <c r="R375" i="6" s="1"/>
  <c r="S375" i="6" s="1"/>
  <c r="T375" i="6" s="1"/>
  <c r="G376" i="6"/>
  <c r="H376" i="6" s="1"/>
  <c r="G377" i="6"/>
  <c r="H377" i="6" s="1"/>
  <c r="R377" i="6" s="1"/>
  <c r="S377" i="6" s="1"/>
  <c r="T377" i="6" s="1"/>
  <c r="G378" i="6"/>
  <c r="H378" i="6" s="1"/>
  <c r="G379" i="6"/>
  <c r="H379" i="6" s="1"/>
  <c r="R379" i="6" s="1"/>
  <c r="S379" i="6" s="1"/>
  <c r="T379" i="6" s="1"/>
  <c r="G380" i="6"/>
  <c r="H380" i="6" s="1"/>
  <c r="G381" i="6"/>
  <c r="H381" i="6" s="1"/>
  <c r="G382" i="6"/>
  <c r="H382" i="6" s="1"/>
  <c r="P382" i="6" s="1"/>
  <c r="G383" i="6"/>
  <c r="H383" i="6" s="1"/>
  <c r="P383" i="6" s="1"/>
  <c r="G384" i="6"/>
  <c r="H384" i="6" s="1"/>
  <c r="G385" i="6"/>
  <c r="H385" i="6" s="1"/>
  <c r="G386" i="6"/>
  <c r="H386" i="6" s="1"/>
  <c r="G387" i="6"/>
  <c r="H387" i="6" s="1"/>
  <c r="R387" i="6" s="1"/>
  <c r="S387" i="6" s="1"/>
  <c r="T387" i="6" s="1"/>
  <c r="G388" i="6"/>
  <c r="H388" i="6" s="1"/>
  <c r="P388" i="6" s="1"/>
  <c r="G389" i="6"/>
  <c r="H389" i="6" s="1"/>
  <c r="R389" i="6" s="1"/>
  <c r="S389" i="6" s="1"/>
  <c r="T389" i="6" s="1"/>
  <c r="G390" i="6"/>
  <c r="H390" i="6" s="1"/>
  <c r="P390" i="6" s="1"/>
  <c r="G391" i="6"/>
  <c r="H391" i="6" s="1"/>
  <c r="G392" i="6"/>
  <c r="H392" i="6" s="1"/>
  <c r="G393" i="6"/>
  <c r="H393" i="6" s="1"/>
  <c r="G394" i="6"/>
  <c r="H394" i="6" s="1"/>
  <c r="G395" i="6"/>
  <c r="H395" i="6" s="1"/>
  <c r="R395" i="6" s="1"/>
  <c r="S395" i="6" s="1"/>
  <c r="T395" i="6" s="1"/>
  <c r="G396" i="6"/>
  <c r="H396" i="6" s="1"/>
  <c r="G397" i="6"/>
  <c r="H397" i="6" s="1"/>
  <c r="G398" i="6"/>
  <c r="H398" i="6" s="1"/>
  <c r="R398" i="6" s="1"/>
  <c r="S398" i="6" s="1"/>
  <c r="T398" i="6" s="1"/>
  <c r="G399" i="6"/>
  <c r="H399" i="6" s="1"/>
  <c r="G400" i="6"/>
  <c r="H400" i="6" s="1"/>
  <c r="P400" i="6" s="1"/>
  <c r="G401" i="6"/>
  <c r="H401" i="6" s="1"/>
  <c r="R401" i="6" s="1"/>
  <c r="S401" i="6" s="1"/>
  <c r="T401" i="6" s="1"/>
  <c r="G402" i="6"/>
  <c r="H402" i="6" s="1"/>
  <c r="G403" i="6"/>
  <c r="H403" i="6" s="1"/>
  <c r="P403" i="6" s="1"/>
  <c r="G404" i="6"/>
  <c r="H404" i="6" s="1"/>
  <c r="G405" i="6"/>
  <c r="H405" i="6" s="1"/>
  <c r="R405" i="6" s="1"/>
  <c r="G406" i="6"/>
  <c r="H406" i="6" s="1"/>
  <c r="G407" i="6"/>
  <c r="H407" i="6" s="1"/>
  <c r="G408" i="6"/>
  <c r="H408" i="6" s="1"/>
  <c r="G409" i="6"/>
  <c r="H409" i="6" s="1"/>
  <c r="G410" i="6"/>
  <c r="H410" i="6" s="1"/>
  <c r="R410" i="6" s="1"/>
  <c r="G411" i="6"/>
  <c r="H411" i="6" s="1"/>
  <c r="R411" i="6" s="1"/>
  <c r="G412" i="6"/>
  <c r="H412" i="6" s="1"/>
  <c r="G413" i="6"/>
  <c r="H413" i="6" s="1"/>
  <c r="P413" i="6" s="1"/>
  <c r="G414" i="6"/>
  <c r="H414" i="6" s="1"/>
  <c r="G415" i="6"/>
  <c r="H415" i="6" s="1"/>
  <c r="G416" i="6"/>
  <c r="H416" i="6" s="1"/>
  <c r="G417" i="6"/>
  <c r="H417" i="6" s="1"/>
  <c r="G418" i="6"/>
  <c r="H418" i="6" s="1"/>
  <c r="G419" i="6"/>
  <c r="H419" i="6" s="1"/>
  <c r="G420" i="6"/>
  <c r="H420" i="6" s="1"/>
  <c r="P420" i="6" s="1"/>
  <c r="G421" i="6"/>
  <c r="H421" i="6" s="1"/>
  <c r="R421" i="6" s="1"/>
  <c r="S421" i="6" s="1"/>
  <c r="T421" i="6" s="1"/>
  <c r="G422" i="6"/>
  <c r="H422" i="6" s="1"/>
  <c r="G423" i="6"/>
  <c r="H423" i="6" s="1"/>
  <c r="G424" i="6"/>
  <c r="H424" i="6" s="1"/>
  <c r="G425" i="6"/>
  <c r="H425" i="6" s="1"/>
  <c r="R425" i="6" s="1"/>
  <c r="S425" i="6" s="1"/>
  <c r="T425" i="6" s="1"/>
  <c r="G426" i="6"/>
  <c r="H426" i="6" s="1"/>
  <c r="G427" i="6"/>
  <c r="H427" i="6" s="1"/>
  <c r="P427" i="6" s="1"/>
  <c r="G428" i="6"/>
  <c r="H428" i="6" s="1"/>
  <c r="G429" i="6"/>
  <c r="H429" i="6" s="1"/>
  <c r="G430" i="6"/>
  <c r="H430" i="6" s="1"/>
  <c r="G431" i="6"/>
  <c r="H431" i="6" s="1"/>
  <c r="G432" i="6"/>
  <c r="H432" i="6" s="1"/>
  <c r="G433" i="6"/>
  <c r="H433" i="6" s="1"/>
  <c r="G434" i="6"/>
  <c r="H434" i="6" s="1"/>
  <c r="P434" i="6" s="1"/>
  <c r="G435" i="6"/>
  <c r="H435" i="6" s="1"/>
  <c r="R435" i="6" s="1"/>
  <c r="S435" i="6" s="1"/>
  <c r="T435" i="6" s="1"/>
  <c r="G436" i="6"/>
  <c r="H436" i="6" s="1"/>
  <c r="G437" i="6"/>
  <c r="H437" i="6" s="1"/>
  <c r="P437" i="6" s="1"/>
  <c r="G438" i="6"/>
  <c r="H438" i="6" s="1"/>
  <c r="G439" i="6"/>
  <c r="H439" i="6" s="1"/>
  <c r="P439" i="6" s="1"/>
  <c r="G440" i="6"/>
  <c r="H440" i="6" s="1"/>
  <c r="G441" i="6"/>
  <c r="H441" i="6" s="1"/>
  <c r="G442" i="6"/>
  <c r="H442" i="6" s="1"/>
  <c r="G443" i="6"/>
  <c r="H443" i="6" s="1"/>
  <c r="G444" i="6"/>
  <c r="H444" i="6" s="1"/>
  <c r="P444" i="6" s="1"/>
  <c r="G445" i="6"/>
  <c r="H445" i="6" s="1"/>
  <c r="G446" i="6"/>
  <c r="H446" i="6" s="1"/>
  <c r="G447" i="6"/>
  <c r="H447" i="6" s="1"/>
  <c r="G448" i="6"/>
  <c r="H448" i="6" s="1"/>
  <c r="P448" i="6" s="1"/>
  <c r="G449" i="6"/>
  <c r="H449" i="6" s="1"/>
  <c r="R449" i="6" s="1"/>
  <c r="S449" i="6" s="1"/>
  <c r="T449" i="6" s="1"/>
  <c r="G450" i="6"/>
  <c r="H450" i="6" s="1"/>
  <c r="G451" i="6"/>
  <c r="H451" i="6" s="1"/>
  <c r="G452" i="6"/>
  <c r="H452" i="6" s="1"/>
  <c r="G453" i="6"/>
  <c r="H453" i="6" s="1"/>
  <c r="R453" i="6" s="1"/>
  <c r="S453" i="6" s="1"/>
  <c r="T453" i="6" s="1"/>
  <c r="G454" i="6"/>
  <c r="H454" i="6" s="1"/>
  <c r="G455" i="6"/>
  <c r="H455" i="6" s="1"/>
  <c r="R455" i="6" s="1"/>
  <c r="S455" i="6" s="1"/>
  <c r="T455" i="6" s="1"/>
  <c r="G456" i="6"/>
  <c r="H456" i="6" s="1"/>
  <c r="R456" i="6" s="1"/>
  <c r="S456" i="6" s="1"/>
  <c r="T456" i="6" s="1"/>
  <c r="G457" i="6"/>
  <c r="H457" i="6"/>
  <c r="G458" i="6"/>
  <c r="H458" i="6" s="1"/>
  <c r="G459" i="6"/>
  <c r="H459" i="6" s="1"/>
  <c r="G460" i="6"/>
  <c r="H460" i="6" s="1"/>
  <c r="G461" i="6"/>
  <c r="H461" i="6" s="1"/>
  <c r="R461" i="6" s="1"/>
  <c r="S461" i="6" s="1"/>
  <c r="T461" i="6" s="1"/>
  <c r="G462" i="6"/>
  <c r="H462" i="6" s="1"/>
  <c r="R462" i="6" s="1"/>
  <c r="S462" i="6" s="1"/>
  <c r="T462" i="6" s="1"/>
  <c r="G463" i="6"/>
  <c r="H463" i="6" s="1"/>
  <c r="R463" i="6" s="1"/>
  <c r="S463" i="6" s="1"/>
  <c r="T463" i="6" s="1"/>
  <c r="G464" i="6"/>
  <c r="H464" i="6" s="1"/>
  <c r="G465" i="6"/>
  <c r="H465" i="6" s="1"/>
  <c r="G466" i="6"/>
  <c r="H466" i="6" s="1"/>
  <c r="G467" i="6"/>
  <c r="H467" i="6" s="1"/>
  <c r="R467" i="6" s="1"/>
  <c r="S467" i="6" s="1"/>
  <c r="T467" i="6" s="1"/>
  <c r="G468" i="6"/>
  <c r="H468" i="6" s="1"/>
  <c r="R468" i="6" s="1"/>
  <c r="S468" i="6" s="1"/>
  <c r="T468" i="6" s="1"/>
  <c r="G469" i="6"/>
  <c r="H469" i="6" s="1"/>
  <c r="G470" i="6"/>
  <c r="H470" i="6" s="1"/>
  <c r="P470" i="6" s="1"/>
  <c r="G471" i="6"/>
  <c r="H471" i="6" s="1"/>
  <c r="G472" i="6"/>
  <c r="H472" i="6" s="1"/>
  <c r="P472" i="6" s="1"/>
  <c r="G473" i="6"/>
  <c r="H473" i="6" s="1"/>
  <c r="R473" i="6" s="1"/>
  <c r="S473" i="6" s="1"/>
  <c r="T473" i="6" s="1"/>
  <c r="G474" i="6"/>
  <c r="H474" i="6" s="1"/>
  <c r="G475" i="6"/>
  <c r="H475" i="6" s="1"/>
  <c r="R475" i="6" s="1"/>
  <c r="S475" i="6" s="1"/>
  <c r="T475" i="6" s="1"/>
  <c r="G476" i="6"/>
  <c r="H476" i="6" s="1"/>
  <c r="P476" i="6" s="1"/>
  <c r="G477" i="6"/>
  <c r="H477" i="6" s="1"/>
  <c r="G478" i="6"/>
  <c r="H478" i="6" s="1"/>
  <c r="P478" i="6" s="1"/>
  <c r="G479" i="6"/>
  <c r="H479" i="6" s="1"/>
  <c r="P479" i="6" s="1"/>
  <c r="G480" i="6"/>
  <c r="H480" i="6" s="1"/>
  <c r="R480" i="6" s="1"/>
  <c r="S480" i="6" s="1"/>
  <c r="T480" i="6" s="1"/>
  <c r="G481" i="6"/>
  <c r="H481" i="6" s="1"/>
  <c r="G482" i="6"/>
  <c r="H482" i="6" s="1"/>
  <c r="G483" i="6"/>
  <c r="H483" i="6" s="1"/>
  <c r="G484" i="6"/>
  <c r="H484" i="6" s="1"/>
  <c r="P484" i="6" s="1"/>
  <c r="G485" i="6"/>
  <c r="H485" i="6" s="1"/>
  <c r="G486" i="6"/>
  <c r="H486" i="6" s="1"/>
  <c r="G487" i="6"/>
  <c r="H487" i="6" s="1"/>
  <c r="P487" i="6" s="1"/>
  <c r="G488" i="6"/>
  <c r="H488" i="6" s="1"/>
  <c r="R488" i="6" s="1"/>
  <c r="S488" i="6" s="1"/>
  <c r="T488" i="6" s="1"/>
  <c r="G489" i="6"/>
  <c r="H489" i="6" s="1"/>
  <c r="G490" i="6"/>
  <c r="H490" i="6" s="1"/>
  <c r="G491" i="6"/>
  <c r="H491" i="6" s="1"/>
  <c r="G492" i="6"/>
  <c r="H492" i="6" s="1"/>
  <c r="P492" i="6" s="1"/>
  <c r="G493" i="6"/>
  <c r="H493" i="6" s="1"/>
  <c r="G494" i="6"/>
  <c r="H494" i="6" s="1"/>
  <c r="G495" i="6"/>
  <c r="H495" i="6" s="1"/>
  <c r="G496" i="6"/>
  <c r="H496" i="6" s="1"/>
  <c r="G497" i="6"/>
  <c r="H497" i="6" s="1"/>
  <c r="P497" i="6" s="1"/>
  <c r="G498" i="6"/>
  <c r="H498" i="6" s="1"/>
  <c r="R498" i="6" s="1"/>
  <c r="S498" i="6" s="1"/>
  <c r="T498" i="6" s="1"/>
  <c r="G499" i="6"/>
  <c r="H499" i="6" s="1"/>
  <c r="G500" i="6"/>
  <c r="H500" i="6" s="1"/>
  <c r="G501" i="6"/>
  <c r="H501" i="6" s="1"/>
  <c r="G502" i="6"/>
  <c r="H502" i="6" s="1"/>
  <c r="P502" i="6" s="1"/>
  <c r="G503" i="6"/>
  <c r="H503" i="6" s="1"/>
  <c r="G504" i="6"/>
  <c r="H504" i="6"/>
  <c r="G505" i="6"/>
  <c r="H505" i="6" s="1"/>
  <c r="P505" i="6" s="1"/>
  <c r="G506" i="6"/>
  <c r="H506" i="6" s="1"/>
  <c r="R506" i="6" s="1"/>
  <c r="S506" i="6" s="1"/>
  <c r="T506" i="6" s="1"/>
  <c r="G507" i="6"/>
  <c r="H507" i="6" s="1"/>
  <c r="G508" i="6"/>
  <c r="H508" i="6" s="1"/>
  <c r="G509" i="6"/>
  <c r="H509" i="6" s="1"/>
  <c r="R509" i="6" s="1"/>
  <c r="S509" i="6" s="1"/>
  <c r="T509" i="6" s="1"/>
  <c r="G510" i="6"/>
  <c r="H510" i="6" s="1"/>
  <c r="G511" i="6"/>
  <c r="H511" i="6" s="1"/>
  <c r="P511" i="6" s="1"/>
  <c r="G512" i="6"/>
  <c r="H512" i="6" s="1"/>
  <c r="G513" i="6"/>
  <c r="H513" i="6" s="1"/>
  <c r="R513" i="6" s="1"/>
  <c r="S513" i="6" s="1"/>
  <c r="T513" i="6" s="1"/>
  <c r="G514" i="6"/>
  <c r="H514" i="6" s="1"/>
  <c r="P514" i="6" s="1"/>
  <c r="G515" i="6"/>
  <c r="H515" i="6" s="1"/>
  <c r="P515" i="6" s="1"/>
  <c r="G516" i="6"/>
  <c r="H516" i="6" s="1"/>
  <c r="G517" i="6"/>
  <c r="H517" i="6" s="1"/>
  <c r="G518" i="6"/>
  <c r="H518" i="6" s="1"/>
  <c r="G519" i="6"/>
  <c r="H519" i="6" s="1"/>
  <c r="P519" i="6" s="1"/>
  <c r="G520" i="6"/>
  <c r="H520" i="6" s="1"/>
  <c r="G521" i="6"/>
  <c r="H521" i="6" s="1"/>
  <c r="P521" i="6" s="1"/>
  <c r="G522" i="6"/>
  <c r="H522" i="6" s="1"/>
  <c r="R522" i="6" s="1"/>
  <c r="S522" i="6" s="1"/>
  <c r="T522" i="6" s="1"/>
  <c r="G523" i="6"/>
  <c r="H523" i="6" s="1"/>
  <c r="P523" i="6" s="1"/>
  <c r="G524" i="6"/>
  <c r="H524" i="6" s="1"/>
  <c r="R524" i="6" s="1"/>
  <c r="S524" i="6" s="1"/>
  <c r="T524" i="6" s="1"/>
  <c r="G525" i="6"/>
  <c r="H525" i="6" s="1"/>
  <c r="G526" i="6"/>
  <c r="H526" i="6" s="1"/>
  <c r="G527" i="6"/>
  <c r="H527" i="6" s="1"/>
  <c r="R527" i="6" s="1"/>
  <c r="S527" i="6" s="1"/>
  <c r="T527" i="6" s="1"/>
  <c r="G528" i="6"/>
  <c r="H528" i="6" s="1"/>
  <c r="R528" i="6" s="1"/>
  <c r="S528" i="6" s="1"/>
  <c r="T528" i="6" s="1"/>
  <c r="G529" i="6"/>
  <c r="H529" i="6" s="1"/>
  <c r="G530" i="6"/>
  <c r="H530" i="6" s="1"/>
  <c r="G531" i="6"/>
  <c r="H531" i="6" s="1"/>
  <c r="G532" i="6"/>
  <c r="H532" i="6" s="1"/>
  <c r="G533" i="6"/>
  <c r="H533" i="6" s="1"/>
  <c r="G534" i="6"/>
  <c r="H534" i="6" s="1"/>
  <c r="R534" i="6" s="1"/>
  <c r="S534" i="6" s="1"/>
  <c r="T534" i="6" s="1"/>
  <c r="G535" i="6"/>
  <c r="H535" i="6" s="1"/>
  <c r="R535" i="6" s="1"/>
  <c r="S535" i="6" s="1"/>
  <c r="T535" i="6" s="1"/>
  <c r="G536" i="6"/>
  <c r="H536" i="6" s="1"/>
  <c r="P536" i="6" s="1"/>
  <c r="G537" i="6"/>
  <c r="H537" i="6" s="1"/>
  <c r="P537" i="6" s="1"/>
  <c r="G538" i="6"/>
  <c r="H538" i="6" s="1"/>
  <c r="P538" i="6" s="1"/>
  <c r="G539" i="6"/>
  <c r="H539" i="6" s="1"/>
  <c r="P539" i="6" s="1"/>
  <c r="G540" i="6"/>
  <c r="H540" i="6" s="1"/>
  <c r="P540" i="6" s="1"/>
  <c r="G541" i="6"/>
  <c r="H541" i="6" s="1"/>
  <c r="R541" i="6" s="1"/>
  <c r="S541" i="6" s="1"/>
  <c r="T541" i="6" s="1"/>
  <c r="G542" i="6"/>
  <c r="H542" i="6" s="1"/>
  <c r="R542" i="6" s="1"/>
  <c r="S542" i="6" s="1"/>
  <c r="T542" i="6" s="1"/>
  <c r="G543" i="6"/>
  <c r="H543" i="6" s="1"/>
  <c r="P543" i="6" s="1"/>
  <c r="G544" i="6"/>
  <c r="H544" i="6" s="1"/>
  <c r="R544" i="6" s="1"/>
  <c r="S544" i="6" s="1"/>
  <c r="T544" i="6" s="1"/>
  <c r="G545" i="6"/>
  <c r="H545" i="6" s="1"/>
  <c r="R545" i="6" s="1"/>
  <c r="S545" i="6" s="1"/>
  <c r="T545" i="6" s="1"/>
  <c r="G546" i="6"/>
  <c r="H546" i="6" s="1"/>
  <c r="G547" i="6"/>
  <c r="H547" i="6" s="1"/>
  <c r="R547" i="6" s="1"/>
  <c r="S547" i="6" s="1"/>
  <c r="T547" i="6" s="1"/>
  <c r="G548" i="6"/>
  <c r="H548" i="6" s="1"/>
  <c r="G549" i="6"/>
  <c r="H549" i="6" s="1"/>
  <c r="G550" i="6"/>
  <c r="H550" i="6" s="1"/>
  <c r="G551" i="6"/>
  <c r="H551" i="6" s="1"/>
  <c r="P551" i="6" s="1"/>
  <c r="G552" i="6"/>
  <c r="H552" i="6" s="1"/>
  <c r="G553" i="6"/>
  <c r="H553" i="6" s="1"/>
  <c r="R553" i="6" s="1"/>
  <c r="S553" i="6" s="1"/>
  <c r="T553" i="6" s="1"/>
  <c r="G554" i="6"/>
  <c r="H554" i="6"/>
  <c r="P554" i="6" s="1"/>
  <c r="G555" i="6"/>
  <c r="H555" i="6" s="1"/>
  <c r="G556" i="6"/>
  <c r="H556" i="6" s="1"/>
  <c r="G557" i="6"/>
  <c r="H557" i="6" s="1"/>
  <c r="P557" i="6" s="1"/>
  <c r="G558" i="6"/>
  <c r="H558" i="6" s="1"/>
  <c r="G559" i="6"/>
  <c r="H559" i="6" s="1"/>
  <c r="G560" i="6"/>
  <c r="H560" i="6" s="1"/>
  <c r="P560" i="6" s="1"/>
  <c r="G561" i="6"/>
  <c r="H561" i="6" s="1"/>
  <c r="G562" i="6"/>
  <c r="H562" i="6" s="1"/>
  <c r="G563" i="6"/>
  <c r="H563" i="6" s="1"/>
  <c r="G564" i="6"/>
  <c r="H564" i="6" s="1"/>
  <c r="R564" i="6" s="1"/>
  <c r="S564" i="6" s="1"/>
  <c r="T564" i="6" s="1"/>
  <c r="G565" i="6"/>
  <c r="H565" i="6" s="1"/>
  <c r="G566" i="6"/>
  <c r="H566" i="6" s="1"/>
  <c r="G567" i="6"/>
  <c r="H567" i="6" s="1"/>
  <c r="G568" i="6"/>
  <c r="H568" i="6" s="1"/>
  <c r="R568" i="6" s="1"/>
  <c r="S568" i="6" s="1"/>
  <c r="T568" i="6" s="1"/>
  <c r="G569" i="6"/>
  <c r="H569" i="6" s="1"/>
  <c r="G570" i="6"/>
  <c r="H570" i="6" s="1"/>
  <c r="G571" i="6"/>
  <c r="H571" i="6" s="1"/>
  <c r="G572" i="6"/>
  <c r="H572" i="6" s="1"/>
  <c r="P572" i="6" s="1"/>
  <c r="G573" i="6"/>
  <c r="H573" i="6" s="1"/>
  <c r="R573" i="6" s="1"/>
  <c r="S573" i="6" s="1"/>
  <c r="T573" i="6" s="1"/>
  <c r="G574" i="6"/>
  <c r="H574" i="6" s="1"/>
  <c r="P574" i="6" s="1"/>
  <c r="G575" i="6"/>
  <c r="H575" i="6" s="1"/>
  <c r="R575" i="6" s="1"/>
  <c r="S575" i="6" s="1"/>
  <c r="G576" i="6"/>
  <c r="H576" i="6" s="1"/>
  <c r="R576" i="6" s="1"/>
  <c r="S576" i="6" s="1"/>
  <c r="T576" i="6" s="1"/>
  <c r="G577" i="6"/>
  <c r="H577" i="6" s="1"/>
  <c r="G578" i="6"/>
  <c r="H578" i="6" s="1"/>
  <c r="P578" i="6" s="1"/>
  <c r="G579" i="6"/>
  <c r="H579" i="6" s="1"/>
  <c r="P579" i="6" s="1"/>
  <c r="G580" i="6"/>
  <c r="H580" i="6" s="1"/>
  <c r="P580" i="6" s="1"/>
  <c r="G581" i="6"/>
  <c r="H581" i="6" s="1"/>
  <c r="P581" i="6" s="1"/>
  <c r="G582" i="6"/>
  <c r="H582" i="6" s="1"/>
  <c r="R582" i="6" s="1"/>
  <c r="S582" i="6" s="1"/>
  <c r="T582" i="6" s="1"/>
  <c r="G583" i="6"/>
  <c r="H583" i="6" s="1"/>
  <c r="R583" i="6" s="1"/>
  <c r="S583" i="6" s="1"/>
  <c r="T583" i="6" s="1"/>
  <c r="G584" i="6"/>
  <c r="H584" i="6" s="1"/>
  <c r="R584" i="6" s="1"/>
  <c r="S584" i="6" s="1"/>
  <c r="T584" i="6" s="1"/>
  <c r="G585" i="6"/>
  <c r="H585" i="6" s="1"/>
  <c r="P585" i="6" s="1"/>
  <c r="G586" i="6"/>
  <c r="H586" i="6" s="1"/>
  <c r="G587" i="6"/>
  <c r="H587" i="6" s="1"/>
  <c r="G588" i="6"/>
  <c r="H588" i="6" s="1"/>
  <c r="P588" i="6" s="1"/>
  <c r="G589" i="6"/>
  <c r="H589" i="6" s="1"/>
  <c r="R589" i="6" s="1"/>
  <c r="S589" i="6" s="1"/>
  <c r="T589" i="6" s="1"/>
  <c r="G590" i="6"/>
  <c r="H590" i="6" s="1"/>
  <c r="G591" i="6"/>
  <c r="H591" i="6" s="1"/>
  <c r="G592" i="6"/>
  <c r="H592" i="6" s="1"/>
  <c r="P592" i="6" s="1"/>
  <c r="G593" i="6"/>
  <c r="H593" i="6" s="1"/>
  <c r="P593" i="6" s="1"/>
  <c r="G594" i="6"/>
  <c r="H594" i="6" s="1"/>
  <c r="P594" i="6" s="1"/>
  <c r="G595" i="6"/>
  <c r="H595" i="6" s="1"/>
  <c r="P595" i="6" s="1"/>
  <c r="G596" i="6"/>
  <c r="H596" i="6" s="1"/>
  <c r="P596" i="6" s="1"/>
  <c r="G597" i="6"/>
  <c r="H597" i="6" s="1"/>
  <c r="R597" i="6" s="1"/>
  <c r="S597" i="6" s="1"/>
  <c r="T597" i="6" s="1"/>
  <c r="G598" i="6"/>
  <c r="H598" i="6" s="1"/>
  <c r="G599" i="6"/>
  <c r="H599" i="6" s="1"/>
  <c r="R599" i="6" s="1"/>
  <c r="S599" i="6" s="1"/>
  <c r="T599" i="6" s="1"/>
  <c r="G600" i="6"/>
  <c r="H600" i="6" s="1"/>
  <c r="G601" i="6"/>
  <c r="H601" i="6" s="1"/>
  <c r="G602" i="6"/>
  <c r="H602" i="6" s="1"/>
  <c r="G603" i="6"/>
  <c r="H603" i="6" s="1"/>
  <c r="G604" i="6"/>
  <c r="H604" i="6" s="1"/>
  <c r="G605" i="6"/>
  <c r="H605" i="6" s="1"/>
  <c r="P605" i="6" s="1"/>
  <c r="G606" i="6"/>
  <c r="H606" i="6" s="1"/>
  <c r="G607" i="6"/>
  <c r="H607" i="6" s="1"/>
  <c r="R607" i="6" s="1"/>
  <c r="S607" i="6" s="1"/>
  <c r="T607" i="6" s="1"/>
  <c r="G608" i="6"/>
  <c r="H608" i="6" s="1"/>
  <c r="G609" i="6"/>
  <c r="H609" i="6" s="1"/>
  <c r="G610" i="6"/>
  <c r="H610" i="6" s="1"/>
  <c r="R610" i="6" s="1"/>
  <c r="S610" i="6" s="1"/>
  <c r="T610" i="6" s="1"/>
  <c r="G611" i="6"/>
  <c r="H611" i="6" s="1"/>
  <c r="G612" i="6"/>
  <c r="H612" i="6" s="1"/>
  <c r="R612" i="6" s="1"/>
  <c r="S612" i="6" s="1"/>
  <c r="T612" i="6" s="1"/>
  <c r="G613" i="6"/>
  <c r="H613" i="6" s="1"/>
  <c r="G614" i="6"/>
  <c r="H614" i="6" s="1"/>
  <c r="G615" i="6"/>
  <c r="H615" i="6" s="1"/>
  <c r="G616" i="6"/>
  <c r="H616" i="6" s="1"/>
  <c r="G617" i="6"/>
  <c r="H617" i="6" s="1"/>
  <c r="R617" i="6" s="1"/>
  <c r="S617" i="6" s="1"/>
  <c r="T617" i="6" s="1"/>
  <c r="G618" i="6"/>
  <c r="H618" i="6" s="1"/>
  <c r="P618" i="6" s="1"/>
  <c r="G619" i="6"/>
  <c r="H619" i="6" s="1"/>
  <c r="P619" i="6" s="1"/>
  <c r="G620" i="6"/>
  <c r="H620" i="6" s="1"/>
  <c r="R620" i="6" s="1"/>
  <c r="S620" i="6" s="1"/>
  <c r="T620" i="6" s="1"/>
  <c r="G621" i="6"/>
  <c r="H621" i="6" s="1"/>
  <c r="G622" i="6"/>
  <c r="H622" i="6" s="1"/>
  <c r="G623" i="6"/>
  <c r="H623" i="6" s="1"/>
  <c r="G624" i="6"/>
  <c r="H624" i="6" s="1"/>
  <c r="G625" i="6"/>
  <c r="H625" i="6" s="1"/>
  <c r="R625" i="6" s="1"/>
  <c r="S625" i="6" s="1"/>
  <c r="T625" i="6" s="1"/>
  <c r="G626" i="6"/>
  <c r="H626" i="6" s="1"/>
  <c r="G627" i="6"/>
  <c r="H627" i="6" s="1"/>
  <c r="G628" i="6"/>
  <c r="H628" i="6" s="1"/>
  <c r="G629" i="6"/>
  <c r="H629" i="6" s="1"/>
  <c r="G630" i="6"/>
  <c r="H630" i="6" s="1"/>
  <c r="R630" i="6" s="1"/>
  <c r="S630" i="6" s="1"/>
  <c r="T630" i="6" s="1"/>
  <c r="G631" i="6"/>
  <c r="H631" i="6" s="1"/>
  <c r="G632" i="6"/>
  <c r="H632" i="6" s="1"/>
  <c r="G633" i="6"/>
  <c r="H633" i="6" s="1"/>
  <c r="G634" i="6"/>
  <c r="H634" i="6" s="1"/>
  <c r="G635" i="6"/>
  <c r="H635" i="6" s="1"/>
  <c r="G636" i="6"/>
  <c r="H636" i="6" s="1"/>
  <c r="P636" i="6" s="1"/>
  <c r="G637" i="6"/>
  <c r="H637" i="6" s="1"/>
  <c r="G638" i="6"/>
  <c r="H638" i="6" s="1"/>
  <c r="G639" i="6"/>
  <c r="H639" i="6" s="1"/>
  <c r="G640" i="6"/>
  <c r="H640" i="6" s="1"/>
  <c r="P640" i="6" s="1"/>
  <c r="G641" i="6"/>
  <c r="H641" i="6" s="1"/>
  <c r="G642" i="6"/>
  <c r="H642" i="6" s="1"/>
  <c r="G643" i="6"/>
  <c r="H643" i="6" s="1"/>
  <c r="G644" i="6"/>
  <c r="H644" i="6" s="1"/>
  <c r="P644" i="6" s="1"/>
  <c r="G645" i="6"/>
  <c r="H645" i="6" s="1"/>
  <c r="P645" i="6" s="1"/>
  <c r="G646" i="6"/>
  <c r="H646" i="6" s="1"/>
  <c r="R646" i="6" s="1"/>
  <c r="S646" i="6" s="1"/>
  <c r="T646" i="6" s="1"/>
  <c r="G647" i="6"/>
  <c r="H647" i="6" s="1"/>
  <c r="G648" i="6"/>
  <c r="H648" i="6" s="1"/>
  <c r="R648" i="6" s="1"/>
  <c r="S648" i="6" s="1"/>
  <c r="T648" i="6" s="1"/>
  <c r="G649" i="6"/>
  <c r="H649" i="6" s="1"/>
  <c r="P649" i="6" s="1"/>
  <c r="G650" i="6"/>
  <c r="H650" i="6" s="1"/>
  <c r="G651" i="6"/>
  <c r="H651" i="6" s="1"/>
  <c r="G652" i="6"/>
  <c r="H652" i="6" s="1"/>
  <c r="G653" i="6"/>
  <c r="H653" i="6" s="1"/>
  <c r="R653" i="6" s="1"/>
  <c r="S653" i="6" s="1"/>
  <c r="T653" i="6" s="1"/>
  <c r="G654" i="6"/>
  <c r="H654" i="6" s="1"/>
  <c r="G655" i="6"/>
  <c r="H655" i="6" s="1"/>
  <c r="R655" i="6" s="1"/>
  <c r="S655" i="6" s="1"/>
  <c r="T655" i="6" s="1"/>
  <c r="G656" i="6"/>
  <c r="H656" i="6" s="1"/>
  <c r="P656" i="6" s="1"/>
  <c r="G657" i="6"/>
  <c r="H657" i="6" s="1"/>
  <c r="P657" i="6" s="1"/>
  <c r="G658" i="6"/>
  <c r="H658" i="6" s="1"/>
  <c r="R658" i="6" s="1"/>
  <c r="S658" i="6" s="1"/>
  <c r="T658" i="6" s="1"/>
  <c r="G659" i="6"/>
  <c r="H659" i="6" s="1"/>
  <c r="G660" i="6"/>
  <c r="H660" i="6" s="1"/>
  <c r="G661" i="6"/>
  <c r="H661" i="6" s="1"/>
  <c r="R661" i="6" s="1"/>
  <c r="S661" i="6" s="1"/>
  <c r="T661" i="6" s="1"/>
  <c r="G662" i="6"/>
  <c r="H662" i="6" s="1"/>
  <c r="G663" i="6"/>
  <c r="H663" i="6" s="1"/>
  <c r="G664" i="6"/>
  <c r="H664" i="6" s="1"/>
  <c r="R664" i="6" s="1"/>
  <c r="S664" i="6" s="1"/>
  <c r="T664" i="6" s="1"/>
  <c r="G665" i="6"/>
  <c r="H665" i="6" s="1"/>
  <c r="G666" i="6"/>
  <c r="H666" i="6" s="1"/>
  <c r="G667" i="6"/>
  <c r="H667" i="6" s="1"/>
  <c r="R667" i="6" s="1"/>
  <c r="S667" i="6" s="1"/>
  <c r="T667" i="6" s="1"/>
  <c r="G668" i="6"/>
  <c r="H668" i="6" s="1"/>
  <c r="P668" i="6" s="1"/>
  <c r="G669" i="6"/>
  <c r="H669" i="6" s="1"/>
  <c r="R669" i="6" s="1"/>
  <c r="S669" i="6" s="1"/>
  <c r="T669" i="6" s="1"/>
  <c r="G670" i="6"/>
  <c r="H670" i="6" s="1"/>
  <c r="G671" i="6"/>
  <c r="H671" i="6" s="1"/>
  <c r="G672" i="6"/>
  <c r="H672" i="6" s="1"/>
  <c r="R672" i="6" s="1"/>
  <c r="S672" i="6" s="1"/>
  <c r="T672" i="6" s="1"/>
  <c r="G673" i="6"/>
  <c r="H673" i="6" s="1"/>
  <c r="P673" i="6" s="1"/>
  <c r="G674" i="6"/>
  <c r="H674" i="6" s="1"/>
  <c r="G675" i="6"/>
  <c r="H675" i="6" s="1"/>
  <c r="G676" i="6"/>
  <c r="H676" i="6" s="1"/>
  <c r="R676" i="6" s="1"/>
  <c r="S676" i="6" s="1"/>
  <c r="T676" i="6" s="1"/>
  <c r="G677" i="6"/>
  <c r="H677" i="6" s="1"/>
  <c r="P677" i="6" s="1"/>
  <c r="G678" i="6"/>
  <c r="H678" i="6" s="1"/>
  <c r="G679" i="6"/>
  <c r="H679" i="6" s="1"/>
  <c r="R679" i="6" s="1"/>
  <c r="S679" i="6" s="1"/>
  <c r="T679" i="6" s="1"/>
  <c r="G680" i="6"/>
  <c r="H680" i="6" s="1"/>
  <c r="G681" i="6"/>
  <c r="H681" i="6" s="1"/>
  <c r="P681" i="6" s="1"/>
  <c r="G682" i="6"/>
  <c r="H682" i="6" s="1"/>
  <c r="G683" i="6"/>
  <c r="H683" i="6" s="1"/>
  <c r="G684" i="6"/>
  <c r="H684" i="6" s="1"/>
  <c r="R684" i="6" s="1"/>
  <c r="S684" i="6" s="1"/>
  <c r="T684" i="6" s="1"/>
  <c r="G685" i="6"/>
  <c r="H685" i="6"/>
  <c r="G686" i="6"/>
  <c r="H686" i="6" s="1"/>
  <c r="R686" i="6" s="1"/>
  <c r="S686" i="6" s="1"/>
  <c r="T686" i="6" s="1"/>
  <c r="G687" i="6"/>
  <c r="H687" i="6" s="1"/>
  <c r="G688" i="6"/>
  <c r="H688" i="6" s="1"/>
  <c r="R688" i="6" s="1"/>
  <c r="S688" i="6" s="1"/>
  <c r="T688" i="6" s="1"/>
  <c r="G689" i="6"/>
  <c r="H689" i="6" s="1"/>
  <c r="R689" i="6" s="1"/>
  <c r="S689" i="6" s="1"/>
  <c r="T689" i="6" s="1"/>
  <c r="G690" i="6"/>
  <c r="H690" i="6" s="1"/>
  <c r="G691" i="6"/>
  <c r="H691" i="6" s="1"/>
  <c r="P691" i="6" s="1"/>
  <c r="G692" i="6"/>
  <c r="H692" i="6" s="1"/>
  <c r="G693" i="6"/>
  <c r="H693" i="6" s="1"/>
  <c r="P693" i="6" s="1"/>
  <c r="G694" i="6"/>
  <c r="H694" i="6" s="1"/>
  <c r="R694" i="6" s="1"/>
  <c r="S694" i="6" s="1"/>
  <c r="T694" i="6" s="1"/>
  <c r="G695" i="6"/>
  <c r="H695" i="6" s="1"/>
  <c r="G696" i="6"/>
  <c r="H696" i="6" s="1"/>
  <c r="P696" i="6" s="1"/>
  <c r="G697" i="6"/>
  <c r="H697" i="6" s="1"/>
  <c r="G698" i="6"/>
  <c r="H698" i="6" s="1"/>
  <c r="G699" i="6"/>
  <c r="H699" i="6" s="1"/>
  <c r="P699" i="6" s="1"/>
  <c r="G700" i="6"/>
  <c r="H700" i="6" s="1"/>
  <c r="G701" i="6"/>
  <c r="H701" i="6" s="1"/>
  <c r="R701" i="6" s="1"/>
  <c r="S701" i="6" s="1"/>
  <c r="T701" i="6" s="1"/>
  <c r="G702" i="6"/>
  <c r="H702" i="6" s="1"/>
  <c r="G703" i="6"/>
  <c r="H703" i="6" s="1"/>
  <c r="G704" i="6"/>
  <c r="H704" i="6" s="1"/>
  <c r="R704" i="6" s="1"/>
  <c r="S704" i="6" s="1"/>
  <c r="T704" i="6" s="1"/>
  <c r="G705" i="6"/>
  <c r="H705" i="6" s="1"/>
  <c r="G706" i="6"/>
  <c r="H706" i="6" s="1"/>
  <c r="P706" i="6" s="1"/>
  <c r="G707" i="6"/>
  <c r="H707" i="6" s="1"/>
  <c r="G708" i="6"/>
  <c r="H708" i="6" s="1"/>
  <c r="P708" i="6" s="1"/>
  <c r="G709" i="6"/>
  <c r="H709" i="6" s="1"/>
  <c r="P709" i="6" s="1"/>
  <c r="G710" i="6"/>
  <c r="H710" i="6" s="1"/>
  <c r="G711" i="6"/>
  <c r="H711" i="6" s="1"/>
  <c r="G712" i="6"/>
  <c r="H712" i="6" s="1"/>
  <c r="G713" i="6"/>
  <c r="H713" i="6" s="1"/>
  <c r="G714" i="6"/>
  <c r="H714" i="6" s="1"/>
  <c r="G715" i="6"/>
  <c r="H715" i="6" s="1"/>
  <c r="R715" i="6" s="1"/>
  <c r="S715" i="6" s="1"/>
  <c r="T715" i="6" s="1"/>
  <c r="G716" i="6"/>
  <c r="H716" i="6" s="1"/>
  <c r="P716" i="6" s="1"/>
  <c r="G717" i="6"/>
  <c r="H717" i="6" s="1"/>
  <c r="R717" i="6" s="1"/>
  <c r="S717" i="6" s="1"/>
  <c r="T717" i="6" s="1"/>
  <c r="G718" i="6"/>
  <c r="H718" i="6" s="1"/>
  <c r="G719" i="6"/>
  <c r="H719" i="6" s="1"/>
  <c r="P719" i="6" s="1"/>
  <c r="G720" i="6"/>
  <c r="H720" i="6" s="1"/>
  <c r="P720" i="6" s="1"/>
  <c r="G721" i="6"/>
  <c r="H721" i="6" s="1"/>
  <c r="G722" i="6"/>
  <c r="H722" i="6" s="1"/>
  <c r="P722" i="6" s="1"/>
  <c r="G723" i="6"/>
  <c r="H723" i="6" s="1"/>
  <c r="G724" i="6"/>
  <c r="H724" i="6" s="1"/>
  <c r="P724" i="6" s="1"/>
  <c r="G725" i="6"/>
  <c r="H725" i="6" s="1"/>
  <c r="P725" i="6" s="1"/>
  <c r="G726" i="6"/>
  <c r="H726" i="6" s="1"/>
  <c r="P726" i="6" s="1"/>
  <c r="G727" i="6"/>
  <c r="H727" i="6" s="1"/>
  <c r="R727" i="6" s="1"/>
  <c r="S727" i="6" s="1"/>
  <c r="T727" i="6" s="1"/>
  <c r="G728" i="6"/>
  <c r="H728" i="6" s="1"/>
  <c r="G729" i="6"/>
  <c r="H729" i="6" s="1"/>
  <c r="P729" i="6" s="1"/>
  <c r="G730" i="6"/>
  <c r="H730" i="6" s="1"/>
  <c r="R730" i="6" s="1"/>
  <c r="S730" i="6" s="1"/>
  <c r="T730" i="6" s="1"/>
  <c r="G731" i="6"/>
  <c r="H731" i="6" s="1"/>
  <c r="G732" i="6"/>
  <c r="H732" i="6" s="1"/>
  <c r="G733" i="6"/>
  <c r="H733" i="6" s="1"/>
  <c r="P733" i="6" s="1"/>
  <c r="G734" i="6"/>
  <c r="H734" i="6" s="1"/>
  <c r="P734" i="6" s="1"/>
  <c r="G735" i="6"/>
  <c r="H735" i="6" s="1"/>
  <c r="G736" i="6"/>
  <c r="H736" i="6" s="1"/>
  <c r="G737" i="6"/>
  <c r="H737" i="6" s="1"/>
  <c r="P737" i="6" s="1"/>
  <c r="G738" i="6"/>
  <c r="H738" i="6" s="1"/>
  <c r="P738" i="6" s="1"/>
  <c r="G739" i="6"/>
  <c r="H739" i="6" s="1"/>
  <c r="R739" i="6" s="1"/>
  <c r="S739" i="6" s="1"/>
  <c r="T739" i="6" s="1"/>
  <c r="G740" i="6"/>
  <c r="H740" i="6" s="1"/>
  <c r="R740" i="6" s="1"/>
  <c r="S740" i="6" s="1"/>
  <c r="T740" i="6" s="1"/>
  <c r="G741" i="6"/>
  <c r="H741" i="6" s="1"/>
  <c r="P741" i="6" s="1"/>
  <c r="G742" i="6"/>
  <c r="H742" i="6" s="1"/>
  <c r="P742" i="6" s="1"/>
  <c r="G743" i="6"/>
  <c r="H743" i="6" s="1"/>
  <c r="G744" i="6"/>
  <c r="H744" i="6" s="1"/>
  <c r="P744" i="6" s="1"/>
  <c r="G745" i="6"/>
  <c r="H745" i="6" s="1"/>
  <c r="P745" i="6" s="1"/>
  <c r="G746" i="6"/>
  <c r="H746" i="6" s="1"/>
  <c r="P746" i="6" s="1"/>
  <c r="G747" i="6"/>
  <c r="H747" i="6" s="1"/>
  <c r="G748" i="6"/>
  <c r="H748" i="6" s="1"/>
  <c r="R748" i="6" s="1"/>
  <c r="S748" i="6" s="1"/>
  <c r="T748" i="6" s="1"/>
  <c r="G749" i="6"/>
  <c r="H749" i="6" s="1"/>
  <c r="R749" i="6" s="1"/>
  <c r="S749" i="6" s="1"/>
  <c r="T749" i="6" s="1"/>
  <c r="G750" i="6"/>
  <c r="H750" i="6" s="1"/>
  <c r="G751" i="6"/>
  <c r="H751" i="6" s="1"/>
  <c r="R751" i="6" s="1"/>
  <c r="S751" i="6" s="1"/>
  <c r="T751" i="6" s="1"/>
  <c r="G752" i="6"/>
  <c r="H752" i="6" s="1"/>
  <c r="G753" i="6"/>
  <c r="H753" i="6" s="1"/>
  <c r="G754" i="6"/>
  <c r="H754" i="6" s="1"/>
  <c r="P754" i="6" s="1"/>
  <c r="G755" i="6"/>
  <c r="H755" i="6" s="1"/>
  <c r="G756" i="6"/>
  <c r="H756" i="6" s="1"/>
  <c r="R756" i="6" s="1"/>
  <c r="S756" i="6" s="1"/>
  <c r="T756" i="6" s="1"/>
  <c r="G757" i="6"/>
  <c r="H757" i="6" s="1"/>
  <c r="G758" i="6"/>
  <c r="H758" i="6" s="1"/>
  <c r="G759" i="6"/>
  <c r="H759" i="6" s="1"/>
  <c r="G760" i="6"/>
  <c r="H760" i="6" s="1"/>
  <c r="P760" i="6" s="1"/>
  <c r="G761" i="6"/>
  <c r="H761" i="6" s="1"/>
  <c r="G762" i="6"/>
  <c r="H762" i="6" s="1"/>
  <c r="G763" i="6"/>
  <c r="H763" i="6" s="1"/>
  <c r="P763" i="6" s="1"/>
  <c r="G764" i="6"/>
  <c r="H764" i="6" s="1"/>
  <c r="P764" i="6" s="1"/>
  <c r="G765" i="6"/>
  <c r="H765" i="6" s="1"/>
  <c r="G766" i="6"/>
  <c r="H766" i="6" s="1"/>
  <c r="G767" i="6"/>
  <c r="H767" i="6" s="1"/>
  <c r="G768" i="6"/>
  <c r="H768" i="6" s="1"/>
  <c r="P768" i="6" s="1"/>
  <c r="G769" i="6"/>
  <c r="H769" i="6" s="1"/>
  <c r="G770" i="6"/>
  <c r="H770" i="6" s="1"/>
  <c r="G771" i="6"/>
  <c r="H771" i="6" s="1"/>
  <c r="R771" i="6" s="1"/>
  <c r="S771" i="6" s="1"/>
  <c r="T771" i="6" s="1"/>
  <c r="G772" i="6"/>
  <c r="H772" i="6" s="1"/>
  <c r="R772" i="6" s="1"/>
  <c r="S772" i="6" s="1"/>
  <c r="T772" i="6" s="1"/>
  <c r="G773" i="6"/>
  <c r="H773" i="6" s="1"/>
  <c r="R773" i="6" s="1"/>
  <c r="S773" i="6" s="1"/>
  <c r="T773" i="6" s="1"/>
  <c r="G774" i="6"/>
  <c r="H774" i="6" s="1"/>
  <c r="G775" i="6"/>
  <c r="H775" i="6" s="1"/>
  <c r="P775" i="6" s="1"/>
  <c r="G776" i="6"/>
  <c r="H776" i="6" s="1"/>
  <c r="P776" i="6" s="1"/>
  <c r="G777" i="6"/>
  <c r="H777" i="6" s="1"/>
  <c r="P777" i="6" s="1"/>
  <c r="G778" i="6"/>
  <c r="H778" i="6" s="1"/>
  <c r="P778" i="6" s="1"/>
  <c r="G779" i="6"/>
  <c r="H779" i="6" s="1"/>
  <c r="G780" i="6"/>
  <c r="H780" i="6" s="1"/>
  <c r="G781" i="6"/>
  <c r="H781" i="6" s="1"/>
  <c r="R781" i="6" s="1"/>
  <c r="S781" i="6" s="1"/>
  <c r="T781" i="6" s="1"/>
  <c r="G782" i="6"/>
  <c r="H782" i="6" s="1"/>
  <c r="G783" i="6"/>
  <c r="H783" i="6" s="1"/>
  <c r="P783" i="6" s="1"/>
  <c r="G784" i="6"/>
  <c r="H784" i="6" s="1"/>
  <c r="R784" i="6" s="1"/>
  <c r="S784" i="6" s="1"/>
  <c r="T784" i="6" s="1"/>
  <c r="G785" i="6"/>
  <c r="H785" i="6" s="1"/>
  <c r="R785" i="6" s="1"/>
  <c r="S785" i="6" s="1"/>
  <c r="T785" i="6" s="1"/>
  <c r="G786" i="6"/>
  <c r="H786" i="6" s="1"/>
  <c r="G787" i="6"/>
  <c r="H787" i="6" s="1"/>
  <c r="P787" i="6" s="1"/>
  <c r="G788" i="6"/>
  <c r="H788" i="6" s="1"/>
  <c r="G789" i="6"/>
  <c r="H789" i="6" s="1"/>
  <c r="G790" i="6"/>
  <c r="H790" i="6" s="1"/>
  <c r="R790" i="6" s="1"/>
  <c r="S790" i="6" s="1"/>
  <c r="T790" i="6" s="1"/>
  <c r="G791" i="6"/>
  <c r="H791" i="6" s="1"/>
  <c r="G792" i="6"/>
  <c r="H792" i="6" s="1"/>
  <c r="R792" i="6" s="1"/>
  <c r="S792" i="6" s="1"/>
  <c r="T792" i="6" s="1"/>
  <c r="G793" i="6"/>
  <c r="H793" i="6" s="1"/>
  <c r="G794" i="6"/>
  <c r="H794" i="6" s="1"/>
  <c r="G795" i="6"/>
  <c r="H795" i="6" s="1"/>
  <c r="G796" i="6"/>
  <c r="H796" i="6" s="1"/>
  <c r="G797" i="6"/>
  <c r="H797" i="6" s="1"/>
  <c r="G798" i="6"/>
  <c r="H798" i="6" s="1"/>
  <c r="G799" i="6"/>
  <c r="H799" i="6" s="1"/>
  <c r="P799" i="6" s="1"/>
  <c r="G800" i="6"/>
  <c r="H800" i="6" s="1"/>
  <c r="P800" i="6" s="1"/>
  <c r="G801" i="6"/>
  <c r="H801" i="6" s="1"/>
  <c r="R801" i="6" s="1"/>
  <c r="G802" i="6"/>
  <c r="H802" i="6" s="1"/>
  <c r="G803" i="6"/>
  <c r="H803" i="6" s="1"/>
  <c r="G804" i="6"/>
  <c r="H804" i="6" s="1"/>
  <c r="G805" i="6"/>
  <c r="H805" i="6" s="1"/>
  <c r="G806" i="6"/>
  <c r="H806" i="6" s="1"/>
  <c r="G807" i="6"/>
  <c r="H807" i="6" s="1"/>
  <c r="G808" i="6"/>
  <c r="H808" i="6" s="1"/>
  <c r="R808" i="6" s="1"/>
  <c r="S808" i="6" s="1"/>
  <c r="T808" i="6" s="1"/>
  <c r="G809" i="6"/>
  <c r="H809" i="6" s="1"/>
  <c r="P809" i="6" s="1"/>
  <c r="G810" i="6"/>
  <c r="H810" i="6" s="1"/>
  <c r="G811" i="6"/>
  <c r="H811" i="6" s="1"/>
  <c r="P811" i="6" s="1"/>
  <c r="G812" i="6"/>
  <c r="H812" i="6" s="1"/>
  <c r="P812" i="6" s="1"/>
  <c r="G813" i="6"/>
  <c r="H813" i="6" s="1"/>
  <c r="R813" i="6" s="1"/>
  <c r="S813" i="6" s="1"/>
  <c r="T813" i="6" s="1"/>
  <c r="G814" i="6"/>
  <c r="H814" i="6" s="1"/>
  <c r="R814" i="6" s="1"/>
  <c r="S814" i="6" s="1"/>
  <c r="T814" i="6" s="1"/>
  <c r="G815" i="6"/>
  <c r="H815" i="6" s="1"/>
  <c r="G816" i="6"/>
  <c r="H816" i="6" s="1"/>
  <c r="P816" i="6" s="1"/>
  <c r="G817" i="6"/>
  <c r="H817" i="6" s="1"/>
  <c r="G818" i="6"/>
  <c r="H818" i="6" s="1"/>
  <c r="R818" i="6" s="1"/>
  <c r="S818" i="6" s="1"/>
  <c r="T818" i="6" s="1"/>
  <c r="G819" i="6"/>
  <c r="H819" i="6" s="1"/>
  <c r="G820" i="6"/>
  <c r="H820" i="6" s="1"/>
  <c r="G821" i="6"/>
  <c r="H821" i="6" s="1"/>
  <c r="R821" i="6" s="1"/>
  <c r="S821" i="6" s="1"/>
  <c r="T821" i="6" s="1"/>
  <c r="G822" i="6"/>
  <c r="H822" i="6" s="1"/>
  <c r="G823" i="6"/>
  <c r="H823" i="6" s="1"/>
  <c r="P823" i="6" s="1"/>
  <c r="G824" i="6"/>
  <c r="H824" i="6" s="1"/>
  <c r="R824" i="6" s="1"/>
  <c r="S824" i="6" s="1"/>
  <c r="T824" i="6" s="1"/>
  <c r="G825" i="6"/>
  <c r="H825" i="6" s="1"/>
  <c r="P825" i="6" s="1"/>
  <c r="G826" i="6"/>
  <c r="H826" i="6" s="1"/>
  <c r="R826" i="6" s="1"/>
  <c r="S826" i="6" s="1"/>
  <c r="T826" i="6" s="1"/>
  <c r="G827" i="6"/>
  <c r="H827" i="6" s="1"/>
  <c r="R827" i="6" s="1"/>
  <c r="S827" i="6" s="1"/>
  <c r="T827" i="6" s="1"/>
  <c r="G828" i="6"/>
  <c r="H828" i="6" s="1"/>
  <c r="P828" i="6" s="1"/>
  <c r="G829" i="6"/>
  <c r="H829" i="6" s="1"/>
  <c r="R829" i="6" s="1"/>
  <c r="S829" i="6" s="1"/>
  <c r="T829" i="6" s="1"/>
  <c r="G830" i="6"/>
  <c r="H830" i="6" s="1"/>
  <c r="G831" i="6"/>
  <c r="H831" i="6" s="1"/>
  <c r="G832" i="6"/>
  <c r="H832" i="6" s="1"/>
  <c r="G833" i="6"/>
  <c r="H833" i="6" s="1"/>
  <c r="P833" i="6" s="1"/>
  <c r="G834" i="6"/>
  <c r="H834" i="6" s="1"/>
  <c r="G835" i="6"/>
  <c r="H835" i="6" s="1"/>
  <c r="R835" i="6" s="1"/>
  <c r="S835" i="6" s="1"/>
  <c r="T835" i="6" s="1"/>
  <c r="G836" i="6"/>
  <c r="H836" i="6" s="1"/>
  <c r="G837" i="6"/>
  <c r="H837" i="6" s="1"/>
  <c r="G838" i="6"/>
  <c r="H838" i="6" s="1"/>
  <c r="P838" i="6" s="1"/>
  <c r="G839" i="6"/>
  <c r="H839" i="6" s="1"/>
  <c r="G840" i="6"/>
  <c r="H840" i="6" s="1"/>
  <c r="G841" i="6"/>
  <c r="H841" i="6" s="1"/>
  <c r="G842" i="6"/>
  <c r="H842" i="6" s="1"/>
  <c r="G843" i="6"/>
  <c r="H843" i="6" s="1"/>
  <c r="R843" i="6" s="1"/>
  <c r="S843" i="6" s="1"/>
  <c r="T843" i="6" s="1"/>
  <c r="G844" i="6"/>
  <c r="H844" i="6" s="1"/>
  <c r="R844" i="6" s="1"/>
  <c r="S844" i="6" s="1"/>
  <c r="T844" i="6" s="1"/>
  <c r="G845" i="6"/>
  <c r="H845" i="6" s="1"/>
  <c r="R845" i="6" s="1"/>
  <c r="S845" i="6" s="1"/>
  <c r="T845" i="6" s="1"/>
  <c r="G846" i="6"/>
  <c r="H846" i="6" s="1"/>
  <c r="G847" i="6"/>
  <c r="H847" i="6" s="1"/>
  <c r="P847" i="6" s="1"/>
  <c r="G848" i="6"/>
  <c r="H848" i="6" s="1"/>
  <c r="R848" i="6" s="1"/>
  <c r="S848" i="6" s="1"/>
  <c r="T848" i="6" s="1"/>
  <c r="G849" i="6"/>
  <c r="H849" i="6" s="1"/>
  <c r="R849" i="6" s="1"/>
  <c r="S849" i="6" s="1"/>
  <c r="T849" i="6" s="1"/>
  <c r="G850" i="6"/>
  <c r="H850" i="6" s="1"/>
  <c r="G851" i="6"/>
  <c r="H851" i="6" s="1"/>
  <c r="G852" i="6"/>
  <c r="H852" i="6" s="1"/>
  <c r="G853" i="6"/>
  <c r="H853" i="6" s="1"/>
  <c r="G854" i="6"/>
  <c r="H854" i="6" s="1"/>
  <c r="G855" i="6"/>
  <c r="H855" i="6" s="1"/>
  <c r="G856" i="6"/>
  <c r="H856" i="6" s="1"/>
  <c r="G857" i="6"/>
  <c r="H857" i="6" s="1"/>
  <c r="P857" i="6" s="1"/>
  <c r="G858" i="6"/>
  <c r="H858" i="6" s="1"/>
  <c r="G859" i="6"/>
  <c r="H859" i="6" s="1"/>
  <c r="P859" i="6" s="1"/>
  <c r="G860" i="6"/>
  <c r="H860" i="6" s="1"/>
  <c r="P860" i="6" s="1"/>
  <c r="G861" i="6"/>
  <c r="H861" i="6" s="1"/>
  <c r="G862" i="6"/>
  <c r="H862" i="6" s="1"/>
  <c r="G863" i="6"/>
  <c r="H863" i="6" s="1"/>
  <c r="G864" i="6"/>
  <c r="H864" i="6" s="1"/>
  <c r="G865" i="6"/>
  <c r="H865" i="6" s="1"/>
  <c r="G866" i="6"/>
  <c r="H866" i="6" s="1"/>
  <c r="R866" i="6" s="1"/>
  <c r="S866" i="6" s="1"/>
  <c r="T866" i="6" s="1"/>
  <c r="G867" i="6"/>
  <c r="H867" i="6" s="1"/>
  <c r="G868" i="6"/>
  <c r="H868" i="6" s="1"/>
  <c r="R868" i="6" s="1"/>
  <c r="S868" i="6" s="1"/>
  <c r="T868" i="6" s="1"/>
  <c r="G869" i="6"/>
  <c r="H869" i="6" s="1"/>
  <c r="P869" i="6" s="1"/>
  <c r="G870" i="6"/>
  <c r="H870" i="6" s="1"/>
  <c r="G871" i="6"/>
  <c r="H871" i="6" s="1"/>
  <c r="R871" i="6" s="1"/>
  <c r="S871" i="6" s="1"/>
  <c r="T871" i="6" s="1"/>
  <c r="G872" i="6"/>
  <c r="H872" i="6" s="1"/>
  <c r="G873" i="6"/>
  <c r="H873" i="6" s="1"/>
  <c r="P873" i="6" s="1"/>
  <c r="G874" i="6"/>
  <c r="H874" i="6" s="1"/>
  <c r="R874" i="6" s="1"/>
  <c r="S874" i="6" s="1"/>
  <c r="T874" i="6" s="1"/>
  <c r="G875" i="6"/>
  <c r="H875" i="6" s="1"/>
  <c r="P875" i="6" s="1"/>
  <c r="G876" i="6"/>
  <c r="H876" i="6" s="1"/>
  <c r="G877" i="6"/>
  <c r="H877" i="6" s="1"/>
  <c r="G878" i="6"/>
  <c r="H878" i="6" s="1"/>
  <c r="G879" i="6"/>
  <c r="H879" i="6" s="1"/>
  <c r="R879" i="6" s="1"/>
  <c r="S879" i="6" s="1"/>
  <c r="T879" i="6" s="1"/>
  <c r="G880" i="6"/>
  <c r="H880" i="6" s="1"/>
  <c r="G881" i="6"/>
  <c r="H881" i="6" s="1"/>
  <c r="R881" i="6" s="1"/>
  <c r="S881" i="6" s="1"/>
  <c r="T881" i="6" s="1"/>
  <c r="G882" i="6"/>
  <c r="H882" i="6" s="1"/>
  <c r="G883" i="6"/>
  <c r="H883" i="6" s="1"/>
  <c r="R883" i="6" s="1"/>
  <c r="S883" i="6" s="1"/>
  <c r="T883" i="6" s="1"/>
  <c r="G884" i="6"/>
  <c r="H884" i="6" s="1"/>
  <c r="G885" i="6"/>
  <c r="H885" i="6" s="1"/>
  <c r="P885" i="6" s="1"/>
  <c r="G886" i="6"/>
  <c r="H886" i="6" s="1"/>
  <c r="G887" i="6"/>
  <c r="H887" i="6" s="1"/>
  <c r="G888" i="6"/>
  <c r="H888" i="6" s="1"/>
  <c r="G889" i="6"/>
  <c r="H889" i="6" s="1"/>
  <c r="R889" i="6" s="1"/>
  <c r="S889" i="6" s="1"/>
  <c r="T889" i="6" s="1"/>
  <c r="G890" i="6"/>
  <c r="H890" i="6" s="1"/>
  <c r="G891" i="6"/>
  <c r="H891" i="6" s="1"/>
  <c r="G892" i="6"/>
  <c r="H892" i="6" s="1"/>
  <c r="G893" i="6"/>
  <c r="H893" i="6" s="1"/>
  <c r="G894" i="6"/>
  <c r="H894" i="6" s="1"/>
  <c r="R894" i="6" s="1"/>
  <c r="S894" i="6" s="1"/>
  <c r="T894" i="6" s="1"/>
  <c r="G895" i="6"/>
  <c r="H895" i="6" s="1"/>
  <c r="G896" i="6"/>
  <c r="H896" i="6" s="1"/>
  <c r="R896" i="6" s="1"/>
  <c r="S896" i="6" s="1"/>
  <c r="T896" i="6" s="1"/>
  <c r="G897" i="6"/>
  <c r="H897" i="6" s="1"/>
  <c r="R897" i="6" s="1"/>
  <c r="S897" i="6" s="1"/>
  <c r="T897" i="6" s="1"/>
  <c r="G898" i="6"/>
  <c r="H898" i="6" s="1"/>
  <c r="G899" i="6"/>
  <c r="H899" i="6" s="1"/>
  <c r="G900" i="6"/>
  <c r="H900" i="6" s="1"/>
  <c r="P900" i="6" s="1"/>
  <c r="G901" i="6"/>
  <c r="H901" i="6" s="1"/>
  <c r="P901" i="6" s="1"/>
  <c r="G902" i="6"/>
  <c r="H902" i="6" s="1"/>
  <c r="G903" i="6"/>
  <c r="H903" i="6" s="1"/>
  <c r="G904" i="6"/>
  <c r="H904" i="6" s="1"/>
  <c r="G905" i="6"/>
  <c r="H905" i="6" s="1"/>
  <c r="R905" i="6" s="1"/>
  <c r="S905" i="6" s="1"/>
  <c r="T905" i="6" s="1"/>
  <c r="G906" i="6"/>
  <c r="H906" i="6" s="1"/>
  <c r="G907" i="6"/>
  <c r="H907" i="6" s="1"/>
  <c r="P907" i="6" s="1"/>
  <c r="G908" i="6"/>
  <c r="H908" i="6" s="1"/>
  <c r="R908" i="6" s="1"/>
  <c r="S908" i="6" s="1"/>
  <c r="T908" i="6" s="1"/>
  <c r="G909" i="6"/>
  <c r="H909" i="6" s="1"/>
  <c r="G910" i="6"/>
  <c r="H910" i="6" s="1"/>
  <c r="G911" i="6"/>
  <c r="H911" i="6" s="1"/>
  <c r="G912" i="6"/>
  <c r="H912" i="6" s="1"/>
  <c r="R912" i="6" s="1"/>
  <c r="S912" i="6" s="1"/>
  <c r="T912" i="6" s="1"/>
  <c r="G913" i="6"/>
  <c r="H913" i="6" s="1"/>
  <c r="G914" i="6"/>
  <c r="H914" i="6" s="1"/>
  <c r="G915" i="6"/>
  <c r="H915" i="6" s="1"/>
  <c r="G916" i="6"/>
  <c r="H916" i="6" s="1"/>
  <c r="G917" i="6"/>
  <c r="H917" i="6" s="1"/>
  <c r="P917" i="6" s="1"/>
  <c r="G918" i="6"/>
  <c r="H918" i="6" s="1"/>
  <c r="G919" i="6"/>
  <c r="H919" i="6" s="1"/>
  <c r="P919" i="6" s="1"/>
  <c r="G920" i="6"/>
  <c r="H920" i="6" s="1"/>
  <c r="G921" i="6"/>
  <c r="H921" i="6" s="1"/>
  <c r="G922" i="6"/>
  <c r="H922" i="6"/>
  <c r="G923" i="6"/>
  <c r="H923" i="6" s="1"/>
  <c r="R923" i="6" s="1"/>
  <c r="S923" i="6" s="1"/>
  <c r="T923" i="6" s="1"/>
  <c r="G924" i="6"/>
  <c r="H924" i="6" s="1"/>
  <c r="P924" i="6" s="1"/>
  <c r="G925" i="6"/>
  <c r="H925" i="6" s="1"/>
  <c r="R925" i="6" s="1"/>
  <c r="S925" i="6" s="1"/>
  <c r="T925" i="6" s="1"/>
  <c r="G926" i="6"/>
  <c r="H926" i="6" s="1"/>
  <c r="G927" i="6"/>
  <c r="H927" i="6" s="1"/>
  <c r="P927" i="6" s="1"/>
  <c r="G928" i="6"/>
  <c r="H928" i="6" s="1"/>
  <c r="G929" i="6"/>
  <c r="H929" i="6" s="1"/>
  <c r="P929" i="6" s="1"/>
  <c r="G930" i="6"/>
  <c r="H930" i="6" s="1"/>
  <c r="G931" i="6"/>
  <c r="H931" i="6"/>
  <c r="R931" i="6" s="1"/>
  <c r="S931" i="6" s="1"/>
  <c r="T931" i="6" s="1"/>
  <c r="G932" i="6"/>
  <c r="H932" i="6" s="1"/>
  <c r="P932" i="6" s="1"/>
  <c r="G933" i="6"/>
  <c r="H933" i="6" s="1"/>
  <c r="P933" i="6" s="1"/>
  <c r="G934" i="6"/>
  <c r="H934" i="6" s="1"/>
  <c r="G935" i="6"/>
  <c r="H935" i="6" s="1"/>
  <c r="G936" i="6"/>
  <c r="H936" i="6" s="1"/>
  <c r="R936" i="6" s="1"/>
  <c r="S936" i="6" s="1"/>
  <c r="T936" i="6" s="1"/>
  <c r="G937" i="6"/>
  <c r="H937" i="6" s="1"/>
  <c r="R937" i="6" s="1"/>
  <c r="S937" i="6" s="1"/>
  <c r="T937" i="6" s="1"/>
  <c r="G938" i="6"/>
  <c r="H938" i="6" s="1"/>
  <c r="G939" i="6"/>
  <c r="H939" i="6" s="1"/>
  <c r="G940" i="6"/>
  <c r="H940" i="6" s="1"/>
  <c r="P940" i="6" s="1"/>
  <c r="G941" i="6"/>
  <c r="H941" i="6" s="1"/>
  <c r="P941" i="6" s="1"/>
  <c r="G942" i="6"/>
  <c r="H942" i="6" s="1"/>
  <c r="G943" i="6"/>
  <c r="H943" i="6" s="1"/>
  <c r="R943" i="6" s="1"/>
  <c r="S943" i="6" s="1"/>
  <c r="T943" i="6" s="1"/>
  <c r="G944" i="6"/>
  <c r="H944" i="6" s="1"/>
  <c r="R944" i="6" s="1"/>
  <c r="S944" i="6" s="1"/>
  <c r="T944" i="6" s="1"/>
  <c r="G945" i="6"/>
  <c r="H945" i="6" s="1"/>
  <c r="G946" i="6"/>
  <c r="H946" i="6" s="1"/>
  <c r="G947" i="6"/>
  <c r="H947" i="6" s="1"/>
  <c r="G948" i="6"/>
  <c r="H948" i="6" s="1"/>
  <c r="P948" i="6" s="1"/>
  <c r="G949" i="6"/>
  <c r="H949" i="6" s="1"/>
  <c r="R949" i="6" s="1"/>
  <c r="S949" i="6" s="1"/>
  <c r="T949" i="6" s="1"/>
  <c r="G950" i="6"/>
  <c r="H950" i="6" s="1"/>
  <c r="G951" i="6"/>
  <c r="H951" i="6" s="1"/>
  <c r="G952" i="6"/>
  <c r="H952" i="6" s="1"/>
  <c r="G953" i="6"/>
  <c r="H953" i="6" s="1"/>
  <c r="P953" i="6" s="1"/>
  <c r="G954" i="6"/>
  <c r="H954" i="6" s="1"/>
  <c r="R954" i="6" s="1"/>
  <c r="S954" i="6" s="1"/>
  <c r="T954" i="6" s="1"/>
  <c r="G955" i="6"/>
  <c r="H955" i="6" s="1"/>
  <c r="R955" i="6" s="1"/>
  <c r="S955" i="6" s="1"/>
  <c r="T955" i="6" s="1"/>
  <c r="G956" i="6"/>
  <c r="H956" i="6" s="1"/>
  <c r="G957" i="6"/>
  <c r="H957" i="6" s="1"/>
  <c r="R957" i="6" s="1"/>
  <c r="S957" i="6" s="1"/>
  <c r="T957" i="6" s="1"/>
  <c r="G958" i="6"/>
  <c r="H958" i="6" s="1"/>
  <c r="G959" i="6"/>
  <c r="H959" i="6" s="1"/>
  <c r="G960" i="6"/>
  <c r="H960" i="6" s="1"/>
  <c r="R960" i="6" s="1"/>
  <c r="S960" i="6" s="1"/>
  <c r="T960" i="6" s="1"/>
  <c r="G961" i="6"/>
  <c r="H961" i="6" s="1"/>
  <c r="G962" i="6"/>
  <c r="H962" i="6" s="1"/>
  <c r="R962" i="6" s="1"/>
  <c r="S962" i="6" s="1"/>
  <c r="T962" i="6" s="1"/>
  <c r="G963" i="6"/>
  <c r="H963" i="6" s="1"/>
  <c r="R963" i="6" s="1"/>
  <c r="S963" i="6" s="1"/>
  <c r="T963" i="6" s="1"/>
  <c r="G964" i="6"/>
  <c r="H964" i="6" s="1"/>
  <c r="G965" i="6"/>
  <c r="H965" i="6" s="1"/>
  <c r="G966" i="6"/>
  <c r="H966" i="6" s="1"/>
  <c r="G967" i="6"/>
  <c r="H967" i="6" s="1"/>
  <c r="P967" i="6" s="1"/>
  <c r="G968" i="6"/>
  <c r="H968" i="6" s="1"/>
  <c r="G969" i="6"/>
  <c r="H969" i="6" s="1"/>
  <c r="R969" i="6" s="1"/>
  <c r="S969" i="6" s="1"/>
  <c r="T969" i="6" s="1"/>
  <c r="G970" i="6"/>
  <c r="H970" i="6" s="1"/>
  <c r="G971" i="6"/>
  <c r="H971" i="6" s="1"/>
  <c r="G972" i="6"/>
  <c r="H972" i="6" s="1"/>
  <c r="P972" i="6" s="1"/>
  <c r="G973" i="6"/>
  <c r="H973" i="6" s="1"/>
  <c r="G974" i="6"/>
  <c r="H974" i="6" s="1"/>
  <c r="G975" i="6"/>
  <c r="H975" i="6" s="1"/>
  <c r="G976" i="6"/>
  <c r="H976" i="6" s="1"/>
  <c r="G977" i="6"/>
  <c r="H977" i="6" s="1"/>
  <c r="P977" i="6" s="1"/>
  <c r="G978" i="6"/>
  <c r="H978" i="6" s="1"/>
  <c r="P978" i="6" s="1"/>
  <c r="G979" i="6"/>
  <c r="H979" i="6" s="1"/>
  <c r="R979" i="6" s="1"/>
  <c r="S979" i="6" s="1"/>
  <c r="T979" i="6" s="1"/>
  <c r="G980" i="6"/>
  <c r="H980" i="6" s="1"/>
  <c r="P980" i="6" s="1"/>
  <c r="G981" i="6"/>
  <c r="H981" i="6" s="1"/>
  <c r="G982" i="6"/>
  <c r="H982" i="6" s="1"/>
  <c r="G983" i="6"/>
  <c r="H983" i="6" s="1"/>
  <c r="G984" i="6"/>
  <c r="H984" i="6" s="1"/>
  <c r="P984" i="6" s="1"/>
  <c r="G985" i="6"/>
  <c r="H985" i="6" s="1"/>
  <c r="G986" i="6"/>
  <c r="H986" i="6" s="1"/>
  <c r="G987" i="6"/>
  <c r="H987" i="6" s="1"/>
  <c r="P987" i="6" s="1"/>
  <c r="G988" i="6"/>
  <c r="H988" i="6" s="1"/>
  <c r="G989" i="6"/>
  <c r="H989" i="6" s="1"/>
  <c r="R989" i="6" s="1"/>
  <c r="S989" i="6" s="1"/>
  <c r="T989" i="6" s="1"/>
  <c r="G990" i="6"/>
  <c r="H990" i="6" s="1"/>
  <c r="G991" i="6"/>
  <c r="H991" i="6" s="1"/>
  <c r="R991" i="6" s="1"/>
  <c r="S991" i="6" s="1"/>
  <c r="T991" i="6" s="1"/>
  <c r="G992" i="6"/>
  <c r="H992" i="6" s="1"/>
  <c r="P992" i="6" s="1"/>
  <c r="G993" i="6"/>
  <c r="H993" i="6" s="1"/>
  <c r="R993" i="6" s="1"/>
  <c r="S993" i="6" s="1"/>
  <c r="T993" i="6" s="1"/>
  <c r="G994" i="6"/>
  <c r="H994" i="6" s="1"/>
  <c r="G995" i="6"/>
  <c r="H995" i="6" s="1"/>
  <c r="G996" i="6"/>
  <c r="H996" i="6" s="1"/>
  <c r="R996" i="6" s="1"/>
  <c r="S996" i="6" s="1"/>
  <c r="T996" i="6" s="1"/>
  <c r="G997" i="6"/>
  <c r="H997" i="6" s="1"/>
  <c r="P997" i="6" s="1"/>
  <c r="G998" i="6"/>
  <c r="H998" i="6" s="1"/>
  <c r="G999" i="6"/>
  <c r="H999" i="6" s="1"/>
  <c r="G1000" i="6"/>
  <c r="H1000" i="6" s="1"/>
  <c r="G1001" i="6"/>
  <c r="H1001" i="6" s="1"/>
  <c r="G1002" i="6"/>
  <c r="H1002" i="6" s="1"/>
  <c r="P1002" i="6" s="1"/>
  <c r="G1003" i="6"/>
  <c r="H1003" i="6" s="1"/>
  <c r="G1004" i="6"/>
  <c r="H1004" i="6" s="1"/>
  <c r="P1004" i="6" s="1"/>
  <c r="G1005" i="6"/>
  <c r="H1005" i="6" s="1"/>
  <c r="R1005" i="6" s="1"/>
  <c r="S1005" i="6" s="1"/>
  <c r="T1005" i="6" s="1"/>
  <c r="G1006" i="6"/>
  <c r="H1006" i="6" s="1"/>
  <c r="G1007" i="6"/>
  <c r="H1007" i="6" s="1"/>
  <c r="R1007" i="6" s="1"/>
  <c r="S1007" i="6" s="1"/>
  <c r="T1007" i="6" s="1"/>
  <c r="G1008" i="6"/>
  <c r="H1008" i="6" s="1"/>
  <c r="R1008" i="6" s="1"/>
  <c r="S1008" i="6" s="1"/>
  <c r="T1008" i="6" s="1"/>
  <c r="G1009" i="6"/>
  <c r="H1009" i="6" s="1"/>
  <c r="R1009" i="6" s="1"/>
  <c r="S1009" i="6" s="1"/>
  <c r="T1009" i="6" s="1"/>
  <c r="G1010" i="6"/>
  <c r="H1010" i="6" s="1"/>
  <c r="R1010" i="6" s="1"/>
  <c r="S1010" i="6" s="1"/>
  <c r="T1010" i="6" s="1"/>
  <c r="G1011" i="6"/>
  <c r="H1011" i="6" s="1"/>
  <c r="G1012" i="6"/>
  <c r="H1012" i="6" s="1"/>
  <c r="G1013" i="6"/>
  <c r="H1013" i="6" s="1"/>
  <c r="R1013" i="6" s="1"/>
  <c r="S1013" i="6" s="1"/>
  <c r="T1013" i="6" s="1"/>
  <c r="G1014" i="6"/>
  <c r="H1014" i="6" s="1"/>
  <c r="G1015" i="6"/>
  <c r="H1015" i="6" s="1"/>
  <c r="G1016" i="6"/>
  <c r="H1016" i="6" s="1"/>
  <c r="P1016" i="6" s="1"/>
  <c r="G1017" i="6"/>
  <c r="H1017" i="6" s="1"/>
  <c r="P1017" i="6" s="1"/>
  <c r="G1018" i="6"/>
  <c r="H1018" i="6" s="1"/>
  <c r="P1018" i="6" s="1"/>
  <c r="G1019" i="6"/>
  <c r="H1019" i="6" s="1"/>
  <c r="R1019" i="6" s="1"/>
  <c r="S1019" i="6" s="1"/>
  <c r="T1019" i="6" s="1"/>
  <c r="G1020" i="6"/>
  <c r="H1020" i="6" s="1"/>
  <c r="P1020" i="6" s="1"/>
  <c r="G1021" i="6"/>
  <c r="H1021" i="6" s="1"/>
  <c r="G1022" i="6"/>
  <c r="H1022" i="6" s="1"/>
  <c r="G1023" i="6"/>
  <c r="H1023" i="6" s="1"/>
  <c r="G1024" i="6"/>
  <c r="H1024" i="6" s="1"/>
  <c r="R1024" i="6" s="1"/>
  <c r="S1024" i="6" s="1"/>
  <c r="T1024" i="6" s="1"/>
  <c r="G1025" i="6"/>
  <c r="H1025" i="6" s="1"/>
  <c r="R1025" i="6" s="1"/>
  <c r="S1025" i="6" s="1"/>
  <c r="T1025" i="6" s="1"/>
  <c r="G1026" i="6"/>
  <c r="H1026" i="6" s="1"/>
  <c r="G1027" i="6"/>
  <c r="H1027" i="6" s="1"/>
  <c r="R1027" i="6" s="1"/>
  <c r="S1027" i="6" s="1"/>
  <c r="T1027" i="6" s="1"/>
  <c r="G1028" i="6"/>
  <c r="H1028" i="6" s="1"/>
  <c r="R1028" i="6" s="1"/>
  <c r="S1028" i="6" s="1"/>
  <c r="T1028" i="6" s="1"/>
  <c r="G1029" i="6"/>
  <c r="H1029" i="6" s="1"/>
  <c r="R1029" i="6" s="1"/>
  <c r="S1029" i="6" s="1"/>
  <c r="T1029" i="6" s="1"/>
  <c r="G1030" i="6"/>
  <c r="H1030" i="6" s="1"/>
  <c r="G1031" i="6"/>
  <c r="H1031" i="6" s="1"/>
  <c r="G1032" i="6"/>
  <c r="H1032" i="6" s="1"/>
  <c r="R1032" i="6" s="1"/>
  <c r="S1032" i="6" s="1"/>
  <c r="T1032" i="6" s="1"/>
  <c r="G1033" i="6"/>
  <c r="H1033" i="6" s="1"/>
  <c r="R1033" i="6" s="1"/>
  <c r="S1033" i="6" s="1"/>
  <c r="T1033" i="6" s="1"/>
  <c r="G1034" i="6"/>
  <c r="H1034" i="6" s="1"/>
  <c r="G1035" i="6"/>
  <c r="H1035" i="6" s="1"/>
  <c r="G1036" i="6"/>
  <c r="H1036" i="6" s="1"/>
  <c r="G1037" i="6"/>
  <c r="H1037" i="6" s="1"/>
  <c r="G1038" i="6"/>
  <c r="H1038" i="6" s="1"/>
  <c r="R1038" i="6" s="1"/>
  <c r="S1038" i="6" s="1"/>
  <c r="T1038" i="6" s="1"/>
  <c r="G1039" i="6"/>
  <c r="H1039" i="6" s="1"/>
  <c r="R1039" i="6" s="1"/>
  <c r="S1039" i="6" s="1"/>
  <c r="T1039" i="6" s="1"/>
  <c r="G1040" i="6"/>
  <c r="H1040" i="6" s="1"/>
  <c r="G1041" i="6"/>
  <c r="H1041" i="6" s="1"/>
  <c r="G1042" i="6"/>
  <c r="H1042" i="6" s="1"/>
  <c r="P1042" i="6" s="1"/>
  <c r="G1043" i="6"/>
  <c r="H1043" i="6" s="1"/>
  <c r="G1044" i="6"/>
  <c r="H1044" i="6" s="1"/>
  <c r="P1044" i="6" s="1"/>
  <c r="G1045" i="6"/>
  <c r="H1045" i="6" s="1"/>
  <c r="R1045" i="6" s="1"/>
  <c r="S1045" i="6" s="1"/>
  <c r="T1045" i="6" s="1"/>
  <c r="G1046" i="6"/>
  <c r="H1046" i="6" s="1"/>
  <c r="G1047" i="6"/>
  <c r="H1047" i="6" s="1"/>
  <c r="G1048" i="6"/>
  <c r="H1048" i="6" s="1"/>
  <c r="G1049" i="6"/>
  <c r="H1049" i="6" s="1"/>
  <c r="P1049" i="6" s="1"/>
  <c r="G1050" i="6"/>
  <c r="H1050" i="6" s="1"/>
  <c r="G1051" i="6"/>
  <c r="H1051" i="6" s="1"/>
  <c r="P1051" i="6" s="1"/>
  <c r="G1052" i="6"/>
  <c r="H1052" i="6" s="1"/>
  <c r="P1052" i="6" s="1"/>
  <c r="G1053" i="6"/>
  <c r="H1053" i="6" s="1"/>
  <c r="P1053" i="6" s="1"/>
  <c r="G1054" i="6"/>
  <c r="H1054" i="6" s="1"/>
  <c r="G1055" i="6"/>
  <c r="H1055" i="6" s="1"/>
  <c r="G1056" i="6"/>
  <c r="H1056" i="6" s="1"/>
  <c r="R1056" i="6" s="1"/>
  <c r="S1056" i="6" s="1"/>
  <c r="T1056" i="6" s="1"/>
  <c r="G1057" i="6"/>
  <c r="H1057" i="6" s="1"/>
  <c r="G1058" i="6"/>
  <c r="H1058" i="6" s="1"/>
  <c r="G1059" i="6"/>
  <c r="H1059" i="6" s="1"/>
  <c r="P1059" i="6" s="1"/>
  <c r="G1060" i="6"/>
  <c r="H1060" i="6" s="1"/>
  <c r="G1061" i="6"/>
  <c r="H1061" i="6" s="1"/>
  <c r="G1062" i="6"/>
  <c r="H1062" i="6" s="1"/>
  <c r="G1063" i="6"/>
  <c r="H1063" i="6" s="1"/>
  <c r="R1063" i="6" s="1"/>
  <c r="S1063" i="6" s="1"/>
  <c r="T1063" i="6" s="1"/>
  <c r="G1064" i="6"/>
  <c r="H1064" i="6" s="1"/>
  <c r="R1064" i="6" s="1"/>
  <c r="S1064" i="6" s="1"/>
  <c r="T1064" i="6" s="1"/>
  <c r="G1065" i="6"/>
  <c r="H1065" i="6" s="1"/>
  <c r="G1066" i="6"/>
  <c r="H1066" i="6" s="1"/>
  <c r="G1067" i="6"/>
  <c r="H1067" i="6" s="1"/>
  <c r="P1067" i="6" s="1"/>
  <c r="G1068" i="6"/>
  <c r="H1068" i="6" s="1"/>
  <c r="P1068" i="6" s="1"/>
  <c r="G1069" i="6"/>
  <c r="H1069" i="6" s="1"/>
  <c r="G1070" i="6"/>
  <c r="H1070" i="6" s="1"/>
  <c r="G1071" i="6"/>
  <c r="H1071" i="6" s="1"/>
  <c r="G1072" i="6"/>
  <c r="H1072" i="6" s="1"/>
  <c r="R1072" i="6" s="1"/>
  <c r="S1072" i="6" s="1"/>
  <c r="T1072" i="6" s="1"/>
  <c r="G1073" i="6"/>
  <c r="H1073" i="6" s="1"/>
  <c r="P1073" i="6" s="1"/>
  <c r="G1074" i="6"/>
  <c r="H1074" i="6" s="1"/>
  <c r="G1075" i="6"/>
  <c r="H1075" i="6" s="1"/>
  <c r="P1075" i="6" s="1"/>
  <c r="G1076" i="6"/>
  <c r="H1076" i="6" s="1"/>
  <c r="R1076" i="6" s="1"/>
  <c r="S1076" i="6" s="1"/>
  <c r="T1076" i="6" s="1"/>
  <c r="G1077" i="6"/>
  <c r="H1077" i="6" s="1"/>
  <c r="P1077" i="6" s="1"/>
  <c r="G1078" i="6"/>
  <c r="H1078" i="6" s="1"/>
  <c r="G1079" i="6"/>
  <c r="H1079" i="6" s="1"/>
  <c r="G1080" i="6"/>
  <c r="H1080" i="6" s="1"/>
  <c r="P1080" i="6" s="1"/>
  <c r="G1081" i="6"/>
  <c r="H1081" i="6" s="1"/>
  <c r="P1081" i="6" s="1"/>
  <c r="G1082" i="6"/>
  <c r="H1082" i="6" s="1"/>
  <c r="G1083" i="6"/>
  <c r="H1083" i="6" s="1"/>
  <c r="R1083" i="6" s="1"/>
  <c r="S1083" i="6" s="1"/>
  <c r="T1083" i="6" s="1"/>
  <c r="G1084" i="6"/>
  <c r="H1084" i="6" s="1"/>
  <c r="G1085" i="6"/>
  <c r="H1085" i="6" s="1"/>
  <c r="P1085" i="6" s="1"/>
  <c r="G1086" i="6"/>
  <c r="H1086" i="6" s="1"/>
  <c r="G1087" i="6"/>
  <c r="H1087" i="6" s="1"/>
  <c r="G1088" i="6"/>
  <c r="H1088" i="6" s="1"/>
  <c r="R1088" i="6" s="1"/>
  <c r="S1088" i="6" s="1"/>
  <c r="T1088" i="6" s="1"/>
  <c r="G1089" i="6"/>
  <c r="H1089" i="6" s="1"/>
  <c r="P1089" i="6" s="1"/>
  <c r="G1090" i="6"/>
  <c r="H1090" i="6" s="1"/>
  <c r="P1090" i="6" s="1"/>
  <c r="G1091" i="6"/>
  <c r="H1091" i="6" s="1"/>
  <c r="P1091" i="6" s="1"/>
  <c r="G1092" i="6"/>
  <c r="H1092" i="6" s="1"/>
  <c r="P1092" i="6" s="1"/>
  <c r="G1093" i="6"/>
  <c r="H1093" i="6" s="1"/>
  <c r="G1094" i="6"/>
  <c r="H1094" i="6" s="1"/>
  <c r="G1095" i="6"/>
  <c r="H1095" i="6" s="1"/>
  <c r="P1095" i="6" s="1"/>
  <c r="G1096" i="6"/>
  <c r="H1096" i="6" s="1"/>
  <c r="G1097" i="6"/>
  <c r="H1097" i="6" s="1"/>
  <c r="P1097" i="6" s="1"/>
  <c r="G1098" i="6"/>
  <c r="H1098" i="6" s="1"/>
  <c r="G1099" i="6"/>
  <c r="H1099" i="6" s="1"/>
  <c r="G1100" i="6"/>
  <c r="H1100" i="6" s="1"/>
  <c r="R1100" i="6" s="1"/>
  <c r="S1100" i="6" s="1"/>
  <c r="T1100" i="6" s="1"/>
  <c r="G1101" i="6"/>
  <c r="H1101" i="6" s="1"/>
  <c r="G1102" i="6"/>
  <c r="H1102" i="6" s="1"/>
  <c r="G1103" i="6"/>
  <c r="H1103" i="6" s="1"/>
  <c r="G1104" i="6"/>
  <c r="H1104" i="6" s="1"/>
  <c r="G1105" i="6"/>
  <c r="H1105" i="6" s="1"/>
  <c r="G1106" i="6"/>
  <c r="H1106" i="6" s="1"/>
  <c r="G1107" i="6"/>
  <c r="H1107" i="6" s="1"/>
  <c r="G1108" i="6"/>
  <c r="H1108" i="6" s="1"/>
  <c r="G1109" i="6"/>
  <c r="H1109" i="6" s="1"/>
  <c r="R1109" i="6" s="1"/>
  <c r="S1109" i="6" s="1"/>
  <c r="T1109" i="6" s="1"/>
  <c r="G1110" i="6"/>
  <c r="H1110" i="6" s="1"/>
  <c r="R1110" i="6" s="1"/>
  <c r="S1110" i="6" s="1"/>
  <c r="T1110" i="6" s="1"/>
  <c r="G1111" i="6"/>
  <c r="H1111" i="6" s="1"/>
  <c r="G1112" i="6"/>
  <c r="H1112" i="6" s="1"/>
  <c r="R1112" i="6" s="1"/>
  <c r="S1112" i="6" s="1"/>
  <c r="T1112" i="6" s="1"/>
  <c r="G1113" i="6"/>
  <c r="H1113" i="6" s="1"/>
  <c r="R1113" i="6" s="1"/>
  <c r="S1113" i="6" s="1"/>
  <c r="T1113" i="6" s="1"/>
  <c r="G1114" i="6"/>
  <c r="H1114" i="6" s="1"/>
  <c r="P1114" i="6" s="1"/>
  <c r="G1115" i="6"/>
  <c r="H1115" i="6" s="1"/>
  <c r="G1116" i="6"/>
  <c r="H1116" i="6" s="1"/>
  <c r="P1116" i="6" s="1"/>
  <c r="G1117" i="6"/>
  <c r="H1117" i="6" s="1"/>
  <c r="G1118" i="6"/>
  <c r="H1118" i="6" s="1"/>
  <c r="R1118" i="6" s="1"/>
  <c r="S1118" i="6" s="1"/>
  <c r="T1118" i="6" s="1"/>
  <c r="G1119" i="6"/>
  <c r="H1119" i="6" s="1"/>
  <c r="G1120" i="6"/>
  <c r="H1120" i="6" s="1"/>
  <c r="P1120" i="6" s="1"/>
  <c r="G1121" i="6"/>
  <c r="H1121" i="6" s="1"/>
  <c r="G1122" i="6"/>
  <c r="H1122" i="6" s="1"/>
  <c r="G1123" i="6"/>
  <c r="H1123" i="6" s="1"/>
  <c r="P1123" i="6" s="1"/>
  <c r="G1124" i="6"/>
  <c r="H1124" i="6" s="1"/>
  <c r="G1125" i="6"/>
  <c r="H1125" i="6" s="1"/>
  <c r="G1126" i="6"/>
  <c r="H1126" i="6" s="1"/>
  <c r="R1126" i="6" s="1"/>
  <c r="S1126" i="6" s="1"/>
  <c r="T1126" i="6" s="1"/>
  <c r="G1127" i="6"/>
  <c r="H1127" i="6" s="1"/>
  <c r="R1127" i="6" s="1"/>
  <c r="G1128" i="6"/>
  <c r="H1128" i="6" s="1"/>
  <c r="R1128" i="6" s="1"/>
  <c r="S1128" i="6" s="1"/>
  <c r="T1128" i="6" s="1"/>
  <c r="G1129" i="6"/>
  <c r="H1129" i="6" s="1"/>
  <c r="R1129" i="6" s="1"/>
  <c r="S1129" i="6" s="1"/>
  <c r="T1129" i="6" s="1"/>
  <c r="G1130" i="6"/>
  <c r="H1130" i="6" s="1"/>
  <c r="P1130" i="6" s="1"/>
  <c r="G1131" i="6"/>
  <c r="H1131" i="6" s="1"/>
  <c r="R1131" i="6" s="1"/>
  <c r="S1131" i="6" s="1"/>
  <c r="T1131" i="6" s="1"/>
  <c r="G1132" i="6"/>
  <c r="H1132" i="6" s="1"/>
  <c r="G1133" i="6"/>
  <c r="H1133" i="6" s="1"/>
  <c r="R1133" i="6" s="1"/>
  <c r="S1133" i="6" s="1"/>
  <c r="T1133" i="6" s="1"/>
  <c r="G1134" i="6"/>
  <c r="H1134" i="6" s="1"/>
  <c r="R1134" i="6" s="1"/>
  <c r="S1134" i="6" s="1"/>
  <c r="T1134" i="6" s="1"/>
  <c r="G1135" i="6"/>
  <c r="H1135" i="6" s="1"/>
  <c r="G1136" i="6"/>
  <c r="H1136" i="6" s="1"/>
  <c r="G1137" i="6"/>
  <c r="H1137" i="6" s="1"/>
  <c r="G1138" i="6"/>
  <c r="H1138" i="6" s="1"/>
  <c r="G1139" i="6"/>
  <c r="H1139" i="6" s="1"/>
  <c r="G1140" i="6"/>
  <c r="H1140" i="6" s="1"/>
  <c r="R1140" i="6" s="1"/>
  <c r="S1140" i="6" s="1"/>
  <c r="T1140" i="6" s="1"/>
  <c r="G1141" i="6"/>
  <c r="H1141" i="6" s="1"/>
  <c r="P1141" i="6" s="1"/>
  <c r="G1142" i="6"/>
  <c r="H1142" i="6" s="1"/>
  <c r="P1142" i="6" s="1"/>
  <c r="G1143" i="6"/>
  <c r="H1143" i="6" s="1"/>
  <c r="R1143" i="6" s="1"/>
  <c r="S1143" i="6" s="1"/>
  <c r="T1143" i="6" s="1"/>
  <c r="G1144" i="6"/>
  <c r="H1144" i="6" s="1"/>
  <c r="G1145" i="6"/>
  <c r="H1145" i="6" s="1"/>
  <c r="G1146" i="6"/>
  <c r="H1146" i="6" s="1"/>
  <c r="R1146" i="6" s="1"/>
  <c r="S1146" i="6" s="1"/>
  <c r="T1146" i="6" s="1"/>
  <c r="G1147" i="6"/>
  <c r="H1147" i="6" s="1"/>
  <c r="P1147" i="6" s="1"/>
  <c r="G1148" i="6"/>
  <c r="H1148" i="6" s="1"/>
  <c r="R1148" i="6" s="1"/>
  <c r="S1148" i="6" s="1"/>
  <c r="T1148" i="6" s="1"/>
  <c r="G1149" i="6"/>
  <c r="H1149" i="6" s="1"/>
  <c r="G1150" i="6"/>
  <c r="H1150" i="6" s="1"/>
  <c r="P1150" i="6" s="1"/>
  <c r="G1151" i="6"/>
  <c r="H1151" i="6" s="1"/>
  <c r="G1152" i="6"/>
  <c r="H1152" i="6" s="1"/>
  <c r="R1152" i="6" s="1"/>
  <c r="S1152" i="6" s="1"/>
  <c r="T1152" i="6" s="1"/>
  <c r="G1153" i="6"/>
  <c r="H1153" i="6" s="1"/>
  <c r="G1154" i="6"/>
  <c r="H1154" i="6" s="1"/>
  <c r="G1155" i="6"/>
  <c r="H1155" i="6" s="1"/>
  <c r="R1155" i="6" s="1"/>
  <c r="S1155" i="6" s="1"/>
  <c r="T1155" i="6" s="1"/>
  <c r="G1156" i="6"/>
  <c r="H1156" i="6" s="1"/>
  <c r="R1156" i="6" s="1"/>
  <c r="S1156" i="6" s="1"/>
  <c r="T1156" i="6" s="1"/>
  <c r="G1157" i="6"/>
  <c r="H1157" i="6" s="1"/>
  <c r="G1158" i="6"/>
  <c r="H1158" i="6" s="1"/>
  <c r="G1159" i="6"/>
  <c r="H1159" i="6" s="1"/>
  <c r="G1160" i="6"/>
  <c r="H1160" i="6" s="1"/>
  <c r="G1161" i="6"/>
  <c r="H1161" i="6" s="1"/>
  <c r="G1162" i="6"/>
  <c r="H1162" i="6" s="1"/>
  <c r="G1163" i="6"/>
  <c r="H1163" i="6" s="1"/>
  <c r="G1164" i="6"/>
  <c r="H1164" i="6" s="1"/>
  <c r="R1164" i="6" s="1"/>
  <c r="S1164" i="6" s="1"/>
  <c r="T1164" i="6" s="1"/>
  <c r="G1165" i="6"/>
  <c r="H1165" i="6" s="1"/>
  <c r="P1165" i="6" s="1"/>
  <c r="G1166" i="6"/>
  <c r="H1166" i="6" s="1"/>
  <c r="G1167" i="6"/>
  <c r="H1167" i="6" s="1"/>
  <c r="P1167" i="6" s="1"/>
  <c r="G1168" i="6"/>
  <c r="H1168" i="6" s="1"/>
  <c r="G1169" i="6"/>
  <c r="H1169" i="6" s="1"/>
  <c r="P1169" i="6" s="1"/>
  <c r="G1170" i="6"/>
  <c r="H1170" i="6" s="1"/>
  <c r="G1171" i="6"/>
  <c r="H1171" i="6" s="1"/>
  <c r="R1171" i="6" s="1"/>
  <c r="S1171" i="6" s="1"/>
  <c r="T1171" i="6" s="1"/>
  <c r="G1172" i="6"/>
  <c r="H1172" i="6" s="1"/>
  <c r="P1172" i="6" s="1"/>
  <c r="G1173" i="6"/>
  <c r="H1173" i="6" s="1"/>
  <c r="G1174" i="6"/>
  <c r="H1174" i="6" s="1"/>
  <c r="G1175" i="6"/>
  <c r="H1175" i="6" s="1"/>
  <c r="P1175" i="6" s="1"/>
  <c r="G1176" i="6"/>
  <c r="H1176" i="6" s="1"/>
  <c r="R1176" i="6" s="1"/>
  <c r="S1176" i="6" s="1"/>
  <c r="T1176" i="6" s="1"/>
  <c r="G1177" i="6"/>
  <c r="H1177" i="6" s="1"/>
  <c r="R1177" i="6" s="1"/>
  <c r="S1177" i="6" s="1"/>
  <c r="T1177" i="6" s="1"/>
  <c r="G1178" i="6"/>
  <c r="H1178" i="6" s="1"/>
  <c r="G1179" i="6"/>
  <c r="H1179" i="6" s="1"/>
  <c r="R1179" i="6" s="1"/>
  <c r="G1180" i="6"/>
  <c r="H1180" i="6" s="1"/>
  <c r="G1181" i="6"/>
  <c r="H1181" i="6" s="1"/>
  <c r="P1181" i="6" s="1"/>
  <c r="G1182" i="6"/>
  <c r="H1182" i="6" s="1"/>
  <c r="G1183" i="6"/>
  <c r="H1183" i="6" s="1"/>
  <c r="R1183" i="6" s="1"/>
  <c r="S1183" i="6" s="1"/>
  <c r="T1183" i="6" s="1"/>
  <c r="G1184" i="6"/>
  <c r="H1184" i="6" s="1"/>
  <c r="P1184" i="6" s="1"/>
  <c r="G1185" i="6"/>
  <c r="H1185" i="6" s="1"/>
  <c r="G1186" i="6"/>
  <c r="H1186" i="6" s="1"/>
  <c r="G1187" i="6"/>
  <c r="H1187" i="6" s="1"/>
  <c r="G1188" i="6"/>
  <c r="H1188" i="6" s="1"/>
  <c r="P1188" i="6" s="1"/>
  <c r="G1189" i="6"/>
  <c r="H1189" i="6" s="1"/>
  <c r="P1189" i="6" s="1"/>
  <c r="G1190" i="6"/>
  <c r="H1190" i="6" s="1"/>
  <c r="P1190" i="6" s="1"/>
  <c r="G1191" i="6"/>
  <c r="H1191" i="6" s="1"/>
  <c r="G1192" i="6"/>
  <c r="H1192" i="6" s="1"/>
  <c r="G1193" i="6"/>
  <c r="H1193" i="6" s="1"/>
  <c r="P1193" i="6" s="1"/>
  <c r="G1194" i="6"/>
  <c r="H1194" i="6" s="1"/>
  <c r="G1195" i="6"/>
  <c r="H1195" i="6" s="1"/>
  <c r="G1196" i="6"/>
  <c r="H1196" i="6" s="1"/>
  <c r="G1197" i="6"/>
  <c r="H1197" i="6" s="1"/>
  <c r="G1198" i="6"/>
  <c r="H1198" i="6" s="1"/>
  <c r="P1198" i="6" s="1"/>
  <c r="G1199" i="6"/>
  <c r="H1199" i="6" s="1"/>
  <c r="G1200" i="6"/>
  <c r="H1200" i="6" s="1"/>
  <c r="G1201" i="6"/>
  <c r="H1201" i="6" s="1"/>
  <c r="G1202" i="6"/>
  <c r="H1202" i="6" s="1"/>
  <c r="R1202" i="6" s="1"/>
  <c r="S1202" i="6" s="1"/>
  <c r="T1202" i="6" s="1"/>
  <c r="G1203" i="6"/>
  <c r="H1203" i="6" s="1"/>
  <c r="R1203" i="6" s="1"/>
  <c r="S1203" i="6" s="1"/>
  <c r="T1203" i="6" s="1"/>
  <c r="G1204" i="6"/>
  <c r="H1204" i="6" s="1"/>
  <c r="G1205" i="6"/>
  <c r="H1205" i="6" s="1"/>
  <c r="G1206" i="6"/>
  <c r="H1206" i="6" s="1"/>
  <c r="G1207" i="6"/>
  <c r="H1207" i="6" s="1"/>
  <c r="G1208" i="6"/>
  <c r="H1208" i="6" s="1"/>
  <c r="R1208" i="6" s="1"/>
  <c r="S1208" i="6" s="1"/>
  <c r="T1208" i="6" s="1"/>
  <c r="G1209" i="6"/>
  <c r="H1209" i="6" s="1"/>
  <c r="R1209" i="6" s="1"/>
  <c r="S1209" i="6" s="1"/>
  <c r="T1209" i="6" s="1"/>
  <c r="G1210" i="6"/>
  <c r="H1210" i="6" s="1"/>
  <c r="G1211" i="6"/>
  <c r="H1211" i="6" s="1"/>
  <c r="G1212" i="6"/>
  <c r="H1212" i="6" s="1"/>
  <c r="P1212" i="6" s="1"/>
  <c r="G1213" i="6"/>
  <c r="H1213" i="6" s="1"/>
  <c r="R1213" i="6" s="1"/>
  <c r="S1213" i="6" s="1"/>
  <c r="T1213" i="6" s="1"/>
  <c r="G1214" i="6"/>
  <c r="H1214" i="6" s="1"/>
  <c r="P1214" i="6" s="1"/>
  <c r="G1215" i="6"/>
  <c r="H1215" i="6" s="1"/>
  <c r="P1215" i="6" s="1"/>
  <c r="G1216" i="6"/>
  <c r="H1216" i="6" s="1"/>
  <c r="G1217" i="6"/>
  <c r="H1217" i="6" s="1"/>
  <c r="R1217" i="6" s="1"/>
  <c r="S1217" i="6" s="1"/>
  <c r="T1217" i="6" s="1"/>
  <c r="G1218" i="6"/>
  <c r="H1218" i="6" s="1"/>
  <c r="G1219" i="6"/>
  <c r="H1219" i="6" s="1"/>
  <c r="P1219" i="6" s="1"/>
  <c r="G1220" i="6"/>
  <c r="H1220" i="6" s="1"/>
  <c r="G1221" i="6"/>
  <c r="H1221" i="6" s="1"/>
  <c r="G1222" i="6"/>
  <c r="H1222" i="6" s="1"/>
  <c r="R1222" i="6" s="1"/>
  <c r="S1222" i="6" s="1"/>
  <c r="T1222" i="6" s="1"/>
  <c r="G1223" i="6"/>
  <c r="H1223" i="6" s="1"/>
  <c r="P1223" i="6" s="1"/>
  <c r="G1224" i="6"/>
  <c r="H1224" i="6" s="1"/>
  <c r="G1225" i="6"/>
  <c r="H1225" i="6" s="1"/>
  <c r="R1225" i="6" s="1"/>
  <c r="S1225" i="6" s="1"/>
  <c r="T1225" i="6" s="1"/>
  <c r="G1226" i="6"/>
  <c r="H1226" i="6" s="1"/>
  <c r="G1227" i="6"/>
  <c r="H1227" i="6" s="1"/>
  <c r="G1228" i="6"/>
  <c r="H1228" i="6" s="1"/>
  <c r="G1229" i="6"/>
  <c r="H1229" i="6" s="1"/>
  <c r="P1229" i="6" s="1"/>
  <c r="G1230" i="6"/>
  <c r="H1230" i="6" s="1"/>
  <c r="P1230" i="6" s="1"/>
  <c r="Q1230" i="6" s="1"/>
  <c r="U1230" i="6" s="1"/>
  <c r="G1231" i="6"/>
  <c r="H1231" i="6" s="1"/>
  <c r="R1231" i="6" s="1"/>
  <c r="S1231" i="6" s="1"/>
  <c r="T1231" i="6" s="1"/>
  <c r="G1232" i="6"/>
  <c r="H1232" i="6" s="1"/>
  <c r="R1232" i="6" s="1"/>
  <c r="S1232" i="6" s="1"/>
  <c r="T1232" i="6" s="1"/>
  <c r="G1233" i="6"/>
  <c r="H1233" i="6" s="1"/>
  <c r="G1234" i="6"/>
  <c r="H1234" i="6" s="1"/>
  <c r="P1234" i="6" s="1"/>
  <c r="G1235" i="6"/>
  <c r="H1235" i="6" s="1"/>
  <c r="G1236" i="6"/>
  <c r="H1236" i="6" s="1"/>
  <c r="R1236" i="6" s="1"/>
  <c r="S1236" i="6" s="1"/>
  <c r="T1236" i="6" s="1"/>
  <c r="G1237" i="6"/>
  <c r="H1237" i="6" s="1"/>
  <c r="G1238" i="6"/>
  <c r="H1238" i="6" s="1"/>
  <c r="G1239" i="6"/>
  <c r="H1239" i="6" s="1"/>
  <c r="G1240" i="6"/>
  <c r="H1240" i="6" s="1"/>
  <c r="G1241" i="6"/>
  <c r="H1241" i="6" s="1"/>
  <c r="R1241" i="6" s="1"/>
  <c r="S1241" i="6" s="1"/>
  <c r="T1241" i="6" s="1"/>
  <c r="G1242" i="6"/>
  <c r="H1242" i="6" s="1"/>
  <c r="G1243" i="6"/>
  <c r="H1243" i="6" s="1"/>
  <c r="P1243" i="6" s="1"/>
  <c r="G1244" i="6"/>
  <c r="H1244" i="6" s="1"/>
  <c r="P1244" i="6" s="1"/>
  <c r="G1245" i="6"/>
  <c r="H1245" i="6" s="1"/>
  <c r="G1246" i="6"/>
  <c r="H1246" i="6" s="1"/>
  <c r="G1247" i="6"/>
  <c r="H1247" i="6" s="1"/>
  <c r="R1247" i="6" s="1"/>
  <c r="S1247" i="6" s="1"/>
  <c r="T1247" i="6" s="1"/>
  <c r="G1248" i="6"/>
  <c r="H1248" i="6" s="1"/>
  <c r="R1248" i="6" s="1"/>
  <c r="S1248" i="6" s="1"/>
  <c r="T1248" i="6" s="1"/>
  <c r="G1249" i="6"/>
  <c r="H1249" i="6" s="1"/>
  <c r="R1249" i="6" s="1"/>
  <c r="S1249" i="6" s="1"/>
  <c r="T1249" i="6" s="1"/>
  <c r="G1250" i="6"/>
  <c r="H1250" i="6" s="1"/>
  <c r="G1251" i="6"/>
  <c r="H1251" i="6" s="1"/>
  <c r="G1252" i="6"/>
  <c r="H1252" i="6" s="1"/>
  <c r="R1252" i="6" s="1"/>
  <c r="S1252" i="6" s="1"/>
  <c r="T1252" i="6" s="1"/>
  <c r="G1253" i="6"/>
  <c r="H1253" i="6" s="1"/>
  <c r="P1253" i="6" s="1"/>
  <c r="G1254" i="6"/>
  <c r="H1254" i="6" s="1"/>
  <c r="G1255" i="6"/>
  <c r="H1255" i="6" s="1"/>
  <c r="G1256" i="6"/>
  <c r="H1256" i="6" s="1"/>
  <c r="R1256" i="6" s="1"/>
  <c r="S1256" i="6" s="1"/>
  <c r="T1256" i="6" s="1"/>
  <c r="G1257" i="6"/>
  <c r="H1257" i="6" s="1"/>
  <c r="G1258" i="6"/>
  <c r="H1258" i="6" s="1"/>
  <c r="G1259" i="6"/>
  <c r="H1259" i="6" s="1"/>
  <c r="P1259" i="6" s="1"/>
  <c r="G1260" i="6"/>
  <c r="H1260" i="6" s="1"/>
  <c r="R1260" i="6" s="1"/>
  <c r="S1260" i="6" s="1"/>
  <c r="T1260" i="6" s="1"/>
  <c r="G1261" i="6"/>
  <c r="H1261" i="6" s="1"/>
  <c r="R1261" i="6" s="1"/>
  <c r="S1261" i="6" s="1"/>
  <c r="T1261" i="6" s="1"/>
  <c r="G1262" i="6"/>
  <c r="H1262" i="6" s="1"/>
  <c r="R1262" i="6" s="1"/>
  <c r="S1262" i="6" s="1"/>
  <c r="T1262" i="6" s="1"/>
  <c r="G1263" i="6"/>
  <c r="H1263" i="6" s="1"/>
  <c r="G1264" i="6"/>
  <c r="H1264" i="6" s="1"/>
  <c r="G1265" i="6"/>
  <c r="H1265" i="6" s="1"/>
  <c r="R1265" i="6" s="1"/>
  <c r="S1265" i="6" s="1"/>
  <c r="T1265" i="6" s="1"/>
  <c r="G1266" i="6"/>
  <c r="H1266" i="6" s="1"/>
  <c r="R1266" i="6" s="1"/>
  <c r="S1266" i="6" s="1"/>
  <c r="T1266" i="6" s="1"/>
  <c r="G1267" i="6"/>
  <c r="H1267" i="6" s="1"/>
  <c r="G1268" i="6"/>
  <c r="H1268" i="6" s="1"/>
  <c r="R1268" i="6" s="1"/>
  <c r="S1268" i="6" s="1"/>
  <c r="T1268" i="6" s="1"/>
  <c r="G1269" i="6"/>
  <c r="H1269" i="6" s="1"/>
  <c r="G1270" i="6"/>
  <c r="H1270" i="6" s="1"/>
  <c r="G1271" i="6"/>
  <c r="H1271" i="6" s="1"/>
  <c r="G1272" i="6"/>
  <c r="H1272" i="6" s="1"/>
  <c r="G1273" i="6"/>
  <c r="H1273" i="6" s="1"/>
  <c r="G1274" i="6"/>
  <c r="H1274" i="6" s="1"/>
  <c r="G1275" i="6"/>
  <c r="H1275" i="6" s="1"/>
  <c r="G1276" i="6"/>
  <c r="H1276" i="6" s="1"/>
  <c r="R1276" i="6" s="1"/>
  <c r="S1276" i="6" s="1"/>
  <c r="T1276" i="6" s="1"/>
  <c r="G1277" i="6"/>
  <c r="H1277" i="6" s="1"/>
  <c r="G1278" i="6"/>
  <c r="H1278" i="6" s="1"/>
  <c r="G1279" i="6"/>
  <c r="H1279" i="6" s="1"/>
  <c r="P1279" i="6" s="1"/>
  <c r="G1280" i="6"/>
  <c r="H1280" i="6" s="1"/>
  <c r="G1281" i="6"/>
  <c r="H1281" i="6" s="1"/>
  <c r="G1282" i="6"/>
  <c r="H1282" i="6" s="1"/>
  <c r="G1283" i="6"/>
  <c r="H1283" i="6" s="1"/>
  <c r="R1283" i="6" s="1"/>
  <c r="S1283" i="6" s="1"/>
  <c r="T1283" i="6" s="1"/>
  <c r="G1284" i="6"/>
  <c r="H1284" i="6" s="1"/>
  <c r="R1284" i="6" s="1"/>
  <c r="S1284" i="6" s="1"/>
  <c r="T1284" i="6" s="1"/>
  <c r="G1285" i="6"/>
  <c r="H1285" i="6" s="1"/>
  <c r="G1286" i="6"/>
  <c r="H1286" i="6" s="1"/>
  <c r="G1287" i="6"/>
  <c r="H1287" i="6" s="1"/>
  <c r="G1288" i="6"/>
  <c r="H1288" i="6" s="1"/>
  <c r="G1289" i="6"/>
  <c r="H1289" i="6" s="1"/>
  <c r="G1290" i="6"/>
  <c r="H1290" i="6" s="1"/>
  <c r="G1291" i="6"/>
  <c r="H1291" i="6" s="1"/>
  <c r="G1292" i="6"/>
  <c r="H1292" i="6" s="1"/>
  <c r="G1293" i="6"/>
  <c r="H1293" i="6" s="1"/>
  <c r="R1293" i="6" s="1"/>
  <c r="S1293" i="6" s="1"/>
  <c r="T1293" i="6" s="1"/>
  <c r="G1294" i="6"/>
  <c r="H1294" i="6" s="1"/>
  <c r="R1294" i="6" s="1"/>
  <c r="S1294" i="6" s="1"/>
  <c r="T1294" i="6" s="1"/>
  <c r="G1295" i="6"/>
  <c r="H1295" i="6" s="1"/>
  <c r="P1295" i="6" s="1"/>
  <c r="G1296" i="6"/>
  <c r="H1296" i="6" s="1"/>
  <c r="P1296" i="6" s="1"/>
  <c r="G1297" i="6"/>
  <c r="H1297" i="6" s="1"/>
  <c r="P1297" i="6" s="1"/>
  <c r="G1298" i="6"/>
  <c r="H1298" i="6" s="1"/>
  <c r="G1299" i="6"/>
  <c r="H1299" i="6" s="1"/>
  <c r="R1299" i="6" s="1"/>
  <c r="S1299" i="6" s="1"/>
  <c r="T1299" i="6" s="1"/>
  <c r="G1300" i="6"/>
  <c r="H1300" i="6" s="1"/>
  <c r="P1300" i="6" s="1"/>
  <c r="G1301" i="6"/>
  <c r="H1301" i="6" s="1"/>
  <c r="R1301" i="6" s="1"/>
  <c r="S1301" i="6" s="1"/>
  <c r="T1301" i="6" s="1"/>
  <c r="G1302" i="6"/>
  <c r="H1302" i="6" s="1"/>
  <c r="G1303" i="6"/>
  <c r="H1303" i="6" s="1"/>
  <c r="P1303" i="6" s="1"/>
  <c r="G1304" i="6"/>
  <c r="H1304" i="6" s="1"/>
  <c r="P1304" i="6" s="1"/>
  <c r="G1305" i="6"/>
  <c r="H1305" i="6" s="1"/>
  <c r="R1305" i="6" s="1"/>
  <c r="S1305" i="6" s="1"/>
  <c r="T1305" i="6" s="1"/>
  <c r="G1306" i="6"/>
  <c r="H1306" i="6" s="1"/>
  <c r="R1306" i="6" s="1"/>
  <c r="S1306" i="6" s="1"/>
  <c r="T1306" i="6" s="1"/>
  <c r="G1307" i="6"/>
  <c r="H1307" i="6" s="1"/>
  <c r="P1307" i="6" s="1"/>
  <c r="G1308" i="6"/>
  <c r="H1308" i="6" s="1"/>
  <c r="R1308" i="6" s="1"/>
  <c r="S1308" i="6" s="1"/>
  <c r="T1308" i="6" s="1"/>
  <c r="G1309" i="6"/>
  <c r="H1309" i="6" s="1"/>
  <c r="G1310" i="6"/>
  <c r="H1310" i="6" s="1"/>
  <c r="P1310" i="6" s="1"/>
  <c r="G1311" i="6"/>
  <c r="H1311" i="6" s="1"/>
  <c r="G1312" i="6"/>
  <c r="H1312" i="6" s="1"/>
  <c r="G1313" i="6"/>
  <c r="H1313" i="6" s="1"/>
  <c r="P1313" i="6" s="1"/>
  <c r="G1314" i="6"/>
  <c r="H1314" i="6" s="1"/>
  <c r="G1315" i="6"/>
  <c r="H1315" i="6" s="1"/>
  <c r="R1315" i="6" s="1"/>
  <c r="S1315" i="6" s="1"/>
  <c r="T1315" i="6" s="1"/>
  <c r="G1316" i="6"/>
  <c r="H1316" i="6" s="1"/>
  <c r="G1317" i="6"/>
  <c r="H1317" i="6" s="1"/>
  <c r="R1317" i="6" s="1"/>
  <c r="S1317" i="6" s="1"/>
  <c r="T1317" i="6" s="1"/>
  <c r="G1318" i="6"/>
  <c r="H1318" i="6" s="1"/>
  <c r="R1318" i="6" s="1"/>
  <c r="S1318" i="6" s="1"/>
  <c r="T1318" i="6" s="1"/>
  <c r="G1319" i="6"/>
  <c r="H1319" i="6" s="1"/>
  <c r="P1319" i="6" s="1"/>
  <c r="G1320" i="6"/>
  <c r="H1320" i="6" s="1"/>
  <c r="G1321" i="6"/>
  <c r="H1321" i="6" s="1"/>
  <c r="G1322" i="6"/>
  <c r="H1322" i="6" s="1"/>
  <c r="G1323" i="6"/>
  <c r="H1323" i="6" s="1"/>
  <c r="G1324" i="6"/>
  <c r="H1324" i="6" s="1"/>
  <c r="G1325" i="6"/>
  <c r="H1325" i="6" s="1"/>
  <c r="G1326" i="6"/>
  <c r="H1326" i="6" s="1"/>
  <c r="P1326" i="6" s="1"/>
  <c r="Q1326" i="6" s="1"/>
  <c r="U1326" i="6" s="1"/>
  <c r="G1327" i="6"/>
  <c r="H1327" i="6" s="1"/>
  <c r="P1327" i="6" s="1"/>
  <c r="G1328" i="6"/>
  <c r="H1328" i="6" s="1"/>
  <c r="R1328" i="6" s="1"/>
  <c r="S1328" i="6" s="1"/>
  <c r="T1328" i="6" s="1"/>
  <c r="G1329" i="6"/>
  <c r="H1329" i="6" s="1"/>
  <c r="P1329" i="6" s="1"/>
  <c r="G1330" i="6"/>
  <c r="H1330" i="6" s="1"/>
  <c r="P1330" i="6" s="1"/>
  <c r="G1331" i="6"/>
  <c r="H1331" i="6" s="1"/>
  <c r="G1332" i="6"/>
  <c r="H1332" i="6" s="1"/>
  <c r="R1332" i="6" s="1"/>
  <c r="S1332" i="6" s="1"/>
  <c r="T1332" i="6" s="1"/>
  <c r="G1333" i="6"/>
  <c r="H1333" i="6" s="1"/>
  <c r="R1333" i="6" s="1"/>
  <c r="S1333" i="6" s="1"/>
  <c r="T1333" i="6" s="1"/>
  <c r="G1334" i="6"/>
  <c r="H1334" i="6" s="1"/>
  <c r="P1334" i="6" s="1"/>
  <c r="G1335" i="6"/>
  <c r="H1335" i="6" s="1"/>
  <c r="G1336" i="6"/>
  <c r="H1336" i="6" s="1"/>
  <c r="G1337" i="6"/>
  <c r="H1337" i="6" s="1"/>
  <c r="P1337" i="6" s="1"/>
  <c r="G1338" i="6"/>
  <c r="H1338" i="6" s="1"/>
  <c r="P1338" i="6" s="1"/>
  <c r="G1339" i="6"/>
  <c r="H1339" i="6" s="1"/>
  <c r="P1339" i="6" s="1"/>
  <c r="G1340" i="6"/>
  <c r="H1340" i="6" s="1"/>
  <c r="G1341" i="6"/>
  <c r="H1341" i="6" s="1"/>
  <c r="G1342" i="6"/>
  <c r="H1342" i="6" s="1"/>
  <c r="R1342" i="6" s="1"/>
  <c r="S1342" i="6" s="1"/>
  <c r="T1342" i="6" s="1"/>
  <c r="G1343" i="6"/>
  <c r="H1343" i="6" s="1"/>
  <c r="G1344" i="6"/>
  <c r="H1344" i="6" s="1"/>
  <c r="P1344" i="6" s="1"/>
  <c r="G1345" i="6"/>
  <c r="H1345" i="6" s="1"/>
  <c r="R1345" i="6" s="1"/>
  <c r="S1345" i="6" s="1"/>
  <c r="T1345" i="6" s="1"/>
  <c r="G1346" i="6"/>
  <c r="H1346" i="6" s="1"/>
  <c r="P1346" i="6" s="1"/>
  <c r="G1347" i="6"/>
  <c r="H1347" i="6" s="1"/>
  <c r="R1347" i="6" s="1"/>
  <c r="S1347" i="6" s="1"/>
  <c r="T1347" i="6" s="1"/>
  <c r="G1348" i="6"/>
  <c r="H1348" i="6" s="1"/>
  <c r="G1349" i="6"/>
  <c r="H1349" i="6" s="1"/>
  <c r="G1350" i="6"/>
  <c r="H1350" i="6" s="1"/>
  <c r="G1351" i="6"/>
  <c r="H1351" i="6" s="1"/>
  <c r="G1352" i="6"/>
  <c r="H1352" i="6" s="1"/>
  <c r="R1352" i="6" s="1"/>
  <c r="S1352" i="6" s="1"/>
  <c r="T1352" i="6" s="1"/>
  <c r="G1353" i="6"/>
  <c r="H1353" i="6" s="1"/>
  <c r="R1353" i="6" s="1"/>
  <c r="S1353" i="6" s="1"/>
  <c r="T1353" i="6" s="1"/>
  <c r="G1354" i="6"/>
  <c r="H1354" i="6" s="1"/>
  <c r="G1355" i="6"/>
  <c r="H1355" i="6" s="1"/>
  <c r="G1356" i="6"/>
  <c r="H1356" i="6" s="1"/>
  <c r="P1356" i="6" s="1"/>
  <c r="G1357" i="6"/>
  <c r="H1357" i="6" s="1"/>
  <c r="G1358" i="6"/>
  <c r="H1358" i="6" s="1"/>
  <c r="G1359" i="6"/>
  <c r="H1359" i="6" s="1"/>
  <c r="G1360" i="6"/>
  <c r="H1360" i="6" s="1"/>
  <c r="P1360" i="6" s="1"/>
  <c r="G1361" i="6"/>
  <c r="H1361" i="6" s="1"/>
  <c r="P1361" i="6" s="1"/>
  <c r="G1362" i="6"/>
  <c r="H1362" i="6" s="1"/>
  <c r="G1363" i="6"/>
  <c r="H1363" i="6" s="1"/>
  <c r="G1364" i="6"/>
  <c r="H1364" i="6" s="1"/>
  <c r="R1364" i="6" s="1"/>
  <c r="S1364" i="6" s="1"/>
  <c r="T1364" i="6" s="1"/>
  <c r="G1365" i="6"/>
  <c r="H1365" i="6" s="1"/>
  <c r="G1366" i="6"/>
  <c r="H1366" i="6" s="1"/>
  <c r="R1366" i="6" s="1"/>
  <c r="S1366" i="6" s="1"/>
  <c r="T1366" i="6" s="1"/>
  <c r="G1367" i="6"/>
  <c r="H1367" i="6" s="1"/>
  <c r="G1368" i="6"/>
  <c r="H1368" i="6" s="1"/>
  <c r="G1369" i="6"/>
  <c r="H1369" i="6" s="1"/>
  <c r="P1369" i="6" s="1"/>
  <c r="G1370" i="6"/>
  <c r="H1370" i="6" s="1"/>
  <c r="G1371" i="6"/>
  <c r="H1371" i="6" s="1"/>
  <c r="P1371" i="6" s="1"/>
  <c r="G1372" i="6"/>
  <c r="H1372" i="6" s="1"/>
  <c r="R1372" i="6" s="1"/>
  <c r="S1372" i="6" s="1"/>
  <c r="T1372" i="6" s="1"/>
  <c r="G1373" i="6"/>
  <c r="H1373" i="6" s="1"/>
  <c r="G1374" i="6"/>
  <c r="H1374" i="6" s="1"/>
  <c r="G1375" i="6"/>
  <c r="H1375" i="6" s="1"/>
  <c r="R1375" i="6" s="1"/>
  <c r="S1375" i="6" s="1"/>
  <c r="T1375" i="6" s="1"/>
  <c r="G1376" i="6"/>
  <c r="H1376" i="6" s="1"/>
  <c r="P1376" i="6" s="1"/>
  <c r="G1377" i="6"/>
  <c r="H1377" i="6" s="1"/>
  <c r="G1378" i="6"/>
  <c r="H1378" i="6" s="1"/>
  <c r="R1378" i="6" s="1"/>
  <c r="S1378" i="6" s="1"/>
  <c r="T1378" i="6" s="1"/>
  <c r="G1379" i="6"/>
  <c r="H1379" i="6" s="1"/>
  <c r="G1380" i="6"/>
  <c r="H1380" i="6" s="1"/>
  <c r="R1380" i="6" s="1"/>
  <c r="S1380" i="6" s="1"/>
  <c r="T1380" i="6" s="1"/>
  <c r="G1381" i="6"/>
  <c r="H1381" i="6" s="1"/>
  <c r="G1382" i="6"/>
  <c r="H1382" i="6" s="1"/>
  <c r="P1382" i="6" s="1"/>
  <c r="G1383" i="6"/>
  <c r="H1383" i="6" s="1"/>
  <c r="G1384" i="6"/>
  <c r="H1384" i="6" s="1"/>
  <c r="G1385" i="6"/>
  <c r="H1385" i="6" s="1"/>
  <c r="G1386" i="6"/>
  <c r="H1386" i="6" s="1"/>
  <c r="G1387" i="6"/>
  <c r="H1387" i="6" s="1"/>
  <c r="R1387" i="6" s="1"/>
  <c r="S1387" i="6" s="1"/>
  <c r="T1387" i="6" s="1"/>
  <c r="G1388" i="6"/>
  <c r="H1388" i="6" s="1"/>
  <c r="R1388" i="6" s="1"/>
  <c r="S1388" i="6" s="1"/>
  <c r="T1388" i="6" s="1"/>
  <c r="G1389" i="6"/>
  <c r="H1389" i="6" s="1"/>
  <c r="G1390" i="6"/>
  <c r="H1390" i="6" s="1"/>
  <c r="P1390" i="6" s="1"/>
  <c r="Q1390" i="6" s="1"/>
  <c r="U1390" i="6" s="1"/>
  <c r="G1391" i="6"/>
  <c r="H1391" i="6" s="1"/>
  <c r="P1391" i="6" s="1"/>
  <c r="G1392" i="6"/>
  <c r="H1392" i="6" s="1"/>
  <c r="G1393" i="6"/>
  <c r="H1393" i="6" s="1"/>
  <c r="G1394" i="6"/>
  <c r="H1394" i="6" s="1"/>
  <c r="P1394" i="6" s="1"/>
  <c r="Q1394" i="6" s="1"/>
  <c r="U1394" i="6" s="1"/>
  <c r="G1395" i="6"/>
  <c r="H1395" i="6" s="1"/>
  <c r="G1396" i="6"/>
  <c r="H1396" i="6" s="1"/>
  <c r="G1397" i="6"/>
  <c r="H1397" i="6" s="1"/>
  <c r="R1397" i="6" s="1"/>
  <c r="S1397" i="6" s="1"/>
  <c r="T1397" i="6" s="1"/>
  <c r="G1398" i="6"/>
  <c r="H1398" i="6" s="1"/>
  <c r="G1399" i="6"/>
  <c r="H1399" i="6" s="1"/>
  <c r="R1399" i="6" s="1"/>
  <c r="S1399" i="6" s="1"/>
  <c r="T1399" i="6" s="1"/>
  <c r="G1400" i="6"/>
  <c r="H1400" i="6" s="1"/>
  <c r="G1401" i="6"/>
  <c r="H1401" i="6" s="1"/>
  <c r="G1402" i="6"/>
  <c r="H1402" i="6" s="1"/>
  <c r="P1402" i="6" s="1"/>
  <c r="G1403" i="6"/>
  <c r="H1403" i="6" s="1"/>
  <c r="R1403" i="6" s="1"/>
  <c r="S1403" i="6" s="1"/>
  <c r="T1403" i="6" s="1"/>
  <c r="G1404" i="6"/>
  <c r="H1404" i="6" s="1"/>
  <c r="R1404" i="6" s="1"/>
  <c r="S1404" i="6" s="1"/>
  <c r="T1404" i="6" s="1"/>
  <c r="G1405" i="6"/>
  <c r="H1405" i="6" s="1"/>
  <c r="P1405" i="6" s="1"/>
  <c r="G1406" i="6"/>
  <c r="H1406" i="6" s="1"/>
  <c r="P1406" i="6" s="1"/>
  <c r="G1407" i="6"/>
  <c r="H1407" i="6" s="1"/>
  <c r="P1407" i="6" s="1"/>
  <c r="G1408" i="6"/>
  <c r="H1408" i="6" s="1"/>
  <c r="G1409" i="6"/>
  <c r="H1409" i="6" s="1"/>
  <c r="G1410" i="6"/>
  <c r="H1410" i="6" s="1"/>
  <c r="P1410" i="6" s="1"/>
  <c r="G1411" i="6"/>
  <c r="H1411" i="6" s="1"/>
  <c r="P1411" i="6" s="1"/>
  <c r="G1412" i="6"/>
  <c r="H1412" i="6" s="1"/>
  <c r="G1413" i="6"/>
  <c r="H1413" i="6" s="1"/>
  <c r="P1413" i="6" s="1"/>
  <c r="G1414" i="6"/>
  <c r="H1414" i="6" s="1"/>
  <c r="G1415" i="6"/>
  <c r="H1415" i="6" s="1"/>
  <c r="G1416" i="6"/>
  <c r="H1416" i="6" s="1"/>
  <c r="P1416" i="6" s="1"/>
  <c r="G1417" i="6"/>
  <c r="H1417" i="6" s="1"/>
  <c r="G1418" i="6"/>
  <c r="H1418" i="6" s="1"/>
  <c r="R1418" i="6" s="1"/>
  <c r="S1418" i="6" s="1"/>
  <c r="T1418" i="6" s="1"/>
  <c r="G1419" i="6"/>
  <c r="H1419" i="6" s="1"/>
  <c r="P1419" i="6" s="1"/>
  <c r="G1420" i="6"/>
  <c r="H1420" i="6" s="1"/>
  <c r="G1421" i="6"/>
  <c r="H1421" i="6" s="1"/>
  <c r="R1421" i="6" s="1"/>
  <c r="S1421" i="6" s="1"/>
  <c r="T1421" i="6" s="1"/>
  <c r="G1422" i="6"/>
  <c r="H1422" i="6" s="1"/>
  <c r="R1422" i="6" s="1"/>
  <c r="S1422" i="6" s="1"/>
  <c r="T1422" i="6" s="1"/>
  <c r="G1423" i="6"/>
  <c r="H1423" i="6" s="1"/>
  <c r="R1423" i="6" s="1"/>
  <c r="S1423" i="6" s="1"/>
  <c r="T1423" i="6" s="1"/>
  <c r="G1424" i="6"/>
  <c r="H1424" i="6" s="1"/>
  <c r="R1424" i="6" s="1"/>
  <c r="S1424" i="6" s="1"/>
  <c r="T1424" i="6" s="1"/>
  <c r="G1425" i="6"/>
  <c r="H1425" i="6" s="1"/>
  <c r="P1425" i="6" s="1"/>
  <c r="G1426" i="6"/>
  <c r="H1426" i="6" s="1"/>
  <c r="G1427" i="6"/>
  <c r="H1427" i="6" s="1"/>
  <c r="P1427" i="6" s="1"/>
  <c r="G1428" i="6"/>
  <c r="H1428" i="6" s="1"/>
  <c r="G1429" i="6"/>
  <c r="H1429" i="6" s="1"/>
  <c r="P1429" i="6" s="1"/>
  <c r="G1430" i="6"/>
  <c r="H1430" i="6" s="1"/>
  <c r="G1431" i="6"/>
  <c r="H1431" i="6" s="1"/>
  <c r="P1431" i="6" s="1"/>
  <c r="G1432" i="6"/>
  <c r="H1432" i="6" s="1"/>
  <c r="P1432" i="6" s="1"/>
  <c r="G1433" i="6"/>
  <c r="H1433" i="6" s="1"/>
  <c r="R1433" i="6" s="1"/>
  <c r="S1433" i="6" s="1"/>
  <c r="T1433" i="6" s="1"/>
  <c r="G1434" i="6"/>
  <c r="H1434" i="6" s="1"/>
  <c r="R1434" i="6" s="1"/>
  <c r="S1434" i="6" s="1"/>
  <c r="T1434" i="6" s="1"/>
  <c r="G1435" i="6"/>
  <c r="H1435" i="6" s="1"/>
  <c r="R1435" i="6" s="1"/>
  <c r="S1435" i="6" s="1"/>
  <c r="T1435" i="6" s="1"/>
  <c r="G1436" i="6"/>
  <c r="H1436" i="6" s="1"/>
  <c r="P1436" i="6" s="1"/>
  <c r="G1437" i="6"/>
  <c r="H1437" i="6" s="1"/>
  <c r="P1437" i="6" s="1"/>
  <c r="G1438" i="6"/>
  <c r="H1438" i="6" s="1"/>
  <c r="G1439" i="6"/>
  <c r="H1439" i="6" s="1"/>
  <c r="G1440" i="6"/>
  <c r="H1440" i="6" s="1"/>
  <c r="R1440" i="6" s="1"/>
  <c r="S1440" i="6" s="1"/>
  <c r="T1440" i="6" s="1"/>
  <c r="G1441" i="6"/>
  <c r="H1441" i="6" s="1"/>
  <c r="G1442" i="6"/>
  <c r="H1442" i="6" s="1"/>
  <c r="P1442" i="6" s="1"/>
  <c r="G1443" i="6"/>
  <c r="H1443" i="6" s="1"/>
  <c r="G1444" i="6"/>
  <c r="H1444" i="6" s="1"/>
  <c r="G1445" i="6"/>
  <c r="H1445" i="6" s="1"/>
  <c r="R1445" i="6" s="1"/>
  <c r="S1445" i="6" s="1"/>
  <c r="T1445" i="6" s="1"/>
  <c r="G1446" i="6"/>
  <c r="H1446" i="6" s="1"/>
  <c r="R1446" i="6" s="1"/>
  <c r="S1446" i="6" s="1"/>
  <c r="T1446" i="6" s="1"/>
  <c r="G1447" i="6"/>
  <c r="H1447" i="6" s="1"/>
  <c r="R1447" i="6" s="1"/>
  <c r="S1447" i="6" s="1"/>
  <c r="T1447" i="6" s="1"/>
  <c r="G1448" i="6"/>
  <c r="H1448" i="6" s="1"/>
  <c r="P1448" i="6" s="1"/>
  <c r="G1449" i="6"/>
  <c r="H1449" i="6" s="1"/>
  <c r="G1450" i="6"/>
  <c r="H1450" i="6" s="1"/>
  <c r="R1450" i="6" s="1"/>
  <c r="S1450" i="6" s="1"/>
  <c r="T1450" i="6" s="1"/>
  <c r="G1451" i="6"/>
  <c r="H1451" i="6" s="1"/>
  <c r="R1451" i="6" s="1"/>
  <c r="S1451" i="6" s="1"/>
  <c r="T1451" i="6" s="1"/>
  <c r="G1452" i="6"/>
  <c r="H1452" i="6" s="1"/>
  <c r="P1452" i="6" s="1"/>
  <c r="G1453" i="6"/>
  <c r="H1453" i="6" s="1"/>
  <c r="G1454" i="6"/>
  <c r="H1454" i="6" s="1"/>
  <c r="G1455" i="6"/>
  <c r="H1455" i="6" s="1"/>
  <c r="G1456" i="6"/>
  <c r="H1456" i="6" s="1"/>
  <c r="G1457" i="6"/>
  <c r="H1457" i="6" s="1"/>
  <c r="R1457" i="6" s="1"/>
  <c r="S1457" i="6" s="1"/>
  <c r="T1457" i="6" s="1"/>
  <c r="G1458" i="6"/>
  <c r="H1458" i="6" s="1"/>
  <c r="R1458" i="6" s="1"/>
  <c r="S1458" i="6" s="1"/>
  <c r="T1458" i="6" s="1"/>
  <c r="G1459" i="6"/>
  <c r="H1459" i="6" s="1"/>
  <c r="R1459" i="6" s="1"/>
  <c r="S1459" i="6" s="1"/>
  <c r="T1459" i="6" s="1"/>
  <c r="G1460" i="6"/>
  <c r="H1460" i="6" s="1"/>
  <c r="G1461" i="6"/>
  <c r="H1461" i="6" s="1"/>
  <c r="G1462" i="6"/>
  <c r="H1462" i="6" s="1"/>
  <c r="G1463" i="6"/>
  <c r="H1463" i="6" s="1"/>
  <c r="R1463" i="6" s="1"/>
  <c r="S1463" i="6" s="1"/>
  <c r="T1463" i="6" s="1"/>
  <c r="G1464" i="6"/>
  <c r="H1464" i="6" s="1"/>
  <c r="R1464" i="6" s="1"/>
  <c r="S1464" i="6" s="1"/>
  <c r="T1464" i="6" s="1"/>
  <c r="G1465" i="6"/>
  <c r="H1465" i="6" s="1"/>
  <c r="P1465" i="6" s="1"/>
  <c r="G1466" i="6"/>
  <c r="H1466" i="6" s="1"/>
  <c r="G1467" i="6"/>
  <c r="H1467" i="6" s="1"/>
  <c r="P1467" i="6" s="1"/>
  <c r="G1468" i="6"/>
  <c r="H1468" i="6" s="1"/>
  <c r="G1469" i="6"/>
  <c r="H1469" i="6" s="1"/>
  <c r="R1469" i="6" s="1"/>
  <c r="S1469" i="6" s="1"/>
  <c r="T1469" i="6" s="1"/>
  <c r="G1470" i="6"/>
  <c r="H1470" i="6" s="1"/>
  <c r="P1470" i="6" s="1"/>
  <c r="G1471" i="6"/>
  <c r="H1471" i="6" s="1"/>
  <c r="P1471" i="6" s="1"/>
  <c r="G1472" i="6"/>
  <c r="H1472" i="6" s="1"/>
  <c r="R1472" i="6" s="1"/>
  <c r="S1472" i="6" s="1"/>
  <c r="T1472" i="6" s="1"/>
  <c r="G1473" i="6"/>
  <c r="H1473" i="6" s="1"/>
  <c r="G1474" i="6"/>
  <c r="H1474" i="6" s="1"/>
  <c r="G1475" i="6"/>
  <c r="H1475" i="6" s="1"/>
  <c r="G1476" i="6"/>
  <c r="H1476" i="6" s="1"/>
  <c r="P1476" i="6" s="1"/>
  <c r="G1477" i="6"/>
  <c r="H1477" i="6" s="1"/>
  <c r="G1478" i="6"/>
  <c r="H1478" i="6" s="1"/>
  <c r="G1479" i="6"/>
  <c r="H1479" i="6" s="1"/>
  <c r="G1480" i="6"/>
  <c r="H1480" i="6" s="1"/>
  <c r="P1480" i="6" s="1"/>
  <c r="G1481" i="6"/>
  <c r="H1481" i="6" s="1"/>
  <c r="R1481" i="6" s="1"/>
  <c r="S1481" i="6" s="1"/>
  <c r="T1481" i="6" s="1"/>
  <c r="G1482" i="6"/>
  <c r="H1482" i="6" s="1"/>
  <c r="P1482" i="6" s="1"/>
  <c r="G1483" i="6"/>
  <c r="H1483" i="6" s="1"/>
  <c r="R1483" i="6" s="1"/>
  <c r="S1483" i="6" s="1"/>
  <c r="T1483" i="6" s="1"/>
  <c r="G1484" i="6"/>
  <c r="H1484" i="6" s="1"/>
  <c r="P1484" i="6" s="1"/>
  <c r="G1485" i="6"/>
  <c r="H1485" i="6" s="1"/>
  <c r="G1486" i="6"/>
  <c r="H1486" i="6" s="1"/>
  <c r="G1487" i="6"/>
  <c r="H1487" i="6" s="1"/>
  <c r="G1488" i="6"/>
  <c r="H1488" i="6" s="1"/>
  <c r="G1489" i="6"/>
  <c r="H1489" i="6" s="1"/>
  <c r="P1489" i="6" s="1"/>
  <c r="G1490" i="6"/>
  <c r="H1490" i="6" s="1"/>
  <c r="G1491" i="6"/>
  <c r="H1491" i="6" s="1"/>
  <c r="G1492" i="6"/>
  <c r="H1492" i="6" s="1"/>
  <c r="G1493" i="6"/>
  <c r="H1493" i="6" s="1"/>
  <c r="R1493" i="6" s="1"/>
  <c r="S1493" i="6" s="1"/>
  <c r="T1493" i="6" s="1"/>
  <c r="G1494" i="6"/>
  <c r="H1494" i="6" s="1"/>
  <c r="G1495" i="6"/>
  <c r="H1495" i="6" s="1"/>
  <c r="P1495" i="6" s="1"/>
  <c r="G1496" i="6"/>
  <c r="H1496" i="6" s="1"/>
  <c r="G1497" i="6"/>
  <c r="H1497" i="6" s="1"/>
  <c r="G1498" i="6"/>
  <c r="H1498" i="6" s="1"/>
  <c r="P1498" i="6" s="1"/>
  <c r="G1499" i="6"/>
  <c r="H1499" i="6" s="1"/>
  <c r="R1499" i="6" s="1"/>
  <c r="S1499" i="6" s="1"/>
  <c r="T1499" i="6" s="1"/>
  <c r="G1500" i="6"/>
  <c r="H1500" i="6" s="1"/>
  <c r="G1501" i="6"/>
  <c r="H1501" i="6" s="1"/>
  <c r="P1501" i="6" s="1"/>
  <c r="G1502" i="6"/>
  <c r="H1502" i="6" s="1"/>
  <c r="G1503" i="6"/>
  <c r="H1503" i="6" s="1"/>
  <c r="R1503" i="6" s="1"/>
  <c r="S1503" i="6" s="1"/>
  <c r="T1503" i="6" s="1"/>
  <c r="G1504" i="6"/>
  <c r="H1504" i="6" s="1"/>
  <c r="G1505" i="6"/>
  <c r="H1505" i="6" s="1"/>
  <c r="P1505" i="6" s="1"/>
  <c r="G1506" i="6"/>
  <c r="H1506" i="6" s="1"/>
  <c r="G1507" i="6"/>
  <c r="H1507" i="6" s="1"/>
  <c r="G1508" i="6"/>
  <c r="H1508" i="6" s="1"/>
  <c r="G1509" i="6"/>
  <c r="H1509" i="6" s="1"/>
  <c r="G1510" i="6"/>
  <c r="H1510" i="6" s="1"/>
  <c r="R1510" i="6" s="1"/>
  <c r="S1510" i="6" s="1"/>
  <c r="T1510" i="6" s="1"/>
  <c r="G1511" i="6"/>
  <c r="H1511" i="6" s="1"/>
  <c r="R1511" i="6" s="1"/>
  <c r="S1511" i="6" s="1"/>
  <c r="T1511" i="6" s="1"/>
  <c r="G1512" i="6"/>
  <c r="H1512" i="6" s="1"/>
  <c r="G1513" i="6"/>
  <c r="H1513" i="6" s="1"/>
  <c r="R1513" i="6" s="1"/>
  <c r="S1513" i="6" s="1"/>
  <c r="T1513" i="6" s="1"/>
  <c r="G1514" i="6"/>
  <c r="H1514" i="6" s="1"/>
  <c r="R1514" i="6" s="1"/>
  <c r="S1514" i="6" s="1"/>
  <c r="T1514" i="6" s="1"/>
  <c r="G1515" i="6"/>
  <c r="H1515" i="6" s="1"/>
  <c r="G1516" i="6"/>
  <c r="H1516" i="6" s="1"/>
  <c r="P1516" i="6" s="1"/>
  <c r="G1517" i="6"/>
  <c r="H1517" i="6" s="1"/>
  <c r="P1517" i="6" s="1"/>
  <c r="G1518" i="6"/>
  <c r="H1518" i="6" s="1"/>
  <c r="G1519" i="6"/>
  <c r="H1519" i="6" s="1"/>
  <c r="G1520" i="6"/>
  <c r="H1520" i="6" s="1"/>
  <c r="G1521" i="6"/>
  <c r="H1521" i="6" s="1"/>
  <c r="G1522" i="6"/>
  <c r="H1522" i="6" s="1"/>
  <c r="G1523" i="6"/>
  <c r="H1523" i="6" s="1"/>
  <c r="R1523" i="6" s="1"/>
  <c r="S1523" i="6" s="1"/>
  <c r="T1523" i="6" s="1"/>
  <c r="G1524" i="6"/>
  <c r="H1524" i="6" s="1"/>
  <c r="R1524" i="6" s="1"/>
  <c r="S1524" i="6" s="1"/>
  <c r="T1524" i="6" s="1"/>
  <c r="G1525" i="6"/>
  <c r="H1525" i="6" s="1"/>
  <c r="P1525" i="6" s="1"/>
  <c r="G1526" i="6"/>
  <c r="H1526" i="6" s="1"/>
  <c r="R1526" i="6" s="1"/>
  <c r="S1526" i="6" s="1"/>
  <c r="T1526" i="6" s="1"/>
  <c r="G1527" i="6"/>
  <c r="H1527" i="6" s="1"/>
  <c r="R1527" i="6" s="1"/>
  <c r="S1527" i="6" s="1"/>
  <c r="T1527" i="6" s="1"/>
  <c r="G1528" i="6"/>
  <c r="H1528" i="6" s="1"/>
  <c r="P1528" i="6" s="1"/>
  <c r="G1529" i="6"/>
  <c r="H1529" i="6" s="1"/>
  <c r="G1530" i="6"/>
  <c r="H1530" i="6" s="1"/>
  <c r="R1530" i="6" s="1"/>
  <c r="S1530" i="6" s="1"/>
  <c r="T1530" i="6" s="1"/>
  <c r="G1531" i="6"/>
  <c r="H1531" i="6" s="1"/>
  <c r="G1532" i="6"/>
  <c r="H1532" i="6" s="1"/>
  <c r="G1533" i="6"/>
  <c r="H1533" i="6" s="1"/>
  <c r="G1534" i="6"/>
  <c r="H1534" i="6" s="1"/>
  <c r="P1534" i="6" s="1"/>
  <c r="Q1534" i="6" s="1"/>
  <c r="U1534" i="6" s="1"/>
  <c r="G1535" i="6"/>
  <c r="H1535" i="6" s="1"/>
  <c r="G1536" i="6"/>
  <c r="H1536" i="6" s="1"/>
  <c r="G1537" i="6"/>
  <c r="H1537" i="6" s="1"/>
  <c r="G1538" i="6"/>
  <c r="H1538" i="6" s="1"/>
  <c r="G1539" i="6"/>
  <c r="H1539" i="6" s="1"/>
  <c r="G1540" i="6"/>
  <c r="H1540" i="6" s="1"/>
  <c r="R1540" i="6" s="1"/>
  <c r="S1540" i="6" s="1"/>
  <c r="T1540" i="6" s="1"/>
  <c r="G1541" i="6"/>
  <c r="H1541" i="6" s="1"/>
  <c r="R1541" i="6" s="1"/>
  <c r="S1541" i="6" s="1"/>
  <c r="T1541" i="6" s="1"/>
  <c r="G1542" i="6"/>
  <c r="H1542" i="6" s="1"/>
  <c r="G1543" i="6"/>
  <c r="H1543" i="6" s="1"/>
  <c r="G1544" i="6"/>
  <c r="H1544" i="6" s="1"/>
  <c r="G1545" i="6"/>
  <c r="H1545" i="6" s="1"/>
  <c r="P1545" i="6" s="1"/>
  <c r="G1546" i="6"/>
  <c r="H1546" i="6" s="1"/>
  <c r="R1546" i="6" s="1"/>
  <c r="S1546" i="6" s="1"/>
  <c r="T1546" i="6" s="1"/>
  <c r="G1547" i="6"/>
  <c r="H1547" i="6" s="1"/>
  <c r="G1548" i="6"/>
  <c r="H1548" i="6" s="1"/>
  <c r="R1548" i="6" s="1"/>
  <c r="S1548" i="6" s="1"/>
  <c r="T1548" i="6" s="1"/>
  <c r="G1549" i="6"/>
  <c r="H1549" i="6" s="1"/>
  <c r="G1550" i="6"/>
  <c r="H1550" i="6" s="1"/>
  <c r="P1550" i="6" s="1"/>
  <c r="G1551" i="6"/>
  <c r="H1551" i="6" s="1"/>
  <c r="R1551" i="6" s="1"/>
  <c r="S1551" i="6" s="1"/>
  <c r="T1551" i="6" s="1"/>
  <c r="G1552" i="6"/>
  <c r="H1552" i="6" s="1"/>
  <c r="G1553" i="6"/>
  <c r="H1553" i="6" s="1"/>
  <c r="R1553" i="6" s="1"/>
  <c r="S1553" i="6" s="1"/>
  <c r="T1553" i="6" s="1"/>
  <c r="G1554" i="6"/>
  <c r="H1554" i="6" s="1"/>
  <c r="P1554" i="6" s="1"/>
  <c r="G1555" i="6"/>
  <c r="H1555" i="6" s="1"/>
  <c r="G1556" i="6"/>
  <c r="H1556" i="6" s="1"/>
  <c r="G1557" i="6"/>
  <c r="H1557" i="6" s="1"/>
  <c r="G1558" i="6"/>
  <c r="H1558" i="6" s="1"/>
  <c r="P1558" i="6" s="1"/>
  <c r="G1559" i="6"/>
  <c r="H1559" i="6" s="1"/>
  <c r="G1560" i="6"/>
  <c r="H1560" i="6" s="1"/>
  <c r="R1560" i="6" s="1"/>
  <c r="S1560" i="6" s="1"/>
  <c r="T1560" i="6" s="1"/>
  <c r="G1561" i="6"/>
  <c r="H1561" i="6" s="1"/>
  <c r="P1561" i="6" s="1"/>
  <c r="G1562" i="6"/>
  <c r="H1562" i="6" s="1"/>
  <c r="G1563" i="6"/>
  <c r="H1563" i="6" s="1"/>
  <c r="P1563" i="6" s="1"/>
  <c r="G1564" i="6"/>
  <c r="H1564" i="6" s="1"/>
  <c r="P1564" i="6" s="1"/>
  <c r="G1565" i="6"/>
  <c r="H1565" i="6" s="1"/>
  <c r="R1565" i="6" s="1"/>
  <c r="S1565" i="6" s="1"/>
  <c r="T1565" i="6" s="1"/>
  <c r="G1566" i="6"/>
  <c r="H1566" i="6" s="1"/>
  <c r="G1567" i="6"/>
  <c r="H1567" i="6" s="1"/>
  <c r="R1567" i="6" s="1"/>
  <c r="S1567" i="6" s="1"/>
  <c r="T1567" i="6" s="1"/>
  <c r="G1568" i="6"/>
  <c r="H1568" i="6" s="1"/>
  <c r="G1569" i="6"/>
  <c r="H1569" i="6" s="1"/>
  <c r="G1570" i="6"/>
  <c r="H1570" i="6" s="1"/>
  <c r="P1570" i="6" s="1"/>
  <c r="G1571" i="6"/>
  <c r="H1571" i="6" s="1"/>
  <c r="P1571" i="6" s="1"/>
  <c r="G1572" i="6"/>
  <c r="H1572" i="6" s="1"/>
  <c r="G1573" i="6"/>
  <c r="H1573" i="6" s="1"/>
  <c r="R1573" i="6" s="1"/>
  <c r="S1573" i="6" s="1"/>
  <c r="T1573" i="6" s="1"/>
  <c r="G1574" i="6"/>
  <c r="H1574" i="6" s="1"/>
  <c r="P1574" i="6" s="1"/>
  <c r="Q1574" i="6" s="1"/>
  <c r="U1574" i="6" s="1"/>
  <c r="G1575" i="6"/>
  <c r="H1575" i="6" s="1"/>
  <c r="P1575" i="6" s="1"/>
  <c r="G1576" i="6"/>
  <c r="H1576" i="6" s="1"/>
  <c r="G1577" i="6"/>
  <c r="H1577" i="6" s="1"/>
  <c r="G1578" i="6"/>
  <c r="H1578" i="6" s="1"/>
  <c r="P1578" i="6" s="1"/>
  <c r="G1579" i="6"/>
  <c r="H1579" i="6" s="1"/>
  <c r="G1580" i="6"/>
  <c r="H1580" i="6" s="1"/>
  <c r="P1580" i="6" s="1"/>
  <c r="G1581" i="6"/>
  <c r="H1581" i="6" s="1"/>
  <c r="R1581" i="6" s="1"/>
  <c r="S1581" i="6" s="1"/>
  <c r="T1581" i="6" s="1"/>
  <c r="G1582" i="6"/>
  <c r="H1582" i="6" s="1"/>
  <c r="R1582" i="6" s="1"/>
  <c r="S1582" i="6" s="1"/>
  <c r="T1582" i="6" s="1"/>
  <c r="G1583" i="6"/>
  <c r="H1583" i="6" s="1"/>
  <c r="P1583" i="6" s="1"/>
  <c r="G1584" i="6"/>
  <c r="H1584" i="6" s="1"/>
  <c r="R1584" i="6" s="1"/>
  <c r="S1584" i="6" s="1"/>
  <c r="T1584" i="6" s="1"/>
  <c r="G1585" i="6"/>
  <c r="H1585" i="6" s="1"/>
  <c r="P1585" i="6" s="1"/>
  <c r="G1586" i="6"/>
  <c r="H1586" i="6" s="1"/>
  <c r="R1586" i="6" s="1"/>
  <c r="S1586" i="6" s="1"/>
  <c r="T1586" i="6" s="1"/>
  <c r="G1587" i="6"/>
  <c r="H1587" i="6" s="1"/>
  <c r="P1587" i="6" s="1"/>
  <c r="G1588" i="6"/>
  <c r="H1588" i="6" s="1"/>
  <c r="G1589" i="6"/>
  <c r="H1589" i="6" s="1"/>
  <c r="P1589" i="6" s="1"/>
  <c r="G1590" i="6"/>
  <c r="H1590" i="6" s="1"/>
  <c r="G1591" i="6"/>
  <c r="H1591" i="6" s="1"/>
  <c r="G1592" i="6"/>
  <c r="H1592" i="6" s="1"/>
  <c r="G1593" i="6"/>
  <c r="H1593" i="6" s="1"/>
  <c r="G1594" i="6"/>
  <c r="H1594" i="6" s="1"/>
  <c r="P1594" i="6" s="1"/>
  <c r="Q1594" i="6" s="1"/>
  <c r="U1594" i="6" s="1"/>
  <c r="G1595" i="6"/>
  <c r="H1595" i="6" s="1"/>
  <c r="G1596" i="6"/>
  <c r="H1596" i="6" s="1"/>
  <c r="P1596" i="6" s="1"/>
  <c r="G1597" i="6"/>
  <c r="H1597" i="6" s="1"/>
  <c r="G1598" i="6"/>
  <c r="H1598" i="6" s="1"/>
  <c r="P1598" i="6" s="1"/>
  <c r="G1599" i="6"/>
  <c r="H1599" i="6" s="1"/>
  <c r="G1600" i="6"/>
  <c r="H1600" i="6" s="1"/>
  <c r="G1601" i="6"/>
  <c r="H1601" i="6" s="1"/>
  <c r="P1601" i="6" s="1"/>
  <c r="G1602" i="6"/>
  <c r="H1602" i="6" s="1"/>
  <c r="G1603" i="6"/>
  <c r="H1603" i="6" s="1"/>
  <c r="G1604" i="6"/>
  <c r="H1604" i="6" s="1"/>
  <c r="G1605" i="6"/>
  <c r="H1605" i="6" s="1"/>
  <c r="G1606" i="6"/>
  <c r="H1606" i="6" s="1"/>
  <c r="G1607" i="6"/>
  <c r="H1607" i="6" s="1"/>
  <c r="G1608" i="6"/>
  <c r="H1608" i="6" s="1"/>
  <c r="P1608" i="6" s="1"/>
  <c r="G1609" i="6"/>
  <c r="H1609" i="6" s="1"/>
  <c r="G1610" i="6"/>
  <c r="H1610" i="6" s="1"/>
  <c r="P1610" i="6" s="1"/>
  <c r="G1611" i="6"/>
  <c r="H1611" i="6" s="1"/>
  <c r="R1611" i="6" s="1"/>
  <c r="S1611" i="6" s="1"/>
  <c r="T1611" i="6" s="1"/>
  <c r="G1612" i="6"/>
  <c r="H1612" i="6" s="1"/>
  <c r="R1612" i="6" s="1"/>
  <c r="S1612" i="6" s="1"/>
  <c r="T1612" i="6" s="1"/>
  <c r="G1613" i="6"/>
  <c r="H1613" i="6" s="1"/>
  <c r="R1613" i="6" s="1"/>
  <c r="S1613" i="6" s="1"/>
  <c r="T1613" i="6" s="1"/>
  <c r="G1614" i="6"/>
  <c r="H1614" i="6" s="1"/>
  <c r="P1614" i="6" s="1"/>
  <c r="G1615" i="6"/>
  <c r="H1615" i="6" s="1"/>
  <c r="G1616" i="6"/>
  <c r="H1616" i="6" s="1"/>
  <c r="G1617" i="6"/>
  <c r="H1617" i="6" s="1"/>
  <c r="G1618" i="6"/>
  <c r="H1618" i="6" s="1"/>
  <c r="P1618" i="6" s="1"/>
  <c r="G1619" i="6"/>
  <c r="H1619" i="6" s="1"/>
  <c r="R1619" i="6" s="1"/>
  <c r="S1619" i="6" s="1"/>
  <c r="T1619" i="6" s="1"/>
  <c r="G1620" i="6"/>
  <c r="H1620" i="6" s="1"/>
  <c r="G1621" i="6"/>
  <c r="H1621" i="6" s="1"/>
  <c r="G1622" i="6"/>
  <c r="H1622" i="6" s="1"/>
  <c r="R1622" i="6" s="1"/>
  <c r="S1622" i="6" s="1"/>
  <c r="T1622" i="6" s="1"/>
  <c r="G1623" i="6"/>
  <c r="H1623" i="6" s="1"/>
  <c r="P1623" i="6" s="1"/>
  <c r="G1624" i="6"/>
  <c r="H1624" i="6" s="1"/>
  <c r="G1625" i="6"/>
  <c r="H1625" i="6" s="1"/>
  <c r="P1625" i="6" s="1"/>
  <c r="G1626" i="6"/>
  <c r="H1626" i="6" s="1"/>
  <c r="R1626" i="6" s="1"/>
  <c r="S1626" i="6" s="1"/>
  <c r="T1626" i="6" s="1"/>
  <c r="G1627" i="6"/>
  <c r="H1627" i="6" s="1"/>
  <c r="G1628" i="6"/>
  <c r="H1628" i="6" s="1"/>
  <c r="P1628" i="6" s="1"/>
  <c r="G1629" i="6"/>
  <c r="H1629" i="6" s="1"/>
  <c r="G1630" i="6"/>
  <c r="H1630" i="6" s="1"/>
  <c r="R1630" i="6" s="1"/>
  <c r="S1630" i="6" s="1"/>
  <c r="T1630" i="6" s="1"/>
  <c r="G1631" i="6"/>
  <c r="H1631" i="6" s="1"/>
  <c r="R1631" i="6" s="1"/>
  <c r="S1631" i="6" s="1"/>
  <c r="T1631" i="6" s="1"/>
  <c r="G1632" i="6"/>
  <c r="H1632" i="6" s="1"/>
  <c r="P1632" i="6" s="1"/>
  <c r="G1633" i="6"/>
  <c r="H1633" i="6" s="1"/>
  <c r="G1634" i="6"/>
  <c r="H1634" i="6" s="1"/>
  <c r="R1634" i="6" s="1"/>
  <c r="S1634" i="6" s="1"/>
  <c r="T1634" i="6" s="1"/>
  <c r="G1635" i="6"/>
  <c r="H1635" i="6" s="1"/>
  <c r="R1635" i="6" s="1"/>
  <c r="S1635" i="6" s="1"/>
  <c r="T1635" i="6" s="1"/>
  <c r="G1636" i="6"/>
  <c r="H1636" i="6" s="1"/>
  <c r="G1637" i="6"/>
  <c r="H1637" i="6" s="1"/>
  <c r="P1637" i="6" s="1"/>
  <c r="G1638" i="6"/>
  <c r="H1638" i="6" s="1"/>
  <c r="P1638" i="6" s="1"/>
  <c r="Q1638" i="6" s="1"/>
  <c r="U1638" i="6" s="1"/>
  <c r="G1644" i="6"/>
  <c r="H1644" i="6" s="1"/>
  <c r="G7" i="6"/>
  <c r="H7" i="6" s="1"/>
  <c r="G870" i="21"/>
  <c r="I870" i="21"/>
  <c r="N870" i="21"/>
  <c r="O870" i="21" s="1"/>
  <c r="G871" i="21"/>
  <c r="N871" i="21"/>
  <c r="O871" i="21" s="1"/>
  <c r="G872" i="21"/>
  <c r="I872" i="21" s="1"/>
  <c r="N872" i="21"/>
  <c r="O872" i="21" s="1"/>
  <c r="G873" i="21"/>
  <c r="N873" i="21"/>
  <c r="O873" i="21"/>
  <c r="G874" i="21"/>
  <c r="N874" i="21"/>
  <c r="O874" i="21" s="1"/>
  <c r="G875" i="21"/>
  <c r="N875" i="21"/>
  <c r="O875" i="21" s="1"/>
  <c r="G876" i="21"/>
  <c r="I876" i="21"/>
  <c r="J876" i="21" s="1"/>
  <c r="N876" i="21"/>
  <c r="O876" i="21" s="1"/>
  <c r="G877" i="21"/>
  <c r="N877" i="21"/>
  <c r="O877" i="21"/>
  <c r="G878" i="21"/>
  <c r="N878" i="21"/>
  <c r="O878" i="21" s="1"/>
  <c r="G879" i="21"/>
  <c r="I879" i="21" s="1"/>
  <c r="J879" i="21" s="1"/>
  <c r="N879" i="21"/>
  <c r="O879" i="21"/>
  <c r="G880" i="21"/>
  <c r="I880" i="21" s="1"/>
  <c r="N880" i="21"/>
  <c r="O880" i="21" s="1"/>
  <c r="G881" i="21"/>
  <c r="N881" i="21"/>
  <c r="O881" i="21" s="1"/>
  <c r="G882" i="21"/>
  <c r="I882" i="21" s="1"/>
  <c r="J882" i="21" s="1"/>
  <c r="N882" i="21"/>
  <c r="O882" i="21" s="1"/>
  <c r="G883" i="21"/>
  <c r="I883" i="21" s="1"/>
  <c r="N883" i="21"/>
  <c r="O883" i="21"/>
  <c r="G884" i="21"/>
  <c r="I884" i="21"/>
  <c r="N884" i="21"/>
  <c r="O884" i="21" s="1"/>
  <c r="G885" i="21"/>
  <c r="N885" i="21"/>
  <c r="O885" i="21"/>
  <c r="G886" i="21"/>
  <c r="I886" i="21"/>
  <c r="N886" i="21"/>
  <c r="O886" i="21" s="1"/>
  <c r="G887" i="21"/>
  <c r="N887" i="21"/>
  <c r="O887" i="21"/>
  <c r="G888" i="21"/>
  <c r="I888" i="21"/>
  <c r="N888" i="21"/>
  <c r="O888" i="21"/>
  <c r="G889" i="21"/>
  <c r="N889" i="21"/>
  <c r="O889" i="21" s="1"/>
  <c r="G890" i="21"/>
  <c r="N890" i="21"/>
  <c r="O890" i="21" s="1"/>
  <c r="G891" i="21"/>
  <c r="I891" i="21" s="1"/>
  <c r="J891" i="21" s="1"/>
  <c r="N891" i="21"/>
  <c r="O891" i="21" s="1"/>
  <c r="G892" i="21"/>
  <c r="I892" i="21" s="1"/>
  <c r="N892" i="21"/>
  <c r="O892" i="21" s="1"/>
  <c r="G893" i="21"/>
  <c r="N893" i="21"/>
  <c r="O893" i="21" s="1"/>
  <c r="G894" i="21"/>
  <c r="I894" i="21"/>
  <c r="J894" i="21" s="1"/>
  <c r="N894" i="21"/>
  <c r="O894" i="21" s="1"/>
  <c r="G895" i="21"/>
  <c r="I895" i="21" s="1"/>
  <c r="J895" i="21" s="1"/>
  <c r="N895" i="21"/>
  <c r="O895" i="21" s="1"/>
  <c r="G896" i="21"/>
  <c r="I896" i="21" s="1"/>
  <c r="N896" i="21"/>
  <c r="O896" i="21" s="1"/>
  <c r="G897" i="21"/>
  <c r="N897" i="21"/>
  <c r="O897" i="21" s="1"/>
  <c r="G898" i="21"/>
  <c r="I898" i="21" s="1"/>
  <c r="J898" i="21" s="1"/>
  <c r="N898" i="21"/>
  <c r="O898" i="21" s="1"/>
  <c r="G899" i="21"/>
  <c r="I899" i="21" s="1"/>
  <c r="J899" i="21" s="1"/>
  <c r="N899" i="21"/>
  <c r="O899" i="21" s="1"/>
  <c r="G900" i="21"/>
  <c r="I900" i="21" s="1"/>
  <c r="N900" i="21"/>
  <c r="O900" i="21" s="1"/>
  <c r="G901" i="21"/>
  <c r="N901" i="21"/>
  <c r="O901" i="21" s="1"/>
  <c r="G902" i="21"/>
  <c r="I902" i="21" s="1"/>
  <c r="J902" i="21" s="1"/>
  <c r="N902" i="21"/>
  <c r="O902" i="21" s="1"/>
  <c r="G903" i="21"/>
  <c r="I903" i="21" s="1"/>
  <c r="N903" i="21"/>
  <c r="O903" i="21" s="1"/>
  <c r="G904" i="21"/>
  <c r="I904" i="21" s="1"/>
  <c r="N904" i="21"/>
  <c r="O904" i="21"/>
  <c r="G905" i="21"/>
  <c r="N905" i="21"/>
  <c r="O905" i="21" s="1"/>
  <c r="G906" i="21"/>
  <c r="N906" i="21"/>
  <c r="O906" i="21"/>
  <c r="G907" i="21"/>
  <c r="I907" i="21" s="1"/>
  <c r="J907" i="21" s="1"/>
  <c r="N907" i="21"/>
  <c r="O907" i="21" s="1"/>
  <c r="G908" i="21"/>
  <c r="I908" i="21" s="1"/>
  <c r="N908" i="21"/>
  <c r="O908" i="21" s="1"/>
  <c r="G909" i="21"/>
  <c r="N909" i="21"/>
  <c r="O909" i="21" s="1"/>
  <c r="G910" i="21"/>
  <c r="I910" i="21" s="1"/>
  <c r="J910" i="21" s="1"/>
  <c r="N910" i="21"/>
  <c r="O910" i="21" s="1"/>
  <c r="G911" i="21"/>
  <c r="I911" i="21" s="1"/>
  <c r="N911" i="21"/>
  <c r="O911" i="21" s="1"/>
  <c r="G912" i="21"/>
  <c r="I912" i="21" s="1"/>
  <c r="N912" i="21"/>
  <c r="O912" i="21" s="1"/>
  <c r="G913" i="21"/>
  <c r="N913" i="21"/>
  <c r="O913" i="21" s="1"/>
  <c r="G914" i="21"/>
  <c r="I914" i="21" s="1"/>
  <c r="N914" i="21"/>
  <c r="O914" i="21" s="1"/>
  <c r="G915" i="21"/>
  <c r="I915" i="21" s="1"/>
  <c r="J915" i="21" s="1"/>
  <c r="N915" i="21"/>
  <c r="O915" i="21" s="1"/>
  <c r="G916" i="21"/>
  <c r="I916" i="21" s="1"/>
  <c r="N916" i="21"/>
  <c r="O916" i="21" s="1"/>
  <c r="G917" i="21"/>
  <c r="N917" i="21"/>
  <c r="O917" i="21"/>
  <c r="G918" i="21"/>
  <c r="J918" i="21"/>
  <c r="I918" i="21"/>
  <c r="N918" i="21"/>
  <c r="O918" i="21" s="1"/>
  <c r="G919" i="21"/>
  <c r="I919" i="21" s="1"/>
  <c r="N919" i="21"/>
  <c r="O919" i="21" s="1"/>
  <c r="G920" i="21"/>
  <c r="I920" i="21" s="1"/>
  <c r="N920" i="21"/>
  <c r="O920" i="21" s="1"/>
  <c r="G921" i="21"/>
  <c r="N921" i="21"/>
  <c r="O921" i="21" s="1"/>
  <c r="G922" i="21"/>
  <c r="I922" i="21" s="1"/>
  <c r="N922" i="21"/>
  <c r="O922" i="21" s="1"/>
  <c r="G923" i="21"/>
  <c r="I923" i="21" s="1"/>
  <c r="N923" i="21"/>
  <c r="O923" i="21"/>
  <c r="G924" i="21"/>
  <c r="I924" i="21" s="1"/>
  <c r="N924" i="21"/>
  <c r="O924" i="21" s="1"/>
  <c r="G925" i="21"/>
  <c r="N925" i="21"/>
  <c r="O925" i="21" s="1"/>
  <c r="G926" i="21"/>
  <c r="I926" i="21" s="1"/>
  <c r="N926" i="21"/>
  <c r="O926" i="21" s="1"/>
  <c r="G927" i="21"/>
  <c r="N927" i="21"/>
  <c r="O927" i="21" s="1"/>
  <c r="G928" i="21"/>
  <c r="I928" i="21"/>
  <c r="N928" i="21"/>
  <c r="O928" i="21" s="1"/>
  <c r="G929" i="21"/>
  <c r="N929" i="21"/>
  <c r="O929" i="21" s="1"/>
  <c r="G930" i="21"/>
  <c r="N930" i="21"/>
  <c r="O930" i="21" s="1"/>
  <c r="G931" i="21"/>
  <c r="I931" i="21" s="1"/>
  <c r="J931" i="21" s="1"/>
  <c r="N931" i="21"/>
  <c r="O931" i="21" s="1"/>
  <c r="G932" i="21"/>
  <c r="I932" i="21" s="1"/>
  <c r="N932" i="21"/>
  <c r="O932" i="21" s="1"/>
  <c r="G933" i="21"/>
  <c r="N933" i="21"/>
  <c r="O933" i="21"/>
  <c r="G934" i="21"/>
  <c r="I934" i="21" s="1"/>
  <c r="J934" i="21" s="1"/>
  <c r="N934" i="21"/>
  <c r="O934" i="21" s="1"/>
  <c r="G935" i="21"/>
  <c r="I935" i="21" s="1"/>
  <c r="J935" i="21"/>
  <c r="N935" i="21"/>
  <c r="O935" i="21" s="1"/>
  <c r="G936" i="21"/>
  <c r="I936" i="21"/>
  <c r="N936" i="21"/>
  <c r="O936" i="21" s="1"/>
  <c r="G937" i="21"/>
  <c r="N937" i="21"/>
  <c r="O937" i="21" s="1"/>
  <c r="G938" i="21"/>
  <c r="I938" i="21" s="1"/>
  <c r="J938" i="21" s="1"/>
  <c r="N938" i="21"/>
  <c r="O938" i="21" s="1"/>
  <c r="G939" i="21"/>
  <c r="N939" i="21"/>
  <c r="O939" i="21" s="1"/>
  <c r="G940" i="21"/>
  <c r="I940" i="21" s="1"/>
  <c r="N940" i="21"/>
  <c r="O940" i="21" s="1"/>
  <c r="G941" i="21"/>
  <c r="N941" i="21"/>
  <c r="O941" i="21" s="1"/>
  <c r="G942" i="21"/>
  <c r="N942" i="21"/>
  <c r="O942" i="21" s="1"/>
  <c r="G943" i="21"/>
  <c r="N943" i="21"/>
  <c r="O943" i="21" s="1"/>
  <c r="G944" i="21"/>
  <c r="I944" i="21" s="1"/>
  <c r="N944" i="21"/>
  <c r="O944" i="21"/>
  <c r="G945" i="21"/>
  <c r="N945" i="21"/>
  <c r="O945" i="21" s="1"/>
  <c r="G946" i="21"/>
  <c r="N946" i="21"/>
  <c r="O946" i="21"/>
  <c r="G947" i="21"/>
  <c r="J947" i="21"/>
  <c r="I947" i="21"/>
  <c r="N947" i="21"/>
  <c r="O947" i="21" s="1"/>
  <c r="G948" i="21"/>
  <c r="I948" i="21" s="1"/>
  <c r="N948" i="21"/>
  <c r="O948" i="21" s="1"/>
  <c r="G949" i="21"/>
  <c r="N949" i="21"/>
  <c r="O949" i="21" s="1"/>
  <c r="G950" i="21"/>
  <c r="I950" i="21"/>
  <c r="N950" i="21"/>
  <c r="O950" i="21" s="1"/>
  <c r="G951" i="21"/>
  <c r="I951" i="21"/>
  <c r="N951" i="21"/>
  <c r="O951" i="21" s="1"/>
  <c r="G952" i="21"/>
  <c r="I952" i="21" s="1"/>
  <c r="N952" i="21"/>
  <c r="O952" i="21" s="1"/>
  <c r="G953" i="21"/>
  <c r="N953" i="21"/>
  <c r="O953" i="21" s="1"/>
  <c r="G954" i="21"/>
  <c r="I954" i="21" s="1"/>
  <c r="N954" i="21"/>
  <c r="O954" i="21" s="1"/>
  <c r="G955" i="21"/>
  <c r="I955" i="21"/>
  <c r="N955" i="21"/>
  <c r="O955" i="21" s="1"/>
  <c r="G956" i="21"/>
  <c r="I956" i="21" s="1"/>
  <c r="N956" i="21"/>
  <c r="O956" i="21" s="1"/>
  <c r="G957" i="21"/>
  <c r="N957" i="21"/>
  <c r="O957" i="21" s="1"/>
  <c r="G958" i="21"/>
  <c r="I958" i="21" s="1"/>
  <c r="N958" i="21"/>
  <c r="O958" i="21" s="1"/>
  <c r="G959" i="21"/>
  <c r="I959" i="21" s="1"/>
  <c r="N959" i="21"/>
  <c r="O959" i="21" s="1"/>
  <c r="G960" i="21"/>
  <c r="I960" i="21" s="1"/>
  <c r="N960" i="21"/>
  <c r="O960" i="21" s="1"/>
  <c r="G961" i="21"/>
  <c r="N961" i="21"/>
  <c r="O961" i="21" s="1"/>
  <c r="G962" i="21"/>
  <c r="I962" i="21" s="1"/>
  <c r="N962" i="21"/>
  <c r="O962" i="21" s="1"/>
  <c r="G963" i="21"/>
  <c r="I963" i="21" s="1"/>
  <c r="N963" i="21"/>
  <c r="O963" i="21" s="1"/>
  <c r="G964" i="21"/>
  <c r="I964" i="21" s="1"/>
  <c r="N964" i="21"/>
  <c r="O964" i="21" s="1"/>
  <c r="G965" i="21"/>
  <c r="N965" i="21"/>
  <c r="O965" i="21" s="1"/>
  <c r="G966" i="21"/>
  <c r="N966" i="21"/>
  <c r="O966" i="21" s="1"/>
  <c r="G967" i="21"/>
  <c r="I967" i="21" s="1"/>
  <c r="N967" i="21"/>
  <c r="O967" i="21" s="1"/>
  <c r="G968" i="21"/>
  <c r="I968" i="21" s="1"/>
  <c r="N968" i="21"/>
  <c r="O968" i="21" s="1"/>
  <c r="G969" i="21"/>
  <c r="N969" i="21"/>
  <c r="O969" i="21" s="1"/>
  <c r="G970" i="21"/>
  <c r="I970" i="21" s="1"/>
  <c r="N970" i="21"/>
  <c r="O970" i="21" s="1"/>
  <c r="G971" i="21"/>
  <c r="I971" i="21" s="1"/>
  <c r="N971" i="21"/>
  <c r="O971" i="21"/>
  <c r="G972" i="21"/>
  <c r="I972" i="21" s="1"/>
  <c r="N972" i="21"/>
  <c r="O972" i="21" s="1"/>
  <c r="G973" i="21"/>
  <c r="I973" i="21" s="1"/>
  <c r="N973" i="21"/>
  <c r="O973" i="21" s="1"/>
  <c r="G974" i="21"/>
  <c r="N974" i="21"/>
  <c r="O974" i="21" s="1"/>
  <c r="G975" i="21"/>
  <c r="N975" i="21"/>
  <c r="O975" i="21" s="1"/>
  <c r="G976" i="21"/>
  <c r="N976" i="21"/>
  <c r="O976" i="21" s="1"/>
  <c r="G977" i="21"/>
  <c r="I977" i="21" s="1"/>
  <c r="N977" i="21"/>
  <c r="O977" i="21" s="1"/>
  <c r="G978" i="21"/>
  <c r="I978" i="21" s="1"/>
  <c r="N978" i="21"/>
  <c r="O978" i="21" s="1"/>
  <c r="G979" i="21"/>
  <c r="I979" i="21" s="1"/>
  <c r="N979" i="21"/>
  <c r="O979" i="21" s="1"/>
  <c r="G980" i="21"/>
  <c r="N980" i="21"/>
  <c r="O980" i="21" s="1"/>
  <c r="G981" i="21"/>
  <c r="N981" i="21"/>
  <c r="O981" i="21" s="1"/>
  <c r="G982" i="21"/>
  <c r="I982" i="21" s="1"/>
  <c r="N982" i="21"/>
  <c r="O982" i="21" s="1"/>
  <c r="G983" i="21"/>
  <c r="N983" i="21"/>
  <c r="O983" i="21" s="1"/>
  <c r="G984" i="21"/>
  <c r="N984" i="21"/>
  <c r="O984" i="21" s="1"/>
  <c r="G985" i="21"/>
  <c r="I985" i="21" s="1"/>
  <c r="N985" i="21"/>
  <c r="O985" i="21"/>
  <c r="G986" i="21"/>
  <c r="N986" i="21"/>
  <c r="O986" i="21" s="1"/>
  <c r="G987" i="21"/>
  <c r="I987" i="21" s="1"/>
  <c r="N987" i="21"/>
  <c r="O987" i="21" s="1"/>
  <c r="G988" i="21"/>
  <c r="I988" i="21" s="1"/>
  <c r="N988" i="21"/>
  <c r="O988" i="21" s="1"/>
  <c r="G989" i="21"/>
  <c r="N989" i="21"/>
  <c r="O989" i="21" s="1"/>
  <c r="G990" i="21"/>
  <c r="I990" i="21" s="1"/>
  <c r="J990" i="21" s="1"/>
  <c r="N990" i="21"/>
  <c r="O990" i="21" s="1"/>
  <c r="G991" i="21"/>
  <c r="I991" i="21" s="1"/>
  <c r="N991" i="21"/>
  <c r="O991" i="21" s="1"/>
  <c r="G992" i="21"/>
  <c r="N992" i="21"/>
  <c r="O992" i="21" s="1"/>
  <c r="G993" i="21"/>
  <c r="I993" i="21" s="1"/>
  <c r="J993" i="21" s="1"/>
  <c r="N993" i="21"/>
  <c r="O993" i="21" s="1"/>
  <c r="G994" i="21"/>
  <c r="I994" i="21" s="1"/>
  <c r="N994" i="21"/>
  <c r="O994" i="21" s="1"/>
  <c r="G995" i="21"/>
  <c r="N995" i="21"/>
  <c r="O995" i="21" s="1"/>
  <c r="G996" i="21"/>
  <c r="N996" i="21"/>
  <c r="O996" i="21" s="1"/>
  <c r="G997" i="21"/>
  <c r="N997" i="21"/>
  <c r="O997" i="21" s="1"/>
  <c r="G998" i="21"/>
  <c r="I998" i="21" s="1"/>
  <c r="N998" i="21"/>
  <c r="O998" i="21" s="1"/>
  <c r="G999" i="21"/>
  <c r="N999" i="21"/>
  <c r="O999" i="21" s="1"/>
  <c r="G1000" i="21"/>
  <c r="N1000" i="21"/>
  <c r="O1000" i="21" s="1"/>
  <c r="G1001" i="21"/>
  <c r="I1001" i="21" s="1"/>
  <c r="N1001" i="21"/>
  <c r="O1001" i="21"/>
  <c r="G1002" i="21"/>
  <c r="I1002" i="21"/>
  <c r="N1002" i="21"/>
  <c r="O1002" i="21" s="1"/>
  <c r="G1003" i="21"/>
  <c r="I1003" i="21" s="1"/>
  <c r="N1003" i="21"/>
  <c r="O1003" i="21" s="1"/>
  <c r="G1004" i="21"/>
  <c r="N1004" i="21"/>
  <c r="O1004" i="21" s="1"/>
  <c r="G1005" i="21"/>
  <c r="I1005" i="21" s="1"/>
  <c r="N1005" i="21"/>
  <c r="O1005" i="21"/>
  <c r="G1006" i="21"/>
  <c r="I1006" i="21" s="1"/>
  <c r="N1006" i="21"/>
  <c r="O1006" i="21" s="1"/>
  <c r="G1007" i="21"/>
  <c r="I1007" i="21" s="1"/>
  <c r="N1007" i="21"/>
  <c r="O1007" i="21" s="1"/>
  <c r="G1008" i="21"/>
  <c r="I1008" i="21" s="1"/>
  <c r="N1008" i="21"/>
  <c r="O1008" i="21" s="1"/>
  <c r="G1009" i="21"/>
  <c r="N1009" i="21"/>
  <c r="O1009" i="21" s="1"/>
  <c r="G1010" i="21"/>
  <c r="N1010" i="21"/>
  <c r="O1010" i="21"/>
  <c r="G1011" i="21"/>
  <c r="I1011" i="21" s="1"/>
  <c r="N1011" i="21"/>
  <c r="O1011" i="21"/>
  <c r="G1012" i="21"/>
  <c r="N1012" i="21"/>
  <c r="O1012" i="21" s="1"/>
  <c r="G1013" i="21"/>
  <c r="I1013" i="21" s="1"/>
  <c r="N1013" i="21"/>
  <c r="O1013" i="21" s="1"/>
  <c r="G1014" i="21"/>
  <c r="N1014" i="21"/>
  <c r="O1014" i="21" s="1"/>
  <c r="G1015" i="21"/>
  <c r="N1015" i="21"/>
  <c r="O1015" i="21" s="1"/>
  <c r="G1016" i="21"/>
  <c r="N1016" i="21"/>
  <c r="O1016" i="21"/>
  <c r="G1017" i="21"/>
  <c r="I1017" i="21" s="1"/>
  <c r="J1017" i="21"/>
  <c r="N1017" i="21"/>
  <c r="O1017" i="21" s="1"/>
  <c r="G1018" i="21"/>
  <c r="N1018" i="21"/>
  <c r="O1018" i="21"/>
  <c r="G1019" i="21"/>
  <c r="I1019" i="21" s="1"/>
  <c r="N1019" i="21"/>
  <c r="O1019" i="21" s="1"/>
  <c r="G1020" i="21"/>
  <c r="I1020" i="21"/>
  <c r="N1020" i="21"/>
  <c r="O1020" i="21" s="1"/>
  <c r="G1021" i="21"/>
  <c r="I1021" i="21" s="1"/>
  <c r="N1021" i="21"/>
  <c r="O1021" i="21" s="1"/>
  <c r="G1022" i="21"/>
  <c r="I1022" i="21" s="1"/>
  <c r="N1022" i="21"/>
  <c r="O1022" i="21" s="1"/>
  <c r="G1023" i="21"/>
  <c r="I1023" i="21" s="1"/>
  <c r="N1023" i="21"/>
  <c r="O1023" i="21" s="1"/>
  <c r="G1024" i="21"/>
  <c r="I1024" i="21" s="1"/>
  <c r="J1024" i="21"/>
  <c r="N1024" i="21"/>
  <c r="O1024" i="21" s="1"/>
  <c r="G1025" i="21"/>
  <c r="I1025" i="21" s="1"/>
  <c r="N1025" i="21"/>
  <c r="O1025" i="21" s="1"/>
  <c r="G1026" i="21"/>
  <c r="I1026" i="21" s="1"/>
  <c r="N1026" i="21"/>
  <c r="O1026" i="21"/>
  <c r="G1027" i="21"/>
  <c r="I1027" i="21" s="1"/>
  <c r="N1027" i="21"/>
  <c r="O1027" i="21" s="1"/>
  <c r="G1028" i="21"/>
  <c r="N1028" i="21"/>
  <c r="O1028" i="21" s="1"/>
  <c r="G1029" i="21"/>
  <c r="N1029" i="21"/>
  <c r="O1029" i="21" s="1"/>
  <c r="G1030" i="21"/>
  <c r="I1030" i="21"/>
  <c r="N1030" i="21"/>
  <c r="O1030" i="21" s="1"/>
  <c r="G1031" i="21"/>
  <c r="N1031" i="21"/>
  <c r="O1031" i="21" s="1"/>
  <c r="G1032" i="21"/>
  <c r="N1032" i="21"/>
  <c r="O1032" i="21"/>
  <c r="G1033" i="21"/>
  <c r="I1033" i="21" s="1"/>
  <c r="J1033" i="21" s="1"/>
  <c r="N1033" i="21"/>
  <c r="O1033" i="21" s="1"/>
  <c r="G1034" i="21"/>
  <c r="N1034" i="21"/>
  <c r="O1034" i="21" s="1"/>
  <c r="G1035" i="21"/>
  <c r="I1035" i="21" s="1"/>
  <c r="N1035" i="21"/>
  <c r="O1035" i="21" s="1"/>
  <c r="G1036" i="21"/>
  <c r="N1036" i="21"/>
  <c r="O1036" i="21" s="1"/>
  <c r="G1037" i="21"/>
  <c r="I1037" i="21" s="1"/>
  <c r="N1037" i="21"/>
  <c r="O1037" i="21" s="1"/>
  <c r="G1038" i="21"/>
  <c r="N1038" i="21"/>
  <c r="O1038" i="21" s="1"/>
  <c r="G1039" i="21"/>
  <c r="N1039" i="21"/>
  <c r="O1039" i="21" s="1"/>
  <c r="G1040" i="21"/>
  <c r="N1040" i="21"/>
  <c r="O1040" i="21" s="1"/>
  <c r="G1041" i="21"/>
  <c r="I1041" i="21" s="1"/>
  <c r="J1041" i="21" s="1"/>
  <c r="N1041" i="21"/>
  <c r="O1041" i="21" s="1"/>
  <c r="G1042" i="21"/>
  <c r="I1042" i="21" s="1"/>
  <c r="N1042" i="21"/>
  <c r="O1042" i="21"/>
  <c r="G1043" i="21"/>
  <c r="I1043" i="21" s="1"/>
  <c r="N1043" i="21"/>
  <c r="O1043" i="21" s="1"/>
  <c r="G1044" i="21"/>
  <c r="N1044" i="21"/>
  <c r="O1044" i="21" s="1"/>
  <c r="G1045" i="21"/>
  <c r="I1045" i="21" s="1"/>
  <c r="N1045" i="21"/>
  <c r="O1045" i="21" s="1"/>
  <c r="G1046" i="21"/>
  <c r="I1046" i="21"/>
  <c r="N1046" i="21"/>
  <c r="O1046" i="21" s="1"/>
  <c r="G1047" i="21"/>
  <c r="N1047" i="21"/>
  <c r="O1047" i="21" s="1"/>
  <c r="G1048" i="21"/>
  <c r="N1048" i="21"/>
  <c r="O1048" i="21" s="1"/>
  <c r="G1049" i="21"/>
  <c r="I1049" i="21" s="1"/>
  <c r="J1049" i="21" s="1"/>
  <c r="N1049" i="21"/>
  <c r="O1049" i="21" s="1"/>
  <c r="G1050" i="21"/>
  <c r="N1050" i="21"/>
  <c r="O1050" i="21" s="1"/>
  <c r="G1051" i="21"/>
  <c r="I1051" i="21" s="1"/>
  <c r="N1051" i="21"/>
  <c r="O1051" i="21" s="1"/>
  <c r="G1052" i="21"/>
  <c r="N1052" i="21"/>
  <c r="O1052" i="21" s="1"/>
  <c r="G1053" i="21"/>
  <c r="I1053" i="21" s="1"/>
  <c r="N1053" i="21"/>
  <c r="O1053" i="21" s="1"/>
  <c r="G1054" i="21"/>
  <c r="I1054" i="21" s="1"/>
  <c r="N1054" i="21"/>
  <c r="O1054" i="21" s="1"/>
  <c r="G1055" i="21"/>
  <c r="I1055" i="21"/>
  <c r="N1055" i="21"/>
  <c r="O1055" i="21" s="1"/>
  <c r="G1056" i="21"/>
  <c r="N1056" i="21"/>
  <c r="O1056" i="21" s="1"/>
  <c r="G1057" i="21"/>
  <c r="I1057" i="21" s="1"/>
  <c r="N1057" i="21"/>
  <c r="O1057" i="21" s="1"/>
  <c r="G1058" i="21"/>
  <c r="I1058" i="21" s="1"/>
  <c r="J1058" i="21"/>
  <c r="N1058" i="21"/>
  <c r="O1058" i="21"/>
  <c r="G1059" i="21"/>
  <c r="I1059" i="21" s="1"/>
  <c r="N1059" i="21"/>
  <c r="O1059" i="21" s="1"/>
  <c r="G1060" i="21"/>
  <c r="I1060" i="21" s="1"/>
  <c r="N1060" i="21"/>
  <c r="O1060" i="21" s="1"/>
  <c r="G1061" i="21"/>
  <c r="I1061" i="21" s="1"/>
  <c r="N1061" i="21"/>
  <c r="O1061" i="21" s="1"/>
  <c r="G1062" i="21"/>
  <c r="I1062" i="21"/>
  <c r="N1062" i="21"/>
  <c r="O1062" i="21"/>
  <c r="G1063" i="21"/>
  <c r="I1063" i="21" s="1"/>
  <c r="N1063" i="21"/>
  <c r="O1063" i="21" s="1"/>
  <c r="G1064" i="21"/>
  <c r="N1064" i="21"/>
  <c r="O1064" i="21" s="1"/>
  <c r="G1065" i="21"/>
  <c r="N1065" i="21"/>
  <c r="O1065" i="21" s="1"/>
  <c r="G1066" i="21"/>
  <c r="N1066" i="21"/>
  <c r="O1066" i="21"/>
  <c r="G1067" i="21"/>
  <c r="I1067" i="21" s="1"/>
  <c r="J1067" i="21" s="1"/>
  <c r="N1067" i="21"/>
  <c r="O1067" i="21" s="1"/>
  <c r="G1068" i="21"/>
  <c r="N1068" i="21"/>
  <c r="O1068" i="21"/>
  <c r="G1069" i="21"/>
  <c r="I1069" i="21"/>
  <c r="N1069" i="21"/>
  <c r="O1069" i="21"/>
  <c r="G1070" i="21"/>
  <c r="I1070" i="21" s="1"/>
  <c r="J1070" i="21" s="1"/>
  <c r="N1070" i="21"/>
  <c r="O1070" i="21" s="1"/>
  <c r="G1071" i="21"/>
  <c r="I1071" i="21" s="1"/>
  <c r="J1071" i="21"/>
  <c r="N1071" i="21"/>
  <c r="O1071" i="21" s="1"/>
  <c r="G1072" i="21"/>
  <c r="I1072" i="21" s="1"/>
  <c r="N1072" i="21"/>
  <c r="O1072" i="21"/>
  <c r="G1073" i="21"/>
  <c r="I1073" i="21" s="1"/>
  <c r="N1073" i="21"/>
  <c r="O1073" i="21" s="1"/>
  <c r="G1074" i="21"/>
  <c r="I1074" i="21" s="1"/>
  <c r="N1074" i="21"/>
  <c r="O1074" i="21" s="1"/>
  <c r="G1075" i="21"/>
  <c r="I1075" i="21"/>
  <c r="N1075" i="21"/>
  <c r="O1075" i="21"/>
  <c r="G1076" i="21"/>
  <c r="I1076" i="21"/>
  <c r="J1076" i="21" s="1"/>
  <c r="N1076" i="21"/>
  <c r="O1076" i="21" s="1"/>
  <c r="G1077" i="21"/>
  <c r="I1077" i="21" s="1"/>
  <c r="N1077" i="21"/>
  <c r="O1077" i="21" s="1"/>
  <c r="G1078" i="21"/>
  <c r="I1078" i="21" s="1"/>
  <c r="N1078" i="21"/>
  <c r="O1078" i="21" s="1"/>
  <c r="G1079" i="21"/>
  <c r="I1079" i="21" s="1"/>
  <c r="N1079" i="21"/>
  <c r="O1079" i="21" s="1"/>
  <c r="G1080" i="21"/>
  <c r="I1080" i="21" s="1"/>
  <c r="N1080" i="21"/>
  <c r="O1080" i="21" s="1"/>
  <c r="G1081" i="21"/>
  <c r="N1081" i="21"/>
  <c r="O1081" i="21" s="1"/>
  <c r="G1082" i="21"/>
  <c r="N1082" i="21"/>
  <c r="O1082" i="21" s="1"/>
  <c r="G1083" i="21"/>
  <c r="N1083" i="21"/>
  <c r="O1083" i="21"/>
  <c r="G1084" i="21"/>
  <c r="N1084" i="21"/>
  <c r="O1084" i="21" s="1"/>
  <c r="G1085" i="21"/>
  <c r="I1085" i="21" s="1"/>
  <c r="N1085" i="21"/>
  <c r="O1085" i="21" s="1"/>
  <c r="G1086" i="21"/>
  <c r="I1086" i="21" s="1"/>
  <c r="N1086" i="21"/>
  <c r="O1086" i="21" s="1"/>
  <c r="G1087" i="21"/>
  <c r="I1087" i="21" s="1"/>
  <c r="N1087" i="21"/>
  <c r="O1087" i="21"/>
  <c r="G1088" i="21"/>
  <c r="I1088" i="21" s="1"/>
  <c r="N1088" i="21"/>
  <c r="O1088" i="21"/>
  <c r="G1089" i="21"/>
  <c r="I1089" i="21" s="1"/>
  <c r="N1089" i="21"/>
  <c r="O1089" i="21" s="1"/>
  <c r="G1090" i="21"/>
  <c r="I1090" i="21" s="1"/>
  <c r="N1090" i="21"/>
  <c r="O1090" i="21"/>
  <c r="G1091" i="21"/>
  <c r="I1091" i="21" s="1"/>
  <c r="N1091" i="21"/>
  <c r="O1091" i="21" s="1"/>
  <c r="G1092" i="21"/>
  <c r="I1092" i="21" s="1"/>
  <c r="N1092" i="21"/>
  <c r="O1092" i="21" s="1"/>
  <c r="G1093" i="21"/>
  <c r="I1093" i="21" s="1"/>
  <c r="N1093" i="21"/>
  <c r="O1093" i="21" s="1"/>
  <c r="G1094" i="21"/>
  <c r="N1094" i="21"/>
  <c r="O1094" i="21" s="1"/>
  <c r="G1095" i="21"/>
  <c r="I1095" i="21" s="1"/>
  <c r="N1095" i="21"/>
  <c r="O1095" i="21" s="1"/>
  <c r="G1096" i="21"/>
  <c r="I1096" i="21"/>
  <c r="N1096" i="21"/>
  <c r="O1096" i="21" s="1"/>
  <c r="G1097" i="21"/>
  <c r="N1097" i="21"/>
  <c r="O1097" i="21" s="1"/>
  <c r="G1098" i="21"/>
  <c r="N1098" i="21"/>
  <c r="O1098" i="21"/>
  <c r="G1099" i="21"/>
  <c r="I1099" i="21" s="1"/>
  <c r="N1099" i="21"/>
  <c r="O1099" i="21" s="1"/>
  <c r="G1100" i="21"/>
  <c r="N1100" i="21"/>
  <c r="O1100" i="21" s="1"/>
  <c r="G1101" i="21"/>
  <c r="I1101" i="21" s="1"/>
  <c r="N1101" i="21"/>
  <c r="O1101" i="21" s="1"/>
  <c r="G1102" i="21"/>
  <c r="I1102" i="21" s="1"/>
  <c r="N1102" i="21"/>
  <c r="O1102" i="21" s="1"/>
  <c r="G1103" i="21"/>
  <c r="I1103" i="21" s="1"/>
  <c r="N1103" i="21"/>
  <c r="O1103" i="21" s="1"/>
  <c r="G1104" i="21"/>
  <c r="I1104" i="21" s="1"/>
  <c r="N1104" i="21"/>
  <c r="O1104" i="21"/>
  <c r="G1105" i="21"/>
  <c r="I1105" i="21" s="1"/>
  <c r="N1105" i="21"/>
  <c r="O1105" i="21" s="1"/>
  <c r="G1106" i="21"/>
  <c r="I1106" i="21" s="1"/>
  <c r="J1106" i="21" s="1"/>
  <c r="N1106" i="21"/>
  <c r="O1106" i="21" s="1"/>
  <c r="G1107" i="21"/>
  <c r="I1107" i="21" s="1"/>
  <c r="N1107" i="21"/>
  <c r="O1107" i="21" s="1"/>
  <c r="G1108" i="21"/>
  <c r="I1108" i="21"/>
  <c r="N1108" i="21"/>
  <c r="O1108" i="21" s="1"/>
  <c r="G1109" i="21"/>
  <c r="I1109" i="21" s="1"/>
  <c r="N1109" i="21"/>
  <c r="O1109" i="21"/>
  <c r="G1110" i="21"/>
  <c r="I1110" i="21"/>
  <c r="N1110" i="21"/>
  <c r="O1110" i="21" s="1"/>
  <c r="G1111" i="21"/>
  <c r="I1111" i="21" s="1"/>
  <c r="N1111" i="21"/>
  <c r="O1111" i="21" s="1"/>
  <c r="G1112" i="21"/>
  <c r="I1112" i="21" s="1"/>
  <c r="J1112" i="21" s="1"/>
  <c r="N1112" i="21"/>
  <c r="O1112" i="21" s="1"/>
  <c r="G1113" i="21"/>
  <c r="N1113" i="21"/>
  <c r="O1113" i="21"/>
  <c r="G1114" i="21"/>
  <c r="N1114" i="21"/>
  <c r="O1114" i="21" s="1"/>
  <c r="G1115" i="21"/>
  <c r="N1115" i="21"/>
  <c r="O1115" i="21"/>
  <c r="G1116" i="21"/>
  <c r="I1116" i="21"/>
  <c r="N1116" i="21"/>
  <c r="O1116" i="21" s="1"/>
  <c r="G1117" i="21"/>
  <c r="I1117" i="21" s="1"/>
  <c r="N1117" i="21"/>
  <c r="O1117" i="21" s="1"/>
  <c r="G1118" i="21"/>
  <c r="I1118" i="21" s="1"/>
  <c r="N1118" i="21"/>
  <c r="O1118" i="21" s="1"/>
  <c r="G1119" i="21"/>
  <c r="N1119" i="21"/>
  <c r="O1119" i="21" s="1"/>
  <c r="G1120" i="21"/>
  <c r="I1120" i="21" s="1"/>
  <c r="J1120" i="21"/>
  <c r="N1120" i="21"/>
  <c r="O1120" i="21" s="1"/>
  <c r="G1121" i="21"/>
  <c r="I1121" i="21" s="1"/>
  <c r="J1121" i="21" s="1"/>
  <c r="N1121" i="21"/>
  <c r="O1121" i="21" s="1"/>
  <c r="G1122" i="21"/>
  <c r="I1122" i="21" s="1"/>
  <c r="N1122" i="21"/>
  <c r="O1122" i="21" s="1"/>
  <c r="G1123" i="21"/>
  <c r="N1123" i="21"/>
  <c r="O1123" i="21"/>
  <c r="G1124" i="21"/>
  <c r="I1124" i="21" s="1"/>
  <c r="J1124" i="21" s="1"/>
  <c r="N1124" i="21"/>
  <c r="O1124" i="21" s="1"/>
  <c r="G1125" i="21"/>
  <c r="N1125" i="21"/>
  <c r="O1125" i="21"/>
  <c r="G1126" i="21"/>
  <c r="I1126" i="21"/>
  <c r="N1126" i="21"/>
  <c r="O1126" i="21"/>
  <c r="G1127" i="21"/>
  <c r="N1127" i="21"/>
  <c r="O1127" i="21" s="1"/>
  <c r="G1128" i="21"/>
  <c r="I1128" i="21" s="1"/>
  <c r="N1128" i="21"/>
  <c r="O1128" i="21"/>
  <c r="G1129" i="21"/>
  <c r="I1129" i="21" s="1"/>
  <c r="N1129" i="21"/>
  <c r="O1129" i="21" s="1"/>
  <c r="G1130" i="21"/>
  <c r="I1130" i="21" s="1"/>
  <c r="N1130" i="21"/>
  <c r="O1130" i="21" s="1"/>
  <c r="G1131" i="21"/>
  <c r="N1131" i="21"/>
  <c r="O1131" i="21" s="1"/>
  <c r="G1132" i="21"/>
  <c r="I1132" i="21"/>
  <c r="N1132" i="21"/>
  <c r="O1132" i="21" s="1"/>
  <c r="G1133" i="21"/>
  <c r="N1133" i="21"/>
  <c r="O1133" i="21" s="1"/>
  <c r="G1134" i="21"/>
  <c r="I1134" i="21" s="1"/>
  <c r="N1134" i="21"/>
  <c r="O1134" i="21" s="1"/>
  <c r="G1135" i="21"/>
  <c r="N1135" i="21"/>
  <c r="O1135" i="21" s="1"/>
  <c r="G1136" i="21"/>
  <c r="N1136" i="21"/>
  <c r="O1136" i="21" s="1"/>
  <c r="G1137" i="21"/>
  <c r="N1137" i="21"/>
  <c r="O1137" i="21" s="1"/>
  <c r="G1138" i="21"/>
  <c r="I1138" i="21" s="1"/>
  <c r="N1138" i="21"/>
  <c r="O1138" i="21" s="1"/>
  <c r="G1139" i="21"/>
  <c r="N1139" i="21"/>
  <c r="O1139" i="21" s="1"/>
  <c r="G1140" i="21"/>
  <c r="N1140" i="21"/>
  <c r="O1140" i="21" s="1"/>
  <c r="G1141" i="21"/>
  <c r="I1141" i="21" s="1"/>
  <c r="N1141" i="21"/>
  <c r="O1141" i="21"/>
  <c r="G1142" i="21"/>
  <c r="I1142" i="21"/>
  <c r="N1142" i="21"/>
  <c r="O1142" i="21"/>
  <c r="G1143" i="21"/>
  <c r="N1143" i="21"/>
  <c r="O1143" i="21" s="1"/>
  <c r="G1144" i="21"/>
  <c r="I1144" i="21" s="1"/>
  <c r="N1144" i="21"/>
  <c r="O1144" i="21" s="1"/>
  <c r="G1145" i="21"/>
  <c r="I1145" i="21"/>
  <c r="N1145" i="21"/>
  <c r="O1145" i="21"/>
  <c r="G1146" i="21"/>
  <c r="I1146" i="21"/>
  <c r="N1146" i="21"/>
  <c r="O1146" i="21" s="1"/>
  <c r="G1147" i="21"/>
  <c r="N1147" i="21"/>
  <c r="O1147" i="21" s="1"/>
  <c r="G1148" i="21"/>
  <c r="I1148" i="21" s="1"/>
  <c r="N1148" i="21"/>
  <c r="O1148" i="21" s="1"/>
  <c r="G1149" i="21"/>
  <c r="I1149" i="21"/>
  <c r="N1149" i="21"/>
  <c r="O1149" i="21"/>
  <c r="G1150" i="21"/>
  <c r="I1150" i="21"/>
  <c r="N1150" i="21"/>
  <c r="O1150" i="21" s="1"/>
  <c r="G1151" i="21"/>
  <c r="N1151" i="21"/>
  <c r="O1151" i="21" s="1"/>
  <c r="G1152" i="21"/>
  <c r="I1152" i="21" s="1"/>
  <c r="N1152" i="21"/>
  <c r="O1152" i="21"/>
  <c r="G1153" i="21"/>
  <c r="I1153" i="21"/>
  <c r="N1153" i="21"/>
  <c r="O1153" i="21" s="1"/>
  <c r="G1154" i="21"/>
  <c r="I1154" i="21" s="1"/>
  <c r="N1154" i="21"/>
  <c r="O1154" i="21" s="1"/>
  <c r="G1155" i="21"/>
  <c r="N1155" i="21"/>
  <c r="O1155" i="21"/>
  <c r="G1156" i="21"/>
  <c r="N1156" i="21"/>
  <c r="O1156" i="21" s="1"/>
  <c r="G1157" i="21"/>
  <c r="I1157" i="21" s="1"/>
  <c r="N1157" i="21"/>
  <c r="O1157" i="21" s="1"/>
  <c r="G1158" i="21"/>
  <c r="I1158" i="21" s="1"/>
  <c r="N1158" i="21"/>
  <c r="O1158" i="21" s="1"/>
  <c r="G1159" i="21"/>
  <c r="N1159" i="21"/>
  <c r="O1159" i="21"/>
  <c r="G1160" i="21"/>
  <c r="I1160" i="21" s="1"/>
  <c r="N1160" i="21"/>
  <c r="O1160" i="21" s="1"/>
  <c r="G1161" i="21"/>
  <c r="I1161" i="21"/>
  <c r="N1161" i="21"/>
  <c r="O1161" i="21"/>
  <c r="G1162" i="21"/>
  <c r="I1162" i="21"/>
  <c r="N1162" i="21"/>
  <c r="O1162" i="21" s="1"/>
  <c r="G1163" i="21"/>
  <c r="N1163" i="21"/>
  <c r="O1163" i="21" s="1"/>
  <c r="G1164" i="21"/>
  <c r="I1164" i="21" s="1"/>
  <c r="N1164" i="21"/>
  <c r="O1164" i="21" s="1"/>
  <c r="G1165" i="21"/>
  <c r="I1165" i="21" s="1"/>
  <c r="J1165" i="21"/>
  <c r="N1165" i="21"/>
  <c r="O1165" i="21"/>
  <c r="G1166" i="21"/>
  <c r="I1166" i="21"/>
  <c r="N1166" i="21"/>
  <c r="O1166" i="21" s="1"/>
  <c r="G1167" i="21"/>
  <c r="N1167" i="21"/>
  <c r="O1167" i="21" s="1"/>
  <c r="G1168" i="21"/>
  <c r="N1168" i="21"/>
  <c r="O1168" i="21"/>
  <c r="G1169" i="21"/>
  <c r="I1169" i="21"/>
  <c r="N1169" i="21"/>
  <c r="O1169" i="21" s="1"/>
  <c r="G1170" i="21"/>
  <c r="I1170" i="21" s="1"/>
  <c r="N1170" i="21"/>
  <c r="O1170" i="21" s="1"/>
  <c r="G1171" i="21"/>
  <c r="N1171" i="21"/>
  <c r="O1171" i="21"/>
  <c r="G1172" i="21"/>
  <c r="I1172" i="21" s="1"/>
  <c r="N1172" i="21"/>
  <c r="O1172" i="21"/>
  <c r="G1173" i="21"/>
  <c r="I1173" i="21" s="1"/>
  <c r="N1173" i="21"/>
  <c r="O1173" i="21" s="1"/>
  <c r="G1174" i="21"/>
  <c r="I1174" i="21" s="1"/>
  <c r="N1174" i="21"/>
  <c r="O1174" i="21"/>
  <c r="G1175" i="21"/>
  <c r="N1175" i="21"/>
  <c r="O1175" i="21" s="1"/>
  <c r="G1176" i="21"/>
  <c r="I1176" i="21" s="1"/>
  <c r="N1176" i="21"/>
  <c r="O1176" i="21" s="1"/>
  <c r="G1177" i="21"/>
  <c r="I1177" i="21" s="1"/>
  <c r="J1177" i="21"/>
  <c r="N1177" i="21"/>
  <c r="O1177" i="21" s="1"/>
  <c r="G1178" i="21"/>
  <c r="I1178" i="21" s="1"/>
  <c r="N1178" i="21"/>
  <c r="O1178" i="21" s="1"/>
  <c r="G1179" i="21"/>
  <c r="N1179" i="21"/>
  <c r="O1179" i="21" s="1"/>
  <c r="G1180" i="21"/>
  <c r="I1180" i="21" s="1"/>
  <c r="N1180" i="21"/>
  <c r="O1180" i="21" s="1"/>
  <c r="G1181" i="21"/>
  <c r="N1181" i="21"/>
  <c r="O1181" i="21"/>
  <c r="G1182" i="21"/>
  <c r="I1182" i="21"/>
  <c r="N1182" i="21"/>
  <c r="O1182" i="21"/>
  <c r="G1183" i="21"/>
  <c r="N1183" i="21"/>
  <c r="O1183" i="21" s="1"/>
  <c r="G1184" i="21"/>
  <c r="N1184" i="21"/>
  <c r="O1184" i="21" s="1"/>
  <c r="G1185" i="21"/>
  <c r="N1185" i="21"/>
  <c r="O1185" i="21" s="1"/>
  <c r="G1186" i="21"/>
  <c r="I1186" i="21" s="1"/>
  <c r="N1186" i="21"/>
  <c r="O1186" i="21" s="1"/>
  <c r="G1187" i="21"/>
  <c r="N1187" i="21"/>
  <c r="O1187" i="21" s="1"/>
  <c r="G1188" i="21"/>
  <c r="N1188" i="21"/>
  <c r="O1188" i="21"/>
  <c r="G1189" i="21"/>
  <c r="I1189" i="21" s="1"/>
  <c r="J1189" i="21"/>
  <c r="N1189" i="21"/>
  <c r="O1189" i="21"/>
  <c r="G1190" i="21"/>
  <c r="I1190" i="21" s="1"/>
  <c r="N1190" i="21"/>
  <c r="O1190" i="21" s="1"/>
  <c r="G1191" i="21"/>
  <c r="N1191" i="21"/>
  <c r="O1191" i="21" s="1"/>
  <c r="G1192" i="21"/>
  <c r="I1192" i="21" s="1"/>
  <c r="N1192" i="21"/>
  <c r="O1192" i="21" s="1"/>
  <c r="G1193" i="21"/>
  <c r="I1193" i="21"/>
  <c r="N1193" i="21"/>
  <c r="O1193" i="21" s="1"/>
  <c r="G1194" i="21"/>
  <c r="I1194" i="21"/>
  <c r="N1194" i="21"/>
  <c r="O1194" i="21" s="1"/>
  <c r="G1195" i="21"/>
  <c r="N1195" i="21"/>
  <c r="O1195" i="21" s="1"/>
  <c r="G1196" i="21"/>
  <c r="I1196" i="21" s="1"/>
  <c r="N1196" i="21"/>
  <c r="O1196" i="21" s="1"/>
  <c r="G1197" i="21"/>
  <c r="I1197" i="21" s="1"/>
  <c r="N1197" i="21"/>
  <c r="O1197" i="21" s="1"/>
  <c r="G1198" i="21"/>
  <c r="I1198" i="21" s="1"/>
  <c r="N1198" i="21"/>
  <c r="O1198" i="21" s="1"/>
  <c r="G1199" i="21"/>
  <c r="N1199" i="21"/>
  <c r="O1199" i="21" s="1"/>
  <c r="G1200" i="21"/>
  <c r="I1200" i="21" s="1"/>
  <c r="N1200" i="21"/>
  <c r="O1200" i="21" s="1"/>
  <c r="G1201" i="21"/>
  <c r="I1201" i="21" s="1"/>
  <c r="J1201" i="21" s="1"/>
  <c r="N1201" i="21"/>
  <c r="O1201" i="21" s="1"/>
  <c r="G1202" i="21"/>
  <c r="I1202" i="21"/>
  <c r="N1202" i="21"/>
  <c r="O1202" i="21" s="1"/>
  <c r="G1203" i="21"/>
  <c r="N1203" i="21"/>
  <c r="O1203" i="21"/>
  <c r="G1204" i="21"/>
  <c r="I1204" i="21" s="1"/>
  <c r="J1204" i="21" s="1"/>
  <c r="N1204" i="21"/>
  <c r="O1204" i="21" s="1"/>
  <c r="G1205" i="21"/>
  <c r="I1205" i="21" s="1"/>
  <c r="N1205" i="21"/>
  <c r="O1205" i="21" s="1"/>
  <c r="G1206" i="21"/>
  <c r="I1206" i="21" s="1"/>
  <c r="N1206" i="21"/>
  <c r="O1206" i="21"/>
  <c r="G1207" i="21"/>
  <c r="N1207" i="21"/>
  <c r="O1207" i="21" s="1"/>
  <c r="G1208" i="21"/>
  <c r="I1208" i="21" s="1"/>
  <c r="N1208" i="21"/>
  <c r="O1208" i="21" s="1"/>
  <c r="G1209" i="21"/>
  <c r="I1209" i="21" s="1"/>
  <c r="N1209" i="21"/>
  <c r="O1209" i="21" s="1"/>
  <c r="G1210" i="21"/>
  <c r="I1210" i="21" s="1"/>
  <c r="N1210" i="21"/>
  <c r="O1210" i="21" s="1"/>
  <c r="G1211" i="21"/>
  <c r="N1211" i="21"/>
  <c r="O1211" i="21" s="1"/>
  <c r="G1212" i="21"/>
  <c r="I1212" i="21" s="1"/>
  <c r="N1212" i="21"/>
  <c r="O1212" i="21" s="1"/>
  <c r="G1213" i="21"/>
  <c r="I1213" i="21"/>
  <c r="N1213" i="21"/>
  <c r="O1213" i="21" s="1"/>
  <c r="G1214" i="21"/>
  <c r="I1214" i="21" s="1"/>
  <c r="N1214" i="21"/>
  <c r="O1214" i="21" s="1"/>
  <c r="G1215" i="21"/>
  <c r="N1215" i="21"/>
  <c r="O1215" i="21" s="1"/>
  <c r="G1216" i="21"/>
  <c r="I1216" i="21"/>
  <c r="N1216" i="21"/>
  <c r="O1216" i="21" s="1"/>
  <c r="G1217" i="21"/>
  <c r="I1217" i="21" s="1"/>
  <c r="J1217" i="21" s="1"/>
  <c r="N1217" i="21"/>
  <c r="O1217" i="21"/>
  <c r="G1218" i="21"/>
  <c r="I1218" i="21"/>
  <c r="N1218" i="21"/>
  <c r="O1218" i="21"/>
  <c r="G1219" i="21"/>
  <c r="N1219" i="21"/>
  <c r="O1219" i="21" s="1"/>
  <c r="G1220" i="21"/>
  <c r="I1220" i="21" s="1"/>
  <c r="J1220" i="21" s="1"/>
  <c r="N1220" i="21"/>
  <c r="O1220" i="21" s="1"/>
  <c r="G1221" i="21"/>
  <c r="I1221" i="21" s="1"/>
  <c r="J1221" i="21" s="1"/>
  <c r="N1221" i="21"/>
  <c r="O1221" i="21" s="1"/>
  <c r="G1222" i="21"/>
  <c r="I1222" i="21" s="1"/>
  <c r="N1222" i="21"/>
  <c r="O1222" i="21" s="1"/>
  <c r="G1223" i="21"/>
  <c r="N1223" i="21"/>
  <c r="O1223" i="21" s="1"/>
  <c r="G1224" i="21"/>
  <c r="I1224" i="21" s="1"/>
  <c r="J1224" i="21" s="1"/>
  <c r="N1224" i="21"/>
  <c r="O1224" i="21" s="1"/>
  <c r="G1225" i="21"/>
  <c r="I1225" i="21" s="1"/>
  <c r="N1225" i="21"/>
  <c r="O1225" i="21" s="1"/>
  <c r="G1226" i="21"/>
  <c r="I1226" i="21" s="1"/>
  <c r="N1226" i="21"/>
  <c r="O1226" i="21" s="1"/>
  <c r="G1227" i="21"/>
  <c r="N1227" i="21"/>
  <c r="O1227" i="21" s="1"/>
  <c r="G1228" i="21"/>
  <c r="I1228" i="21" s="1"/>
  <c r="N1228" i="21"/>
  <c r="O1228" i="21" s="1"/>
  <c r="G1229" i="21"/>
  <c r="N1229" i="21"/>
  <c r="O1229" i="21" s="1"/>
  <c r="G1230" i="21"/>
  <c r="I1230" i="21" s="1"/>
  <c r="N1230" i="21"/>
  <c r="O1230" i="21" s="1"/>
  <c r="G1231" i="21"/>
  <c r="N1231" i="21"/>
  <c r="O1231" i="21" s="1"/>
  <c r="G1232" i="21"/>
  <c r="N1232" i="21"/>
  <c r="O1232" i="21" s="1"/>
  <c r="G1233" i="21"/>
  <c r="I1233" i="21"/>
  <c r="N1233" i="21"/>
  <c r="O1233" i="21" s="1"/>
  <c r="G1234" i="21"/>
  <c r="I1234" i="21" s="1"/>
  <c r="N1234" i="21"/>
  <c r="O1234" i="21" s="1"/>
  <c r="G1235" i="21"/>
  <c r="I1235" i="21" s="1"/>
  <c r="J1235" i="21" s="1"/>
  <c r="N1235" i="21"/>
  <c r="O1235" i="21" s="1"/>
  <c r="G1236" i="21"/>
  <c r="I1236" i="21" s="1"/>
  <c r="N1236" i="21"/>
  <c r="O1236" i="21"/>
  <c r="G1237" i="21"/>
  <c r="I1237" i="21" s="1"/>
  <c r="N1237" i="21"/>
  <c r="O1237" i="21" s="1"/>
  <c r="G1238" i="21"/>
  <c r="N1238" i="21"/>
  <c r="O1238" i="21" s="1"/>
  <c r="G1239" i="21"/>
  <c r="N1239" i="21"/>
  <c r="O1239" i="21"/>
  <c r="G1240" i="21"/>
  <c r="I1240" i="21" s="1"/>
  <c r="J1240" i="21" s="1"/>
  <c r="N1240" i="21"/>
  <c r="O1240" i="21" s="1"/>
  <c r="G1241" i="21"/>
  <c r="N1241" i="21"/>
  <c r="O1241" i="21" s="1"/>
  <c r="G1242" i="21"/>
  <c r="I1242" i="21"/>
  <c r="N1242" i="21"/>
  <c r="O1242" i="21"/>
  <c r="G1243" i="21"/>
  <c r="I1243" i="21"/>
  <c r="N1243" i="21"/>
  <c r="O1243" i="21"/>
  <c r="G1244" i="21"/>
  <c r="I1244" i="21" s="1"/>
  <c r="J1244" i="21" s="1"/>
  <c r="N1244" i="21"/>
  <c r="O1244" i="21" s="1"/>
  <c r="G1245" i="21"/>
  <c r="I1245" i="21" s="1"/>
  <c r="N1245" i="21"/>
  <c r="O1245" i="21"/>
  <c r="G1246" i="21"/>
  <c r="I1246" i="21"/>
  <c r="N1246" i="21"/>
  <c r="O1246" i="21"/>
  <c r="G1247" i="21"/>
  <c r="I1247" i="21"/>
  <c r="N1247" i="21"/>
  <c r="O1247" i="21" s="1"/>
  <c r="G1248" i="21"/>
  <c r="I1248" i="21" s="1"/>
  <c r="J1248" i="21" s="1"/>
  <c r="N1248" i="21"/>
  <c r="O1248" i="21" s="1"/>
  <c r="G1249" i="21"/>
  <c r="I1249" i="21"/>
  <c r="J1249" i="21" s="1"/>
  <c r="N1249" i="21"/>
  <c r="O1249" i="21" s="1"/>
  <c r="G1250" i="21"/>
  <c r="I1250" i="21" s="1"/>
  <c r="N1250" i="21"/>
  <c r="O1250" i="21" s="1"/>
  <c r="G1251" i="21"/>
  <c r="I1251" i="21" s="1"/>
  <c r="N1251" i="21"/>
  <c r="O1251" i="21" s="1"/>
  <c r="G1252" i="21"/>
  <c r="I1252" i="21" s="1"/>
  <c r="N1252" i="21"/>
  <c r="O1252" i="21" s="1"/>
  <c r="G1253" i="21"/>
  <c r="I1253" i="21" s="1"/>
  <c r="N1253" i="21"/>
  <c r="O1253" i="21"/>
  <c r="G1254" i="21"/>
  <c r="N1254" i="21"/>
  <c r="O1254" i="21" s="1"/>
  <c r="G1255" i="21"/>
  <c r="N1255" i="21"/>
  <c r="O1255" i="21"/>
  <c r="G1256" i="21"/>
  <c r="I1256" i="21" s="1"/>
  <c r="J1256" i="21" s="1"/>
  <c r="N1256" i="21"/>
  <c r="O1256" i="21" s="1"/>
  <c r="G1257" i="21"/>
  <c r="N1257" i="21"/>
  <c r="O1257" i="21" s="1"/>
  <c r="G1258" i="21"/>
  <c r="I1258" i="21" s="1"/>
  <c r="N1258" i="21"/>
  <c r="O1258" i="21" s="1"/>
  <c r="G1259" i="21"/>
  <c r="I1259" i="21"/>
  <c r="N1259" i="21"/>
  <c r="O1259" i="21" s="1"/>
  <c r="G1260" i="21"/>
  <c r="I1260" i="21" s="1"/>
  <c r="N1260" i="21"/>
  <c r="O1260" i="21" s="1"/>
  <c r="G1261" i="21"/>
  <c r="I1261" i="21" s="1"/>
  <c r="J1261" i="21" s="1"/>
  <c r="N1261" i="21"/>
  <c r="O1261" i="21" s="1"/>
  <c r="G1262" i="21"/>
  <c r="I1262" i="21" s="1"/>
  <c r="N1262" i="21"/>
  <c r="O1262" i="21" s="1"/>
  <c r="G1263" i="21"/>
  <c r="I1263" i="21" s="1"/>
  <c r="N1263" i="21"/>
  <c r="O1263" i="21"/>
  <c r="G1264" i="21"/>
  <c r="I1264" i="21" s="1"/>
  <c r="N1264" i="21"/>
  <c r="O1264" i="21" s="1"/>
  <c r="G1265" i="21"/>
  <c r="I1265" i="21" s="1"/>
  <c r="N1265" i="21"/>
  <c r="O1265" i="21" s="1"/>
  <c r="G1266" i="21"/>
  <c r="I1266" i="21" s="1"/>
  <c r="N1266" i="21"/>
  <c r="O1266" i="21"/>
  <c r="G1267" i="21"/>
  <c r="I1267" i="21" s="1"/>
  <c r="J1267" i="21" s="1"/>
  <c r="N1267" i="21"/>
  <c r="O1267" i="21" s="1"/>
  <c r="G1268" i="21"/>
  <c r="I1268" i="21" s="1"/>
  <c r="J1268" i="21" s="1"/>
  <c r="N1268" i="21"/>
  <c r="O1268" i="21"/>
  <c r="G1269" i="21"/>
  <c r="I1269" i="21"/>
  <c r="N1269" i="21"/>
  <c r="O1269" i="21"/>
  <c r="G1270" i="21"/>
  <c r="N1270" i="21"/>
  <c r="O1270" i="21" s="1"/>
  <c r="G1271" i="21"/>
  <c r="N1271" i="21"/>
  <c r="O1271" i="21" s="1"/>
  <c r="G1272" i="21"/>
  <c r="N1272" i="21"/>
  <c r="O1272" i="21" s="1"/>
  <c r="G1273" i="21"/>
  <c r="I1273" i="21" s="1"/>
  <c r="N1273" i="21"/>
  <c r="O1273" i="21"/>
  <c r="G1274" i="21"/>
  <c r="N1274" i="21"/>
  <c r="O1274" i="21" s="1"/>
  <c r="G1275" i="21"/>
  <c r="I1275" i="21" s="1"/>
  <c r="N1275" i="21"/>
  <c r="O1275" i="21" s="1"/>
  <c r="G1276" i="21"/>
  <c r="N1276" i="21"/>
  <c r="O1276" i="21" s="1"/>
  <c r="G1277" i="21"/>
  <c r="N1277" i="21"/>
  <c r="O1277" i="21" s="1"/>
  <c r="G1278" i="21"/>
  <c r="N1278" i="21"/>
  <c r="O1278" i="21" s="1"/>
  <c r="G1279" i="21"/>
  <c r="I1279" i="21" s="1"/>
  <c r="N1279" i="21"/>
  <c r="O1279" i="21" s="1"/>
  <c r="G1280" i="21"/>
  <c r="N1280" i="21"/>
  <c r="O1280" i="21" s="1"/>
  <c r="G1281" i="21"/>
  <c r="I1281" i="21" s="1"/>
  <c r="N1281" i="21"/>
  <c r="O1281" i="21" s="1"/>
  <c r="G1282" i="21"/>
  <c r="I1282" i="21" s="1"/>
  <c r="J1282" i="21" s="1"/>
  <c r="N1282" i="21"/>
  <c r="O1282" i="21" s="1"/>
  <c r="G1283" i="21"/>
  <c r="N1283" i="21"/>
  <c r="O1283" i="21" s="1"/>
  <c r="G1284" i="21"/>
  <c r="N1284" i="21"/>
  <c r="O1284" i="21" s="1"/>
  <c r="G1285" i="21"/>
  <c r="I1285" i="21" s="1"/>
  <c r="N1285" i="21"/>
  <c r="O1285" i="21" s="1"/>
  <c r="G1286" i="21"/>
  <c r="I1286" i="21" s="1"/>
  <c r="J1286" i="21" s="1"/>
  <c r="N1286" i="21"/>
  <c r="O1286" i="21"/>
  <c r="G1287" i="21"/>
  <c r="I1287" i="21"/>
  <c r="N1287" i="21"/>
  <c r="O1287" i="21"/>
  <c r="G1288" i="21"/>
  <c r="N1288" i="21"/>
  <c r="O1288" i="21" s="1"/>
  <c r="G1289" i="21"/>
  <c r="I1289" i="21" s="1"/>
  <c r="J1289" i="21" s="1"/>
  <c r="N1289" i="21"/>
  <c r="O1289" i="21" s="1"/>
  <c r="G1290" i="21"/>
  <c r="I1290" i="21" s="1"/>
  <c r="J1290" i="21" s="1"/>
  <c r="N1290" i="21"/>
  <c r="O1290" i="21" s="1"/>
  <c r="G1291" i="21"/>
  <c r="I1291" i="21" s="1"/>
  <c r="N1291" i="21"/>
  <c r="O1291" i="21" s="1"/>
  <c r="G1292" i="21"/>
  <c r="N1292" i="21"/>
  <c r="O1292" i="21" s="1"/>
  <c r="G1293" i="21"/>
  <c r="I1293" i="21" s="1"/>
  <c r="J1293" i="21" s="1"/>
  <c r="N1293" i="21"/>
  <c r="O1293" i="21" s="1"/>
  <c r="G1294" i="21"/>
  <c r="I1294" i="21" s="1"/>
  <c r="N1294" i="21"/>
  <c r="O1294" i="21" s="1"/>
  <c r="G1295" i="21"/>
  <c r="I1295" i="21" s="1"/>
  <c r="N1295" i="21"/>
  <c r="O1295" i="21"/>
  <c r="G1296" i="21"/>
  <c r="N1296" i="21"/>
  <c r="O1296" i="21" s="1"/>
  <c r="G1297" i="21"/>
  <c r="I1297" i="21" s="1"/>
  <c r="N1297" i="21"/>
  <c r="O1297" i="21" s="1"/>
  <c r="G1298" i="21"/>
  <c r="I1298" i="21"/>
  <c r="N1298" i="21"/>
  <c r="O1298" i="21" s="1"/>
  <c r="G1299" i="21"/>
  <c r="N1299" i="21"/>
  <c r="O1299" i="21"/>
  <c r="G1300" i="21"/>
  <c r="N1300" i="21"/>
  <c r="O1300" i="21" s="1"/>
  <c r="G1301" i="21"/>
  <c r="N1301" i="21"/>
  <c r="O1301" i="21" s="1"/>
  <c r="G1302" i="21"/>
  <c r="I1302" i="21" s="1"/>
  <c r="N1302" i="21"/>
  <c r="O1302" i="21" s="1"/>
  <c r="G1303" i="21"/>
  <c r="I1303" i="21" s="1"/>
  <c r="N1303" i="21"/>
  <c r="O1303" i="21" s="1"/>
  <c r="G1304" i="21"/>
  <c r="N1304" i="21"/>
  <c r="O1304" i="21" s="1"/>
  <c r="G1305" i="21"/>
  <c r="I1305" i="21"/>
  <c r="N1305" i="21"/>
  <c r="O1305" i="21" s="1"/>
  <c r="G1306" i="21"/>
  <c r="N1306" i="21"/>
  <c r="O1306" i="21" s="1"/>
  <c r="G1307" i="21"/>
  <c r="N1307" i="21"/>
  <c r="O1307" i="21" s="1"/>
  <c r="G1308" i="21"/>
  <c r="N1308" i="21"/>
  <c r="O1308" i="21"/>
  <c r="G1309" i="21"/>
  <c r="I1309" i="21" s="1"/>
  <c r="N1309" i="21"/>
  <c r="O1309" i="21"/>
  <c r="G1310" i="21"/>
  <c r="I1310" i="21" s="1"/>
  <c r="N1310" i="21"/>
  <c r="O1310" i="21"/>
  <c r="G1311" i="21"/>
  <c r="I1311" i="21"/>
  <c r="J1311" i="21" s="1"/>
  <c r="N1311" i="21"/>
  <c r="O1311" i="21" s="1"/>
  <c r="G1312" i="21"/>
  <c r="N1312" i="21"/>
  <c r="O1312" i="21" s="1"/>
  <c r="G1313" i="21"/>
  <c r="I1313" i="21"/>
  <c r="N1313" i="21"/>
  <c r="O1313" i="21" s="1"/>
  <c r="G1314" i="21"/>
  <c r="I1314" i="21"/>
  <c r="J1314" i="21" s="1"/>
  <c r="N1314" i="21"/>
  <c r="O1314" i="21" s="1"/>
  <c r="G1315" i="21"/>
  <c r="I1315" i="21" s="1"/>
  <c r="N1315" i="21"/>
  <c r="O1315" i="21"/>
  <c r="G1316" i="21"/>
  <c r="N1316" i="21"/>
  <c r="O1316" i="21" s="1"/>
  <c r="G1317" i="21"/>
  <c r="I1317" i="21" s="1"/>
  <c r="N1317" i="21"/>
  <c r="O1317" i="21" s="1"/>
  <c r="G1318" i="21"/>
  <c r="I1318" i="21" s="1"/>
  <c r="N1318" i="21"/>
  <c r="O1318" i="21" s="1"/>
  <c r="G1319" i="21"/>
  <c r="N1319" i="21"/>
  <c r="O1319" i="21" s="1"/>
  <c r="G1320" i="21"/>
  <c r="N1320" i="21"/>
  <c r="O1320" i="21"/>
  <c r="G1321" i="21"/>
  <c r="I1321" i="21" s="1"/>
  <c r="N1321" i="21"/>
  <c r="O1321" i="21" s="1"/>
  <c r="G1322" i="21"/>
  <c r="I1322" i="21" s="1"/>
  <c r="N1322" i="21"/>
  <c r="O1322" i="21" s="1"/>
  <c r="G1323" i="21"/>
  <c r="I1323" i="21" s="1"/>
  <c r="J1323" i="21" s="1"/>
  <c r="N1323" i="21"/>
  <c r="O1323" i="21" s="1"/>
  <c r="G1324" i="21"/>
  <c r="N1324" i="21"/>
  <c r="O1324" i="21" s="1"/>
  <c r="G1325" i="21"/>
  <c r="I1325" i="21" s="1"/>
  <c r="N1325" i="21"/>
  <c r="O1325" i="21" s="1"/>
  <c r="G1326" i="21"/>
  <c r="I1326" i="21" s="1"/>
  <c r="J1326" i="21" s="1"/>
  <c r="N1326" i="21"/>
  <c r="O1326" i="21" s="1"/>
  <c r="G1327" i="21"/>
  <c r="N1327" i="21"/>
  <c r="O1327" i="21" s="1"/>
  <c r="G1328" i="21"/>
  <c r="N1328" i="21"/>
  <c r="O1328" i="21" s="1"/>
  <c r="G1329" i="21"/>
  <c r="I1329" i="21" s="1"/>
  <c r="N1329" i="21"/>
  <c r="O1329" i="21" s="1"/>
  <c r="G1330" i="21"/>
  <c r="N1330" i="21"/>
  <c r="O1330" i="21" s="1"/>
  <c r="G1331" i="21"/>
  <c r="N1331" i="21"/>
  <c r="O1331" i="21"/>
  <c r="G1332" i="21"/>
  <c r="N1332" i="21"/>
  <c r="O1332" i="21" s="1"/>
  <c r="G1333" i="21"/>
  <c r="I1333" i="21" s="1"/>
  <c r="N1333" i="21"/>
  <c r="O1333" i="21" s="1"/>
  <c r="G1334" i="21"/>
  <c r="I1334" i="21" s="1"/>
  <c r="N1334" i="21"/>
  <c r="O1334" i="21" s="1"/>
  <c r="G1335" i="21"/>
  <c r="I1335" i="21" s="1"/>
  <c r="N1335" i="21"/>
  <c r="O1335" i="21"/>
  <c r="G1336" i="21"/>
  <c r="N1336" i="21"/>
  <c r="O1336" i="21" s="1"/>
  <c r="G1337" i="21"/>
  <c r="I1337" i="21" s="1"/>
  <c r="N1337" i="21"/>
  <c r="O1337" i="21" s="1"/>
  <c r="G1338" i="21"/>
  <c r="I1338" i="21" s="1"/>
  <c r="N1338" i="21"/>
  <c r="O1338" i="21"/>
  <c r="G1339" i="21"/>
  <c r="I1339" i="21"/>
  <c r="N1339" i="21"/>
  <c r="O1339" i="21" s="1"/>
  <c r="G1340" i="21"/>
  <c r="N1340" i="21"/>
  <c r="O1340" i="21" s="1"/>
  <c r="G1341" i="21"/>
  <c r="I1341" i="21"/>
  <c r="N1341" i="21"/>
  <c r="O1341" i="21"/>
  <c r="G1342" i="21"/>
  <c r="I1342" i="21"/>
  <c r="N1342" i="21"/>
  <c r="O1342" i="21" s="1"/>
  <c r="G1343" i="21"/>
  <c r="I1343" i="21"/>
  <c r="N1343" i="21"/>
  <c r="O1343" i="21" s="1"/>
  <c r="G1344" i="21"/>
  <c r="N1344" i="21"/>
  <c r="O1344" i="21" s="1"/>
  <c r="G1345" i="21"/>
  <c r="I1345" i="21" s="1"/>
  <c r="N1345" i="21"/>
  <c r="O1345" i="21" s="1"/>
  <c r="G1346" i="21"/>
  <c r="I1346" i="21" s="1"/>
  <c r="J1346" i="21" s="1"/>
  <c r="N1346" i="21"/>
  <c r="O1346" i="21"/>
  <c r="G1347" i="21"/>
  <c r="I1347" i="21" s="1"/>
  <c r="J1347" i="21" s="1"/>
  <c r="N1347" i="21"/>
  <c r="O1347" i="21" s="1"/>
  <c r="G1348" i="21"/>
  <c r="N1348" i="21"/>
  <c r="O1348" i="21" s="1"/>
  <c r="G1349" i="21"/>
  <c r="I1349" i="21"/>
  <c r="N1349" i="21"/>
  <c r="O1349" i="21"/>
  <c r="G1350" i="21"/>
  <c r="I1350" i="21"/>
  <c r="J1350" i="21" s="1"/>
  <c r="N1350" i="21"/>
  <c r="O1350" i="21" s="1"/>
  <c r="G1351" i="21"/>
  <c r="N1351" i="21"/>
  <c r="O1351" i="21"/>
  <c r="G1352" i="21"/>
  <c r="N1352" i="21"/>
  <c r="O1352" i="21" s="1"/>
  <c r="G1353" i="21"/>
  <c r="I1353" i="21" s="1"/>
  <c r="N1353" i="21"/>
  <c r="O1353" i="21" s="1"/>
  <c r="G1354" i="21"/>
  <c r="N1354" i="21"/>
  <c r="O1354" i="21" s="1"/>
  <c r="G1355" i="21"/>
  <c r="I1355" i="21" s="1"/>
  <c r="N1355" i="21"/>
  <c r="O1355" i="21"/>
  <c r="G1356" i="21"/>
  <c r="N1356" i="21"/>
  <c r="O1356" i="21" s="1"/>
  <c r="G1357" i="21"/>
  <c r="I1357" i="21" s="1"/>
  <c r="N1357" i="21"/>
  <c r="O1357" i="21" s="1"/>
  <c r="G1358" i="21"/>
  <c r="I1358" i="21" s="1"/>
  <c r="N1358" i="21"/>
  <c r="O1358" i="21" s="1"/>
  <c r="G1359" i="21"/>
  <c r="I1359" i="21" s="1"/>
  <c r="N1359" i="21"/>
  <c r="O1359" i="21"/>
  <c r="G1360" i="21"/>
  <c r="N1360" i="21"/>
  <c r="O1360" i="21" s="1"/>
  <c r="G1361" i="21"/>
  <c r="I1361" i="21" s="1"/>
  <c r="N1361" i="21"/>
  <c r="O1361" i="21" s="1"/>
  <c r="G1362" i="21"/>
  <c r="I1362" i="21" s="1"/>
  <c r="N1362" i="21"/>
  <c r="O1362" i="21"/>
  <c r="G1363" i="21"/>
  <c r="N1363" i="21"/>
  <c r="O1363" i="21" s="1"/>
  <c r="G1364" i="21"/>
  <c r="N1364" i="21"/>
  <c r="O1364" i="21" s="1"/>
  <c r="G1365" i="21"/>
  <c r="N1365" i="21"/>
  <c r="O1365" i="21" s="1"/>
  <c r="G1366" i="21"/>
  <c r="I1366" i="21" s="1"/>
  <c r="N1366" i="21"/>
  <c r="O1366" i="21" s="1"/>
  <c r="G1367" i="21"/>
  <c r="I1367" i="21"/>
  <c r="N1367" i="21"/>
  <c r="O1367" i="21" s="1"/>
  <c r="G1368" i="21"/>
  <c r="N1368" i="21"/>
  <c r="O1368" i="21"/>
  <c r="G1369" i="21"/>
  <c r="N1369" i="21"/>
  <c r="O1369" i="21" s="1"/>
  <c r="G1370" i="21"/>
  <c r="N1370" i="21"/>
  <c r="O1370" i="21"/>
  <c r="G1371" i="21"/>
  <c r="I1371" i="21"/>
  <c r="N1371" i="21"/>
  <c r="O1371" i="21" s="1"/>
  <c r="G1372" i="21"/>
  <c r="N1372" i="21"/>
  <c r="O1372" i="21" s="1"/>
  <c r="G1373" i="21"/>
  <c r="N1373" i="21"/>
  <c r="O1373" i="21"/>
  <c r="G1374" i="21"/>
  <c r="I1374" i="21" s="1"/>
  <c r="N1374" i="21"/>
  <c r="O1374" i="21" s="1"/>
  <c r="G1375" i="21"/>
  <c r="I1375" i="21" s="1"/>
  <c r="J1375" i="21" s="1"/>
  <c r="N1375" i="21"/>
  <c r="O1375" i="21"/>
  <c r="G1376" i="21"/>
  <c r="N1376" i="21"/>
  <c r="O1376" i="21" s="1"/>
  <c r="G1377" i="21"/>
  <c r="N1377" i="21"/>
  <c r="O1377" i="21" s="1"/>
  <c r="G1378" i="21"/>
  <c r="I1378" i="21" s="1"/>
  <c r="N1378" i="21"/>
  <c r="O1378" i="21" s="1"/>
  <c r="G1379" i="21"/>
  <c r="I1379" i="21" s="1"/>
  <c r="J1379" i="21" s="1"/>
  <c r="N1379" i="21"/>
  <c r="O1379" i="21" s="1"/>
  <c r="G1380" i="21"/>
  <c r="N1380" i="21"/>
  <c r="O1380" i="21" s="1"/>
  <c r="G1381" i="21"/>
  <c r="N1381" i="21"/>
  <c r="O1381" i="21"/>
  <c r="G1382" i="21"/>
  <c r="N1382" i="21"/>
  <c r="O1382" i="21" s="1"/>
  <c r="G1383" i="21"/>
  <c r="I1383" i="21" s="1"/>
  <c r="N1383" i="21"/>
  <c r="O1383" i="21" s="1"/>
  <c r="G1384" i="21"/>
  <c r="N1384" i="21"/>
  <c r="O1384" i="21" s="1"/>
  <c r="G1385" i="21"/>
  <c r="N1385" i="21"/>
  <c r="O1385" i="21" s="1"/>
  <c r="G1386" i="21"/>
  <c r="I1386" i="21" s="1"/>
  <c r="J1386" i="21" s="1"/>
  <c r="N1386" i="21"/>
  <c r="O1386" i="21"/>
  <c r="G1387" i="21"/>
  <c r="I1387" i="21" s="1"/>
  <c r="J1387" i="21" s="1"/>
  <c r="N1387" i="21"/>
  <c r="O1387" i="21" s="1"/>
  <c r="G1388" i="21"/>
  <c r="N1388" i="21"/>
  <c r="O1388" i="21" s="1"/>
  <c r="G1389" i="21"/>
  <c r="N1389" i="21"/>
  <c r="O1389" i="21" s="1"/>
  <c r="G1390" i="21"/>
  <c r="I1390" i="21"/>
  <c r="N1390" i="21"/>
  <c r="O1390" i="21"/>
  <c r="G1391" i="21"/>
  <c r="I1391" i="21"/>
  <c r="J1391" i="21" s="1"/>
  <c r="N1391" i="21"/>
  <c r="O1391" i="21" s="1"/>
  <c r="G1392" i="21"/>
  <c r="N1392" i="21"/>
  <c r="O1392" i="21" s="1"/>
  <c r="G1393" i="21"/>
  <c r="N1393" i="21"/>
  <c r="O1393" i="21" s="1"/>
  <c r="G1394" i="21"/>
  <c r="N1394" i="21"/>
  <c r="O1394" i="21" s="1"/>
  <c r="G1395" i="21"/>
  <c r="I1395" i="21"/>
  <c r="N1395" i="21"/>
  <c r="O1395" i="21" s="1"/>
  <c r="G1396" i="21"/>
  <c r="N1396" i="21"/>
  <c r="O1396" i="21" s="1"/>
  <c r="G1397" i="21"/>
  <c r="N1397" i="21"/>
  <c r="O1397" i="21"/>
  <c r="G1398" i="21"/>
  <c r="I1398" i="21"/>
  <c r="J1398" i="21" s="1"/>
  <c r="N1398" i="21"/>
  <c r="O1398" i="21" s="1"/>
  <c r="G1399" i="21"/>
  <c r="N1399" i="21"/>
  <c r="O1399" i="21" s="1"/>
  <c r="G1400" i="21"/>
  <c r="I1400" i="21"/>
  <c r="N1400" i="21"/>
  <c r="O1400" i="21" s="1"/>
  <c r="G1401" i="21"/>
  <c r="I1401" i="21"/>
  <c r="J1401" i="21" s="1"/>
  <c r="N1401" i="21"/>
  <c r="O1401" i="21" s="1"/>
  <c r="G1402" i="21"/>
  <c r="I1402" i="21" s="1"/>
  <c r="N1402" i="21"/>
  <c r="O1402" i="21"/>
  <c r="G1403" i="21"/>
  <c r="I1403" i="21" s="1"/>
  <c r="N1403" i="21"/>
  <c r="O1403" i="21" s="1"/>
  <c r="G1404" i="21"/>
  <c r="I1404" i="21" s="1"/>
  <c r="N1404" i="21"/>
  <c r="O1404" i="21" s="1"/>
  <c r="G1405" i="21"/>
  <c r="I1405" i="21" s="1"/>
  <c r="N1405" i="21"/>
  <c r="O1405" i="21" s="1"/>
  <c r="G1406" i="21"/>
  <c r="I1406" i="21" s="1"/>
  <c r="J1406" i="21" s="1"/>
  <c r="N1406" i="21"/>
  <c r="O1406" i="21" s="1"/>
  <c r="G1407" i="21"/>
  <c r="N1407" i="21"/>
  <c r="O1407" i="21" s="1"/>
  <c r="G1408" i="21"/>
  <c r="I1408" i="21" s="1"/>
  <c r="N1408" i="21"/>
  <c r="O1408" i="21" s="1"/>
  <c r="G1409" i="21"/>
  <c r="N1409" i="21"/>
  <c r="O1409" i="21" s="1"/>
  <c r="G1410" i="21"/>
  <c r="I1410" i="21"/>
  <c r="N1410" i="21"/>
  <c r="O1410" i="21" s="1"/>
  <c r="G1411" i="21"/>
  <c r="I1411" i="21" s="1"/>
  <c r="J1411" i="21" s="1"/>
  <c r="N1411" i="21"/>
  <c r="O1411" i="21" s="1"/>
  <c r="G1412" i="21"/>
  <c r="N1412" i="21"/>
  <c r="O1412" i="21"/>
  <c r="G1413" i="21"/>
  <c r="N1413" i="21"/>
  <c r="O1413" i="21" s="1"/>
  <c r="G1414" i="21"/>
  <c r="I1414" i="21" s="1"/>
  <c r="J1414" i="21" s="1"/>
  <c r="N1414" i="21"/>
  <c r="O1414" i="21"/>
  <c r="G1415" i="21"/>
  <c r="N1415" i="21"/>
  <c r="O1415" i="21" s="1"/>
  <c r="G1416" i="21"/>
  <c r="I1416" i="21" s="1"/>
  <c r="N1416" i="21"/>
  <c r="O1416" i="21" s="1"/>
  <c r="G1417" i="21"/>
  <c r="I1417" i="21" s="1"/>
  <c r="N1417" i="21"/>
  <c r="O1417" i="21" s="1"/>
  <c r="G1418" i="21"/>
  <c r="I1418" i="21" s="1"/>
  <c r="J1418" i="21" s="1"/>
  <c r="N1418" i="21"/>
  <c r="O1418" i="21" s="1"/>
  <c r="G1419" i="21"/>
  <c r="N1419" i="21"/>
  <c r="O1419" i="21" s="1"/>
  <c r="G1420" i="21"/>
  <c r="I1420" i="21" s="1"/>
  <c r="N1420" i="21"/>
  <c r="O1420" i="21" s="1"/>
  <c r="G1421" i="21"/>
  <c r="I1421" i="21" s="1"/>
  <c r="N1421" i="21"/>
  <c r="O1421" i="21"/>
  <c r="G1422" i="21"/>
  <c r="I1422" i="21" s="1"/>
  <c r="N1422" i="21"/>
  <c r="O1422" i="21"/>
  <c r="G1423" i="21"/>
  <c r="N1423" i="21"/>
  <c r="O1423" i="21" s="1"/>
  <c r="G1424" i="21"/>
  <c r="I1424" i="21"/>
  <c r="N1424" i="21"/>
  <c r="O1424" i="21" s="1"/>
  <c r="G1425" i="21"/>
  <c r="I1425" i="21" s="1"/>
  <c r="N1425" i="21"/>
  <c r="O1425" i="21" s="1"/>
  <c r="G1426" i="21"/>
  <c r="I1426" i="21" s="1"/>
  <c r="J1426" i="21" s="1"/>
  <c r="N1426" i="21"/>
  <c r="O1426" i="21"/>
  <c r="G1427" i="21"/>
  <c r="I1427" i="21" s="1"/>
  <c r="N1427" i="21"/>
  <c r="O1427" i="21" s="1"/>
  <c r="G1428" i="21"/>
  <c r="N1428" i="21"/>
  <c r="O1428" i="21" s="1"/>
  <c r="G1429" i="21"/>
  <c r="N1429" i="21"/>
  <c r="O1429" i="21"/>
  <c r="G1430" i="21"/>
  <c r="I1430" i="21" s="1"/>
  <c r="J1430" i="21" s="1"/>
  <c r="N1430" i="21"/>
  <c r="O1430" i="21" s="1"/>
  <c r="G1431" i="21"/>
  <c r="N1431" i="21"/>
  <c r="O1431" i="21" s="1"/>
  <c r="G1432" i="21"/>
  <c r="I1432" i="21" s="1"/>
  <c r="N1432" i="21"/>
  <c r="O1432" i="21" s="1"/>
  <c r="G1433" i="21"/>
  <c r="I1433" i="21" s="1"/>
  <c r="N1433" i="21"/>
  <c r="O1433" i="21" s="1"/>
  <c r="G1434" i="21"/>
  <c r="I1434" i="21" s="1"/>
  <c r="N1434" i="21"/>
  <c r="O1434" i="21" s="1"/>
  <c r="G1435" i="21"/>
  <c r="N1435" i="21"/>
  <c r="O1435" i="21" s="1"/>
  <c r="G1436" i="21"/>
  <c r="I1436" i="21" s="1"/>
  <c r="N1436" i="21"/>
  <c r="O1436" i="21" s="1"/>
  <c r="G1437" i="21"/>
  <c r="I1437" i="21"/>
  <c r="J1437" i="21" s="1"/>
  <c r="N1437" i="21"/>
  <c r="O1437" i="21" s="1"/>
  <c r="G1438" i="21"/>
  <c r="I1438" i="21" s="1"/>
  <c r="N1438" i="21"/>
  <c r="O1438" i="21" s="1"/>
  <c r="G1439" i="21"/>
  <c r="I1439" i="21" s="1"/>
  <c r="J1439" i="21" s="1"/>
  <c r="N1439" i="21"/>
  <c r="O1439" i="21" s="1"/>
  <c r="G1440" i="21"/>
  <c r="I1440" i="21" s="1"/>
  <c r="N1440" i="21"/>
  <c r="O1440" i="21"/>
  <c r="G1441" i="21"/>
  <c r="I1441" i="21" s="1"/>
  <c r="N1441" i="21"/>
  <c r="O1441" i="21"/>
  <c r="G1442" i="21"/>
  <c r="I1442" i="21" s="1"/>
  <c r="N1442" i="21"/>
  <c r="O1442" i="21" s="1"/>
  <c r="G1443" i="21"/>
  <c r="I1443" i="21" s="1"/>
  <c r="J1443" i="21" s="1"/>
  <c r="N1443" i="21"/>
  <c r="O1443" i="21" s="1"/>
  <c r="G1444" i="21"/>
  <c r="N1444" i="21"/>
  <c r="O1444" i="21" s="1"/>
  <c r="G1445" i="21"/>
  <c r="N1445" i="21"/>
  <c r="O1445" i="21"/>
  <c r="G1446" i="21"/>
  <c r="I1446" i="21" s="1"/>
  <c r="N1446" i="21"/>
  <c r="O1446" i="21" s="1"/>
  <c r="G1447" i="21"/>
  <c r="N1447" i="21"/>
  <c r="O1447" i="21"/>
  <c r="G1448" i="21"/>
  <c r="I1448" i="21" s="1"/>
  <c r="N1448" i="21"/>
  <c r="O1448" i="21" s="1"/>
  <c r="G1449" i="21"/>
  <c r="I1449" i="21" s="1"/>
  <c r="N1449" i="21"/>
  <c r="O1449" i="21" s="1"/>
  <c r="G1450" i="21"/>
  <c r="N1450" i="21"/>
  <c r="O1450" i="21"/>
  <c r="G1451" i="21"/>
  <c r="I1451" i="21" s="1"/>
  <c r="N1451" i="21"/>
  <c r="O1451" i="21"/>
  <c r="G1452" i="21"/>
  <c r="I1452" i="21" s="1"/>
  <c r="N1452" i="21"/>
  <c r="O1452" i="21"/>
  <c r="G1453" i="21"/>
  <c r="N1453" i="21"/>
  <c r="O1453" i="21"/>
  <c r="G1454" i="21"/>
  <c r="I1454" i="21" s="1"/>
  <c r="J1454" i="21" s="1"/>
  <c r="N1454" i="21"/>
  <c r="O1454" i="21" s="1"/>
  <c r="G1455" i="21"/>
  <c r="N1455" i="21"/>
  <c r="O1455" i="21" s="1"/>
  <c r="G1456" i="21"/>
  <c r="I1456" i="21" s="1"/>
  <c r="N1456" i="21"/>
  <c r="O1456" i="21" s="1"/>
  <c r="G1457" i="21"/>
  <c r="I1457" i="21"/>
  <c r="N1457" i="21"/>
  <c r="O1457" i="21" s="1"/>
  <c r="G1458" i="21"/>
  <c r="I1458" i="21" s="1"/>
  <c r="J1458" i="21" s="1"/>
  <c r="N1458" i="21"/>
  <c r="O1458" i="21" s="1"/>
  <c r="G1459" i="21"/>
  <c r="I1459" i="21" s="1"/>
  <c r="J1459" i="21" s="1"/>
  <c r="N1459" i="21"/>
  <c r="O1459" i="21"/>
  <c r="G1460" i="21"/>
  <c r="N1460" i="21"/>
  <c r="O1460" i="21" s="1"/>
  <c r="G1461" i="21"/>
  <c r="N1461" i="21"/>
  <c r="O1461" i="21" s="1"/>
  <c r="G1462" i="21"/>
  <c r="N1462" i="21"/>
  <c r="O1462" i="21"/>
  <c r="G1463" i="21"/>
  <c r="N1463" i="21"/>
  <c r="O1463" i="21" s="1"/>
  <c r="G1464" i="21"/>
  <c r="I1464" i="21" s="1"/>
  <c r="N1464" i="21"/>
  <c r="O1464" i="21" s="1"/>
  <c r="G1465" i="21"/>
  <c r="N1465" i="21"/>
  <c r="O1465" i="21" s="1"/>
  <c r="G1466" i="21"/>
  <c r="I1466" i="21" s="1"/>
  <c r="N1466" i="21"/>
  <c r="O1466" i="21" s="1"/>
  <c r="G1467" i="21"/>
  <c r="I1467" i="21" s="1"/>
  <c r="J1467" i="21" s="1"/>
  <c r="N1467" i="21"/>
  <c r="O1467" i="21" s="1"/>
  <c r="G1468" i="21"/>
  <c r="I1468" i="21" s="1"/>
  <c r="N1468" i="21"/>
  <c r="O1468" i="21" s="1"/>
  <c r="G1469" i="21"/>
  <c r="I1469" i="21" s="1"/>
  <c r="N1469" i="21"/>
  <c r="O1469" i="21"/>
  <c r="G1470" i="21"/>
  <c r="N1470" i="21"/>
  <c r="O1470" i="21" s="1"/>
  <c r="G1471" i="21"/>
  <c r="I1471" i="21" s="1"/>
  <c r="N1471" i="21"/>
  <c r="O1471" i="21" s="1"/>
  <c r="G1472" i="21"/>
  <c r="I1472" i="21" s="1"/>
  <c r="N1472" i="21"/>
  <c r="O1472" i="21" s="1"/>
  <c r="G1473" i="21"/>
  <c r="I1473" i="21" s="1"/>
  <c r="N1473" i="21"/>
  <c r="O1473" i="21" s="1"/>
  <c r="G1474" i="21"/>
  <c r="I1474" i="21" s="1"/>
  <c r="N1474" i="21"/>
  <c r="O1474" i="21" s="1"/>
  <c r="G1475" i="21"/>
  <c r="N1475" i="21"/>
  <c r="O1475" i="21"/>
  <c r="G1476" i="21"/>
  <c r="J1476" i="21" s="1"/>
  <c r="I1476" i="21"/>
  <c r="N1476" i="21"/>
  <c r="O1476" i="21" s="1"/>
  <c r="G1477" i="21"/>
  <c r="I1477" i="21" s="1"/>
  <c r="N1477" i="21"/>
  <c r="O1477" i="21"/>
  <c r="G1478" i="21"/>
  <c r="I1478" i="21" s="1"/>
  <c r="N1478" i="21"/>
  <c r="O1478" i="21" s="1"/>
  <c r="G1479" i="21"/>
  <c r="N1479" i="21"/>
  <c r="O1479" i="21" s="1"/>
  <c r="G1480" i="21"/>
  <c r="I1480" i="21" s="1"/>
  <c r="N1480" i="21"/>
  <c r="O1480" i="21" s="1"/>
  <c r="G1481" i="21"/>
  <c r="N1481" i="21"/>
  <c r="O1481" i="21" s="1"/>
  <c r="G1482" i="21"/>
  <c r="I1482" i="21" s="1"/>
  <c r="N1482" i="21"/>
  <c r="O1482" i="21" s="1"/>
  <c r="G1483" i="21"/>
  <c r="N1483" i="21"/>
  <c r="O1483" i="21" s="1"/>
  <c r="G1484" i="21"/>
  <c r="N1484" i="21"/>
  <c r="O1484" i="21" s="1"/>
  <c r="G1485" i="21"/>
  <c r="I1485" i="21" s="1"/>
  <c r="N1485" i="21"/>
  <c r="O1485" i="21" s="1"/>
  <c r="G1486" i="21"/>
  <c r="I1486" i="21" s="1"/>
  <c r="N1486" i="21"/>
  <c r="O1486" i="21" s="1"/>
  <c r="G1487" i="21"/>
  <c r="N1487" i="21"/>
  <c r="O1487" i="21" s="1"/>
  <c r="G1488" i="21"/>
  <c r="I1488" i="21" s="1"/>
  <c r="N1488" i="21"/>
  <c r="O1488" i="21"/>
  <c r="G1489" i="21"/>
  <c r="I1489" i="21" s="1"/>
  <c r="N1489" i="21"/>
  <c r="O1489" i="21" s="1"/>
  <c r="G1490" i="21"/>
  <c r="I1490" i="21" s="1"/>
  <c r="N1490" i="21"/>
  <c r="O1490" i="21" s="1"/>
  <c r="G1491" i="21"/>
  <c r="N1491" i="21"/>
  <c r="O1491" i="21" s="1"/>
  <c r="G1492" i="21"/>
  <c r="I1492" i="21" s="1"/>
  <c r="N1492" i="21"/>
  <c r="O1492" i="21" s="1"/>
  <c r="G1493" i="21"/>
  <c r="I1493" i="21" s="1"/>
  <c r="N1493" i="21"/>
  <c r="O1493" i="21" s="1"/>
  <c r="G1494" i="21"/>
  <c r="I1494" i="21" s="1"/>
  <c r="N1494" i="21"/>
  <c r="O1494" i="21" s="1"/>
  <c r="G1495" i="21"/>
  <c r="N1495" i="21"/>
  <c r="O1495" i="21" s="1"/>
  <c r="G1496" i="21"/>
  <c r="I1496" i="21" s="1"/>
  <c r="N1496" i="21"/>
  <c r="O1496" i="21" s="1"/>
  <c r="G1497" i="21"/>
  <c r="I1497" i="21" s="1"/>
  <c r="N1497" i="21"/>
  <c r="O1497" i="21" s="1"/>
  <c r="G1498" i="21"/>
  <c r="I1498" i="21" s="1"/>
  <c r="N1498" i="21"/>
  <c r="O1498" i="21" s="1"/>
  <c r="G1499" i="21"/>
  <c r="N1499" i="21"/>
  <c r="O1499" i="21"/>
  <c r="G1500" i="21"/>
  <c r="I1500" i="21" s="1"/>
  <c r="N1500" i="21"/>
  <c r="O1500" i="21" s="1"/>
  <c r="G1501" i="21"/>
  <c r="I1501" i="21" s="1"/>
  <c r="J1501" i="21" s="1"/>
  <c r="N1501" i="21"/>
  <c r="O1501" i="21" s="1"/>
  <c r="G1502" i="21"/>
  <c r="I1502" i="21" s="1"/>
  <c r="N1502" i="21"/>
  <c r="O1502" i="21" s="1"/>
  <c r="G1503" i="21"/>
  <c r="N1503" i="21"/>
  <c r="O1503" i="21" s="1"/>
  <c r="G1504" i="21"/>
  <c r="I1504" i="21" s="1"/>
  <c r="J1504" i="21" s="1"/>
  <c r="N1504" i="21"/>
  <c r="O1504" i="21"/>
  <c r="G1505" i="21"/>
  <c r="N1505" i="21"/>
  <c r="O1505" i="21" s="1"/>
  <c r="G1506" i="21"/>
  <c r="I1506" i="21" s="1"/>
  <c r="N1506" i="21"/>
  <c r="O1506" i="21" s="1"/>
  <c r="G1507" i="21"/>
  <c r="N1507" i="21"/>
  <c r="O1507" i="21"/>
  <c r="G1508" i="21"/>
  <c r="N1508" i="21"/>
  <c r="O1508" i="21" s="1"/>
  <c r="G1509" i="21"/>
  <c r="I1509" i="21" s="1"/>
  <c r="N1509" i="21"/>
  <c r="O1509" i="21" s="1"/>
  <c r="G1510" i="21"/>
  <c r="I1510" i="21" s="1"/>
  <c r="N1510" i="21"/>
  <c r="O1510" i="21" s="1"/>
  <c r="G1511" i="21"/>
  <c r="N1511" i="21"/>
  <c r="O1511" i="21" s="1"/>
  <c r="G1512" i="21"/>
  <c r="I1512" i="21" s="1"/>
  <c r="J1512" i="21" s="1"/>
  <c r="N1512" i="21"/>
  <c r="O1512" i="21" s="1"/>
  <c r="G1513" i="21"/>
  <c r="I1513" i="21" s="1"/>
  <c r="N1513" i="21"/>
  <c r="O1513" i="21" s="1"/>
  <c r="G1514" i="21"/>
  <c r="I1514" i="21" s="1"/>
  <c r="N1514" i="21"/>
  <c r="O1514" i="21"/>
  <c r="G1515" i="21"/>
  <c r="N1515" i="21"/>
  <c r="O1515" i="21" s="1"/>
  <c r="G1516" i="21"/>
  <c r="I1516" i="21" s="1"/>
  <c r="N1516" i="21"/>
  <c r="O1516" i="21"/>
  <c r="G1517" i="21"/>
  <c r="I1517" i="21"/>
  <c r="N1517" i="21"/>
  <c r="O1517" i="21" s="1"/>
  <c r="G1518" i="21"/>
  <c r="I1518" i="21" s="1"/>
  <c r="N1518" i="21"/>
  <c r="O1518" i="21" s="1"/>
  <c r="G1519" i="21"/>
  <c r="N1519" i="21"/>
  <c r="O1519" i="21"/>
  <c r="G1520" i="21"/>
  <c r="N1520" i="21"/>
  <c r="O1520" i="21" s="1"/>
  <c r="G1521" i="21"/>
  <c r="N1521" i="21"/>
  <c r="O1521" i="21"/>
  <c r="G1522" i="21"/>
  <c r="I1522" i="21"/>
  <c r="N1522" i="21"/>
  <c r="O1522" i="21" s="1"/>
  <c r="G1523" i="21"/>
  <c r="N1523" i="21"/>
  <c r="O1523" i="21" s="1"/>
  <c r="G1524" i="21"/>
  <c r="N1524" i="21"/>
  <c r="O1524" i="21" s="1"/>
  <c r="G1525" i="21"/>
  <c r="I1525" i="21" s="1"/>
  <c r="J1525" i="21" s="1"/>
  <c r="N1525" i="21"/>
  <c r="O1525" i="21" s="1"/>
  <c r="G1526" i="21"/>
  <c r="I1526" i="21" s="1"/>
  <c r="N1526" i="21"/>
  <c r="O1526" i="21" s="1"/>
  <c r="G1527" i="21"/>
  <c r="N1527" i="21"/>
  <c r="O1527" i="21"/>
  <c r="G1528" i="21"/>
  <c r="I1528" i="21" s="1"/>
  <c r="J1528" i="21" s="1"/>
  <c r="N1528" i="21"/>
  <c r="O1528" i="21" s="1"/>
  <c r="G1529" i="21"/>
  <c r="I1529" i="21" s="1"/>
  <c r="J1529" i="21" s="1"/>
  <c r="N1529" i="21"/>
  <c r="O1529" i="21" s="1"/>
  <c r="G1530" i="21"/>
  <c r="I1530" i="21" s="1"/>
  <c r="N1530" i="21"/>
  <c r="O1530" i="21" s="1"/>
  <c r="G1531" i="21"/>
  <c r="N1531" i="21"/>
  <c r="O1531" i="21" s="1"/>
  <c r="G1532" i="21"/>
  <c r="I1532" i="21" s="1"/>
  <c r="J1532" i="21" s="1"/>
  <c r="N1532" i="21"/>
  <c r="O1532" i="21" s="1"/>
  <c r="G1533" i="21"/>
  <c r="I1533" i="21"/>
  <c r="N1533" i="21"/>
  <c r="O1533" i="21"/>
  <c r="G1534" i="21"/>
  <c r="I1534" i="21"/>
  <c r="N1534" i="21"/>
  <c r="O1534" i="21" s="1"/>
  <c r="G1535" i="21"/>
  <c r="N1535" i="21"/>
  <c r="O1535" i="21" s="1"/>
  <c r="G1536" i="21"/>
  <c r="I1536" i="21" s="1"/>
  <c r="N1536" i="21"/>
  <c r="O1536" i="21" s="1"/>
  <c r="G1537" i="21"/>
  <c r="I1537" i="21" s="1"/>
  <c r="J1537" i="21" s="1"/>
  <c r="N1537" i="21"/>
  <c r="O1537" i="21" s="1"/>
  <c r="G1538" i="21"/>
  <c r="I1538" i="21" s="1"/>
  <c r="N1538" i="21"/>
  <c r="O1538" i="21" s="1"/>
  <c r="G1539" i="21"/>
  <c r="N1539" i="21"/>
  <c r="O1539" i="21" s="1"/>
  <c r="G1540" i="21"/>
  <c r="I1540" i="21" s="1"/>
  <c r="J1540" i="21" s="1"/>
  <c r="N1540" i="21"/>
  <c r="O1540" i="21" s="1"/>
  <c r="G1541" i="21"/>
  <c r="I1541" i="21"/>
  <c r="J1541" i="21" s="1"/>
  <c r="N1541" i="21"/>
  <c r="O1541" i="21" s="1"/>
  <c r="G1542" i="21"/>
  <c r="I1542" i="21" s="1"/>
  <c r="N1542" i="21"/>
  <c r="O1542" i="21" s="1"/>
  <c r="G1543" i="21"/>
  <c r="N1543" i="21"/>
  <c r="O1543" i="21" s="1"/>
  <c r="G1544" i="21"/>
  <c r="I1544" i="21" s="1"/>
  <c r="J1544" i="21" s="1"/>
  <c r="N1544" i="21"/>
  <c r="O1544" i="21" s="1"/>
  <c r="G1545" i="21"/>
  <c r="I1545" i="21" s="1"/>
  <c r="N1545" i="21"/>
  <c r="O1545" i="21"/>
  <c r="G1546" i="21"/>
  <c r="I1546" i="21"/>
  <c r="N1546" i="21"/>
  <c r="O1546" i="21"/>
  <c r="G1547" i="21"/>
  <c r="N1547" i="21"/>
  <c r="O1547" i="21" s="1"/>
  <c r="G1548" i="21"/>
  <c r="I1548" i="21" s="1"/>
  <c r="J1548" i="21" s="1"/>
  <c r="N1548" i="21"/>
  <c r="O1548" i="21" s="1"/>
  <c r="G1549" i="21"/>
  <c r="I1549" i="21" s="1"/>
  <c r="N1549" i="21"/>
  <c r="O1549" i="21" s="1"/>
  <c r="G1550" i="21"/>
  <c r="I1550" i="21" s="1"/>
  <c r="N1550" i="21"/>
  <c r="O1550" i="21" s="1"/>
  <c r="G1551" i="21"/>
  <c r="N1551" i="21"/>
  <c r="O1551" i="21" s="1"/>
  <c r="G1552" i="21"/>
  <c r="I1552" i="21" s="1"/>
  <c r="N1552" i="21"/>
  <c r="O1552" i="21" s="1"/>
  <c r="G1553" i="21"/>
  <c r="I1553" i="21" s="1"/>
  <c r="N1553" i="21"/>
  <c r="O1553" i="21" s="1"/>
  <c r="G1554" i="21"/>
  <c r="I1554" i="21" s="1"/>
  <c r="N1554" i="21"/>
  <c r="O1554" i="21"/>
  <c r="G1555" i="21"/>
  <c r="N1555" i="21"/>
  <c r="O1555" i="21" s="1"/>
  <c r="G1556" i="21"/>
  <c r="I1556" i="21" s="1"/>
  <c r="N1556" i="21"/>
  <c r="O1556" i="21" s="1"/>
  <c r="G1557" i="21"/>
  <c r="I1557" i="21" s="1"/>
  <c r="N1557" i="21"/>
  <c r="O1557" i="21"/>
  <c r="G1558" i="21"/>
  <c r="I1558" i="21"/>
  <c r="N1558" i="21"/>
  <c r="O1558" i="21" s="1"/>
  <c r="G1559" i="21"/>
  <c r="N1559" i="21"/>
  <c r="O1559" i="21" s="1"/>
  <c r="G1560" i="21"/>
  <c r="I1560" i="21" s="1"/>
  <c r="J1560" i="21" s="1"/>
  <c r="N1560" i="21"/>
  <c r="O1560" i="21" s="1"/>
  <c r="G1561" i="21"/>
  <c r="N1561" i="21"/>
  <c r="O1561" i="21" s="1"/>
  <c r="G1562" i="21"/>
  <c r="I1562" i="21" s="1"/>
  <c r="N1562" i="21"/>
  <c r="O1562" i="21" s="1"/>
  <c r="G1563" i="21"/>
  <c r="N1563" i="21"/>
  <c r="O1563" i="21" s="1"/>
  <c r="G1564" i="21"/>
  <c r="I1564" i="21"/>
  <c r="J1564" i="21" s="1"/>
  <c r="N1564" i="21"/>
  <c r="O1564" i="21" s="1"/>
  <c r="G1565" i="21"/>
  <c r="I1565" i="21" s="1"/>
  <c r="J1565" i="21" s="1"/>
  <c r="N1565" i="21"/>
  <c r="O1565" i="21" s="1"/>
  <c r="G1566" i="21"/>
  <c r="I1566" i="21" s="1"/>
  <c r="N1566" i="21"/>
  <c r="O1566" i="21"/>
  <c r="G1567" i="21"/>
  <c r="N1567" i="21"/>
  <c r="O1567" i="21" s="1"/>
  <c r="G1568" i="21"/>
  <c r="I1568" i="21" s="1"/>
  <c r="J1568" i="21" s="1"/>
  <c r="N1568" i="21"/>
  <c r="O1568" i="21" s="1"/>
  <c r="G1569" i="21"/>
  <c r="N1569" i="21"/>
  <c r="O1569" i="21" s="1"/>
  <c r="G1570" i="21"/>
  <c r="I1570" i="21" s="1"/>
  <c r="N1570" i="21"/>
  <c r="O1570" i="21" s="1"/>
  <c r="G1571" i="21"/>
  <c r="N1571" i="21"/>
  <c r="O1571" i="21" s="1"/>
  <c r="G1572" i="21"/>
  <c r="N1572" i="21"/>
  <c r="O1572" i="21" s="1"/>
  <c r="G1573" i="21"/>
  <c r="I1573" i="21" s="1"/>
  <c r="N1573" i="21"/>
  <c r="O1573" i="21" s="1"/>
  <c r="G1574" i="21"/>
  <c r="I1574" i="21"/>
  <c r="N1574" i="21"/>
  <c r="O1574" i="21"/>
  <c r="G1575" i="21"/>
  <c r="N1575" i="21"/>
  <c r="O1575" i="21" s="1"/>
  <c r="G1576" i="21"/>
  <c r="I1576" i="21" s="1"/>
  <c r="N1576" i="21"/>
  <c r="O1576" i="21"/>
  <c r="G1577" i="21"/>
  <c r="I1577" i="21" s="1"/>
  <c r="J1577" i="21" s="1"/>
  <c r="N1577" i="21"/>
  <c r="O1577" i="21" s="1"/>
  <c r="G1578" i="21"/>
  <c r="I1578" i="21" s="1"/>
  <c r="N1578" i="21"/>
  <c r="O1578" i="21" s="1"/>
  <c r="G1579" i="21"/>
  <c r="N1579" i="21"/>
  <c r="O1579" i="21" s="1"/>
  <c r="G1580" i="21"/>
  <c r="I1580" i="21"/>
  <c r="J1580" i="21" s="1"/>
  <c r="N1580" i="21"/>
  <c r="O1580" i="21" s="1"/>
  <c r="G1581" i="21"/>
  <c r="I1581" i="21" s="1"/>
  <c r="N1581" i="21"/>
  <c r="O1581" i="21" s="1"/>
  <c r="G1582" i="21"/>
  <c r="I1582" i="21" s="1"/>
  <c r="N1582" i="21"/>
  <c r="O1582" i="21" s="1"/>
  <c r="G1583" i="21"/>
  <c r="N1583" i="21"/>
  <c r="O1583" i="21" s="1"/>
  <c r="G1584" i="21"/>
  <c r="I1584" i="21" s="1"/>
  <c r="N1584" i="21"/>
  <c r="O1584" i="21" s="1"/>
  <c r="G1585" i="21"/>
  <c r="I1585" i="21"/>
  <c r="J1585" i="21" s="1"/>
  <c r="N1585" i="21"/>
  <c r="O1585" i="21" s="1"/>
  <c r="G1586" i="21"/>
  <c r="I1586" i="21" s="1"/>
  <c r="N1586" i="21"/>
  <c r="O1586" i="21" s="1"/>
  <c r="G1587" i="21"/>
  <c r="N1587" i="21"/>
  <c r="O1587" i="21" s="1"/>
  <c r="G1588" i="21"/>
  <c r="I1588" i="21" s="1"/>
  <c r="J1588" i="21" s="1"/>
  <c r="N1588" i="21"/>
  <c r="O1588" i="21" s="1"/>
  <c r="G1589" i="21"/>
  <c r="I1589" i="21" s="1"/>
  <c r="J1589" i="21" s="1"/>
  <c r="N1589" i="21"/>
  <c r="O1589" i="21" s="1"/>
  <c r="G1590" i="21"/>
  <c r="I1590" i="21"/>
  <c r="N1590" i="21"/>
  <c r="O1590" i="21" s="1"/>
  <c r="G1591" i="21"/>
  <c r="N1591" i="21"/>
  <c r="O1591" i="21" s="1"/>
  <c r="G1592" i="21"/>
  <c r="I1592" i="21" s="1"/>
  <c r="J1592" i="21" s="1"/>
  <c r="N1592" i="21"/>
  <c r="O1592" i="21"/>
  <c r="G1593" i="21"/>
  <c r="I1593" i="21" s="1"/>
  <c r="N1593" i="21"/>
  <c r="O1593" i="21" s="1"/>
  <c r="G1594" i="21"/>
  <c r="I1594" i="21" s="1"/>
  <c r="N1594" i="21"/>
  <c r="O1594" i="21" s="1"/>
  <c r="G1595" i="21"/>
  <c r="N1595" i="21"/>
  <c r="O1595" i="21"/>
  <c r="G1596" i="21"/>
  <c r="I1596" i="21"/>
  <c r="N1596" i="21"/>
  <c r="O1596" i="21" s="1"/>
  <c r="G1597" i="21"/>
  <c r="N1597" i="21"/>
  <c r="O1597" i="21" s="1"/>
  <c r="G1598" i="21"/>
  <c r="I1598" i="21" s="1"/>
  <c r="N1598" i="21"/>
  <c r="O1598" i="21" s="1"/>
  <c r="G1599" i="21"/>
  <c r="N1599" i="21"/>
  <c r="O1599" i="21" s="1"/>
  <c r="G1600" i="21"/>
  <c r="N1600" i="21"/>
  <c r="O1600" i="21" s="1"/>
  <c r="G1601" i="21"/>
  <c r="I1601" i="21" s="1"/>
  <c r="N1601" i="21"/>
  <c r="O1601" i="21" s="1"/>
  <c r="G1602" i="21"/>
  <c r="I1602" i="21"/>
  <c r="J1602" i="21" s="1"/>
  <c r="N1602" i="21"/>
  <c r="O1602" i="21" s="1"/>
  <c r="G1603" i="21"/>
  <c r="N1603" i="21"/>
  <c r="O1603" i="21" s="1"/>
  <c r="G1604" i="21"/>
  <c r="I1604" i="21" s="1"/>
  <c r="N1604" i="21"/>
  <c r="O1604" i="21"/>
  <c r="G1605" i="21"/>
  <c r="I1605" i="21" s="1"/>
  <c r="J1605" i="21" s="1"/>
  <c r="N1605" i="21"/>
  <c r="O1605" i="21" s="1"/>
  <c r="G1606" i="21"/>
  <c r="I1606" i="21" s="1"/>
  <c r="N1606" i="21"/>
  <c r="O1606" i="21" s="1"/>
  <c r="G1607" i="21"/>
  <c r="N1607" i="21"/>
  <c r="O1607" i="21" s="1"/>
  <c r="G1608" i="21"/>
  <c r="I1608" i="21" s="1"/>
  <c r="J1608" i="21" s="1"/>
  <c r="N1608" i="21"/>
  <c r="O1608" i="21" s="1"/>
  <c r="G1609" i="21"/>
  <c r="I1609" i="21" s="1"/>
  <c r="J1609" i="21" s="1"/>
  <c r="N1609" i="21"/>
  <c r="O1609" i="21"/>
  <c r="G1610" i="21"/>
  <c r="I1610" i="21" s="1"/>
  <c r="N1610" i="21"/>
  <c r="O1610" i="21" s="1"/>
  <c r="G1611" i="21"/>
  <c r="N1611" i="21"/>
  <c r="O1611" i="21" s="1"/>
  <c r="G1612" i="21"/>
  <c r="I1612" i="21" s="1"/>
  <c r="J1612" i="21" s="1"/>
  <c r="N1612" i="21"/>
  <c r="O1612" i="21"/>
  <c r="G1613" i="21"/>
  <c r="I1613" i="21"/>
  <c r="J1613" i="21" s="1"/>
  <c r="N1613" i="21"/>
  <c r="O1613" i="21" s="1"/>
  <c r="G1614" i="21"/>
  <c r="I1614" i="21" s="1"/>
  <c r="N1614" i="21"/>
  <c r="O1614" i="21" s="1"/>
  <c r="G1615" i="21"/>
  <c r="N1615" i="21"/>
  <c r="O1615" i="21"/>
  <c r="G1616" i="21"/>
  <c r="I1616" i="21"/>
  <c r="J1616" i="21" s="1"/>
  <c r="N1616" i="21"/>
  <c r="O1616" i="21" s="1"/>
  <c r="G1617" i="21"/>
  <c r="N1617" i="21"/>
  <c r="O1617" i="21"/>
  <c r="G1618" i="21"/>
  <c r="I1618" i="21"/>
  <c r="N1618" i="21"/>
  <c r="O1618" i="21" s="1"/>
  <c r="G1619" i="21"/>
  <c r="N1619" i="21"/>
  <c r="O1619" i="21" s="1"/>
  <c r="G1620" i="21"/>
  <c r="N1620" i="21"/>
  <c r="O1620" i="21" s="1"/>
  <c r="G1621" i="21"/>
  <c r="N1621" i="21"/>
  <c r="O1621" i="21" s="1"/>
  <c r="G1622" i="21"/>
  <c r="I1622" i="21" s="1"/>
  <c r="N1622" i="21"/>
  <c r="O1622" i="21" s="1"/>
  <c r="G1623" i="21"/>
  <c r="N1623" i="21"/>
  <c r="O1623" i="21"/>
  <c r="G1624" i="21"/>
  <c r="J1624" i="21"/>
  <c r="I1624" i="21"/>
  <c r="N1624" i="21"/>
  <c r="O1624" i="21" s="1"/>
  <c r="G1625" i="21"/>
  <c r="I1625" i="21" s="1"/>
  <c r="J1625" i="21" s="1"/>
  <c r="N1625" i="21"/>
  <c r="O1625" i="21"/>
  <c r="G1626" i="21"/>
  <c r="I1626" i="21" s="1"/>
  <c r="N1626" i="21"/>
  <c r="O1626" i="21" s="1"/>
  <c r="G1627" i="21"/>
  <c r="N1627" i="21"/>
  <c r="O1627" i="21" s="1"/>
  <c r="G1628" i="21"/>
  <c r="I1628" i="21" s="1"/>
  <c r="J1628" i="21" s="1"/>
  <c r="N1628" i="21"/>
  <c r="O1628" i="21"/>
  <c r="G1629" i="21"/>
  <c r="I1629" i="21" s="1"/>
  <c r="N1629" i="21"/>
  <c r="O1629" i="21"/>
  <c r="G1630" i="21"/>
  <c r="I1630" i="21" s="1"/>
  <c r="N1630" i="21"/>
  <c r="O1630" i="21"/>
  <c r="G1631" i="21"/>
  <c r="N1631" i="21"/>
  <c r="O1631" i="21" s="1"/>
  <c r="G1632" i="21"/>
  <c r="I1632" i="21" s="1"/>
  <c r="N1632" i="21"/>
  <c r="O1632" i="21" s="1"/>
  <c r="G1633" i="21"/>
  <c r="I1633" i="21" s="1"/>
  <c r="J1633" i="21" s="1"/>
  <c r="N1633" i="21"/>
  <c r="O1633" i="21" s="1"/>
  <c r="G1634" i="21"/>
  <c r="I1634" i="21"/>
  <c r="N1634" i="21"/>
  <c r="O1634" i="21"/>
  <c r="G1635" i="21"/>
  <c r="N1635" i="21"/>
  <c r="O1635" i="21" s="1"/>
  <c r="G1636" i="21"/>
  <c r="I1636" i="21" s="1"/>
  <c r="J1636" i="21" s="1"/>
  <c r="N1636" i="21"/>
  <c r="O1636" i="21"/>
  <c r="G1637" i="21"/>
  <c r="I1637" i="21"/>
  <c r="N1637" i="21"/>
  <c r="O1637" i="21" s="1"/>
  <c r="N6" i="21"/>
  <c r="O6" i="21"/>
  <c r="G6" i="21"/>
  <c r="O442" i="6"/>
  <c r="O379" i="6"/>
  <c r="H318" i="6"/>
  <c r="H302" i="6"/>
  <c r="P302" i="6" s="1"/>
  <c r="N292" i="6"/>
  <c r="N286" i="6"/>
  <c r="N265" i="6"/>
  <c r="N206" i="6"/>
  <c r="D1700" i="6"/>
  <c r="I1700" i="6"/>
  <c r="I1695" i="6"/>
  <c r="D1695" i="6"/>
  <c r="G1695" i="6"/>
  <c r="I1717" i="6"/>
  <c r="D1717" i="6"/>
  <c r="I1709" i="6"/>
  <c r="D1709" i="6"/>
  <c r="I1671" i="6"/>
  <c r="D1671" i="6"/>
  <c r="AA1638" i="6"/>
  <c r="Z1638" i="6"/>
  <c r="AA1637" i="6"/>
  <c r="Z1637" i="6"/>
  <c r="AA1636" i="6"/>
  <c r="Z1636" i="6"/>
  <c r="AA1635" i="6"/>
  <c r="Z1635" i="6"/>
  <c r="AA1634" i="6"/>
  <c r="Z1634" i="6"/>
  <c r="AA1633" i="6"/>
  <c r="Z1633" i="6"/>
  <c r="AA1632" i="6"/>
  <c r="Z1632" i="6"/>
  <c r="AA1631" i="6"/>
  <c r="Z1631" i="6"/>
  <c r="AA1630" i="6"/>
  <c r="Z1630" i="6"/>
  <c r="AA1629" i="6"/>
  <c r="Z1629" i="6"/>
  <c r="AA1628" i="6"/>
  <c r="Z1628" i="6"/>
  <c r="AA1627" i="6"/>
  <c r="Z1627" i="6"/>
  <c r="AA1626" i="6"/>
  <c r="Z1626" i="6"/>
  <c r="AA1625" i="6"/>
  <c r="Z1625" i="6"/>
  <c r="AA1624" i="6"/>
  <c r="Z1624" i="6"/>
  <c r="AA1623" i="6"/>
  <c r="Z1623" i="6"/>
  <c r="AA1622" i="6"/>
  <c r="Z1622" i="6"/>
  <c r="AA1621" i="6"/>
  <c r="Z1621" i="6"/>
  <c r="AA1620" i="6"/>
  <c r="Z1620" i="6"/>
  <c r="AA1619" i="6"/>
  <c r="Z1619" i="6"/>
  <c r="AA1618" i="6"/>
  <c r="Z1618" i="6"/>
  <c r="AA1617" i="6"/>
  <c r="Z1617" i="6"/>
  <c r="AA1616" i="6"/>
  <c r="Z1616" i="6"/>
  <c r="AA1615" i="6"/>
  <c r="Z1615" i="6"/>
  <c r="AA1614" i="6"/>
  <c r="Z1614" i="6"/>
  <c r="AA1613" i="6"/>
  <c r="Z1613" i="6"/>
  <c r="AA1612" i="6"/>
  <c r="Z1612" i="6"/>
  <c r="AA1611" i="6"/>
  <c r="Z1611" i="6"/>
  <c r="AA1610" i="6"/>
  <c r="Z1610" i="6"/>
  <c r="AA1609" i="6"/>
  <c r="Z1609" i="6"/>
  <c r="AA1608" i="6"/>
  <c r="Z1608" i="6"/>
  <c r="AA1607" i="6"/>
  <c r="Z1607" i="6"/>
  <c r="AA1606" i="6"/>
  <c r="Z1606" i="6"/>
  <c r="AA1605" i="6"/>
  <c r="Z1605" i="6"/>
  <c r="AA1604" i="6"/>
  <c r="Z1604" i="6"/>
  <c r="AA1603" i="6"/>
  <c r="Z1603" i="6"/>
  <c r="AA1602" i="6"/>
  <c r="Z1602" i="6"/>
  <c r="AA1601" i="6"/>
  <c r="Z1601" i="6"/>
  <c r="AA1600" i="6"/>
  <c r="Z1600" i="6"/>
  <c r="AA1599" i="6"/>
  <c r="Z1599" i="6"/>
  <c r="AA1598" i="6"/>
  <c r="Z1598" i="6"/>
  <c r="AA1597" i="6"/>
  <c r="Z1597" i="6"/>
  <c r="AA1596" i="6"/>
  <c r="Z1596" i="6"/>
  <c r="AA1595" i="6"/>
  <c r="Z1595" i="6"/>
  <c r="AA1594" i="6"/>
  <c r="Z1594" i="6"/>
  <c r="AA1593" i="6"/>
  <c r="Z1593" i="6"/>
  <c r="AA1592" i="6"/>
  <c r="Z1592" i="6"/>
  <c r="AA1591" i="6"/>
  <c r="Z1591" i="6"/>
  <c r="AA1590" i="6"/>
  <c r="Z1590" i="6"/>
  <c r="AA1589" i="6"/>
  <c r="Z1589" i="6"/>
  <c r="AA1588" i="6"/>
  <c r="Z1588" i="6"/>
  <c r="AA1587" i="6"/>
  <c r="Z1587" i="6"/>
  <c r="AA1586" i="6"/>
  <c r="Z1586" i="6"/>
  <c r="AA1585" i="6"/>
  <c r="Z1585" i="6"/>
  <c r="AA1584" i="6"/>
  <c r="Z1584" i="6"/>
  <c r="AA1583" i="6"/>
  <c r="Z1583" i="6"/>
  <c r="AA1582" i="6"/>
  <c r="Z1582" i="6"/>
  <c r="AA1581" i="6"/>
  <c r="Z1581" i="6"/>
  <c r="AA1580" i="6"/>
  <c r="Z1580" i="6"/>
  <c r="AA1579" i="6"/>
  <c r="Z1579" i="6"/>
  <c r="AA1578" i="6"/>
  <c r="Z1578" i="6"/>
  <c r="AA1577" i="6"/>
  <c r="Z1577" i="6"/>
  <c r="AA1576" i="6"/>
  <c r="Z1576" i="6"/>
  <c r="AA1575" i="6"/>
  <c r="Z1575" i="6"/>
  <c r="AA1574" i="6"/>
  <c r="Z1574" i="6"/>
  <c r="AA1573" i="6"/>
  <c r="Z1573" i="6"/>
  <c r="AA1572" i="6"/>
  <c r="Z1572" i="6"/>
  <c r="AA1571" i="6"/>
  <c r="Z1571" i="6"/>
  <c r="AA1570" i="6"/>
  <c r="Z1570" i="6"/>
  <c r="AA1569" i="6"/>
  <c r="Z1569" i="6"/>
  <c r="AA1568" i="6"/>
  <c r="Z1568" i="6"/>
  <c r="AA1567" i="6"/>
  <c r="Z1567" i="6"/>
  <c r="AA1566" i="6"/>
  <c r="Z1566" i="6"/>
  <c r="AA1565" i="6"/>
  <c r="Z1565" i="6"/>
  <c r="AA1564" i="6"/>
  <c r="Z1564" i="6"/>
  <c r="AA1563" i="6"/>
  <c r="Z1563" i="6"/>
  <c r="AA1562" i="6"/>
  <c r="Z1562" i="6"/>
  <c r="AA1561" i="6"/>
  <c r="Z1561" i="6"/>
  <c r="AA1560" i="6"/>
  <c r="Z1560" i="6"/>
  <c r="AA1559" i="6"/>
  <c r="Z1559" i="6"/>
  <c r="AA1558" i="6"/>
  <c r="Z1558" i="6"/>
  <c r="AA1557" i="6"/>
  <c r="Z1557" i="6"/>
  <c r="AA1556" i="6"/>
  <c r="Z1556" i="6"/>
  <c r="AA1555" i="6"/>
  <c r="Z1555" i="6"/>
  <c r="AA1554" i="6"/>
  <c r="Z1554" i="6"/>
  <c r="AA1553" i="6"/>
  <c r="Z1553" i="6"/>
  <c r="AA1552" i="6"/>
  <c r="Z1552" i="6"/>
  <c r="AA1551" i="6"/>
  <c r="Z1551" i="6"/>
  <c r="AA1550" i="6"/>
  <c r="Z1550" i="6"/>
  <c r="AA1549" i="6"/>
  <c r="Z1549" i="6"/>
  <c r="AA1548" i="6"/>
  <c r="Z1548" i="6"/>
  <c r="AA1547" i="6"/>
  <c r="Z1547" i="6"/>
  <c r="AA1546" i="6"/>
  <c r="Z1546" i="6"/>
  <c r="AA1545" i="6"/>
  <c r="Z1545" i="6"/>
  <c r="AA1544" i="6"/>
  <c r="Z1544" i="6"/>
  <c r="AA1543" i="6"/>
  <c r="Z1543" i="6"/>
  <c r="AA1542" i="6"/>
  <c r="Z1542" i="6"/>
  <c r="AA1541" i="6"/>
  <c r="Z1541" i="6"/>
  <c r="AA1540" i="6"/>
  <c r="Z1540" i="6"/>
  <c r="AA1539" i="6"/>
  <c r="Z1539" i="6"/>
  <c r="AA1538" i="6"/>
  <c r="Z1538" i="6"/>
  <c r="AA1537" i="6"/>
  <c r="Z1537" i="6"/>
  <c r="AA1536" i="6"/>
  <c r="Z1536" i="6"/>
  <c r="AA1535" i="6"/>
  <c r="Z1535" i="6"/>
  <c r="AA1534" i="6"/>
  <c r="Z1534" i="6"/>
  <c r="AA1533" i="6"/>
  <c r="Z1533" i="6"/>
  <c r="AA1532" i="6"/>
  <c r="Z1532" i="6"/>
  <c r="AA1531" i="6"/>
  <c r="Z1531" i="6"/>
  <c r="AA1530" i="6"/>
  <c r="Z1530" i="6"/>
  <c r="AA1529" i="6"/>
  <c r="Z1529" i="6"/>
  <c r="AA1528" i="6"/>
  <c r="Z1528" i="6"/>
  <c r="AA1527" i="6"/>
  <c r="Z1527" i="6"/>
  <c r="AA1526" i="6"/>
  <c r="Z1526" i="6"/>
  <c r="AA1525" i="6"/>
  <c r="Z1525" i="6"/>
  <c r="AA1524" i="6"/>
  <c r="Z1524" i="6"/>
  <c r="AA1523" i="6"/>
  <c r="Z1523" i="6"/>
  <c r="AA1522" i="6"/>
  <c r="Z1522" i="6"/>
  <c r="AA1521" i="6"/>
  <c r="Z1521" i="6"/>
  <c r="AA1520" i="6"/>
  <c r="Z1520" i="6"/>
  <c r="AA1519" i="6"/>
  <c r="Z1519" i="6"/>
  <c r="AA1518" i="6"/>
  <c r="Z1518" i="6"/>
  <c r="AA1517" i="6"/>
  <c r="Z1517" i="6"/>
  <c r="AA1516" i="6"/>
  <c r="Z1516" i="6"/>
  <c r="AA1515" i="6"/>
  <c r="Z1515" i="6"/>
  <c r="AA1514" i="6"/>
  <c r="Z1514" i="6"/>
  <c r="AA1513" i="6"/>
  <c r="Z1513" i="6"/>
  <c r="AA1512" i="6"/>
  <c r="Z1512" i="6"/>
  <c r="AA1511" i="6"/>
  <c r="Z1511" i="6"/>
  <c r="AA1510" i="6"/>
  <c r="Z1510" i="6"/>
  <c r="AA1509" i="6"/>
  <c r="Z1509" i="6"/>
  <c r="AA1508" i="6"/>
  <c r="Z1508" i="6"/>
  <c r="AA1507" i="6"/>
  <c r="Z1507" i="6"/>
  <c r="AA1506" i="6"/>
  <c r="Z1506" i="6"/>
  <c r="AA1505" i="6"/>
  <c r="Z1505" i="6"/>
  <c r="AA1504" i="6"/>
  <c r="Z1504" i="6"/>
  <c r="AA1503" i="6"/>
  <c r="Z1503" i="6"/>
  <c r="AA1502" i="6"/>
  <c r="Z1502" i="6"/>
  <c r="AA1501" i="6"/>
  <c r="Z1501" i="6"/>
  <c r="AA1500" i="6"/>
  <c r="Z1500" i="6"/>
  <c r="AA1499" i="6"/>
  <c r="Z1499" i="6"/>
  <c r="AA1498" i="6"/>
  <c r="Z1498" i="6"/>
  <c r="AA1497" i="6"/>
  <c r="Z1497" i="6"/>
  <c r="AA1496" i="6"/>
  <c r="Z1496" i="6"/>
  <c r="AA1495" i="6"/>
  <c r="Z1495" i="6"/>
  <c r="AA1494" i="6"/>
  <c r="Z1494" i="6"/>
  <c r="AA1493" i="6"/>
  <c r="Z1493" i="6"/>
  <c r="AA1492" i="6"/>
  <c r="Z1492" i="6"/>
  <c r="AA1491" i="6"/>
  <c r="Z1491" i="6"/>
  <c r="AA1490" i="6"/>
  <c r="Z1490" i="6"/>
  <c r="AA1489" i="6"/>
  <c r="Z1489" i="6"/>
  <c r="AA1488" i="6"/>
  <c r="Z1488" i="6"/>
  <c r="AA1487" i="6"/>
  <c r="Z1487" i="6"/>
  <c r="AA1486" i="6"/>
  <c r="Z1486" i="6"/>
  <c r="AA1485" i="6"/>
  <c r="Z1485" i="6"/>
  <c r="AA1484" i="6"/>
  <c r="Z1484" i="6"/>
  <c r="AA1483" i="6"/>
  <c r="Z1483" i="6"/>
  <c r="AA1482" i="6"/>
  <c r="Z1482" i="6"/>
  <c r="AA1481" i="6"/>
  <c r="Z1481" i="6"/>
  <c r="AA1480" i="6"/>
  <c r="Z1480" i="6"/>
  <c r="AA1479" i="6"/>
  <c r="Z1479" i="6"/>
  <c r="AA1478" i="6"/>
  <c r="Z1478" i="6"/>
  <c r="AA1477" i="6"/>
  <c r="Z1477" i="6"/>
  <c r="AA1476" i="6"/>
  <c r="Z1476" i="6"/>
  <c r="AA1475" i="6"/>
  <c r="Z1475" i="6"/>
  <c r="AA1474" i="6"/>
  <c r="Z1474" i="6"/>
  <c r="AA1473" i="6"/>
  <c r="Z1473" i="6"/>
  <c r="AA1472" i="6"/>
  <c r="Z1472" i="6"/>
  <c r="AA1471" i="6"/>
  <c r="Z1471" i="6"/>
  <c r="AA1470" i="6"/>
  <c r="Z1470" i="6"/>
  <c r="AA1469" i="6"/>
  <c r="Z1469" i="6"/>
  <c r="AA1468" i="6"/>
  <c r="Z1468" i="6"/>
  <c r="AA1467" i="6"/>
  <c r="Z1467" i="6"/>
  <c r="AA1466" i="6"/>
  <c r="Z1466" i="6"/>
  <c r="AA1465" i="6"/>
  <c r="Z1465" i="6"/>
  <c r="AA1464" i="6"/>
  <c r="Z1464" i="6"/>
  <c r="AA1463" i="6"/>
  <c r="Z1463" i="6"/>
  <c r="AA1462" i="6"/>
  <c r="Z1462" i="6"/>
  <c r="AA1461" i="6"/>
  <c r="Z1461" i="6"/>
  <c r="AA1460" i="6"/>
  <c r="Z1460" i="6"/>
  <c r="AA1459" i="6"/>
  <c r="Z1459" i="6"/>
  <c r="AA1458" i="6"/>
  <c r="Z1458" i="6"/>
  <c r="AA1457" i="6"/>
  <c r="Z1457" i="6"/>
  <c r="AA1456" i="6"/>
  <c r="Z1456" i="6"/>
  <c r="AA1455" i="6"/>
  <c r="Z1455" i="6"/>
  <c r="AA1454" i="6"/>
  <c r="Z1454" i="6"/>
  <c r="AA1453" i="6"/>
  <c r="Z1453" i="6"/>
  <c r="AA1452" i="6"/>
  <c r="Z1452" i="6"/>
  <c r="AA1451" i="6"/>
  <c r="Z1451" i="6"/>
  <c r="AA1450" i="6"/>
  <c r="Z1450" i="6"/>
  <c r="AA1449" i="6"/>
  <c r="Z1449" i="6"/>
  <c r="AA1448" i="6"/>
  <c r="Z1448" i="6"/>
  <c r="AA1447" i="6"/>
  <c r="Z1447" i="6"/>
  <c r="AA1446" i="6"/>
  <c r="Z1446" i="6"/>
  <c r="AA1445" i="6"/>
  <c r="Z1445" i="6"/>
  <c r="AA1444" i="6"/>
  <c r="Z1444" i="6"/>
  <c r="AA1443" i="6"/>
  <c r="Z1443" i="6"/>
  <c r="AA1442" i="6"/>
  <c r="Z1442" i="6"/>
  <c r="AA1441" i="6"/>
  <c r="Z1441" i="6"/>
  <c r="AA1440" i="6"/>
  <c r="Z1440" i="6"/>
  <c r="AA1439" i="6"/>
  <c r="Z1439" i="6"/>
  <c r="AA1438" i="6"/>
  <c r="Z1438" i="6"/>
  <c r="AA1437" i="6"/>
  <c r="Z1437" i="6"/>
  <c r="AA1436" i="6"/>
  <c r="Z1436" i="6"/>
  <c r="AA1435" i="6"/>
  <c r="Z1435" i="6"/>
  <c r="AA1434" i="6"/>
  <c r="Z1434" i="6"/>
  <c r="AA1433" i="6"/>
  <c r="Z1433" i="6"/>
  <c r="AA1432" i="6"/>
  <c r="Z1432" i="6"/>
  <c r="AA1431" i="6"/>
  <c r="Z1431" i="6"/>
  <c r="AA1430" i="6"/>
  <c r="Z1430" i="6"/>
  <c r="AA1429" i="6"/>
  <c r="Z1429" i="6"/>
  <c r="AA1428" i="6"/>
  <c r="Z1428" i="6"/>
  <c r="AA1427" i="6"/>
  <c r="Z1427" i="6"/>
  <c r="AA1426" i="6"/>
  <c r="Z1426" i="6"/>
  <c r="AA1425" i="6"/>
  <c r="Z1425" i="6"/>
  <c r="AA1424" i="6"/>
  <c r="Z1424" i="6"/>
  <c r="AA1423" i="6"/>
  <c r="Z1423" i="6"/>
  <c r="AA1422" i="6"/>
  <c r="Z1422" i="6"/>
  <c r="AA1421" i="6"/>
  <c r="Z1421" i="6"/>
  <c r="AA1420" i="6"/>
  <c r="Z1420" i="6"/>
  <c r="AA1419" i="6"/>
  <c r="Z1419" i="6"/>
  <c r="AA1418" i="6"/>
  <c r="Z1418" i="6"/>
  <c r="AA1417" i="6"/>
  <c r="Z1417" i="6"/>
  <c r="AA1416" i="6"/>
  <c r="Z1416" i="6"/>
  <c r="AA1415" i="6"/>
  <c r="Z1415" i="6"/>
  <c r="AA1414" i="6"/>
  <c r="Z1414" i="6"/>
  <c r="AA1413" i="6"/>
  <c r="Z1413" i="6"/>
  <c r="AA1412" i="6"/>
  <c r="Z1412" i="6"/>
  <c r="AA1411" i="6"/>
  <c r="Z1411" i="6"/>
  <c r="AA1410" i="6"/>
  <c r="Z1410" i="6"/>
  <c r="AA1409" i="6"/>
  <c r="Z1409" i="6"/>
  <c r="AA1408" i="6"/>
  <c r="Z1408" i="6"/>
  <c r="AA1407" i="6"/>
  <c r="Z1407" i="6"/>
  <c r="AA1406" i="6"/>
  <c r="Z1406" i="6"/>
  <c r="AA1405" i="6"/>
  <c r="Z1405" i="6"/>
  <c r="AA1404" i="6"/>
  <c r="Z1404" i="6"/>
  <c r="AA1403" i="6"/>
  <c r="Z1403" i="6"/>
  <c r="AA1402" i="6"/>
  <c r="Z1402" i="6"/>
  <c r="AA1401" i="6"/>
  <c r="Z1401" i="6"/>
  <c r="AA1400" i="6"/>
  <c r="Z1400" i="6"/>
  <c r="AA1399" i="6"/>
  <c r="Z1399" i="6"/>
  <c r="AA1398" i="6"/>
  <c r="Z1398" i="6"/>
  <c r="AA1397" i="6"/>
  <c r="Z1397" i="6"/>
  <c r="AA1396" i="6"/>
  <c r="Z1396" i="6"/>
  <c r="AA1395" i="6"/>
  <c r="Z1395" i="6"/>
  <c r="AA1394" i="6"/>
  <c r="Z1394" i="6"/>
  <c r="AA1393" i="6"/>
  <c r="Z1393" i="6"/>
  <c r="AA1392" i="6"/>
  <c r="Z1392" i="6"/>
  <c r="AA1391" i="6"/>
  <c r="Z1391" i="6"/>
  <c r="AA1390" i="6"/>
  <c r="Z1390" i="6"/>
  <c r="AA1389" i="6"/>
  <c r="Z1389" i="6"/>
  <c r="AA1388" i="6"/>
  <c r="Z1388" i="6"/>
  <c r="AA1387" i="6"/>
  <c r="Z1387" i="6"/>
  <c r="AA1386" i="6"/>
  <c r="Z1386" i="6"/>
  <c r="AA1385" i="6"/>
  <c r="Z1385" i="6"/>
  <c r="AA1384" i="6"/>
  <c r="Z1384" i="6"/>
  <c r="AA1383" i="6"/>
  <c r="Z1383" i="6"/>
  <c r="AA1382" i="6"/>
  <c r="Z1382" i="6"/>
  <c r="AA1381" i="6"/>
  <c r="Z1381" i="6"/>
  <c r="AA1380" i="6"/>
  <c r="Z1380" i="6"/>
  <c r="AA1379" i="6"/>
  <c r="Z1379" i="6"/>
  <c r="AA1378" i="6"/>
  <c r="Z1378" i="6"/>
  <c r="AA1377" i="6"/>
  <c r="Z1377" i="6"/>
  <c r="AA1376" i="6"/>
  <c r="Z1376" i="6"/>
  <c r="AA1375" i="6"/>
  <c r="Z1375" i="6"/>
  <c r="AA1374" i="6"/>
  <c r="Z1374" i="6"/>
  <c r="AA1373" i="6"/>
  <c r="Z1373" i="6"/>
  <c r="AA1372" i="6"/>
  <c r="Z1372" i="6"/>
  <c r="AA1371" i="6"/>
  <c r="Z1371" i="6"/>
  <c r="AA1370" i="6"/>
  <c r="Z1370" i="6"/>
  <c r="AA1369" i="6"/>
  <c r="Z1369" i="6"/>
  <c r="AA1368" i="6"/>
  <c r="Z1368" i="6"/>
  <c r="AA1367" i="6"/>
  <c r="Z1367" i="6"/>
  <c r="AA1366" i="6"/>
  <c r="Z1366" i="6"/>
  <c r="AA1365" i="6"/>
  <c r="Z1365" i="6"/>
  <c r="AA1364" i="6"/>
  <c r="Z1364" i="6"/>
  <c r="AA1363" i="6"/>
  <c r="Z1363" i="6"/>
  <c r="AA1362" i="6"/>
  <c r="Z1362" i="6"/>
  <c r="AA1361" i="6"/>
  <c r="Z1361" i="6"/>
  <c r="AA1360" i="6"/>
  <c r="Z1360" i="6"/>
  <c r="AA1359" i="6"/>
  <c r="Z1359" i="6"/>
  <c r="AA1358" i="6"/>
  <c r="Z1358" i="6"/>
  <c r="AA1357" i="6"/>
  <c r="Z1357" i="6"/>
  <c r="AA1356" i="6"/>
  <c r="Z1356" i="6"/>
  <c r="AA1355" i="6"/>
  <c r="Z1355" i="6"/>
  <c r="AA1354" i="6"/>
  <c r="Z1354" i="6"/>
  <c r="AA1353" i="6"/>
  <c r="Z1353" i="6"/>
  <c r="AA1352" i="6"/>
  <c r="Z1352" i="6"/>
  <c r="AA1351" i="6"/>
  <c r="Z1351" i="6"/>
  <c r="AA1350" i="6"/>
  <c r="Z1350" i="6"/>
  <c r="AA1349" i="6"/>
  <c r="Z1349" i="6"/>
  <c r="AA1348" i="6"/>
  <c r="Z1348" i="6"/>
  <c r="AA1347" i="6"/>
  <c r="Z1347" i="6"/>
  <c r="AA1346" i="6"/>
  <c r="Z1346" i="6"/>
  <c r="AA1345" i="6"/>
  <c r="Z1345" i="6"/>
  <c r="AA1344" i="6"/>
  <c r="Z1344" i="6"/>
  <c r="AA1343" i="6"/>
  <c r="Z1343" i="6"/>
  <c r="AA1342" i="6"/>
  <c r="Z1342" i="6"/>
  <c r="AA1341" i="6"/>
  <c r="Z1341" i="6"/>
  <c r="AA1340" i="6"/>
  <c r="Z1340" i="6"/>
  <c r="AA1339" i="6"/>
  <c r="Z1339" i="6"/>
  <c r="AA1338" i="6"/>
  <c r="Z1338" i="6"/>
  <c r="AA1337" i="6"/>
  <c r="Z1337" i="6"/>
  <c r="AA1336" i="6"/>
  <c r="Z1336" i="6"/>
  <c r="AA1335" i="6"/>
  <c r="Z1335" i="6"/>
  <c r="AA1334" i="6"/>
  <c r="Z1334" i="6"/>
  <c r="AA1333" i="6"/>
  <c r="Z1333" i="6"/>
  <c r="AA1332" i="6"/>
  <c r="Z1332" i="6"/>
  <c r="AA1331" i="6"/>
  <c r="Z1331" i="6"/>
  <c r="AA1330" i="6"/>
  <c r="Z1330" i="6"/>
  <c r="AA1329" i="6"/>
  <c r="Z1329" i="6"/>
  <c r="AA1328" i="6"/>
  <c r="Z1328" i="6"/>
  <c r="AA1327" i="6"/>
  <c r="Z1327" i="6"/>
  <c r="AA1326" i="6"/>
  <c r="Z1326" i="6"/>
  <c r="AA1325" i="6"/>
  <c r="Z1325" i="6"/>
  <c r="AA1324" i="6"/>
  <c r="Z1324" i="6"/>
  <c r="AA1323" i="6"/>
  <c r="Z1323" i="6"/>
  <c r="AA1322" i="6"/>
  <c r="Z1322" i="6"/>
  <c r="AA1321" i="6"/>
  <c r="Z1321" i="6"/>
  <c r="AA1320" i="6"/>
  <c r="Z1320" i="6"/>
  <c r="AA1319" i="6"/>
  <c r="Z1319" i="6"/>
  <c r="AA1318" i="6"/>
  <c r="Z1318" i="6"/>
  <c r="AA1317" i="6"/>
  <c r="Z1317" i="6"/>
  <c r="AA1316" i="6"/>
  <c r="Z1316" i="6"/>
  <c r="AA1315" i="6"/>
  <c r="Z1315" i="6"/>
  <c r="AA1314" i="6"/>
  <c r="Z1314" i="6"/>
  <c r="AA1313" i="6"/>
  <c r="Z1313" i="6"/>
  <c r="AA1312" i="6"/>
  <c r="Z1312" i="6"/>
  <c r="AA1311" i="6"/>
  <c r="Z1311" i="6"/>
  <c r="AA1310" i="6"/>
  <c r="Z1310" i="6"/>
  <c r="AA1309" i="6"/>
  <c r="Z1309" i="6"/>
  <c r="AA1308" i="6"/>
  <c r="Z1308" i="6"/>
  <c r="AA1307" i="6"/>
  <c r="Z1307" i="6"/>
  <c r="AA1306" i="6"/>
  <c r="Z1306" i="6"/>
  <c r="AA1305" i="6"/>
  <c r="Z1305" i="6"/>
  <c r="AA1304" i="6"/>
  <c r="Z1304" i="6"/>
  <c r="AA1303" i="6"/>
  <c r="Z1303" i="6"/>
  <c r="AA1302" i="6"/>
  <c r="Z1302" i="6"/>
  <c r="AA1301" i="6"/>
  <c r="Z1301" i="6"/>
  <c r="AA1300" i="6"/>
  <c r="Z1300" i="6"/>
  <c r="AA1299" i="6"/>
  <c r="Z1299" i="6"/>
  <c r="AA1298" i="6"/>
  <c r="Z1298" i="6"/>
  <c r="AA1297" i="6"/>
  <c r="Z1297" i="6"/>
  <c r="AA1296" i="6"/>
  <c r="Z1296" i="6"/>
  <c r="AA1295" i="6"/>
  <c r="Z1295" i="6"/>
  <c r="AA1294" i="6"/>
  <c r="Z1294" i="6"/>
  <c r="AA1293" i="6"/>
  <c r="Z1293" i="6"/>
  <c r="AA1292" i="6"/>
  <c r="Z1292" i="6"/>
  <c r="AA1291" i="6"/>
  <c r="Z1291" i="6"/>
  <c r="AA1290" i="6"/>
  <c r="Z1290" i="6"/>
  <c r="AA1289" i="6"/>
  <c r="Z1289" i="6"/>
  <c r="AA1288" i="6"/>
  <c r="Z1288" i="6"/>
  <c r="AA1287" i="6"/>
  <c r="Z1287" i="6"/>
  <c r="AA1286" i="6"/>
  <c r="Z1286" i="6"/>
  <c r="AA1285" i="6"/>
  <c r="Z1285" i="6"/>
  <c r="AA1284" i="6"/>
  <c r="Z1284" i="6"/>
  <c r="AA1283" i="6"/>
  <c r="Z1283" i="6"/>
  <c r="AA1282" i="6"/>
  <c r="Z1282" i="6"/>
  <c r="AA1281" i="6"/>
  <c r="Z1281" i="6"/>
  <c r="AA1280" i="6"/>
  <c r="Z1280" i="6"/>
  <c r="AA1279" i="6"/>
  <c r="Z1279" i="6"/>
  <c r="AA1278" i="6"/>
  <c r="Z1278" i="6"/>
  <c r="AA1277" i="6"/>
  <c r="Z1277" i="6"/>
  <c r="AA1276" i="6"/>
  <c r="Z1276" i="6"/>
  <c r="AA1275" i="6"/>
  <c r="Z1275" i="6"/>
  <c r="AA1274" i="6"/>
  <c r="Z1274" i="6"/>
  <c r="AA1273" i="6"/>
  <c r="Z1273" i="6"/>
  <c r="AA1272" i="6"/>
  <c r="Z1272" i="6"/>
  <c r="AA1271" i="6"/>
  <c r="Z1271" i="6"/>
  <c r="AA1270" i="6"/>
  <c r="Z1270" i="6"/>
  <c r="AA1269" i="6"/>
  <c r="Z1269" i="6"/>
  <c r="AA1268" i="6"/>
  <c r="Z1268" i="6"/>
  <c r="AA1267" i="6"/>
  <c r="Z1267" i="6"/>
  <c r="AA1266" i="6"/>
  <c r="Z1266" i="6"/>
  <c r="AA1265" i="6"/>
  <c r="Z1265" i="6"/>
  <c r="AA1264" i="6"/>
  <c r="Z1264" i="6"/>
  <c r="AA1263" i="6"/>
  <c r="Z1263" i="6"/>
  <c r="AA1262" i="6"/>
  <c r="Z1262" i="6"/>
  <c r="AA1261" i="6"/>
  <c r="Z1261" i="6"/>
  <c r="AA1260" i="6"/>
  <c r="Z1260" i="6"/>
  <c r="AA1259" i="6"/>
  <c r="Z1259" i="6"/>
  <c r="AA1258" i="6"/>
  <c r="Z1258" i="6"/>
  <c r="AA1257" i="6"/>
  <c r="Z1257" i="6"/>
  <c r="AA1256" i="6"/>
  <c r="Z1256" i="6"/>
  <c r="AA1255" i="6"/>
  <c r="Z1255" i="6"/>
  <c r="AA1254" i="6"/>
  <c r="Z1254" i="6"/>
  <c r="AA1253" i="6"/>
  <c r="Z1253" i="6"/>
  <c r="AA1252" i="6"/>
  <c r="Z1252" i="6"/>
  <c r="AA1251" i="6"/>
  <c r="Z1251" i="6"/>
  <c r="AA1250" i="6"/>
  <c r="Z1250" i="6"/>
  <c r="AA1249" i="6"/>
  <c r="Z1249" i="6"/>
  <c r="AA1248" i="6"/>
  <c r="Z1248" i="6"/>
  <c r="AA1247" i="6"/>
  <c r="Z1247" i="6"/>
  <c r="AA1246" i="6"/>
  <c r="Z1246" i="6"/>
  <c r="AA1245" i="6"/>
  <c r="Z1245" i="6"/>
  <c r="AA1244" i="6"/>
  <c r="Z1244" i="6"/>
  <c r="AA1243" i="6"/>
  <c r="Z1243" i="6"/>
  <c r="AA1242" i="6"/>
  <c r="Z1242" i="6"/>
  <c r="AA1241" i="6"/>
  <c r="Z1241" i="6"/>
  <c r="AA1240" i="6"/>
  <c r="Z1240" i="6"/>
  <c r="AA1239" i="6"/>
  <c r="Z1239" i="6"/>
  <c r="AA1238" i="6"/>
  <c r="Z1238" i="6"/>
  <c r="AA1237" i="6"/>
  <c r="Z1237" i="6"/>
  <c r="AA1236" i="6"/>
  <c r="Z1236" i="6"/>
  <c r="AA1235" i="6"/>
  <c r="Z1235" i="6"/>
  <c r="AA1234" i="6"/>
  <c r="Z1234" i="6"/>
  <c r="AA1233" i="6"/>
  <c r="Z1233" i="6"/>
  <c r="AA1232" i="6"/>
  <c r="Z1232" i="6"/>
  <c r="AA1231" i="6"/>
  <c r="Z1231" i="6"/>
  <c r="AA1230" i="6"/>
  <c r="Z1230" i="6"/>
  <c r="AA1229" i="6"/>
  <c r="Z1229" i="6"/>
  <c r="AA1228" i="6"/>
  <c r="Z1228" i="6"/>
  <c r="AA1227" i="6"/>
  <c r="Z1227" i="6"/>
  <c r="AA1226" i="6"/>
  <c r="Z1226" i="6"/>
  <c r="AA1225" i="6"/>
  <c r="Z1225" i="6"/>
  <c r="AA1224" i="6"/>
  <c r="Z1224" i="6"/>
  <c r="AA1223" i="6"/>
  <c r="Z1223" i="6"/>
  <c r="AA1222" i="6"/>
  <c r="Z1222" i="6"/>
  <c r="AA1221" i="6"/>
  <c r="Z1221" i="6"/>
  <c r="AA1220" i="6"/>
  <c r="Z1220" i="6"/>
  <c r="AA1219" i="6"/>
  <c r="Z1219" i="6"/>
  <c r="AA1218" i="6"/>
  <c r="Z1218" i="6"/>
  <c r="AA1217" i="6"/>
  <c r="Z1217" i="6"/>
  <c r="AA1216" i="6"/>
  <c r="Z1216" i="6"/>
  <c r="AA1215" i="6"/>
  <c r="Z1215" i="6"/>
  <c r="AA1214" i="6"/>
  <c r="Z1214" i="6"/>
  <c r="AA1213" i="6"/>
  <c r="Z1213" i="6"/>
  <c r="AA1212" i="6"/>
  <c r="Z1212" i="6"/>
  <c r="AA1211" i="6"/>
  <c r="Z1211" i="6"/>
  <c r="AA1210" i="6"/>
  <c r="Z1210" i="6"/>
  <c r="AA1209" i="6"/>
  <c r="Z1209" i="6"/>
  <c r="AA1208" i="6"/>
  <c r="Z1208" i="6"/>
  <c r="AA1207" i="6"/>
  <c r="Z1207" i="6"/>
  <c r="AA1206" i="6"/>
  <c r="Z1206" i="6"/>
  <c r="AA1205" i="6"/>
  <c r="Z1205" i="6"/>
  <c r="AA1204" i="6"/>
  <c r="Z1204" i="6"/>
  <c r="AA1203" i="6"/>
  <c r="Z1203" i="6"/>
  <c r="AA1202" i="6"/>
  <c r="Z1202" i="6"/>
  <c r="AA1201" i="6"/>
  <c r="Z1201" i="6"/>
  <c r="AA1200" i="6"/>
  <c r="Z1200" i="6"/>
  <c r="AA1199" i="6"/>
  <c r="Z1199" i="6"/>
  <c r="AA1198" i="6"/>
  <c r="Z1198" i="6"/>
  <c r="AA1197" i="6"/>
  <c r="Z1197" i="6"/>
  <c r="AA1196" i="6"/>
  <c r="Z1196" i="6"/>
  <c r="AA1195" i="6"/>
  <c r="Z1195" i="6"/>
  <c r="AA1194" i="6"/>
  <c r="Z1194" i="6"/>
  <c r="AA1193" i="6"/>
  <c r="Z1193" i="6"/>
  <c r="AA1192" i="6"/>
  <c r="Z1192" i="6"/>
  <c r="AA1191" i="6"/>
  <c r="Z1191" i="6"/>
  <c r="AA1190" i="6"/>
  <c r="Z1190" i="6"/>
  <c r="AA1189" i="6"/>
  <c r="Z1189" i="6"/>
  <c r="AA1188" i="6"/>
  <c r="Z1188" i="6"/>
  <c r="AA1187" i="6"/>
  <c r="Z1187" i="6"/>
  <c r="AA1186" i="6"/>
  <c r="Z1186" i="6"/>
  <c r="AA1185" i="6"/>
  <c r="Z1185" i="6"/>
  <c r="AA1184" i="6"/>
  <c r="Z1184" i="6"/>
  <c r="AA1183" i="6"/>
  <c r="Z1183" i="6"/>
  <c r="AA1182" i="6"/>
  <c r="Z1182" i="6"/>
  <c r="AA1181" i="6"/>
  <c r="Z1181" i="6"/>
  <c r="AA1180" i="6"/>
  <c r="Z1180" i="6"/>
  <c r="AA1179" i="6"/>
  <c r="Z1179" i="6"/>
  <c r="AA1178" i="6"/>
  <c r="Z1178" i="6"/>
  <c r="AA1177" i="6"/>
  <c r="Z1177" i="6"/>
  <c r="AA1176" i="6"/>
  <c r="Z1176" i="6"/>
  <c r="AA1175" i="6"/>
  <c r="Z1175" i="6"/>
  <c r="AA1174" i="6"/>
  <c r="Z1174" i="6"/>
  <c r="AA1173" i="6"/>
  <c r="Z1173" i="6"/>
  <c r="AA1172" i="6"/>
  <c r="Z1172" i="6"/>
  <c r="AA1171" i="6"/>
  <c r="Z1171" i="6"/>
  <c r="AA1170" i="6"/>
  <c r="Z1170" i="6"/>
  <c r="AA1169" i="6"/>
  <c r="Z1169" i="6"/>
  <c r="AA1168" i="6"/>
  <c r="Z1168" i="6"/>
  <c r="AA1167" i="6"/>
  <c r="Z1167" i="6"/>
  <c r="AA1166" i="6"/>
  <c r="Z1166" i="6"/>
  <c r="AA1165" i="6"/>
  <c r="Z1165" i="6"/>
  <c r="AA1164" i="6"/>
  <c r="Z1164" i="6"/>
  <c r="AA1163" i="6"/>
  <c r="Z1163" i="6"/>
  <c r="AA1162" i="6"/>
  <c r="Z1162" i="6"/>
  <c r="AA1161" i="6"/>
  <c r="Z1161" i="6"/>
  <c r="AA1160" i="6"/>
  <c r="Z1160" i="6"/>
  <c r="AA1159" i="6"/>
  <c r="Z1159" i="6"/>
  <c r="AA1158" i="6"/>
  <c r="Z1158" i="6"/>
  <c r="AA1157" i="6"/>
  <c r="Z1157" i="6"/>
  <c r="AA1156" i="6"/>
  <c r="Z1156" i="6"/>
  <c r="AA1155" i="6"/>
  <c r="Z1155" i="6"/>
  <c r="AA1154" i="6"/>
  <c r="Z1154" i="6"/>
  <c r="AA1153" i="6"/>
  <c r="Z1153" i="6"/>
  <c r="AA1152" i="6"/>
  <c r="Z1152" i="6"/>
  <c r="AA1151" i="6"/>
  <c r="Z1151" i="6"/>
  <c r="AA1150" i="6"/>
  <c r="Z1150" i="6"/>
  <c r="AA1149" i="6"/>
  <c r="Z1149" i="6"/>
  <c r="AA1148" i="6"/>
  <c r="Z1148" i="6"/>
  <c r="AA1147" i="6"/>
  <c r="Z1147" i="6"/>
  <c r="AA1146" i="6"/>
  <c r="Z1146" i="6"/>
  <c r="AA1145" i="6"/>
  <c r="Z1145" i="6"/>
  <c r="AA1144" i="6"/>
  <c r="Z1144" i="6"/>
  <c r="AA1143" i="6"/>
  <c r="Z1143" i="6"/>
  <c r="AA1142" i="6"/>
  <c r="Z1142" i="6"/>
  <c r="AA1141" i="6"/>
  <c r="Z1141" i="6"/>
  <c r="AA1140" i="6"/>
  <c r="Z1140" i="6"/>
  <c r="AA1139" i="6"/>
  <c r="Z1139" i="6"/>
  <c r="AA1138" i="6"/>
  <c r="Z1138" i="6"/>
  <c r="AA1137" i="6"/>
  <c r="Z1137" i="6"/>
  <c r="AA1136" i="6"/>
  <c r="Z1136" i="6"/>
  <c r="AA1135" i="6"/>
  <c r="Z1135" i="6"/>
  <c r="AA1134" i="6"/>
  <c r="Z1134" i="6"/>
  <c r="AA1133" i="6"/>
  <c r="Z1133" i="6"/>
  <c r="AA1132" i="6"/>
  <c r="Z1132" i="6"/>
  <c r="AA1131" i="6"/>
  <c r="Z1131" i="6"/>
  <c r="AA1130" i="6"/>
  <c r="Z1130" i="6"/>
  <c r="AA1129" i="6"/>
  <c r="Z1129" i="6"/>
  <c r="AA1128" i="6"/>
  <c r="Z1128" i="6"/>
  <c r="AA1127" i="6"/>
  <c r="Z1127" i="6"/>
  <c r="AA1126" i="6"/>
  <c r="Z1126" i="6"/>
  <c r="AA1125" i="6"/>
  <c r="Z1125" i="6"/>
  <c r="AA1124" i="6"/>
  <c r="Z1124" i="6"/>
  <c r="AA1123" i="6"/>
  <c r="Z1123" i="6"/>
  <c r="AA1122" i="6"/>
  <c r="Z1122" i="6"/>
  <c r="AA1121" i="6"/>
  <c r="Z1121" i="6"/>
  <c r="AA1120" i="6"/>
  <c r="Z1120" i="6"/>
  <c r="AA1119" i="6"/>
  <c r="Z1119" i="6"/>
  <c r="AA1118" i="6"/>
  <c r="Z1118" i="6"/>
  <c r="AA1117" i="6"/>
  <c r="Z1117" i="6"/>
  <c r="AA1116" i="6"/>
  <c r="Z1116" i="6"/>
  <c r="AA1115" i="6"/>
  <c r="Z1115" i="6"/>
  <c r="AA1114" i="6"/>
  <c r="Z1114" i="6"/>
  <c r="AA1113" i="6"/>
  <c r="Z1113" i="6"/>
  <c r="AA1112" i="6"/>
  <c r="Z1112" i="6"/>
  <c r="AA1111" i="6"/>
  <c r="Z1111" i="6"/>
  <c r="AA1110" i="6"/>
  <c r="Z1110" i="6"/>
  <c r="AA1109" i="6"/>
  <c r="Z1109" i="6"/>
  <c r="AA1108" i="6"/>
  <c r="Z1108" i="6"/>
  <c r="AA1107" i="6"/>
  <c r="Z1107" i="6"/>
  <c r="AA1106" i="6"/>
  <c r="Z1106" i="6"/>
  <c r="AA1105" i="6"/>
  <c r="Z1105" i="6"/>
  <c r="AA1104" i="6"/>
  <c r="Z1104" i="6"/>
  <c r="AA1103" i="6"/>
  <c r="Z1103" i="6"/>
  <c r="AA1102" i="6"/>
  <c r="Z1102" i="6"/>
  <c r="AA1101" i="6"/>
  <c r="Z1101" i="6"/>
  <c r="AA1100" i="6"/>
  <c r="Z1100" i="6"/>
  <c r="AA1099" i="6"/>
  <c r="Z1099" i="6"/>
  <c r="AA1098" i="6"/>
  <c r="Z1098" i="6"/>
  <c r="AA1097" i="6"/>
  <c r="Z1097" i="6"/>
  <c r="AA1096" i="6"/>
  <c r="Z1096" i="6"/>
  <c r="AA1095" i="6"/>
  <c r="Z1095" i="6"/>
  <c r="AA1094" i="6"/>
  <c r="Z1094" i="6"/>
  <c r="AA1093" i="6"/>
  <c r="Z1093" i="6"/>
  <c r="AA1092" i="6"/>
  <c r="Z1092" i="6"/>
  <c r="AA1091" i="6"/>
  <c r="Z1091" i="6"/>
  <c r="AA1090" i="6"/>
  <c r="Z1090" i="6"/>
  <c r="AA1089" i="6"/>
  <c r="Z1089" i="6"/>
  <c r="AA1088" i="6"/>
  <c r="Z1088" i="6"/>
  <c r="AA1087" i="6"/>
  <c r="Z1087" i="6"/>
  <c r="AA1086" i="6"/>
  <c r="Z1086" i="6"/>
  <c r="AA1085" i="6"/>
  <c r="Z1085" i="6"/>
  <c r="AA1084" i="6"/>
  <c r="Z1084" i="6"/>
  <c r="AA1083" i="6"/>
  <c r="Z1083" i="6"/>
  <c r="AA1082" i="6"/>
  <c r="Z1082" i="6"/>
  <c r="AA1081" i="6"/>
  <c r="Z1081" i="6"/>
  <c r="AA1080" i="6"/>
  <c r="Z1080" i="6"/>
  <c r="AA1079" i="6"/>
  <c r="Z1079" i="6"/>
  <c r="AA1078" i="6"/>
  <c r="Z1078" i="6"/>
  <c r="AA1077" i="6"/>
  <c r="Z1077" i="6"/>
  <c r="AA1076" i="6"/>
  <c r="Z1076" i="6"/>
  <c r="AA1075" i="6"/>
  <c r="Z1075" i="6"/>
  <c r="AA1074" i="6"/>
  <c r="Z1074" i="6"/>
  <c r="AA1073" i="6"/>
  <c r="Z1073" i="6"/>
  <c r="AA1072" i="6"/>
  <c r="Z1072" i="6"/>
  <c r="AA1071" i="6"/>
  <c r="Z1071" i="6"/>
  <c r="AA1070" i="6"/>
  <c r="Z1070" i="6"/>
  <c r="AA1069" i="6"/>
  <c r="Z1069" i="6"/>
  <c r="AA1068" i="6"/>
  <c r="Z1068" i="6"/>
  <c r="AA1067" i="6"/>
  <c r="Z1067" i="6"/>
  <c r="AA1066" i="6"/>
  <c r="Z1066" i="6"/>
  <c r="AA1065" i="6"/>
  <c r="Z1065" i="6"/>
  <c r="AA1064" i="6"/>
  <c r="Z1064" i="6"/>
  <c r="AA1063" i="6"/>
  <c r="Z1063" i="6"/>
  <c r="AA1062" i="6"/>
  <c r="Z1062" i="6"/>
  <c r="AA1061" i="6"/>
  <c r="Z1061" i="6"/>
  <c r="AA1060" i="6"/>
  <c r="Z1060" i="6"/>
  <c r="AA1059" i="6"/>
  <c r="Z1059" i="6"/>
  <c r="AA1058" i="6"/>
  <c r="Z1058" i="6"/>
  <c r="AA1057" i="6"/>
  <c r="Z1057" i="6"/>
  <c r="AA1056" i="6"/>
  <c r="Z1056" i="6"/>
  <c r="AA1055" i="6"/>
  <c r="Z1055" i="6"/>
  <c r="AA1054" i="6"/>
  <c r="Z1054" i="6"/>
  <c r="AA1053" i="6"/>
  <c r="Z1053" i="6"/>
  <c r="AA1052" i="6"/>
  <c r="Z1052" i="6"/>
  <c r="AA1051" i="6"/>
  <c r="Z1051" i="6"/>
  <c r="AA1050" i="6"/>
  <c r="Z1050" i="6"/>
  <c r="AA1049" i="6"/>
  <c r="Z1049" i="6"/>
  <c r="AA1048" i="6"/>
  <c r="Z1048" i="6"/>
  <c r="AA1047" i="6"/>
  <c r="Z1047" i="6"/>
  <c r="AA1046" i="6"/>
  <c r="Z1046" i="6"/>
  <c r="AA1045" i="6"/>
  <c r="Z1045" i="6"/>
  <c r="AA1044" i="6"/>
  <c r="Z1044" i="6"/>
  <c r="AA1043" i="6"/>
  <c r="Z1043" i="6"/>
  <c r="AA1042" i="6"/>
  <c r="Z1042" i="6"/>
  <c r="AA1041" i="6"/>
  <c r="Z1041" i="6"/>
  <c r="AA1040" i="6"/>
  <c r="Z1040" i="6"/>
  <c r="AA1039" i="6"/>
  <c r="Z1039" i="6"/>
  <c r="AA1038" i="6"/>
  <c r="Z1038" i="6"/>
  <c r="AA1037" i="6"/>
  <c r="Z1037" i="6"/>
  <c r="AA1036" i="6"/>
  <c r="Z1036" i="6"/>
  <c r="AA1035" i="6"/>
  <c r="Z1035" i="6"/>
  <c r="AA1034" i="6"/>
  <c r="Z1034" i="6"/>
  <c r="AA1033" i="6"/>
  <c r="Z1033" i="6"/>
  <c r="AA1032" i="6"/>
  <c r="Z1032" i="6"/>
  <c r="AA1031" i="6"/>
  <c r="Z1031" i="6"/>
  <c r="AA1030" i="6"/>
  <c r="Z1030" i="6"/>
  <c r="AA1029" i="6"/>
  <c r="Z1029" i="6"/>
  <c r="AA1028" i="6"/>
  <c r="Z1028" i="6"/>
  <c r="AA1027" i="6"/>
  <c r="Z1027" i="6"/>
  <c r="AA1026" i="6"/>
  <c r="Z1026" i="6"/>
  <c r="AA1025" i="6"/>
  <c r="Z1025" i="6"/>
  <c r="AA1024" i="6"/>
  <c r="Z1024" i="6"/>
  <c r="AA1023" i="6"/>
  <c r="Z1023" i="6"/>
  <c r="AA1022" i="6"/>
  <c r="Z1022" i="6"/>
  <c r="AA1021" i="6"/>
  <c r="Z1021" i="6"/>
  <c r="AA1020" i="6"/>
  <c r="Z1020" i="6"/>
  <c r="AA1019" i="6"/>
  <c r="Z1019" i="6"/>
  <c r="AA1018" i="6"/>
  <c r="Z1018" i="6"/>
  <c r="AA1017" i="6"/>
  <c r="Z1017" i="6"/>
  <c r="AA1016" i="6"/>
  <c r="Z1016" i="6"/>
  <c r="AA1015" i="6"/>
  <c r="Z1015" i="6"/>
  <c r="AA1014" i="6"/>
  <c r="Z1014" i="6"/>
  <c r="AA1013" i="6"/>
  <c r="Z1013" i="6"/>
  <c r="AA1012" i="6"/>
  <c r="Z1012" i="6"/>
  <c r="AA1011" i="6"/>
  <c r="Z1011" i="6"/>
  <c r="AA1010" i="6"/>
  <c r="Z1010" i="6"/>
  <c r="AA1009" i="6"/>
  <c r="Z1009" i="6"/>
  <c r="AA1008" i="6"/>
  <c r="Z1008" i="6"/>
  <c r="AA1007" i="6"/>
  <c r="Z1007" i="6"/>
  <c r="AA1006" i="6"/>
  <c r="Z1006" i="6"/>
  <c r="AA1005" i="6"/>
  <c r="Z1005" i="6"/>
  <c r="AA1004" i="6"/>
  <c r="Z1004" i="6"/>
  <c r="AA1003" i="6"/>
  <c r="Z1003" i="6"/>
  <c r="AA1002" i="6"/>
  <c r="Z1002" i="6"/>
  <c r="AA1001" i="6"/>
  <c r="Z1001" i="6"/>
  <c r="AA1000" i="6"/>
  <c r="Z1000" i="6"/>
  <c r="AA999" i="6"/>
  <c r="Z999" i="6"/>
  <c r="AA998" i="6"/>
  <c r="Z998" i="6"/>
  <c r="AA997" i="6"/>
  <c r="Z997" i="6"/>
  <c r="AA996" i="6"/>
  <c r="Z996" i="6"/>
  <c r="AA995" i="6"/>
  <c r="Z995" i="6"/>
  <c r="AA994" i="6"/>
  <c r="Z994" i="6"/>
  <c r="AA993" i="6"/>
  <c r="Z993" i="6"/>
  <c r="AA992" i="6"/>
  <c r="Z992" i="6"/>
  <c r="AA991" i="6"/>
  <c r="Z991" i="6"/>
  <c r="AA990" i="6"/>
  <c r="Z990" i="6"/>
  <c r="AA989" i="6"/>
  <c r="Z989" i="6"/>
  <c r="AA988" i="6"/>
  <c r="Z988" i="6"/>
  <c r="AA987" i="6"/>
  <c r="Z987" i="6"/>
  <c r="AA986" i="6"/>
  <c r="Z986" i="6"/>
  <c r="AA985" i="6"/>
  <c r="Z985" i="6"/>
  <c r="AA984" i="6"/>
  <c r="Z984" i="6"/>
  <c r="AA983" i="6"/>
  <c r="Z983" i="6"/>
  <c r="AA982" i="6"/>
  <c r="Z982" i="6"/>
  <c r="AA981" i="6"/>
  <c r="Z981" i="6"/>
  <c r="AA980" i="6"/>
  <c r="Z980" i="6"/>
  <c r="AA979" i="6"/>
  <c r="Z979" i="6"/>
  <c r="AA978" i="6"/>
  <c r="Z978" i="6"/>
  <c r="AA977" i="6"/>
  <c r="Z977" i="6"/>
  <c r="AA976" i="6"/>
  <c r="Z976" i="6"/>
  <c r="AA975" i="6"/>
  <c r="Z975" i="6"/>
  <c r="AA974" i="6"/>
  <c r="Z974" i="6"/>
  <c r="AA973" i="6"/>
  <c r="Z973" i="6"/>
  <c r="AA972" i="6"/>
  <c r="Z972" i="6"/>
  <c r="AA971" i="6"/>
  <c r="Z971" i="6"/>
  <c r="AA970" i="6"/>
  <c r="Z970" i="6"/>
  <c r="AA969" i="6"/>
  <c r="Z969" i="6"/>
  <c r="AA968" i="6"/>
  <c r="Z968" i="6"/>
  <c r="AA967" i="6"/>
  <c r="Z967" i="6"/>
  <c r="AA966" i="6"/>
  <c r="Z966" i="6"/>
  <c r="AA965" i="6"/>
  <c r="Z965" i="6"/>
  <c r="AA964" i="6"/>
  <c r="Z964" i="6"/>
  <c r="AA963" i="6"/>
  <c r="Z963" i="6"/>
  <c r="AA962" i="6"/>
  <c r="Z962" i="6"/>
  <c r="AA961" i="6"/>
  <c r="Z961" i="6"/>
  <c r="AA960" i="6"/>
  <c r="Z960" i="6"/>
  <c r="AA959" i="6"/>
  <c r="Z959" i="6"/>
  <c r="AA958" i="6"/>
  <c r="Z958" i="6"/>
  <c r="AA957" i="6"/>
  <c r="Z957" i="6"/>
  <c r="AA956" i="6"/>
  <c r="Z956" i="6"/>
  <c r="AA955" i="6"/>
  <c r="Z955" i="6"/>
  <c r="AA954" i="6"/>
  <c r="Z954" i="6"/>
  <c r="AA953" i="6"/>
  <c r="Z953" i="6"/>
  <c r="AA952" i="6"/>
  <c r="Z952" i="6"/>
  <c r="AA951" i="6"/>
  <c r="Z951" i="6"/>
  <c r="AA950" i="6"/>
  <c r="Z950" i="6"/>
  <c r="AA949" i="6"/>
  <c r="Z949" i="6"/>
  <c r="AA948" i="6"/>
  <c r="Z948" i="6"/>
  <c r="AA947" i="6"/>
  <c r="Z947" i="6"/>
  <c r="AA946" i="6"/>
  <c r="Z946" i="6"/>
  <c r="AA945" i="6"/>
  <c r="Z945" i="6"/>
  <c r="AA944" i="6"/>
  <c r="Z944" i="6"/>
  <c r="AA943" i="6"/>
  <c r="Z943" i="6"/>
  <c r="AA942" i="6"/>
  <c r="Z942" i="6"/>
  <c r="AA941" i="6"/>
  <c r="Z941" i="6"/>
  <c r="AA940" i="6"/>
  <c r="Z940" i="6"/>
  <c r="AA171" i="6"/>
  <c r="Z171" i="6"/>
  <c r="AA170" i="6"/>
  <c r="Z170" i="6"/>
  <c r="AA169" i="6"/>
  <c r="Z169" i="6"/>
  <c r="AA168" i="6"/>
  <c r="Z168" i="6"/>
  <c r="AA167" i="6"/>
  <c r="Z167" i="6"/>
  <c r="AA166" i="6"/>
  <c r="Z166" i="6"/>
  <c r="AA165" i="6"/>
  <c r="Z165" i="6"/>
  <c r="AA164" i="6"/>
  <c r="Z164" i="6"/>
  <c r="AA163" i="6"/>
  <c r="Z163" i="6"/>
  <c r="AA162" i="6"/>
  <c r="Z162" i="6"/>
  <c r="AA161" i="6"/>
  <c r="Z161" i="6"/>
  <c r="AA160" i="6"/>
  <c r="Z160" i="6"/>
  <c r="AA159" i="6"/>
  <c r="Z159" i="6"/>
  <c r="AA158" i="6"/>
  <c r="Z158" i="6"/>
  <c r="AA157" i="6"/>
  <c r="Z157" i="6"/>
  <c r="AA156" i="6"/>
  <c r="Z156" i="6"/>
  <c r="AA155" i="6"/>
  <c r="Z155" i="6"/>
  <c r="AA154" i="6"/>
  <c r="Z154" i="6"/>
  <c r="AA153" i="6"/>
  <c r="Z153" i="6"/>
  <c r="AA152" i="6"/>
  <c r="Z152" i="6"/>
  <c r="AA151" i="6"/>
  <c r="Z151" i="6"/>
  <c r="AA150" i="6"/>
  <c r="Z150" i="6"/>
  <c r="AA149" i="6"/>
  <c r="Z149" i="6"/>
  <c r="AA148" i="6"/>
  <c r="Z148" i="6"/>
  <c r="AA147" i="6"/>
  <c r="Z147" i="6"/>
  <c r="AA146" i="6"/>
  <c r="Z146" i="6"/>
  <c r="AA145" i="6"/>
  <c r="Z145" i="6"/>
  <c r="AA144" i="6"/>
  <c r="Z144" i="6"/>
  <c r="AA143" i="6"/>
  <c r="Z143" i="6"/>
  <c r="AA142" i="6"/>
  <c r="Z142" i="6"/>
  <c r="AA141" i="6"/>
  <c r="Z141" i="6"/>
  <c r="AA140" i="6"/>
  <c r="Z140" i="6"/>
  <c r="AA139" i="6"/>
  <c r="Z139" i="6"/>
  <c r="AA138" i="6"/>
  <c r="Z138" i="6"/>
  <c r="AA137" i="6"/>
  <c r="Z137" i="6"/>
  <c r="AA136" i="6"/>
  <c r="Z136" i="6"/>
  <c r="AA135" i="6"/>
  <c r="Z135" i="6"/>
  <c r="AA134" i="6"/>
  <c r="Z134" i="6"/>
  <c r="AA133" i="6"/>
  <c r="Z133" i="6"/>
  <c r="AA132" i="6"/>
  <c r="Z132" i="6"/>
  <c r="AA131" i="6"/>
  <c r="Z131" i="6"/>
  <c r="AA130" i="6"/>
  <c r="Z130" i="6"/>
  <c r="AA129" i="6"/>
  <c r="Z129" i="6"/>
  <c r="AA128" i="6"/>
  <c r="Z128" i="6"/>
  <c r="AA127" i="6"/>
  <c r="Z127" i="6"/>
  <c r="AA126" i="6"/>
  <c r="Z126" i="6"/>
  <c r="AA125" i="6"/>
  <c r="Z125" i="6"/>
  <c r="AA124" i="6"/>
  <c r="Z124" i="6"/>
  <c r="AA123" i="6"/>
  <c r="Z123" i="6"/>
  <c r="AA122" i="6"/>
  <c r="Z122" i="6"/>
  <c r="AA121" i="6"/>
  <c r="Z121" i="6"/>
  <c r="AA120" i="6"/>
  <c r="Z120" i="6"/>
  <c r="AA119" i="6"/>
  <c r="Z119" i="6"/>
  <c r="AA118" i="6"/>
  <c r="Z118" i="6"/>
  <c r="AA117" i="6"/>
  <c r="Z117" i="6"/>
  <c r="AA116" i="6"/>
  <c r="Z116" i="6"/>
  <c r="AA115" i="6"/>
  <c r="Z115" i="6"/>
  <c r="AA114" i="6"/>
  <c r="Z114" i="6"/>
  <c r="AA113" i="6"/>
  <c r="Z113" i="6"/>
  <c r="AA112" i="6"/>
  <c r="Z112" i="6"/>
  <c r="AA111" i="6"/>
  <c r="Z111" i="6"/>
  <c r="AA110" i="6"/>
  <c r="Z110" i="6"/>
  <c r="AA109" i="6"/>
  <c r="Z109" i="6"/>
  <c r="AA108" i="6"/>
  <c r="Z108" i="6"/>
  <c r="AA107" i="6"/>
  <c r="Z107" i="6"/>
  <c r="AA106" i="6"/>
  <c r="Z106" i="6"/>
  <c r="AA105" i="6"/>
  <c r="Z105" i="6"/>
  <c r="AA104" i="6"/>
  <c r="Z104" i="6"/>
  <c r="AA103" i="6"/>
  <c r="Z103" i="6"/>
  <c r="AA102" i="6"/>
  <c r="Z102" i="6"/>
  <c r="AA101" i="6"/>
  <c r="Z101" i="6"/>
  <c r="AA100" i="6"/>
  <c r="Z100" i="6"/>
  <c r="AA99" i="6"/>
  <c r="Z99" i="6"/>
  <c r="AA98" i="6"/>
  <c r="Z98" i="6"/>
  <c r="AA97" i="6"/>
  <c r="Z97" i="6"/>
  <c r="AA96" i="6"/>
  <c r="Z96" i="6"/>
  <c r="AA95" i="6"/>
  <c r="Z95" i="6"/>
  <c r="AA94" i="6"/>
  <c r="Z94" i="6"/>
  <c r="AA93" i="6"/>
  <c r="Z93" i="6"/>
  <c r="AA92" i="6"/>
  <c r="Z92" i="6"/>
  <c r="AA91" i="6"/>
  <c r="Z91" i="6"/>
  <c r="AA90" i="6"/>
  <c r="Z90" i="6"/>
  <c r="AA89" i="6"/>
  <c r="Z89" i="6"/>
  <c r="AA88" i="6"/>
  <c r="Z88" i="6"/>
  <c r="AA87" i="6"/>
  <c r="Z87" i="6"/>
  <c r="AA86" i="6"/>
  <c r="Z86" i="6"/>
  <c r="AA85" i="6"/>
  <c r="Z85" i="6"/>
  <c r="AA84" i="6"/>
  <c r="Z84" i="6"/>
  <c r="AA83" i="6"/>
  <c r="Z83" i="6"/>
  <c r="AA82" i="6"/>
  <c r="Z82" i="6"/>
  <c r="AA81" i="6"/>
  <c r="Z81" i="6"/>
  <c r="AA80" i="6"/>
  <c r="Z80" i="6"/>
  <c r="AA79" i="6"/>
  <c r="Z79" i="6"/>
  <c r="AA78" i="6"/>
  <c r="Z78" i="6"/>
  <c r="AA77" i="6"/>
  <c r="Z77" i="6"/>
  <c r="AA76" i="6"/>
  <c r="Z76" i="6"/>
  <c r="AA75" i="6"/>
  <c r="Z75" i="6"/>
  <c r="AA74" i="6"/>
  <c r="Z74" i="6"/>
  <c r="AA73" i="6"/>
  <c r="Z73" i="6"/>
  <c r="AA72" i="6"/>
  <c r="Z72" i="6"/>
  <c r="AA71" i="6"/>
  <c r="Z71" i="6"/>
  <c r="AA70" i="6"/>
  <c r="Z70" i="6"/>
  <c r="AA69" i="6"/>
  <c r="Z69" i="6"/>
  <c r="AA68" i="6"/>
  <c r="Z68" i="6"/>
  <c r="AA67" i="6"/>
  <c r="Z67" i="6"/>
  <c r="AA66" i="6"/>
  <c r="Z66" i="6"/>
  <c r="AA65" i="6"/>
  <c r="Z65" i="6"/>
  <c r="AA64" i="6"/>
  <c r="Z64" i="6"/>
  <c r="AA63" i="6"/>
  <c r="Z63" i="6"/>
  <c r="AA62" i="6"/>
  <c r="Z62" i="6"/>
  <c r="AA61" i="6"/>
  <c r="Z61" i="6"/>
  <c r="AA60" i="6"/>
  <c r="Z60" i="6"/>
  <c r="AA59" i="6"/>
  <c r="Z59" i="6"/>
  <c r="AA58" i="6"/>
  <c r="Z58" i="6"/>
  <c r="AA57" i="6"/>
  <c r="Z57" i="6"/>
  <c r="AA56" i="6"/>
  <c r="Z56" i="6"/>
  <c r="AA55" i="6"/>
  <c r="Z55" i="6"/>
  <c r="AA54" i="6"/>
  <c r="Z54" i="6"/>
  <c r="AA53" i="6"/>
  <c r="Z53" i="6"/>
  <c r="AA52" i="6"/>
  <c r="Z52" i="6"/>
  <c r="AA51" i="6"/>
  <c r="Z51" i="6"/>
  <c r="AA50" i="6"/>
  <c r="Z50" i="6"/>
  <c r="AA49" i="6"/>
  <c r="Z49" i="6"/>
  <c r="AA48" i="6"/>
  <c r="Z48" i="6"/>
  <c r="AA47" i="6"/>
  <c r="Z47" i="6"/>
  <c r="AA46" i="6"/>
  <c r="Z46" i="6"/>
  <c r="AA45" i="6"/>
  <c r="Z45" i="6"/>
  <c r="AA44" i="6"/>
  <c r="Z44" i="6"/>
  <c r="AA43" i="6"/>
  <c r="Z43" i="6"/>
  <c r="AA42" i="6"/>
  <c r="Z42" i="6"/>
  <c r="AA41" i="6"/>
  <c r="Z41" i="6"/>
  <c r="AA40" i="6"/>
  <c r="Z40" i="6"/>
  <c r="AA39" i="6"/>
  <c r="Z39" i="6"/>
  <c r="AA38" i="6"/>
  <c r="Z38" i="6"/>
  <c r="AA37" i="6"/>
  <c r="Z37" i="6"/>
  <c r="AA36" i="6"/>
  <c r="Z36" i="6"/>
  <c r="AA35" i="6"/>
  <c r="Z35" i="6"/>
  <c r="AA34" i="6"/>
  <c r="Z34" i="6"/>
  <c r="AA33" i="6"/>
  <c r="Z33" i="6"/>
  <c r="AA32" i="6"/>
  <c r="Z32" i="6"/>
  <c r="AA31" i="6"/>
  <c r="Z31" i="6"/>
  <c r="AA30" i="6"/>
  <c r="Z30" i="6"/>
  <c r="AA29" i="6"/>
  <c r="Z29" i="6"/>
  <c r="AA28" i="6"/>
  <c r="Z28" i="6"/>
  <c r="AA27" i="6"/>
  <c r="Z27" i="6"/>
  <c r="AA26" i="6"/>
  <c r="Z26" i="6"/>
  <c r="AA25" i="6"/>
  <c r="Z25" i="6"/>
  <c r="AA24" i="6"/>
  <c r="Z24" i="6"/>
  <c r="AA23" i="6"/>
  <c r="Z23" i="6"/>
  <c r="AA22" i="6"/>
  <c r="Z22" i="6"/>
  <c r="AA21" i="6"/>
  <c r="Z21" i="6"/>
  <c r="AA20" i="6"/>
  <c r="Z20" i="6"/>
  <c r="AA19" i="6"/>
  <c r="Z19" i="6"/>
  <c r="AA18" i="6"/>
  <c r="Z18" i="6"/>
  <c r="AA17" i="6"/>
  <c r="Z17" i="6"/>
  <c r="AA16" i="6"/>
  <c r="Z16" i="6"/>
  <c r="AA15" i="6"/>
  <c r="Z15" i="6"/>
  <c r="AA14" i="6"/>
  <c r="Z14" i="6"/>
  <c r="N868" i="21"/>
  <c r="O868" i="21" s="1"/>
  <c r="G868" i="21"/>
  <c r="I868" i="21" s="1"/>
  <c r="N867" i="21"/>
  <c r="O867" i="21" s="1"/>
  <c r="G867" i="21"/>
  <c r="N866" i="21"/>
  <c r="O866" i="21" s="1"/>
  <c r="G866" i="21"/>
  <c r="I866" i="21" s="1"/>
  <c r="N865" i="21"/>
  <c r="O865" i="21"/>
  <c r="G865" i="21"/>
  <c r="N864" i="21"/>
  <c r="O864" i="21" s="1"/>
  <c r="G864" i="21"/>
  <c r="I864" i="21" s="1"/>
  <c r="N863" i="21"/>
  <c r="O863" i="21" s="1"/>
  <c r="G863" i="21"/>
  <c r="I863" i="21" s="1"/>
  <c r="N862" i="21"/>
  <c r="O862" i="21" s="1"/>
  <c r="G862" i="21"/>
  <c r="I862" i="21" s="1"/>
  <c r="N861" i="21"/>
  <c r="O861" i="21" s="1"/>
  <c r="G861" i="21"/>
  <c r="N860" i="21"/>
  <c r="O860" i="21" s="1"/>
  <c r="G860" i="21"/>
  <c r="I860" i="21"/>
  <c r="N859" i="21"/>
  <c r="O859" i="21" s="1"/>
  <c r="G859" i="21"/>
  <c r="N858" i="21"/>
  <c r="O858" i="21" s="1"/>
  <c r="G858" i="21"/>
  <c r="I858" i="21" s="1"/>
  <c r="N857" i="21"/>
  <c r="O857" i="21" s="1"/>
  <c r="G857" i="21"/>
  <c r="I857" i="21" s="1"/>
  <c r="N856" i="21"/>
  <c r="O856" i="21" s="1"/>
  <c r="G856" i="21"/>
  <c r="I856" i="21" s="1"/>
  <c r="N855" i="21"/>
  <c r="O855" i="21" s="1"/>
  <c r="G855" i="21"/>
  <c r="N854" i="21"/>
  <c r="O854" i="21"/>
  <c r="G854" i="21"/>
  <c r="N853" i="21"/>
  <c r="O853" i="21" s="1"/>
  <c r="G853" i="21"/>
  <c r="N852" i="21"/>
  <c r="O852" i="21" s="1"/>
  <c r="G852" i="21"/>
  <c r="I852" i="21" s="1"/>
  <c r="N851" i="21"/>
  <c r="O851" i="21" s="1"/>
  <c r="G851" i="21"/>
  <c r="I851" i="21" s="1"/>
  <c r="N850" i="21"/>
  <c r="O850" i="21" s="1"/>
  <c r="G850" i="21"/>
  <c r="I850" i="21" s="1"/>
  <c r="N849" i="21"/>
  <c r="O849" i="21"/>
  <c r="G849" i="21"/>
  <c r="N848" i="21"/>
  <c r="O848" i="21" s="1"/>
  <c r="G848" i="21"/>
  <c r="I848" i="21" s="1"/>
  <c r="N847" i="21"/>
  <c r="O847" i="21" s="1"/>
  <c r="G847" i="21"/>
  <c r="I847" i="21" s="1"/>
  <c r="N846" i="21"/>
  <c r="O846" i="21" s="1"/>
  <c r="G846" i="21"/>
  <c r="I846" i="21" s="1"/>
  <c r="N845" i="21"/>
  <c r="O845" i="21" s="1"/>
  <c r="G845" i="21"/>
  <c r="N844" i="21"/>
  <c r="O844" i="21" s="1"/>
  <c r="G844" i="21"/>
  <c r="N843" i="21"/>
  <c r="O843" i="21" s="1"/>
  <c r="G843" i="21"/>
  <c r="N842" i="21"/>
  <c r="O842" i="21"/>
  <c r="G842" i="21"/>
  <c r="I842" i="21" s="1"/>
  <c r="N841" i="21"/>
  <c r="O841" i="21" s="1"/>
  <c r="G841" i="21"/>
  <c r="N840" i="21"/>
  <c r="O840" i="21" s="1"/>
  <c r="G840" i="21"/>
  <c r="I840" i="21" s="1"/>
  <c r="N839" i="21"/>
  <c r="O839" i="21" s="1"/>
  <c r="G839" i="21"/>
  <c r="I839" i="21" s="1"/>
  <c r="N838" i="21"/>
  <c r="O838" i="21" s="1"/>
  <c r="G838" i="21"/>
  <c r="I838" i="21" s="1"/>
  <c r="N837" i="21"/>
  <c r="O837" i="21" s="1"/>
  <c r="G837" i="21"/>
  <c r="I837" i="21" s="1"/>
  <c r="N836" i="21"/>
  <c r="O836" i="21" s="1"/>
  <c r="G836" i="21"/>
  <c r="I836" i="21" s="1"/>
  <c r="N835" i="21"/>
  <c r="O835" i="21" s="1"/>
  <c r="G835" i="21"/>
  <c r="I835" i="21" s="1"/>
  <c r="N834" i="21"/>
  <c r="O834" i="21" s="1"/>
  <c r="G834" i="21"/>
  <c r="I834" i="21" s="1"/>
  <c r="N833" i="21"/>
  <c r="O833" i="21" s="1"/>
  <c r="G833" i="21"/>
  <c r="N832" i="21"/>
  <c r="O832" i="21" s="1"/>
  <c r="G832" i="21"/>
  <c r="N831" i="21"/>
  <c r="O831" i="21" s="1"/>
  <c r="G831" i="21"/>
  <c r="I831" i="21" s="1"/>
  <c r="N830" i="21"/>
  <c r="O830" i="21" s="1"/>
  <c r="G830" i="21"/>
  <c r="N829" i="21"/>
  <c r="O829" i="21" s="1"/>
  <c r="G829" i="21"/>
  <c r="N828" i="21"/>
  <c r="O828" i="21" s="1"/>
  <c r="G828" i="21"/>
  <c r="I828" i="21" s="1"/>
  <c r="N827" i="21"/>
  <c r="O827" i="21" s="1"/>
  <c r="G827" i="21"/>
  <c r="N826" i="21"/>
  <c r="O826" i="21" s="1"/>
  <c r="G826" i="21"/>
  <c r="N825" i="21"/>
  <c r="O825" i="21" s="1"/>
  <c r="G825" i="21"/>
  <c r="I825" i="21" s="1"/>
  <c r="N824" i="21"/>
  <c r="O824" i="21" s="1"/>
  <c r="G824" i="21"/>
  <c r="I824" i="21" s="1"/>
  <c r="J824" i="21" s="1"/>
  <c r="N823" i="21"/>
  <c r="O823" i="21" s="1"/>
  <c r="G823" i="21"/>
  <c r="N822" i="21"/>
  <c r="O822" i="21" s="1"/>
  <c r="G822" i="21"/>
  <c r="I822" i="21" s="1"/>
  <c r="N821" i="21"/>
  <c r="O821" i="21" s="1"/>
  <c r="G821" i="21"/>
  <c r="I821" i="21" s="1"/>
  <c r="N820" i="21"/>
  <c r="O820" i="21" s="1"/>
  <c r="G820" i="21"/>
  <c r="N819" i="21"/>
  <c r="O819" i="21" s="1"/>
  <c r="G819" i="21"/>
  <c r="I819" i="21" s="1"/>
  <c r="N818" i="21"/>
  <c r="O818" i="21" s="1"/>
  <c r="G818" i="21"/>
  <c r="N817" i="21"/>
  <c r="O817" i="21" s="1"/>
  <c r="G817" i="21"/>
  <c r="I817" i="21" s="1"/>
  <c r="N816" i="21"/>
  <c r="O816" i="21" s="1"/>
  <c r="G816" i="21"/>
  <c r="I816" i="21" s="1"/>
  <c r="N815" i="21"/>
  <c r="O815" i="21" s="1"/>
  <c r="G815" i="21"/>
  <c r="N814" i="21"/>
  <c r="O814" i="21"/>
  <c r="G814" i="21"/>
  <c r="N813" i="21"/>
  <c r="O813" i="21" s="1"/>
  <c r="G813" i="21"/>
  <c r="I813" i="21" s="1"/>
  <c r="N812" i="21"/>
  <c r="O812" i="21" s="1"/>
  <c r="G812" i="21"/>
  <c r="I812" i="21" s="1"/>
  <c r="N811" i="21"/>
  <c r="O811" i="21" s="1"/>
  <c r="G811" i="21"/>
  <c r="N810" i="21"/>
  <c r="O810" i="21" s="1"/>
  <c r="G810" i="21"/>
  <c r="N809" i="21"/>
  <c r="O809" i="21" s="1"/>
  <c r="G809" i="21"/>
  <c r="N808" i="21"/>
  <c r="O808" i="21" s="1"/>
  <c r="G808" i="21"/>
  <c r="N807" i="21"/>
  <c r="O807" i="21" s="1"/>
  <c r="G807" i="21"/>
  <c r="I807" i="21" s="1"/>
  <c r="N806" i="21"/>
  <c r="O806" i="21" s="1"/>
  <c r="G806" i="21"/>
  <c r="I806" i="21" s="1"/>
  <c r="N805" i="21"/>
  <c r="O805" i="21" s="1"/>
  <c r="G805" i="21"/>
  <c r="I805" i="21" s="1"/>
  <c r="N804" i="21"/>
  <c r="O804" i="21" s="1"/>
  <c r="G804" i="21"/>
  <c r="I804" i="21" s="1"/>
  <c r="N803" i="21"/>
  <c r="O803" i="21" s="1"/>
  <c r="G803" i="21"/>
  <c r="N802" i="21"/>
  <c r="O802" i="21" s="1"/>
  <c r="G802" i="21"/>
  <c r="N801" i="21"/>
  <c r="O801" i="21" s="1"/>
  <c r="G801" i="21"/>
  <c r="I801" i="21" s="1"/>
  <c r="N800" i="21"/>
  <c r="O800" i="21" s="1"/>
  <c r="G800" i="21"/>
  <c r="I800" i="21" s="1"/>
  <c r="N799" i="21"/>
  <c r="O799" i="21" s="1"/>
  <c r="G799" i="21"/>
  <c r="N798" i="21"/>
  <c r="O798" i="21"/>
  <c r="G798" i="21"/>
  <c r="I798" i="21" s="1"/>
  <c r="N797" i="21"/>
  <c r="O797" i="21" s="1"/>
  <c r="G797" i="21"/>
  <c r="I797" i="21" s="1"/>
  <c r="N796" i="21"/>
  <c r="O796" i="21"/>
  <c r="G796" i="21"/>
  <c r="N795" i="21"/>
  <c r="O795" i="21" s="1"/>
  <c r="G795" i="21"/>
  <c r="I795" i="21" s="1"/>
  <c r="N794" i="21"/>
  <c r="O794" i="21" s="1"/>
  <c r="G794" i="21"/>
  <c r="I794" i="21" s="1"/>
  <c r="N793" i="21"/>
  <c r="O793" i="21" s="1"/>
  <c r="G793" i="21"/>
  <c r="N792" i="21"/>
  <c r="O792" i="21" s="1"/>
  <c r="G792" i="21"/>
  <c r="I792" i="21"/>
  <c r="N791" i="21"/>
  <c r="O791" i="21" s="1"/>
  <c r="G791" i="21"/>
  <c r="I791" i="21" s="1"/>
  <c r="J791" i="21" s="1"/>
  <c r="N790" i="21"/>
  <c r="O790" i="21" s="1"/>
  <c r="G790" i="21"/>
  <c r="I790" i="21" s="1"/>
  <c r="N789" i="21"/>
  <c r="O789" i="21" s="1"/>
  <c r="G789" i="21"/>
  <c r="I789" i="21" s="1"/>
  <c r="N788" i="21"/>
  <c r="O788" i="21" s="1"/>
  <c r="G788" i="21"/>
  <c r="N787" i="21"/>
  <c r="O787" i="21" s="1"/>
  <c r="G787" i="21"/>
  <c r="I787" i="21"/>
  <c r="N786" i="21"/>
  <c r="O786" i="21" s="1"/>
  <c r="G786" i="21"/>
  <c r="I786" i="21"/>
  <c r="N785" i="21"/>
  <c r="O785" i="21" s="1"/>
  <c r="G785" i="21"/>
  <c r="I785" i="21"/>
  <c r="J785" i="21" s="1"/>
  <c r="N784" i="21"/>
  <c r="O784" i="21" s="1"/>
  <c r="G784" i="21"/>
  <c r="I784" i="21" s="1"/>
  <c r="N783" i="21"/>
  <c r="O783" i="21" s="1"/>
  <c r="G783" i="21"/>
  <c r="N782" i="21"/>
  <c r="O782" i="21" s="1"/>
  <c r="G782" i="21"/>
  <c r="I782" i="21" s="1"/>
  <c r="N781" i="21"/>
  <c r="O781" i="21" s="1"/>
  <c r="G781" i="21"/>
  <c r="N780" i="21"/>
  <c r="O780" i="21" s="1"/>
  <c r="G780" i="21"/>
  <c r="I780" i="21" s="1"/>
  <c r="N779" i="21"/>
  <c r="O779" i="21" s="1"/>
  <c r="G779" i="21"/>
  <c r="J779" i="21" s="1"/>
  <c r="I779" i="21"/>
  <c r="N778" i="21"/>
  <c r="O778" i="21" s="1"/>
  <c r="G778" i="21"/>
  <c r="I778" i="21"/>
  <c r="N777" i="21"/>
  <c r="O777" i="21" s="1"/>
  <c r="G777" i="21"/>
  <c r="N776" i="21"/>
  <c r="O776" i="21" s="1"/>
  <c r="G776" i="21"/>
  <c r="N775" i="21"/>
  <c r="O775" i="21" s="1"/>
  <c r="G775" i="21"/>
  <c r="N774" i="21"/>
  <c r="O774" i="21" s="1"/>
  <c r="G774" i="21"/>
  <c r="I774" i="21" s="1"/>
  <c r="N773" i="21"/>
  <c r="O773" i="21" s="1"/>
  <c r="G773" i="21"/>
  <c r="I773" i="21" s="1"/>
  <c r="N772" i="21"/>
  <c r="O772" i="21" s="1"/>
  <c r="G772" i="21"/>
  <c r="I772" i="21" s="1"/>
  <c r="O1437" i="6"/>
  <c r="O1389" i="6"/>
  <c r="J1377" i="6"/>
  <c r="O1341" i="6"/>
  <c r="J1329" i="6"/>
  <c r="O1309" i="6"/>
  <c r="O1161" i="6"/>
  <c r="J961" i="6"/>
  <c r="O167" i="6"/>
  <c r="H154" i="6"/>
  <c r="P154" i="6" s="1"/>
  <c r="N140" i="6"/>
  <c r="H115" i="6"/>
  <c r="H106" i="6"/>
  <c r="R106" i="6" s="1"/>
  <c r="H82" i="6"/>
  <c r="H78" i="6"/>
  <c r="N61" i="6"/>
  <c r="H51" i="6"/>
  <c r="P51" i="6" s="1"/>
  <c r="N41" i="6"/>
  <c r="H27" i="6"/>
  <c r="N771" i="21"/>
  <c r="O771" i="21" s="1"/>
  <c r="G771" i="21"/>
  <c r="I771" i="21" s="1"/>
  <c r="N770" i="21"/>
  <c r="O770" i="21" s="1"/>
  <c r="G770" i="21"/>
  <c r="I770" i="21" s="1"/>
  <c r="J770" i="21" s="1"/>
  <c r="N769" i="21"/>
  <c r="O769" i="21" s="1"/>
  <c r="G769" i="21"/>
  <c r="N768" i="21"/>
  <c r="O768" i="21" s="1"/>
  <c r="G768" i="21"/>
  <c r="N767" i="21"/>
  <c r="O767" i="21" s="1"/>
  <c r="G767" i="21"/>
  <c r="N766" i="21"/>
  <c r="O766" i="21" s="1"/>
  <c r="G766" i="21"/>
  <c r="N765" i="21"/>
  <c r="O765" i="21" s="1"/>
  <c r="G765" i="21"/>
  <c r="I765" i="21" s="1"/>
  <c r="N764" i="21"/>
  <c r="O764" i="21" s="1"/>
  <c r="G764" i="21"/>
  <c r="I764" i="21"/>
  <c r="J764" i="21" s="1"/>
  <c r="N763" i="21"/>
  <c r="O763" i="21" s="1"/>
  <c r="G763" i="21"/>
  <c r="I763" i="21" s="1"/>
  <c r="N762" i="21"/>
  <c r="O762" i="21" s="1"/>
  <c r="G762" i="21"/>
  <c r="I762" i="21" s="1"/>
  <c r="N761" i="21"/>
  <c r="O761" i="21" s="1"/>
  <c r="G761" i="21"/>
  <c r="I761" i="21" s="1"/>
  <c r="N760" i="21"/>
  <c r="O760" i="21" s="1"/>
  <c r="G760" i="21"/>
  <c r="I760" i="21" s="1"/>
  <c r="N759" i="21"/>
  <c r="O759" i="21" s="1"/>
  <c r="G759" i="21"/>
  <c r="N758" i="21"/>
  <c r="O758" i="21" s="1"/>
  <c r="G758" i="21"/>
  <c r="N757" i="21"/>
  <c r="O757" i="21" s="1"/>
  <c r="G757" i="21"/>
  <c r="N756" i="21"/>
  <c r="O756" i="21" s="1"/>
  <c r="G756" i="21"/>
  <c r="N755" i="21"/>
  <c r="O755" i="21" s="1"/>
  <c r="G755" i="21"/>
  <c r="I755" i="21" s="1"/>
  <c r="N754" i="21"/>
  <c r="O754" i="21" s="1"/>
  <c r="G754" i="21"/>
  <c r="I754" i="21" s="1"/>
  <c r="N753" i="21"/>
  <c r="O753" i="21" s="1"/>
  <c r="G753" i="21"/>
  <c r="I753" i="21" s="1"/>
  <c r="N752" i="21"/>
  <c r="O752" i="21" s="1"/>
  <c r="G752" i="21"/>
  <c r="N751" i="21"/>
  <c r="O751" i="21" s="1"/>
  <c r="G751" i="21"/>
  <c r="N750" i="21"/>
  <c r="O750" i="21" s="1"/>
  <c r="G750" i="21"/>
  <c r="N749" i="21"/>
  <c r="O749" i="21"/>
  <c r="G749" i="21"/>
  <c r="I749" i="21" s="1"/>
  <c r="N748" i="21"/>
  <c r="O748" i="21"/>
  <c r="G748" i="21"/>
  <c r="I748" i="21" s="1"/>
  <c r="N747" i="21"/>
  <c r="O747" i="21" s="1"/>
  <c r="G747" i="21"/>
  <c r="N746" i="21"/>
  <c r="O746" i="21" s="1"/>
  <c r="G746" i="21"/>
  <c r="I746" i="21" s="1"/>
  <c r="N745" i="21"/>
  <c r="O745" i="21"/>
  <c r="G745" i="21"/>
  <c r="I745" i="21" s="1"/>
  <c r="N744" i="21"/>
  <c r="O744" i="21"/>
  <c r="G744" i="21"/>
  <c r="I744" i="21" s="1"/>
  <c r="N743" i="21"/>
  <c r="O743" i="21" s="1"/>
  <c r="G743" i="21"/>
  <c r="N742" i="21"/>
  <c r="O742" i="21" s="1"/>
  <c r="G742" i="21"/>
  <c r="N741" i="21"/>
  <c r="O741" i="21" s="1"/>
  <c r="G741" i="21"/>
  <c r="N740" i="21"/>
  <c r="O740" i="21" s="1"/>
  <c r="G740" i="21"/>
  <c r="N739" i="21"/>
  <c r="O739" i="21" s="1"/>
  <c r="G739" i="21"/>
  <c r="I739" i="21" s="1"/>
  <c r="N738" i="21"/>
  <c r="O738" i="21" s="1"/>
  <c r="G738" i="21"/>
  <c r="I738" i="21" s="1"/>
  <c r="N737" i="21"/>
  <c r="O737" i="21" s="1"/>
  <c r="G737" i="21"/>
  <c r="I737" i="21" s="1"/>
  <c r="N736" i="21"/>
  <c r="O736" i="21" s="1"/>
  <c r="G736" i="21"/>
  <c r="I736" i="21" s="1"/>
  <c r="N735" i="21"/>
  <c r="O735" i="21" s="1"/>
  <c r="G735" i="21"/>
  <c r="I735" i="21" s="1"/>
  <c r="N734" i="21"/>
  <c r="O734" i="21" s="1"/>
  <c r="G734" i="21"/>
  <c r="I734" i="21" s="1"/>
  <c r="N733" i="21"/>
  <c r="O733" i="21" s="1"/>
  <c r="G733" i="21"/>
  <c r="N732" i="21"/>
  <c r="O732" i="21"/>
  <c r="G732" i="21"/>
  <c r="N731" i="21"/>
  <c r="O731" i="21" s="1"/>
  <c r="G731" i="21"/>
  <c r="I731" i="21" s="1"/>
  <c r="N730" i="21"/>
  <c r="O730" i="21" s="1"/>
  <c r="G730" i="21"/>
  <c r="I730" i="21" s="1"/>
  <c r="N729" i="21"/>
  <c r="O729" i="21" s="1"/>
  <c r="G729" i="21"/>
  <c r="N728" i="21"/>
  <c r="O728" i="21" s="1"/>
  <c r="G728" i="21"/>
  <c r="I728" i="21" s="1"/>
  <c r="N727" i="21"/>
  <c r="O727" i="21" s="1"/>
  <c r="G727" i="21"/>
  <c r="I727" i="21" s="1"/>
  <c r="N726" i="21"/>
  <c r="O726" i="21" s="1"/>
  <c r="G726" i="21"/>
  <c r="N725" i="21"/>
  <c r="O725" i="21" s="1"/>
  <c r="G725" i="21"/>
  <c r="I725" i="21" s="1"/>
  <c r="N724" i="21"/>
  <c r="O724" i="21" s="1"/>
  <c r="G724" i="21"/>
  <c r="I724" i="21" s="1"/>
  <c r="N723" i="21"/>
  <c r="O723" i="21" s="1"/>
  <c r="G723" i="21"/>
  <c r="I723" i="21" s="1"/>
  <c r="N722" i="21"/>
  <c r="O722" i="21" s="1"/>
  <c r="G722" i="21"/>
  <c r="N721" i="21"/>
  <c r="O721" i="21" s="1"/>
  <c r="G721" i="21"/>
  <c r="I721" i="21" s="1"/>
  <c r="N720" i="21"/>
  <c r="O720" i="21" s="1"/>
  <c r="G720" i="21"/>
  <c r="I720" i="21"/>
  <c r="N719" i="21"/>
  <c r="O719" i="21" s="1"/>
  <c r="G719" i="21"/>
  <c r="N718" i="21"/>
  <c r="O718" i="21" s="1"/>
  <c r="G718" i="21"/>
  <c r="I718" i="21"/>
  <c r="N717" i="21"/>
  <c r="O717" i="21" s="1"/>
  <c r="G717" i="21"/>
  <c r="N716" i="21"/>
  <c r="O716" i="21" s="1"/>
  <c r="G716" i="21"/>
  <c r="I716" i="21" s="1"/>
  <c r="N715" i="21"/>
  <c r="O715" i="21"/>
  <c r="G715" i="21"/>
  <c r="I715" i="21" s="1"/>
  <c r="N714" i="21"/>
  <c r="O714" i="21"/>
  <c r="G714" i="21"/>
  <c r="I714" i="21" s="1"/>
  <c r="N713" i="21"/>
  <c r="O713" i="21" s="1"/>
  <c r="G713" i="21"/>
  <c r="N712" i="21"/>
  <c r="O712" i="21" s="1"/>
  <c r="G712" i="21"/>
  <c r="I712" i="21" s="1"/>
  <c r="N711" i="21"/>
  <c r="O711" i="21" s="1"/>
  <c r="G711" i="21"/>
  <c r="N710" i="21"/>
  <c r="O710" i="21" s="1"/>
  <c r="G710" i="21"/>
  <c r="I710" i="21" s="1"/>
  <c r="N709" i="21"/>
  <c r="O709" i="21" s="1"/>
  <c r="G709" i="21"/>
  <c r="I709" i="21"/>
  <c r="J709" i="21" s="1"/>
  <c r="N708" i="21"/>
  <c r="O708" i="21" s="1"/>
  <c r="G708" i="21"/>
  <c r="I708" i="21" s="1"/>
  <c r="N707" i="21"/>
  <c r="O707" i="21" s="1"/>
  <c r="G707" i="21"/>
  <c r="I707" i="21" s="1"/>
  <c r="N706" i="21"/>
  <c r="O706" i="21" s="1"/>
  <c r="G706" i="21"/>
  <c r="I706" i="21" s="1"/>
  <c r="N705" i="21"/>
  <c r="O705" i="21" s="1"/>
  <c r="G705" i="21"/>
  <c r="N704" i="21"/>
  <c r="O704" i="21" s="1"/>
  <c r="G704" i="21"/>
  <c r="I704" i="21" s="1"/>
  <c r="J704" i="21" s="1"/>
  <c r="N703" i="21"/>
  <c r="O703" i="21" s="1"/>
  <c r="G703" i="21"/>
  <c r="I703" i="21"/>
  <c r="N702" i="21"/>
  <c r="O702" i="21" s="1"/>
  <c r="G702" i="21"/>
  <c r="N701" i="21"/>
  <c r="O701" i="21" s="1"/>
  <c r="G701" i="21"/>
  <c r="N700" i="21"/>
  <c r="O700" i="21"/>
  <c r="G700" i="21"/>
  <c r="I700" i="21" s="1"/>
  <c r="N699" i="21"/>
  <c r="O699" i="21" s="1"/>
  <c r="G699" i="21"/>
  <c r="N698" i="21"/>
  <c r="O698" i="21" s="1"/>
  <c r="G698" i="21"/>
  <c r="I698" i="21" s="1"/>
  <c r="N697" i="21"/>
  <c r="O697" i="21" s="1"/>
  <c r="G697" i="21"/>
  <c r="I697" i="21" s="1"/>
  <c r="N696" i="21"/>
  <c r="O696" i="21"/>
  <c r="G696" i="21"/>
  <c r="I696" i="21" s="1"/>
  <c r="N695" i="21"/>
  <c r="O695" i="21"/>
  <c r="G695" i="21"/>
  <c r="N694" i="21"/>
  <c r="O694" i="21" s="1"/>
  <c r="G694" i="21"/>
  <c r="I694" i="21" s="1"/>
  <c r="N693" i="21"/>
  <c r="O693" i="21" s="1"/>
  <c r="G693" i="21"/>
  <c r="N692" i="21"/>
  <c r="O692" i="21" s="1"/>
  <c r="G692" i="21"/>
  <c r="N691" i="21"/>
  <c r="O691" i="21" s="1"/>
  <c r="G691" i="21"/>
  <c r="N690" i="21"/>
  <c r="O690" i="21"/>
  <c r="G690" i="21"/>
  <c r="I690" i="21" s="1"/>
  <c r="N689" i="21"/>
  <c r="O689" i="21" s="1"/>
  <c r="G689" i="21"/>
  <c r="I689" i="21" s="1"/>
  <c r="N688" i="21"/>
  <c r="O688" i="21" s="1"/>
  <c r="G688" i="21"/>
  <c r="I688" i="21" s="1"/>
  <c r="N687" i="21"/>
  <c r="O687" i="21"/>
  <c r="G687" i="21"/>
  <c r="N686" i="21"/>
  <c r="O686" i="21" s="1"/>
  <c r="G686" i="21"/>
  <c r="I686" i="21" s="1"/>
  <c r="N685" i="21"/>
  <c r="O685" i="21" s="1"/>
  <c r="G685" i="21"/>
  <c r="N684" i="21"/>
  <c r="O684" i="21" s="1"/>
  <c r="G684" i="21"/>
  <c r="N683" i="21"/>
  <c r="O683" i="21" s="1"/>
  <c r="G683" i="21"/>
  <c r="I683" i="21" s="1"/>
  <c r="N682" i="21"/>
  <c r="O682" i="21" s="1"/>
  <c r="G682" i="21"/>
  <c r="I682" i="21" s="1"/>
  <c r="N681" i="21"/>
  <c r="O681" i="21" s="1"/>
  <c r="G681" i="21"/>
  <c r="I681" i="21" s="1"/>
  <c r="N680" i="21"/>
  <c r="O680" i="21" s="1"/>
  <c r="G680" i="21"/>
  <c r="N679" i="21"/>
  <c r="O679" i="21"/>
  <c r="G679" i="21"/>
  <c r="I679" i="21" s="1"/>
  <c r="N678" i="21"/>
  <c r="O678" i="21" s="1"/>
  <c r="G678" i="21"/>
  <c r="N677" i="21"/>
  <c r="O677" i="21"/>
  <c r="G677" i="21"/>
  <c r="N676" i="21"/>
  <c r="O676" i="21" s="1"/>
  <c r="G676" i="21"/>
  <c r="I676" i="21" s="1"/>
  <c r="N675" i="21"/>
  <c r="O675" i="21" s="1"/>
  <c r="G675" i="21"/>
  <c r="N674" i="21"/>
  <c r="O674" i="21" s="1"/>
  <c r="G674" i="21"/>
  <c r="J674" i="21" s="1"/>
  <c r="I674" i="21"/>
  <c r="N673" i="21"/>
  <c r="O673" i="21" s="1"/>
  <c r="G673" i="21"/>
  <c r="N672" i="21"/>
  <c r="O672" i="21" s="1"/>
  <c r="G672" i="21"/>
  <c r="I672" i="21"/>
  <c r="N671" i="21"/>
  <c r="O671" i="21" s="1"/>
  <c r="G671" i="21"/>
  <c r="J671" i="21"/>
  <c r="I671" i="21"/>
  <c r="N670" i="21"/>
  <c r="O670" i="21" s="1"/>
  <c r="G670" i="21"/>
  <c r="N669" i="21"/>
  <c r="O669" i="21" s="1"/>
  <c r="G669" i="21"/>
  <c r="I669" i="21" s="1"/>
  <c r="N668" i="21"/>
  <c r="O668" i="21" s="1"/>
  <c r="G668" i="21"/>
  <c r="I668" i="21"/>
  <c r="N667" i="21"/>
  <c r="O667" i="21" s="1"/>
  <c r="G667" i="21"/>
  <c r="N666" i="21"/>
  <c r="O666" i="21" s="1"/>
  <c r="G666" i="21"/>
  <c r="I666" i="21"/>
  <c r="N665" i="21"/>
  <c r="O665" i="21" s="1"/>
  <c r="G665" i="21"/>
  <c r="N664" i="21"/>
  <c r="O664" i="21" s="1"/>
  <c r="G664" i="21"/>
  <c r="N663" i="21"/>
  <c r="O663" i="21"/>
  <c r="G663" i="21"/>
  <c r="N662" i="21"/>
  <c r="O662" i="21" s="1"/>
  <c r="G662" i="21"/>
  <c r="I662" i="21" s="1"/>
  <c r="N661" i="21"/>
  <c r="O661" i="21" s="1"/>
  <c r="G661" i="21"/>
  <c r="I661" i="21"/>
  <c r="J661" i="21" s="1"/>
  <c r="N660" i="21"/>
  <c r="O660" i="21" s="1"/>
  <c r="G660" i="21"/>
  <c r="I660" i="21" s="1"/>
  <c r="N659" i="21"/>
  <c r="O659" i="21" s="1"/>
  <c r="G659" i="21"/>
  <c r="I659" i="21" s="1"/>
  <c r="N658" i="21"/>
  <c r="O658" i="21" s="1"/>
  <c r="G658" i="21"/>
  <c r="I658" i="21" s="1"/>
  <c r="N657" i="21"/>
  <c r="O657" i="21"/>
  <c r="G657" i="21"/>
  <c r="N656" i="21"/>
  <c r="O656" i="21" s="1"/>
  <c r="G656" i="21"/>
  <c r="I656" i="21" s="1"/>
  <c r="N655" i="21"/>
  <c r="O655" i="21" s="1"/>
  <c r="G655" i="21"/>
  <c r="I655" i="21" s="1"/>
  <c r="N654" i="21"/>
  <c r="O654" i="21" s="1"/>
  <c r="G654" i="21"/>
  <c r="N653" i="21"/>
  <c r="O653" i="21" s="1"/>
  <c r="G653" i="21"/>
  <c r="N652" i="21"/>
  <c r="O652" i="21" s="1"/>
  <c r="G652" i="21"/>
  <c r="I652" i="21" s="1"/>
  <c r="N651" i="21"/>
  <c r="O651" i="21" s="1"/>
  <c r="G651" i="21"/>
  <c r="I651" i="21" s="1"/>
  <c r="J651" i="21" s="1"/>
  <c r="N650" i="21"/>
  <c r="O650" i="21" s="1"/>
  <c r="G650" i="21"/>
  <c r="N649" i="21"/>
  <c r="O649" i="21" s="1"/>
  <c r="G649" i="21"/>
  <c r="N648" i="21"/>
  <c r="O648" i="21"/>
  <c r="G648" i="21"/>
  <c r="I648" i="21" s="1"/>
  <c r="N647" i="21"/>
  <c r="O647" i="21"/>
  <c r="G647" i="21"/>
  <c r="N646" i="21"/>
  <c r="O646" i="21" s="1"/>
  <c r="G646" i="21"/>
  <c r="I646" i="21" s="1"/>
  <c r="N645" i="21"/>
  <c r="O645" i="21" s="1"/>
  <c r="G645" i="21"/>
  <c r="I645" i="21" s="1"/>
  <c r="N644" i="21"/>
  <c r="O644" i="21" s="1"/>
  <c r="G644" i="21"/>
  <c r="N643" i="21"/>
  <c r="O643" i="21" s="1"/>
  <c r="G643" i="21"/>
  <c r="N642" i="21"/>
  <c r="O642" i="21" s="1"/>
  <c r="G642" i="21"/>
  <c r="I642" i="21" s="1"/>
  <c r="N641" i="21"/>
  <c r="O641" i="21" s="1"/>
  <c r="G641" i="21"/>
  <c r="N640" i="21"/>
  <c r="O640" i="21" s="1"/>
  <c r="G640" i="21"/>
  <c r="I640" i="21" s="1"/>
  <c r="N639" i="21"/>
  <c r="O639" i="21"/>
  <c r="G639" i="21"/>
  <c r="N638" i="21"/>
  <c r="O638" i="21"/>
  <c r="G638" i="21"/>
  <c r="I638" i="21" s="1"/>
  <c r="N637" i="21"/>
  <c r="O637" i="21" s="1"/>
  <c r="G637" i="21"/>
  <c r="I637" i="21" s="1"/>
  <c r="N636" i="21"/>
  <c r="O636" i="21" s="1"/>
  <c r="G636" i="21"/>
  <c r="I636" i="21" s="1"/>
  <c r="N635" i="21"/>
  <c r="O635" i="21" s="1"/>
  <c r="G635" i="21"/>
  <c r="N634" i="21"/>
  <c r="O634" i="21" s="1"/>
  <c r="G634" i="21"/>
  <c r="I634" i="21" s="1"/>
  <c r="N633" i="21"/>
  <c r="O633" i="21" s="1"/>
  <c r="G633" i="21"/>
  <c r="I633" i="21" s="1"/>
  <c r="J633" i="21" s="1"/>
  <c r="N632" i="21"/>
  <c r="O632" i="21" s="1"/>
  <c r="G632" i="21"/>
  <c r="N631" i="21"/>
  <c r="O631" i="21" s="1"/>
  <c r="G631" i="21"/>
  <c r="N630" i="21"/>
  <c r="O630" i="21"/>
  <c r="G630" i="21"/>
  <c r="I630" i="21" s="1"/>
  <c r="N629" i="21"/>
  <c r="O629" i="21" s="1"/>
  <c r="G629" i="21"/>
  <c r="N628" i="21"/>
  <c r="O628" i="21" s="1"/>
  <c r="G628" i="21"/>
  <c r="N627" i="21"/>
  <c r="O627" i="21" s="1"/>
  <c r="G627" i="21"/>
  <c r="N626" i="21"/>
  <c r="O626" i="21" s="1"/>
  <c r="G626" i="21"/>
  <c r="I626" i="21"/>
  <c r="N625" i="21"/>
  <c r="O625" i="21" s="1"/>
  <c r="G625" i="21"/>
  <c r="N624" i="21"/>
  <c r="O624" i="21" s="1"/>
  <c r="G624" i="21"/>
  <c r="I624" i="21" s="1"/>
  <c r="N623" i="21"/>
  <c r="O623" i="21"/>
  <c r="G623" i="21"/>
  <c r="I623" i="21" s="1"/>
  <c r="N622" i="21"/>
  <c r="O622" i="21"/>
  <c r="G622" i="21"/>
  <c r="N621" i="21"/>
  <c r="O621" i="21" s="1"/>
  <c r="G621" i="21"/>
  <c r="I621" i="21" s="1"/>
  <c r="N620" i="21"/>
  <c r="O620" i="21" s="1"/>
  <c r="G620" i="21"/>
  <c r="I620" i="21" s="1"/>
  <c r="N619" i="21"/>
  <c r="O619" i="21"/>
  <c r="G619" i="21"/>
  <c r="N618" i="21"/>
  <c r="O618" i="21"/>
  <c r="G618" i="21"/>
  <c r="I618" i="21" s="1"/>
  <c r="N617" i="21"/>
  <c r="O617" i="21" s="1"/>
  <c r="G617" i="21"/>
  <c r="I617" i="21" s="1"/>
  <c r="N616" i="21"/>
  <c r="O616" i="21" s="1"/>
  <c r="G616" i="21"/>
  <c r="N615" i="21"/>
  <c r="O615" i="21" s="1"/>
  <c r="G615" i="21"/>
  <c r="I615" i="21"/>
  <c r="N614" i="21"/>
  <c r="O614" i="21" s="1"/>
  <c r="G614" i="21"/>
  <c r="I614" i="21"/>
  <c r="N613" i="21"/>
  <c r="O613" i="21" s="1"/>
  <c r="G613" i="21"/>
  <c r="N612" i="21"/>
  <c r="O612" i="21" s="1"/>
  <c r="G612" i="21"/>
  <c r="I612" i="21" s="1"/>
  <c r="N611" i="21"/>
  <c r="O611" i="21" s="1"/>
  <c r="G611" i="21"/>
  <c r="I611" i="21" s="1"/>
  <c r="N610" i="21"/>
  <c r="O610" i="21" s="1"/>
  <c r="G610" i="21"/>
  <c r="I610" i="21" s="1"/>
  <c r="N609" i="21"/>
  <c r="O609" i="21" s="1"/>
  <c r="G609" i="21"/>
  <c r="I609" i="21" s="1"/>
  <c r="N608" i="21"/>
  <c r="O608" i="21" s="1"/>
  <c r="G608" i="21"/>
  <c r="N607" i="21"/>
  <c r="O607" i="21"/>
  <c r="G607" i="21"/>
  <c r="I607" i="21" s="1"/>
  <c r="N606" i="21"/>
  <c r="O606" i="21" s="1"/>
  <c r="G606" i="21"/>
  <c r="I606" i="21" s="1"/>
  <c r="J606" i="21" s="1"/>
  <c r="N605" i="21"/>
  <c r="O605" i="21" s="1"/>
  <c r="G605" i="21"/>
  <c r="N604" i="21"/>
  <c r="O604" i="21" s="1"/>
  <c r="G604" i="21"/>
  <c r="N603" i="21"/>
  <c r="O603" i="21" s="1"/>
  <c r="G603" i="21"/>
  <c r="N602" i="21"/>
  <c r="O602" i="21" s="1"/>
  <c r="G602" i="21"/>
  <c r="I602" i="21" s="1"/>
  <c r="N601" i="21"/>
  <c r="O601" i="21" s="1"/>
  <c r="G601" i="21"/>
  <c r="N600" i="21"/>
  <c r="O600" i="21" s="1"/>
  <c r="G600" i="21"/>
  <c r="I600" i="21"/>
  <c r="N599" i="21"/>
  <c r="O599" i="21" s="1"/>
  <c r="G599" i="21"/>
  <c r="I599" i="21"/>
  <c r="N598" i="21"/>
  <c r="O598" i="21" s="1"/>
  <c r="G598" i="21"/>
  <c r="N597" i="21"/>
  <c r="O597" i="21" s="1"/>
  <c r="G597" i="21"/>
  <c r="I597" i="21" s="1"/>
  <c r="N596" i="21"/>
  <c r="O596" i="21" s="1"/>
  <c r="G596" i="21"/>
  <c r="I596" i="21" s="1"/>
  <c r="N595" i="21"/>
  <c r="O595" i="21" s="1"/>
  <c r="G595" i="21"/>
  <c r="N594" i="21"/>
  <c r="O594" i="21" s="1"/>
  <c r="G594" i="21"/>
  <c r="N593" i="21"/>
  <c r="O593" i="21" s="1"/>
  <c r="G593" i="21"/>
  <c r="I593" i="21" s="1"/>
  <c r="N592" i="21"/>
  <c r="O592" i="21" s="1"/>
  <c r="G592" i="21"/>
  <c r="N591" i="21"/>
  <c r="O591" i="21" s="1"/>
  <c r="G591" i="21"/>
  <c r="I591" i="21"/>
  <c r="N590" i="21"/>
  <c r="O590" i="21" s="1"/>
  <c r="G590" i="21"/>
  <c r="N589" i="21"/>
  <c r="O589" i="21" s="1"/>
  <c r="G589" i="21"/>
  <c r="N588" i="21"/>
  <c r="O588" i="21"/>
  <c r="G588" i="21"/>
  <c r="I588" i="21" s="1"/>
  <c r="N587" i="21"/>
  <c r="O587" i="21" s="1"/>
  <c r="G587" i="21"/>
  <c r="I587" i="21" s="1"/>
  <c r="N586" i="21"/>
  <c r="O586" i="21"/>
  <c r="G586" i="21"/>
  <c r="I586" i="21" s="1"/>
  <c r="N585" i="21"/>
  <c r="O585" i="21" s="1"/>
  <c r="G585" i="21"/>
  <c r="I585" i="21" s="1"/>
  <c r="N584" i="21"/>
  <c r="O584" i="21" s="1"/>
  <c r="G584" i="21"/>
  <c r="I584" i="21" s="1"/>
  <c r="N583" i="21"/>
  <c r="O583" i="21" s="1"/>
  <c r="G583" i="21"/>
  <c r="I583" i="21" s="1"/>
  <c r="N582" i="21"/>
  <c r="O582" i="21" s="1"/>
  <c r="G582" i="21"/>
  <c r="I582" i="21" s="1"/>
  <c r="N581" i="21"/>
  <c r="O581" i="21" s="1"/>
  <c r="G581" i="21"/>
  <c r="I581" i="21" s="1"/>
  <c r="N580" i="21"/>
  <c r="O580" i="21" s="1"/>
  <c r="G580" i="21"/>
  <c r="I580" i="21" s="1"/>
  <c r="N579" i="21"/>
  <c r="O579" i="21" s="1"/>
  <c r="G579" i="21"/>
  <c r="N578" i="21"/>
  <c r="O578" i="21"/>
  <c r="G578" i="21"/>
  <c r="I578" i="21" s="1"/>
  <c r="N577" i="21"/>
  <c r="O577" i="21"/>
  <c r="G577" i="21"/>
  <c r="N576" i="21"/>
  <c r="O576" i="21" s="1"/>
  <c r="G576" i="21"/>
  <c r="I576" i="21" s="1"/>
  <c r="N575" i="21"/>
  <c r="O575" i="21" s="1"/>
  <c r="G575" i="21"/>
  <c r="I575" i="21" s="1"/>
  <c r="N574" i="21"/>
  <c r="O574" i="21" s="1"/>
  <c r="G574" i="21"/>
  <c r="N573" i="21"/>
  <c r="O573" i="21" s="1"/>
  <c r="G573" i="21"/>
  <c r="N572" i="21"/>
  <c r="O572" i="21" s="1"/>
  <c r="G572" i="21"/>
  <c r="N571" i="21"/>
  <c r="O571" i="21" s="1"/>
  <c r="G571" i="21"/>
  <c r="N570" i="21"/>
  <c r="O570" i="21" s="1"/>
  <c r="G570" i="21"/>
  <c r="I570" i="21" s="1"/>
  <c r="N569" i="21"/>
  <c r="O569" i="21" s="1"/>
  <c r="G569" i="21"/>
  <c r="I569" i="21" s="1"/>
  <c r="N568" i="21"/>
  <c r="O568" i="21" s="1"/>
  <c r="G568" i="21"/>
  <c r="N567" i="21"/>
  <c r="O567" i="21" s="1"/>
  <c r="G567" i="21"/>
  <c r="N566" i="21"/>
  <c r="O566" i="21" s="1"/>
  <c r="G566" i="21"/>
  <c r="N565" i="21"/>
  <c r="O565" i="21"/>
  <c r="G565" i="21"/>
  <c r="N564" i="21"/>
  <c r="O564" i="21" s="1"/>
  <c r="G564" i="21"/>
  <c r="N563" i="21"/>
  <c r="O563" i="21" s="1"/>
  <c r="G563" i="21"/>
  <c r="N562" i="21"/>
  <c r="O562" i="21" s="1"/>
  <c r="G562" i="21"/>
  <c r="N561" i="21"/>
  <c r="O561" i="21" s="1"/>
  <c r="G561" i="21"/>
  <c r="N560" i="21"/>
  <c r="O560" i="21" s="1"/>
  <c r="G560" i="21"/>
  <c r="I560" i="21" s="1"/>
  <c r="N559" i="21"/>
  <c r="O559" i="21" s="1"/>
  <c r="G559" i="21"/>
  <c r="I559" i="21" s="1"/>
  <c r="N558" i="21"/>
  <c r="O558" i="21" s="1"/>
  <c r="G558" i="21"/>
  <c r="I558" i="21" s="1"/>
  <c r="N557" i="21"/>
  <c r="O557" i="21" s="1"/>
  <c r="G557" i="21"/>
  <c r="I557" i="21" s="1"/>
  <c r="N556" i="21"/>
  <c r="O556" i="21" s="1"/>
  <c r="G556" i="21"/>
  <c r="N555" i="21"/>
  <c r="O555" i="21" s="1"/>
  <c r="G555" i="21"/>
  <c r="I555" i="21" s="1"/>
  <c r="N554" i="21"/>
  <c r="O554" i="21" s="1"/>
  <c r="G554" i="21"/>
  <c r="I554" i="21"/>
  <c r="N553" i="21"/>
  <c r="O553" i="21" s="1"/>
  <c r="G553" i="21"/>
  <c r="I553" i="21"/>
  <c r="J553" i="21" s="1"/>
  <c r="N552" i="21"/>
  <c r="O552" i="21" s="1"/>
  <c r="G552" i="21"/>
  <c r="I552" i="21" s="1"/>
  <c r="N551" i="21"/>
  <c r="O551" i="21" s="1"/>
  <c r="G551" i="21"/>
  <c r="I551" i="21" s="1"/>
  <c r="N550" i="21"/>
  <c r="O550" i="21" s="1"/>
  <c r="G550" i="21"/>
  <c r="I550" i="21" s="1"/>
  <c r="N549" i="21"/>
  <c r="O549" i="21"/>
  <c r="G549" i="21"/>
  <c r="N548" i="21"/>
  <c r="O548" i="21" s="1"/>
  <c r="G548" i="21"/>
  <c r="I548" i="21" s="1"/>
  <c r="N547" i="21"/>
  <c r="O547" i="21" s="1"/>
  <c r="G547" i="21"/>
  <c r="N546" i="21"/>
  <c r="O546" i="21" s="1"/>
  <c r="G546" i="21"/>
  <c r="N545" i="21"/>
  <c r="O545" i="21" s="1"/>
  <c r="G545" i="21"/>
  <c r="N544" i="21"/>
  <c r="O544" i="21" s="1"/>
  <c r="G544" i="21"/>
  <c r="N543" i="21"/>
  <c r="O543" i="21" s="1"/>
  <c r="G543" i="21"/>
  <c r="I543" i="21" s="1"/>
  <c r="N542" i="21"/>
  <c r="O542" i="21" s="1"/>
  <c r="G542" i="21"/>
  <c r="I542" i="21" s="1"/>
  <c r="N541" i="21"/>
  <c r="O541" i="21" s="1"/>
  <c r="G541" i="21"/>
  <c r="N540" i="21"/>
  <c r="O540" i="21" s="1"/>
  <c r="G540" i="21"/>
  <c r="N539" i="21"/>
  <c r="O539" i="21" s="1"/>
  <c r="G539" i="21"/>
  <c r="N538" i="21"/>
  <c r="O538" i="21" s="1"/>
  <c r="G538" i="21"/>
  <c r="I538" i="21" s="1"/>
  <c r="N537" i="21"/>
  <c r="O537" i="21" s="1"/>
  <c r="G537" i="21"/>
  <c r="I537" i="21" s="1"/>
  <c r="N536" i="21"/>
  <c r="O536" i="21" s="1"/>
  <c r="G536" i="21"/>
  <c r="I536" i="21" s="1"/>
  <c r="N535" i="21"/>
  <c r="O535" i="21" s="1"/>
  <c r="G535" i="21"/>
  <c r="N534" i="21"/>
  <c r="O534" i="21"/>
  <c r="G534" i="21"/>
  <c r="N533" i="21"/>
  <c r="O533" i="21" s="1"/>
  <c r="G533" i="21"/>
  <c r="N532" i="21"/>
  <c r="O532" i="21" s="1"/>
  <c r="G532" i="21"/>
  <c r="N531" i="21"/>
  <c r="O531" i="21" s="1"/>
  <c r="G531" i="21"/>
  <c r="I531" i="21"/>
  <c r="N530" i="21"/>
  <c r="O530" i="21" s="1"/>
  <c r="G530" i="21"/>
  <c r="I530" i="21" s="1"/>
  <c r="J530" i="21" s="1"/>
  <c r="N529" i="21"/>
  <c r="O529" i="21" s="1"/>
  <c r="G529" i="21"/>
  <c r="N528" i="21"/>
  <c r="O528" i="21" s="1"/>
  <c r="G528" i="21"/>
  <c r="I528" i="21" s="1"/>
  <c r="J528" i="21" s="1"/>
  <c r="N527" i="21"/>
  <c r="O527" i="21" s="1"/>
  <c r="G527" i="21"/>
  <c r="N526" i="21"/>
  <c r="O526" i="21" s="1"/>
  <c r="G526" i="21"/>
  <c r="N525" i="21"/>
  <c r="O525" i="21"/>
  <c r="G525" i="21"/>
  <c r="N524" i="21"/>
  <c r="O524" i="21" s="1"/>
  <c r="G524" i="21"/>
  <c r="N523" i="21"/>
  <c r="O523" i="21" s="1"/>
  <c r="G523" i="21"/>
  <c r="I523" i="21" s="1"/>
  <c r="J523" i="21" s="1"/>
  <c r="N522" i="21"/>
  <c r="O522" i="21" s="1"/>
  <c r="G522" i="21"/>
  <c r="I522" i="21"/>
  <c r="J522" i="21" s="1"/>
  <c r="N521" i="21"/>
  <c r="O521" i="21" s="1"/>
  <c r="G521" i="21"/>
  <c r="N520" i="21"/>
  <c r="O520" i="21"/>
  <c r="G520" i="21"/>
  <c r="I520" i="21" s="1"/>
  <c r="N519" i="21"/>
  <c r="O519" i="21" s="1"/>
  <c r="G519" i="21"/>
  <c r="N518" i="21"/>
  <c r="O518" i="21" s="1"/>
  <c r="G518" i="21"/>
  <c r="N517" i="21"/>
  <c r="O517" i="21" s="1"/>
  <c r="G517" i="21"/>
  <c r="I517" i="21" s="1"/>
  <c r="N516" i="21"/>
  <c r="O516" i="21"/>
  <c r="G516" i="21"/>
  <c r="N515" i="21"/>
  <c r="O515" i="21" s="1"/>
  <c r="G515" i="21"/>
  <c r="N514" i="21"/>
  <c r="O514" i="21" s="1"/>
  <c r="G514" i="21"/>
  <c r="N513" i="21"/>
  <c r="O513" i="21" s="1"/>
  <c r="G513" i="21"/>
  <c r="N512" i="21"/>
  <c r="O512" i="21"/>
  <c r="G512" i="21"/>
  <c r="I512" i="21" s="1"/>
  <c r="N511" i="21"/>
  <c r="O511" i="21" s="1"/>
  <c r="G511" i="21"/>
  <c r="I511" i="21"/>
  <c r="N510" i="21"/>
  <c r="O510" i="21" s="1"/>
  <c r="G510" i="21"/>
  <c r="I510" i="21"/>
  <c r="N509" i="21"/>
  <c r="O509" i="21" s="1"/>
  <c r="G509" i="21"/>
  <c r="I509" i="21"/>
  <c r="N508" i="21"/>
  <c r="O508" i="21" s="1"/>
  <c r="G508" i="21"/>
  <c r="I508" i="21" s="1"/>
  <c r="N507" i="21"/>
  <c r="O507" i="21" s="1"/>
  <c r="G507" i="21"/>
  <c r="N506" i="21"/>
  <c r="O506" i="21" s="1"/>
  <c r="G506" i="21"/>
  <c r="N505" i="21"/>
  <c r="O505" i="21" s="1"/>
  <c r="G505" i="21"/>
  <c r="N504" i="21"/>
  <c r="O504" i="21"/>
  <c r="G504" i="21"/>
  <c r="N503" i="21"/>
  <c r="O503" i="21" s="1"/>
  <c r="G503" i="21"/>
  <c r="N502" i="21"/>
  <c r="O502" i="21" s="1"/>
  <c r="G502" i="21"/>
  <c r="N501" i="21"/>
  <c r="O501" i="21" s="1"/>
  <c r="G501" i="21"/>
  <c r="I501" i="21" s="1"/>
  <c r="N500" i="21"/>
  <c r="O500" i="21" s="1"/>
  <c r="G500" i="21"/>
  <c r="N499" i="21"/>
  <c r="O499" i="21"/>
  <c r="G499" i="21"/>
  <c r="N498" i="21"/>
  <c r="O498" i="21" s="1"/>
  <c r="G498" i="21"/>
  <c r="I498" i="21" s="1"/>
  <c r="N497" i="21"/>
  <c r="O497" i="21" s="1"/>
  <c r="G497" i="21"/>
  <c r="N496" i="21"/>
  <c r="O496" i="21" s="1"/>
  <c r="G496" i="21"/>
  <c r="N495" i="21"/>
  <c r="O495" i="21" s="1"/>
  <c r="G495" i="21"/>
  <c r="I495" i="21" s="1"/>
  <c r="N494" i="21"/>
  <c r="O494" i="21"/>
  <c r="G494" i="21"/>
  <c r="I494" i="21" s="1"/>
  <c r="N493" i="21"/>
  <c r="O493" i="21" s="1"/>
  <c r="G493" i="21"/>
  <c r="I493" i="21" s="1"/>
  <c r="N492" i="21"/>
  <c r="O492" i="21" s="1"/>
  <c r="G492" i="21"/>
  <c r="I492" i="21" s="1"/>
  <c r="N491" i="21"/>
  <c r="O491" i="21" s="1"/>
  <c r="G491" i="21"/>
  <c r="I491" i="21" s="1"/>
  <c r="J491" i="21" s="1"/>
  <c r="N490" i="21"/>
  <c r="O490" i="21" s="1"/>
  <c r="G490" i="21"/>
  <c r="N489" i="21"/>
  <c r="O489" i="21" s="1"/>
  <c r="G489" i="21"/>
  <c r="N488" i="21"/>
  <c r="O488" i="21" s="1"/>
  <c r="G488" i="21"/>
  <c r="I488" i="21" s="1"/>
  <c r="N487" i="21"/>
  <c r="O487" i="21"/>
  <c r="G487" i="21"/>
  <c r="I487" i="21" s="1"/>
  <c r="N486" i="21"/>
  <c r="O486" i="21" s="1"/>
  <c r="G486" i="21"/>
  <c r="I486" i="21" s="1"/>
  <c r="N485" i="21"/>
  <c r="O485" i="21" s="1"/>
  <c r="G485" i="21"/>
  <c r="I485" i="21" s="1"/>
  <c r="N484" i="21"/>
  <c r="O484" i="21" s="1"/>
  <c r="G484" i="21"/>
  <c r="N483" i="21"/>
  <c r="O483" i="21" s="1"/>
  <c r="G483" i="21"/>
  <c r="I483" i="21" s="1"/>
  <c r="N482" i="21"/>
  <c r="O482" i="21" s="1"/>
  <c r="G482" i="21"/>
  <c r="N481" i="21"/>
  <c r="O481" i="21" s="1"/>
  <c r="G481" i="21"/>
  <c r="N480" i="21"/>
  <c r="O480" i="21" s="1"/>
  <c r="G480" i="21"/>
  <c r="I480" i="21" s="1"/>
  <c r="N479" i="21"/>
  <c r="O479" i="21" s="1"/>
  <c r="G479" i="21"/>
  <c r="N478" i="21"/>
  <c r="O478" i="21"/>
  <c r="G478" i="21"/>
  <c r="N477" i="21"/>
  <c r="O477" i="21" s="1"/>
  <c r="G477" i="21"/>
  <c r="I477" i="21" s="1"/>
  <c r="N476" i="21"/>
  <c r="O476" i="21" s="1"/>
  <c r="G476" i="21"/>
  <c r="I476" i="21" s="1"/>
  <c r="N475" i="21"/>
  <c r="O475" i="21" s="1"/>
  <c r="G475" i="21"/>
  <c r="I475" i="21" s="1"/>
  <c r="N474" i="21"/>
  <c r="O474" i="21" s="1"/>
  <c r="G474" i="21"/>
  <c r="I474" i="21" s="1"/>
  <c r="N473" i="21"/>
  <c r="O473" i="21" s="1"/>
  <c r="G473" i="21"/>
  <c r="N472" i="21"/>
  <c r="O472" i="21" s="1"/>
  <c r="G472" i="21"/>
  <c r="N471" i="21"/>
  <c r="O471" i="21" s="1"/>
  <c r="G471" i="21"/>
  <c r="N470" i="21"/>
  <c r="O470" i="21" s="1"/>
  <c r="G470" i="21"/>
  <c r="I470" i="21" s="1"/>
  <c r="N469" i="21"/>
  <c r="O469" i="21" s="1"/>
  <c r="G469" i="21"/>
  <c r="I469" i="21" s="1"/>
  <c r="J469" i="21" s="1"/>
  <c r="N468" i="21"/>
  <c r="O468" i="21" s="1"/>
  <c r="G468" i="21"/>
  <c r="N467" i="21"/>
  <c r="O467" i="21" s="1"/>
  <c r="G467" i="21"/>
  <c r="N466" i="21"/>
  <c r="O466" i="21"/>
  <c r="G466" i="21"/>
  <c r="N465" i="21"/>
  <c r="O465" i="21" s="1"/>
  <c r="G465" i="21"/>
  <c r="I465" i="21" s="1"/>
  <c r="N464" i="21"/>
  <c r="O464" i="21" s="1"/>
  <c r="G464" i="21"/>
  <c r="I464" i="21" s="1"/>
  <c r="N463" i="21"/>
  <c r="O463" i="21" s="1"/>
  <c r="G463" i="21"/>
  <c r="N462" i="21"/>
  <c r="O462" i="21" s="1"/>
  <c r="G462" i="21"/>
  <c r="I462" i="21"/>
  <c r="N461" i="21"/>
  <c r="O461" i="21" s="1"/>
  <c r="G461" i="21"/>
  <c r="N460" i="21"/>
  <c r="O460" i="21" s="1"/>
  <c r="G460" i="21"/>
  <c r="N459" i="21"/>
  <c r="O459" i="21" s="1"/>
  <c r="G459" i="21"/>
  <c r="I459" i="21" s="1"/>
  <c r="N458" i="21"/>
  <c r="O458" i="21" s="1"/>
  <c r="G458" i="21"/>
  <c r="N457" i="21"/>
  <c r="O457" i="21" s="1"/>
  <c r="G457" i="21"/>
  <c r="N456" i="21"/>
  <c r="O456" i="21" s="1"/>
  <c r="G456" i="21"/>
  <c r="I456" i="21" s="1"/>
  <c r="N455" i="21"/>
  <c r="O455" i="21" s="1"/>
  <c r="G455" i="21"/>
  <c r="N454" i="21"/>
  <c r="O454" i="21" s="1"/>
  <c r="G454" i="21"/>
  <c r="I454" i="21"/>
  <c r="J454" i="21" s="1"/>
  <c r="N453" i="21"/>
  <c r="O453" i="21" s="1"/>
  <c r="G453" i="21"/>
  <c r="N452" i="21"/>
  <c r="O452" i="21" s="1"/>
  <c r="G452" i="21"/>
  <c r="I452" i="21"/>
  <c r="N451" i="21"/>
  <c r="O451" i="21" s="1"/>
  <c r="G451" i="21"/>
  <c r="N450" i="21"/>
  <c r="O450" i="21" s="1"/>
  <c r="G450" i="21"/>
  <c r="I450" i="21" s="1"/>
  <c r="N449" i="21"/>
  <c r="O449" i="21" s="1"/>
  <c r="G449" i="21"/>
  <c r="I449" i="21" s="1"/>
  <c r="N448" i="21"/>
  <c r="O448" i="21" s="1"/>
  <c r="G448" i="21"/>
  <c r="I448" i="21" s="1"/>
  <c r="N447" i="21"/>
  <c r="O447" i="21" s="1"/>
  <c r="G447" i="21"/>
  <c r="N446" i="21"/>
  <c r="O446" i="21"/>
  <c r="G446" i="21"/>
  <c r="N445" i="21"/>
  <c r="O445" i="21" s="1"/>
  <c r="G445" i="21"/>
  <c r="N444" i="21"/>
  <c r="O444" i="21" s="1"/>
  <c r="G444" i="21"/>
  <c r="I444" i="21" s="1"/>
  <c r="N443" i="21"/>
  <c r="O443" i="21" s="1"/>
  <c r="G443" i="21"/>
  <c r="N442" i="21"/>
  <c r="O442" i="21" s="1"/>
  <c r="G442" i="21"/>
  <c r="I442" i="21" s="1"/>
  <c r="N441" i="21"/>
  <c r="O441" i="21" s="1"/>
  <c r="G441" i="21"/>
  <c r="N440" i="21"/>
  <c r="O440" i="21"/>
  <c r="G440" i="21"/>
  <c r="I440" i="21" s="1"/>
  <c r="N439" i="21"/>
  <c r="O439" i="21" s="1"/>
  <c r="G439" i="21"/>
  <c r="N438" i="21"/>
  <c r="O438" i="21" s="1"/>
  <c r="G438" i="21"/>
  <c r="I438" i="21" s="1"/>
  <c r="N437" i="21"/>
  <c r="O437" i="21"/>
  <c r="G437" i="21"/>
  <c r="N436" i="21"/>
  <c r="O436" i="21" s="1"/>
  <c r="G436" i="21"/>
  <c r="N435" i="21"/>
  <c r="O435" i="21" s="1"/>
  <c r="G435" i="21"/>
  <c r="N434" i="21"/>
  <c r="O434" i="21" s="1"/>
  <c r="G434" i="21"/>
  <c r="I434" i="21" s="1"/>
  <c r="N433" i="21"/>
  <c r="O433" i="21" s="1"/>
  <c r="G433" i="21"/>
  <c r="N432" i="21"/>
  <c r="O432" i="21"/>
  <c r="G432" i="21"/>
  <c r="I432" i="21" s="1"/>
  <c r="N431" i="21"/>
  <c r="O431" i="21" s="1"/>
  <c r="G431" i="21"/>
  <c r="N430" i="21"/>
  <c r="O430" i="21"/>
  <c r="G430" i="21"/>
  <c r="N429" i="21"/>
  <c r="O429" i="21" s="1"/>
  <c r="G429" i="21"/>
  <c r="N428" i="21"/>
  <c r="O428" i="21" s="1"/>
  <c r="G428" i="21"/>
  <c r="I428" i="21" s="1"/>
  <c r="N427" i="21"/>
  <c r="O427" i="21" s="1"/>
  <c r="G427" i="21"/>
  <c r="I427" i="21" s="1"/>
  <c r="N426" i="21"/>
  <c r="O426" i="21" s="1"/>
  <c r="G426" i="21"/>
  <c r="I426" i="21" s="1"/>
  <c r="N425" i="21"/>
  <c r="O425" i="21" s="1"/>
  <c r="G425" i="21"/>
  <c r="N424" i="21"/>
  <c r="O424" i="21" s="1"/>
  <c r="G424" i="21"/>
  <c r="N423" i="21"/>
  <c r="O423" i="21" s="1"/>
  <c r="G423" i="21"/>
  <c r="N422" i="21"/>
  <c r="O422" i="21" s="1"/>
  <c r="G422" i="21"/>
  <c r="N421" i="21"/>
  <c r="O421" i="21" s="1"/>
  <c r="G421" i="21"/>
  <c r="N420" i="21"/>
  <c r="O420" i="21"/>
  <c r="G420" i="21"/>
  <c r="I420" i="21" s="1"/>
  <c r="N419" i="21"/>
  <c r="O419" i="21" s="1"/>
  <c r="G419" i="21"/>
  <c r="I419" i="21" s="1"/>
  <c r="N418" i="21"/>
  <c r="O418" i="21" s="1"/>
  <c r="G418" i="21"/>
  <c r="N417" i="21"/>
  <c r="O417" i="21" s="1"/>
  <c r="G417" i="21"/>
  <c r="I417" i="21" s="1"/>
  <c r="N416" i="21"/>
  <c r="O416" i="21"/>
  <c r="G416" i="21"/>
  <c r="I416" i="21" s="1"/>
  <c r="N415" i="21"/>
  <c r="O415" i="21" s="1"/>
  <c r="G415" i="21"/>
  <c r="N414" i="21"/>
  <c r="O414" i="21" s="1"/>
  <c r="G414" i="21"/>
  <c r="I414" i="21" s="1"/>
  <c r="N413" i="21"/>
  <c r="O413" i="21" s="1"/>
  <c r="G413" i="21"/>
  <c r="N412" i="21"/>
  <c r="O412" i="21" s="1"/>
  <c r="G412" i="21"/>
  <c r="N411" i="21"/>
  <c r="O411" i="21"/>
  <c r="G411" i="21"/>
  <c r="N410" i="21"/>
  <c r="O410" i="21" s="1"/>
  <c r="G410" i="21"/>
  <c r="N409" i="21"/>
  <c r="O409" i="21" s="1"/>
  <c r="G409" i="21"/>
  <c r="N408" i="21"/>
  <c r="O408" i="21" s="1"/>
  <c r="G408" i="21"/>
  <c r="I408" i="21" s="1"/>
  <c r="N407" i="21"/>
  <c r="O407" i="21" s="1"/>
  <c r="G407" i="21"/>
  <c r="I407" i="21" s="1"/>
  <c r="N406" i="21"/>
  <c r="O406" i="21"/>
  <c r="G406" i="21"/>
  <c r="N405" i="21"/>
  <c r="O405" i="21" s="1"/>
  <c r="G405" i="21"/>
  <c r="I405" i="21" s="1"/>
  <c r="N404" i="21"/>
  <c r="O404" i="21"/>
  <c r="G404" i="21"/>
  <c r="N403" i="21"/>
  <c r="O403" i="21" s="1"/>
  <c r="G403" i="21"/>
  <c r="N402" i="21"/>
  <c r="O402" i="21" s="1"/>
  <c r="G402" i="21"/>
  <c r="N401" i="21"/>
  <c r="O401" i="21" s="1"/>
  <c r="G401" i="21"/>
  <c r="I401" i="21" s="1"/>
  <c r="N400" i="21"/>
  <c r="O400" i="21" s="1"/>
  <c r="G400" i="21"/>
  <c r="N399" i="21"/>
  <c r="O399" i="21" s="1"/>
  <c r="G399" i="21"/>
  <c r="N398" i="21"/>
  <c r="O398" i="21" s="1"/>
  <c r="G398" i="21"/>
  <c r="N397" i="21"/>
  <c r="O397" i="21" s="1"/>
  <c r="G397" i="21"/>
  <c r="N396" i="21"/>
  <c r="O396" i="21" s="1"/>
  <c r="G396" i="21"/>
  <c r="I396" i="21" s="1"/>
  <c r="N395" i="21"/>
  <c r="O395" i="21" s="1"/>
  <c r="G395" i="21"/>
  <c r="I395" i="21" s="1"/>
  <c r="N394" i="21"/>
  <c r="O394" i="21" s="1"/>
  <c r="G394" i="21"/>
  <c r="N393" i="21"/>
  <c r="O393" i="21"/>
  <c r="G393" i="21"/>
  <c r="I393" i="21" s="1"/>
  <c r="N392" i="21"/>
  <c r="O392" i="21" s="1"/>
  <c r="G392" i="21"/>
  <c r="I392" i="21" s="1"/>
  <c r="N391" i="21"/>
  <c r="O391" i="21" s="1"/>
  <c r="G391" i="21"/>
  <c r="I391" i="21" s="1"/>
  <c r="N390" i="21"/>
  <c r="O390" i="21" s="1"/>
  <c r="G390" i="21"/>
  <c r="N389" i="21"/>
  <c r="O389" i="21" s="1"/>
  <c r="G389" i="21"/>
  <c r="I389" i="21" s="1"/>
  <c r="N388" i="21"/>
  <c r="O388" i="21"/>
  <c r="G388" i="21"/>
  <c r="N387" i="21"/>
  <c r="O387" i="21" s="1"/>
  <c r="G387" i="21"/>
  <c r="N386" i="21"/>
  <c r="O386" i="21" s="1"/>
  <c r="G386" i="21"/>
  <c r="N385" i="21"/>
  <c r="O385" i="21" s="1"/>
  <c r="G385" i="21"/>
  <c r="N384" i="21"/>
  <c r="O384" i="21" s="1"/>
  <c r="G384" i="21"/>
  <c r="N383" i="21"/>
  <c r="O383" i="21" s="1"/>
  <c r="G383" i="21"/>
  <c r="N382" i="21"/>
  <c r="O382" i="21" s="1"/>
  <c r="G382" i="21"/>
  <c r="N381" i="21"/>
  <c r="O381" i="21" s="1"/>
  <c r="G381" i="21"/>
  <c r="N380" i="21"/>
  <c r="O380" i="21" s="1"/>
  <c r="G380" i="21"/>
  <c r="I380" i="21" s="1"/>
  <c r="N379" i="21"/>
  <c r="O379" i="21" s="1"/>
  <c r="G379" i="21"/>
  <c r="I379" i="21" s="1"/>
  <c r="J379" i="21" s="1"/>
  <c r="N378" i="21"/>
  <c r="O378" i="21" s="1"/>
  <c r="G378" i="21"/>
  <c r="N377" i="21"/>
  <c r="O377" i="21" s="1"/>
  <c r="G377" i="21"/>
  <c r="N376" i="21"/>
  <c r="O376" i="21"/>
  <c r="G376" i="21"/>
  <c r="I376" i="21" s="1"/>
  <c r="N375" i="21"/>
  <c r="O375" i="21" s="1"/>
  <c r="G375" i="21"/>
  <c r="N374" i="21"/>
  <c r="O374" i="21" s="1"/>
  <c r="G374" i="21"/>
  <c r="I374" i="21" s="1"/>
  <c r="N373" i="21"/>
  <c r="O373" i="21"/>
  <c r="G373" i="21"/>
  <c r="N372" i="21"/>
  <c r="O372" i="21"/>
  <c r="G372" i="21"/>
  <c r="I372" i="21" s="1"/>
  <c r="N371" i="21"/>
  <c r="O371" i="21" s="1"/>
  <c r="G371" i="21"/>
  <c r="N370" i="21"/>
  <c r="O370" i="21" s="1"/>
  <c r="G370" i="21"/>
  <c r="J370" i="21" s="1"/>
  <c r="I370" i="21"/>
  <c r="N369" i="21"/>
  <c r="O369" i="21" s="1"/>
  <c r="G369" i="21"/>
  <c r="I369" i="21" s="1"/>
  <c r="N368" i="21"/>
  <c r="O368" i="21" s="1"/>
  <c r="G368" i="21"/>
  <c r="I368" i="21" s="1"/>
  <c r="N367" i="21"/>
  <c r="O367" i="21" s="1"/>
  <c r="G367" i="21"/>
  <c r="N366" i="21"/>
  <c r="O366" i="21" s="1"/>
  <c r="G366" i="21"/>
  <c r="I366" i="21" s="1"/>
  <c r="N365" i="21"/>
  <c r="O365" i="21" s="1"/>
  <c r="G365" i="21"/>
  <c r="N364" i="21"/>
  <c r="O364" i="21" s="1"/>
  <c r="G364" i="21"/>
  <c r="I364" i="21" s="1"/>
  <c r="N363" i="21"/>
  <c r="O363" i="21" s="1"/>
  <c r="G363" i="21"/>
  <c r="I363" i="21" s="1"/>
  <c r="N362" i="21"/>
  <c r="O362" i="21" s="1"/>
  <c r="G362" i="21"/>
  <c r="I362" i="21" s="1"/>
  <c r="N361" i="21"/>
  <c r="O361" i="21" s="1"/>
  <c r="G361" i="21"/>
  <c r="I361" i="21" s="1"/>
  <c r="N360" i="21"/>
  <c r="O360" i="21" s="1"/>
  <c r="G360" i="21"/>
  <c r="N359" i="21"/>
  <c r="O359" i="21" s="1"/>
  <c r="G359" i="21"/>
  <c r="N358" i="21"/>
  <c r="O358" i="21" s="1"/>
  <c r="G358" i="21"/>
  <c r="N357" i="21"/>
  <c r="O357" i="21" s="1"/>
  <c r="G357" i="21"/>
  <c r="I357" i="21" s="1"/>
  <c r="N356" i="21"/>
  <c r="O356" i="21"/>
  <c r="G356" i="21"/>
  <c r="I356" i="21" s="1"/>
  <c r="N355" i="21"/>
  <c r="O355" i="21" s="1"/>
  <c r="G355" i="21"/>
  <c r="N354" i="21"/>
  <c r="O354" i="21" s="1"/>
  <c r="G354" i="21"/>
  <c r="I354" i="21" s="1"/>
  <c r="N353" i="21"/>
  <c r="O353" i="21" s="1"/>
  <c r="G353" i="21"/>
  <c r="N352" i="21"/>
  <c r="O352" i="21" s="1"/>
  <c r="G352" i="21"/>
  <c r="I352" i="21" s="1"/>
  <c r="N351" i="21"/>
  <c r="O351" i="21" s="1"/>
  <c r="G351" i="21"/>
  <c r="N350" i="21"/>
  <c r="O350" i="21" s="1"/>
  <c r="G350" i="21"/>
  <c r="I350" i="21"/>
  <c r="N349" i="21"/>
  <c r="O349" i="21" s="1"/>
  <c r="G349" i="21"/>
  <c r="N348" i="21"/>
  <c r="O348" i="21" s="1"/>
  <c r="G348" i="21"/>
  <c r="I348" i="21" s="1"/>
  <c r="N347" i="21"/>
  <c r="O347" i="21" s="1"/>
  <c r="G347" i="21"/>
  <c r="I347" i="21" s="1"/>
  <c r="J347" i="21" s="1"/>
  <c r="N346" i="21"/>
  <c r="O346" i="21" s="1"/>
  <c r="G346" i="21"/>
  <c r="I346" i="21"/>
  <c r="N345" i="21"/>
  <c r="O345" i="21" s="1"/>
  <c r="G345" i="21"/>
  <c r="N344" i="21"/>
  <c r="O344" i="21" s="1"/>
  <c r="G344" i="21"/>
  <c r="I344" i="21" s="1"/>
  <c r="J344" i="21" s="1"/>
  <c r="N343" i="21"/>
  <c r="O343" i="21" s="1"/>
  <c r="G343" i="21"/>
  <c r="I343" i="21" s="1"/>
  <c r="N342" i="21"/>
  <c r="O342" i="21" s="1"/>
  <c r="G342" i="21"/>
  <c r="I342" i="21"/>
  <c r="N341" i="21"/>
  <c r="O341" i="21" s="1"/>
  <c r="G341" i="21"/>
  <c r="N340" i="21"/>
  <c r="O340" i="21" s="1"/>
  <c r="G340" i="21"/>
  <c r="I340" i="21"/>
  <c r="N339" i="21"/>
  <c r="O339" i="21" s="1"/>
  <c r="G339" i="21"/>
  <c r="I339" i="21"/>
  <c r="N338" i="21"/>
  <c r="O338" i="21" s="1"/>
  <c r="G338" i="21"/>
  <c r="I338" i="21" s="1"/>
  <c r="N337" i="21"/>
  <c r="O337" i="21" s="1"/>
  <c r="G337" i="21"/>
  <c r="N336" i="21"/>
  <c r="O336" i="21" s="1"/>
  <c r="G336" i="21"/>
  <c r="N335" i="21"/>
  <c r="O335" i="21" s="1"/>
  <c r="G335" i="21"/>
  <c r="N334" i="21"/>
  <c r="O334" i="21" s="1"/>
  <c r="G334" i="21"/>
  <c r="I334" i="21"/>
  <c r="N333" i="21"/>
  <c r="O333" i="21" s="1"/>
  <c r="G333" i="21"/>
  <c r="N332" i="21"/>
  <c r="O332" i="21" s="1"/>
  <c r="G332" i="21"/>
  <c r="N331" i="21"/>
  <c r="O331" i="21" s="1"/>
  <c r="G331" i="21"/>
  <c r="I331" i="21" s="1"/>
  <c r="N330" i="21"/>
  <c r="O330" i="21"/>
  <c r="G330" i="21"/>
  <c r="I330" i="21" s="1"/>
  <c r="N329" i="21"/>
  <c r="O329" i="21" s="1"/>
  <c r="G329" i="21"/>
  <c r="I329" i="21" s="1"/>
  <c r="J329" i="21" s="1"/>
  <c r="N328" i="21"/>
  <c r="O328" i="21" s="1"/>
  <c r="G328" i="21"/>
  <c r="I328" i="21"/>
  <c r="N327" i="21"/>
  <c r="O327" i="21" s="1"/>
  <c r="G327" i="21"/>
  <c r="I327" i="21" s="1"/>
  <c r="N326" i="21"/>
  <c r="O326" i="21" s="1"/>
  <c r="G326" i="21"/>
  <c r="N325" i="21"/>
  <c r="O325" i="21"/>
  <c r="G325" i="21"/>
  <c r="I325" i="21" s="1"/>
  <c r="N324" i="21"/>
  <c r="O324" i="21" s="1"/>
  <c r="G324" i="21"/>
  <c r="I324" i="21" s="1"/>
  <c r="N323" i="21"/>
  <c r="O323" i="21" s="1"/>
  <c r="G323" i="21"/>
  <c r="I323" i="21" s="1"/>
  <c r="N322" i="21"/>
  <c r="O322" i="21" s="1"/>
  <c r="G322" i="21"/>
  <c r="I322" i="21" s="1"/>
  <c r="J322" i="21" s="1"/>
  <c r="N321" i="21"/>
  <c r="O321" i="21" s="1"/>
  <c r="G321" i="21"/>
  <c r="I321" i="21" s="1"/>
  <c r="N320" i="21"/>
  <c r="O320" i="21" s="1"/>
  <c r="G320" i="21"/>
  <c r="N319" i="21"/>
  <c r="O319" i="21" s="1"/>
  <c r="G319" i="21"/>
  <c r="I319" i="21" s="1"/>
  <c r="J319" i="21" s="1"/>
  <c r="N318" i="21"/>
  <c r="O318" i="21" s="1"/>
  <c r="G318" i="21"/>
  <c r="N317" i="21"/>
  <c r="O317" i="21" s="1"/>
  <c r="G317" i="21"/>
  <c r="N316" i="21"/>
  <c r="O316" i="21" s="1"/>
  <c r="G316" i="21"/>
  <c r="N315" i="21"/>
  <c r="O315" i="21" s="1"/>
  <c r="G315" i="21"/>
  <c r="I315" i="21" s="1"/>
  <c r="N314" i="21"/>
  <c r="O314" i="21" s="1"/>
  <c r="G314" i="21"/>
  <c r="N313" i="21"/>
  <c r="O313" i="21" s="1"/>
  <c r="G313" i="21"/>
  <c r="I313" i="21"/>
  <c r="N312" i="21"/>
  <c r="O312" i="21" s="1"/>
  <c r="G312" i="21"/>
  <c r="N311" i="21"/>
  <c r="O311" i="21" s="1"/>
  <c r="G311" i="21"/>
  <c r="N310" i="21"/>
  <c r="O310" i="21" s="1"/>
  <c r="G310" i="21"/>
  <c r="I310" i="21" s="1"/>
  <c r="N309" i="21"/>
  <c r="O309" i="21" s="1"/>
  <c r="G309" i="21"/>
  <c r="I309" i="21" s="1"/>
  <c r="N308" i="21"/>
  <c r="O308" i="21" s="1"/>
  <c r="G308" i="21"/>
  <c r="I308" i="21" s="1"/>
  <c r="N307" i="21"/>
  <c r="O307" i="21" s="1"/>
  <c r="G307" i="21"/>
  <c r="I307" i="21" s="1"/>
  <c r="N306" i="21"/>
  <c r="O306" i="21" s="1"/>
  <c r="G306" i="21"/>
  <c r="I306" i="21" s="1"/>
  <c r="N305" i="21"/>
  <c r="O305" i="21" s="1"/>
  <c r="G305" i="21"/>
  <c r="I305" i="21" s="1"/>
  <c r="N304" i="21"/>
  <c r="O304" i="21" s="1"/>
  <c r="G304" i="21"/>
  <c r="N303" i="21"/>
  <c r="O303" i="21"/>
  <c r="G303" i="21"/>
  <c r="N302" i="21"/>
  <c r="O302" i="21" s="1"/>
  <c r="G302" i="21"/>
  <c r="N301" i="21"/>
  <c r="O301" i="21" s="1"/>
  <c r="G301" i="21"/>
  <c r="N300" i="21"/>
  <c r="O300" i="21" s="1"/>
  <c r="G300" i="21"/>
  <c r="I300" i="21" s="1"/>
  <c r="J300" i="21" s="1"/>
  <c r="N299" i="21"/>
  <c r="O299" i="21" s="1"/>
  <c r="G299" i="21"/>
  <c r="N298" i="21"/>
  <c r="O298" i="21" s="1"/>
  <c r="G298" i="21"/>
  <c r="I298" i="21" s="1"/>
  <c r="J298" i="21" s="1"/>
  <c r="N297" i="21"/>
  <c r="O297" i="21" s="1"/>
  <c r="G297" i="21"/>
  <c r="I297" i="21"/>
  <c r="N296" i="21"/>
  <c r="O296" i="21" s="1"/>
  <c r="G296" i="21"/>
  <c r="N295" i="21"/>
  <c r="O295" i="21" s="1"/>
  <c r="G295" i="21"/>
  <c r="N294" i="21"/>
  <c r="O294" i="21" s="1"/>
  <c r="G294" i="21"/>
  <c r="N293" i="21"/>
  <c r="O293" i="21" s="1"/>
  <c r="G293" i="21"/>
  <c r="N292" i="21"/>
  <c r="O292" i="21" s="1"/>
  <c r="G292" i="21"/>
  <c r="I292" i="21"/>
  <c r="N291" i="21"/>
  <c r="O291" i="21" s="1"/>
  <c r="G291" i="21"/>
  <c r="N290" i="21"/>
  <c r="O290" i="21" s="1"/>
  <c r="G290" i="21"/>
  <c r="I290" i="21" s="1"/>
  <c r="N289" i="21"/>
  <c r="O289" i="21" s="1"/>
  <c r="G289" i="21"/>
  <c r="I289" i="21" s="1"/>
  <c r="N288" i="21"/>
  <c r="O288" i="21" s="1"/>
  <c r="G288" i="21"/>
  <c r="I288" i="21" s="1"/>
  <c r="N287" i="21"/>
  <c r="O287" i="21" s="1"/>
  <c r="G287" i="21"/>
  <c r="N286" i="21"/>
  <c r="O286" i="21"/>
  <c r="G286" i="21"/>
  <c r="I286" i="21" s="1"/>
  <c r="N285" i="21"/>
  <c r="O285" i="21" s="1"/>
  <c r="G285" i="21"/>
  <c r="I285" i="21" s="1"/>
  <c r="N284" i="21"/>
  <c r="O284" i="21" s="1"/>
  <c r="G284" i="21"/>
  <c r="I284" i="21" s="1"/>
  <c r="N283" i="21"/>
  <c r="O283" i="21" s="1"/>
  <c r="G283" i="21"/>
  <c r="N282" i="21"/>
  <c r="O282" i="21" s="1"/>
  <c r="G282" i="21"/>
  <c r="N281" i="21"/>
  <c r="O281" i="21" s="1"/>
  <c r="G281" i="21"/>
  <c r="N280" i="21"/>
  <c r="O280" i="21" s="1"/>
  <c r="G280" i="21"/>
  <c r="I280" i="21" s="1"/>
  <c r="J280" i="21" s="1"/>
  <c r="N279" i="21"/>
  <c r="O279" i="21" s="1"/>
  <c r="G279" i="21"/>
  <c r="N278" i="21"/>
  <c r="O278" i="21" s="1"/>
  <c r="G278" i="21"/>
  <c r="N277" i="21"/>
  <c r="O277" i="21" s="1"/>
  <c r="G277" i="21"/>
  <c r="N276" i="21"/>
  <c r="O276" i="21" s="1"/>
  <c r="G276" i="21"/>
  <c r="N275" i="21"/>
  <c r="O275" i="21" s="1"/>
  <c r="G275" i="21"/>
  <c r="N274" i="21"/>
  <c r="O274" i="21" s="1"/>
  <c r="G274" i="21"/>
  <c r="N273" i="21"/>
  <c r="O273" i="21" s="1"/>
  <c r="G273" i="21"/>
  <c r="N272" i="21"/>
  <c r="O272" i="21"/>
  <c r="G272" i="21"/>
  <c r="I272" i="21" s="1"/>
  <c r="N271" i="21"/>
  <c r="O271" i="21" s="1"/>
  <c r="G271" i="21"/>
  <c r="N270" i="21"/>
  <c r="O270" i="21" s="1"/>
  <c r="G270" i="21"/>
  <c r="I270" i="21" s="1"/>
  <c r="N269" i="21"/>
  <c r="O269" i="21" s="1"/>
  <c r="G269" i="21"/>
  <c r="N268" i="21"/>
  <c r="O268" i="21"/>
  <c r="G268" i="21"/>
  <c r="N267" i="21"/>
  <c r="O267" i="21" s="1"/>
  <c r="G267" i="21"/>
  <c r="J267" i="21" s="1"/>
  <c r="I267" i="21"/>
  <c r="N266" i="21"/>
  <c r="O266" i="21" s="1"/>
  <c r="G266" i="21"/>
  <c r="N265" i="21"/>
  <c r="O265" i="21" s="1"/>
  <c r="G265" i="21"/>
  <c r="I265" i="21"/>
  <c r="J265" i="21" s="1"/>
  <c r="N264" i="21"/>
  <c r="O264" i="21" s="1"/>
  <c r="G264" i="21"/>
  <c r="N263" i="21"/>
  <c r="O263" i="21" s="1"/>
  <c r="G263" i="21"/>
  <c r="N262" i="21"/>
  <c r="O262" i="21" s="1"/>
  <c r="G262" i="21"/>
  <c r="N261" i="21"/>
  <c r="O261" i="21" s="1"/>
  <c r="G261" i="21"/>
  <c r="N260" i="21"/>
  <c r="O260" i="21" s="1"/>
  <c r="G260" i="21"/>
  <c r="I260" i="21" s="1"/>
  <c r="J260" i="21" s="1"/>
  <c r="N259" i="21"/>
  <c r="O259" i="21" s="1"/>
  <c r="G259" i="21"/>
  <c r="I259" i="21"/>
  <c r="N258" i="21"/>
  <c r="O258" i="21" s="1"/>
  <c r="G258" i="21"/>
  <c r="N257" i="21"/>
  <c r="O257" i="21" s="1"/>
  <c r="G257" i="21"/>
  <c r="N256" i="21"/>
  <c r="O256" i="21" s="1"/>
  <c r="G256" i="21"/>
  <c r="I256" i="21" s="1"/>
  <c r="N255" i="21"/>
  <c r="O255" i="21" s="1"/>
  <c r="G255" i="21"/>
  <c r="I255" i="21" s="1"/>
  <c r="N254" i="21"/>
  <c r="O254" i="21" s="1"/>
  <c r="G254" i="21"/>
  <c r="N253" i="21"/>
  <c r="O253" i="21"/>
  <c r="G253" i="21"/>
  <c r="I253" i="21" s="1"/>
  <c r="N252" i="21"/>
  <c r="O252" i="21" s="1"/>
  <c r="G252" i="21"/>
  <c r="I252" i="21" s="1"/>
  <c r="N251" i="21"/>
  <c r="O251" i="21"/>
  <c r="G251" i="21"/>
  <c r="N250" i="21"/>
  <c r="O250" i="21"/>
  <c r="G250" i="21"/>
  <c r="N249" i="21"/>
  <c r="O249" i="21" s="1"/>
  <c r="G249" i="21"/>
  <c r="I249" i="21" s="1"/>
  <c r="J249" i="21" s="1"/>
  <c r="N248" i="21"/>
  <c r="O248" i="21" s="1"/>
  <c r="G248" i="21"/>
  <c r="I248" i="21" s="1"/>
  <c r="N247" i="21"/>
  <c r="O247" i="21" s="1"/>
  <c r="G247" i="21"/>
  <c r="I247" i="21" s="1"/>
  <c r="N246" i="21"/>
  <c r="O246" i="21" s="1"/>
  <c r="G246" i="21"/>
  <c r="N245" i="21"/>
  <c r="O245" i="21" s="1"/>
  <c r="G245" i="21"/>
  <c r="N244" i="21"/>
  <c r="O244" i="21" s="1"/>
  <c r="G244" i="21"/>
  <c r="N243" i="21"/>
  <c r="O243" i="21" s="1"/>
  <c r="G243" i="21"/>
  <c r="N242" i="21"/>
  <c r="O242" i="21" s="1"/>
  <c r="G242" i="21"/>
  <c r="N241" i="21"/>
  <c r="O241" i="21" s="1"/>
  <c r="G241" i="21"/>
  <c r="N240" i="21"/>
  <c r="O240" i="21" s="1"/>
  <c r="G240" i="21"/>
  <c r="N239" i="21"/>
  <c r="O239" i="21" s="1"/>
  <c r="G239" i="21"/>
  <c r="N238" i="21"/>
  <c r="O238" i="21" s="1"/>
  <c r="G238" i="21"/>
  <c r="I238" i="21" s="1"/>
  <c r="N237" i="21"/>
  <c r="O237" i="21" s="1"/>
  <c r="G237" i="21"/>
  <c r="I237" i="21" s="1"/>
  <c r="N236" i="21"/>
  <c r="O236" i="21"/>
  <c r="G236" i="21"/>
  <c r="I236" i="21" s="1"/>
  <c r="N235" i="21"/>
  <c r="O235" i="21" s="1"/>
  <c r="G235" i="21"/>
  <c r="I235" i="21" s="1"/>
  <c r="N234" i="21"/>
  <c r="O234" i="21" s="1"/>
  <c r="G234" i="21"/>
  <c r="N233" i="21"/>
  <c r="O233" i="21" s="1"/>
  <c r="G233" i="21"/>
  <c r="I233" i="21" s="1"/>
  <c r="N232" i="21"/>
  <c r="O232" i="21"/>
  <c r="G232" i="21"/>
  <c r="N231" i="21"/>
  <c r="O231" i="21" s="1"/>
  <c r="G231" i="21"/>
  <c r="N230" i="21"/>
  <c r="O230" i="21" s="1"/>
  <c r="G230" i="21"/>
  <c r="N229" i="21"/>
  <c r="O229" i="21" s="1"/>
  <c r="G229" i="21"/>
  <c r="I229" i="21" s="1"/>
  <c r="J229" i="21" s="1"/>
  <c r="N228" i="21"/>
  <c r="O228" i="21" s="1"/>
  <c r="G228" i="21"/>
  <c r="N227" i="21"/>
  <c r="O227" i="21" s="1"/>
  <c r="G227" i="21"/>
  <c r="I227" i="21" s="1"/>
  <c r="N226" i="21"/>
  <c r="O226" i="21" s="1"/>
  <c r="G226" i="21"/>
  <c r="I226" i="21" s="1"/>
  <c r="J226" i="21" s="1"/>
  <c r="N225" i="21"/>
  <c r="O225" i="21" s="1"/>
  <c r="G225" i="21"/>
  <c r="I225" i="21" s="1"/>
  <c r="N224" i="21"/>
  <c r="O224" i="21" s="1"/>
  <c r="G224" i="21"/>
  <c r="I224" i="21"/>
  <c r="N223" i="21"/>
  <c r="O223" i="21" s="1"/>
  <c r="G223" i="21"/>
  <c r="N222" i="21"/>
  <c r="O222" i="21" s="1"/>
  <c r="G222" i="21"/>
  <c r="N221" i="21"/>
  <c r="O221" i="21" s="1"/>
  <c r="G221" i="21"/>
  <c r="I221" i="21" s="1"/>
  <c r="N220" i="21"/>
  <c r="O220" i="21" s="1"/>
  <c r="G220" i="21"/>
  <c r="N219" i="21"/>
  <c r="O219" i="21" s="1"/>
  <c r="G219" i="21"/>
  <c r="I219" i="21" s="1"/>
  <c r="N218" i="21"/>
  <c r="O218" i="21" s="1"/>
  <c r="G218" i="21"/>
  <c r="I218" i="21" s="1"/>
  <c r="N217" i="21"/>
  <c r="O217" i="21" s="1"/>
  <c r="G217" i="21"/>
  <c r="N216" i="21"/>
  <c r="O216" i="21" s="1"/>
  <c r="G216" i="21"/>
  <c r="N215" i="21"/>
  <c r="O215" i="21" s="1"/>
  <c r="G215" i="21"/>
  <c r="N214" i="21"/>
  <c r="O214" i="21"/>
  <c r="G214" i="21"/>
  <c r="I214" i="21" s="1"/>
  <c r="N213" i="21"/>
  <c r="O213" i="21"/>
  <c r="G213" i="21"/>
  <c r="I213" i="21" s="1"/>
  <c r="N212" i="21"/>
  <c r="O212" i="21" s="1"/>
  <c r="G212" i="21"/>
  <c r="I212" i="21" s="1"/>
  <c r="N211" i="21"/>
  <c r="O211" i="21" s="1"/>
  <c r="G211" i="21"/>
  <c r="N210" i="21"/>
  <c r="O210" i="21" s="1"/>
  <c r="G210" i="21"/>
  <c r="I210" i="21" s="1"/>
  <c r="N209" i="21"/>
  <c r="O209" i="21" s="1"/>
  <c r="G209" i="21"/>
  <c r="N208" i="21"/>
  <c r="O208" i="21"/>
  <c r="G208" i="21"/>
  <c r="I208" i="21" s="1"/>
  <c r="N207" i="21"/>
  <c r="O207" i="21" s="1"/>
  <c r="G207" i="21"/>
  <c r="I207" i="21" s="1"/>
  <c r="N206" i="21"/>
  <c r="O206" i="21"/>
  <c r="G206" i="21"/>
  <c r="I206" i="21" s="1"/>
  <c r="N205" i="21"/>
  <c r="O205" i="21"/>
  <c r="G205" i="21"/>
  <c r="N204" i="21"/>
  <c r="O204" i="21"/>
  <c r="G204" i="21"/>
  <c r="I204" i="21" s="1"/>
  <c r="N203" i="21"/>
  <c r="O203" i="21" s="1"/>
  <c r="G203" i="21"/>
  <c r="N202" i="21"/>
  <c r="O202" i="21" s="1"/>
  <c r="G202" i="21"/>
  <c r="I202" i="21" s="1"/>
  <c r="N201" i="21"/>
  <c r="O201" i="21" s="1"/>
  <c r="G201" i="21"/>
  <c r="I201" i="21" s="1"/>
  <c r="J201" i="21" s="1"/>
  <c r="N200" i="21"/>
  <c r="O200" i="21" s="1"/>
  <c r="G200" i="21"/>
  <c r="N199" i="21"/>
  <c r="O199" i="21" s="1"/>
  <c r="G199" i="21"/>
  <c r="I199" i="21" s="1"/>
  <c r="N198" i="21"/>
  <c r="O198" i="21" s="1"/>
  <c r="G198" i="21"/>
  <c r="N197" i="21"/>
  <c r="O197" i="21" s="1"/>
  <c r="G197" i="21"/>
  <c r="N196" i="21"/>
  <c r="O196" i="21" s="1"/>
  <c r="G196" i="21"/>
  <c r="N195" i="21"/>
  <c r="O195" i="21" s="1"/>
  <c r="G195" i="21"/>
  <c r="N194" i="21"/>
  <c r="O194" i="21" s="1"/>
  <c r="G194" i="21"/>
  <c r="N193" i="21"/>
  <c r="O193" i="21" s="1"/>
  <c r="G193" i="21"/>
  <c r="I193" i="21" s="1"/>
  <c r="N192" i="21"/>
  <c r="O192" i="21" s="1"/>
  <c r="G192" i="21"/>
  <c r="N191" i="21"/>
  <c r="O191" i="21" s="1"/>
  <c r="G191" i="21"/>
  <c r="N190" i="21"/>
  <c r="O190" i="21" s="1"/>
  <c r="G190" i="21"/>
  <c r="N189" i="21"/>
  <c r="O189" i="21" s="1"/>
  <c r="G189" i="21"/>
  <c r="I189" i="21"/>
  <c r="N188" i="21"/>
  <c r="O188" i="21" s="1"/>
  <c r="G188" i="21"/>
  <c r="N187" i="21"/>
  <c r="O187" i="21" s="1"/>
  <c r="G187" i="21"/>
  <c r="I187" i="21"/>
  <c r="N186" i="21"/>
  <c r="O186" i="21" s="1"/>
  <c r="G186" i="21"/>
  <c r="N185" i="21"/>
  <c r="O185" i="21" s="1"/>
  <c r="G185" i="21"/>
  <c r="N184" i="21"/>
  <c r="O184" i="21" s="1"/>
  <c r="G184" i="21"/>
  <c r="N183" i="21"/>
  <c r="O183" i="21" s="1"/>
  <c r="G183" i="21"/>
  <c r="N182" i="21"/>
  <c r="O182" i="21" s="1"/>
  <c r="G182" i="21"/>
  <c r="N181" i="21"/>
  <c r="O181" i="21" s="1"/>
  <c r="G181" i="21"/>
  <c r="I181" i="21" s="1"/>
  <c r="N180" i="21"/>
  <c r="O180" i="21" s="1"/>
  <c r="G180" i="21"/>
  <c r="N179" i="21"/>
  <c r="O179" i="21"/>
  <c r="G179" i="21"/>
  <c r="I179" i="21" s="1"/>
  <c r="N178" i="21"/>
  <c r="O178" i="21" s="1"/>
  <c r="G178" i="21"/>
  <c r="I178" i="21" s="1"/>
  <c r="N177" i="21"/>
  <c r="O177" i="21" s="1"/>
  <c r="G177" i="21"/>
  <c r="I177" i="21" s="1"/>
  <c r="N176" i="21"/>
  <c r="O176" i="21" s="1"/>
  <c r="G176" i="21"/>
  <c r="N175" i="21"/>
  <c r="O175" i="21"/>
  <c r="G175" i="21"/>
  <c r="I175" i="21" s="1"/>
  <c r="N174" i="21"/>
  <c r="O174" i="21" s="1"/>
  <c r="G174" i="21"/>
  <c r="I174" i="21" s="1"/>
  <c r="N173" i="21"/>
  <c r="O173" i="21" s="1"/>
  <c r="G173" i="21"/>
  <c r="N172" i="21"/>
  <c r="O172" i="21" s="1"/>
  <c r="G172" i="21"/>
  <c r="I172" i="21" s="1"/>
  <c r="N171" i="21"/>
  <c r="O171" i="21"/>
  <c r="G171" i="21"/>
  <c r="I171" i="21" s="1"/>
  <c r="N170" i="21"/>
  <c r="O170" i="21" s="1"/>
  <c r="G170" i="21"/>
  <c r="I170" i="21" s="1"/>
  <c r="N169" i="21"/>
  <c r="O169" i="21" s="1"/>
  <c r="G169" i="21"/>
  <c r="I169" i="21"/>
  <c r="N168" i="21"/>
  <c r="O168" i="21" s="1"/>
  <c r="G168" i="21"/>
  <c r="I168" i="21"/>
  <c r="N167" i="21"/>
  <c r="O167" i="21" s="1"/>
  <c r="G167" i="21"/>
  <c r="N166" i="21"/>
  <c r="O166" i="21"/>
  <c r="G166" i="21"/>
  <c r="I166" i="21" s="1"/>
  <c r="N165" i="21"/>
  <c r="O165" i="21" s="1"/>
  <c r="G165" i="21"/>
  <c r="N164" i="21"/>
  <c r="O164" i="21"/>
  <c r="G164" i="21"/>
  <c r="N163" i="21"/>
  <c r="O163" i="21" s="1"/>
  <c r="G163" i="21"/>
  <c r="N162" i="21"/>
  <c r="O162" i="21" s="1"/>
  <c r="G162" i="21"/>
  <c r="I162" i="21" s="1"/>
  <c r="N161" i="21"/>
  <c r="O161" i="21" s="1"/>
  <c r="G161" i="21"/>
  <c r="N160" i="21"/>
  <c r="O160" i="21" s="1"/>
  <c r="G160" i="21"/>
  <c r="N159" i="21"/>
  <c r="O159" i="21"/>
  <c r="G159" i="21"/>
  <c r="I159" i="21" s="1"/>
  <c r="N158" i="21"/>
  <c r="O158" i="21" s="1"/>
  <c r="G158" i="21"/>
  <c r="I158" i="21" s="1"/>
  <c r="N157" i="21"/>
  <c r="O157" i="21" s="1"/>
  <c r="G157" i="21"/>
  <c r="N156" i="21"/>
  <c r="O156" i="21"/>
  <c r="G156" i="21"/>
  <c r="I156" i="21" s="1"/>
  <c r="N155" i="21"/>
  <c r="O155" i="21"/>
  <c r="G155" i="21"/>
  <c r="I155" i="21" s="1"/>
  <c r="N154" i="21"/>
  <c r="O154" i="21"/>
  <c r="G154" i="21"/>
  <c r="N153" i="21"/>
  <c r="O153" i="21" s="1"/>
  <c r="G153" i="21"/>
  <c r="N152" i="21"/>
  <c r="O152" i="21" s="1"/>
  <c r="G152" i="21"/>
  <c r="I152" i="21"/>
  <c r="N151" i="21"/>
  <c r="O151" i="21" s="1"/>
  <c r="G151" i="21"/>
  <c r="N150" i="21"/>
  <c r="O150" i="21" s="1"/>
  <c r="G150" i="21"/>
  <c r="I150" i="21" s="1"/>
  <c r="N149" i="21"/>
  <c r="O149" i="21" s="1"/>
  <c r="G149" i="21"/>
  <c r="I149" i="21" s="1"/>
  <c r="N148" i="21"/>
  <c r="O148" i="21" s="1"/>
  <c r="G148" i="21"/>
  <c r="N147" i="21"/>
  <c r="O147" i="21" s="1"/>
  <c r="G147" i="21"/>
  <c r="N146" i="21"/>
  <c r="O146" i="21" s="1"/>
  <c r="G146" i="21"/>
  <c r="N145" i="21"/>
  <c r="O145" i="21" s="1"/>
  <c r="G145" i="21"/>
  <c r="I145" i="21" s="1"/>
  <c r="N144" i="21"/>
  <c r="O144" i="21" s="1"/>
  <c r="G144" i="21"/>
  <c r="I144" i="21" s="1"/>
  <c r="N143" i="21"/>
  <c r="O143" i="21" s="1"/>
  <c r="G143" i="21"/>
  <c r="N142" i="21"/>
  <c r="O142" i="21" s="1"/>
  <c r="G142" i="21"/>
  <c r="N141" i="21"/>
  <c r="O141" i="21" s="1"/>
  <c r="G141" i="21"/>
  <c r="N140" i="21"/>
  <c r="O140" i="21" s="1"/>
  <c r="G140" i="21"/>
  <c r="N139" i="21"/>
  <c r="O139" i="21" s="1"/>
  <c r="G139" i="21"/>
  <c r="N138" i="21"/>
  <c r="O138" i="21" s="1"/>
  <c r="G138" i="21"/>
  <c r="I138" i="21"/>
  <c r="N137" i="21"/>
  <c r="O137" i="21" s="1"/>
  <c r="G137" i="21"/>
  <c r="I137" i="21" s="1"/>
  <c r="N136" i="21"/>
  <c r="O136" i="21" s="1"/>
  <c r="G136" i="21"/>
  <c r="I136" i="21" s="1"/>
  <c r="J136" i="21" s="1"/>
  <c r="I136" i="6" s="1"/>
  <c r="J136" i="6" s="1"/>
  <c r="N135" i="21"/>
  <c r="O135" i="21" s="1"/>
  <c r="G135" i="21"/>
  <c r="N134" i="21"/>
  <c r="O134" i="21"/>
  <c r="G134" i="21"/>
  <c r="I134" i="21"/>
  <c r="N133" i="21"/>
  <c r="O133" i="21"/>
  <c r="G133" i="21"/>
  <c r="I133" i="21"/>
  <c r="N132" i="21"/>
  <c r="O132" i="21" s="1"/>
  <c r="G132" i="21"/>
  <c r="I132" i="21" s="1"/>
  <c r="N131" i="21"/>
  <c r="O131" i="21"/>
  <c r="G131" i="21"/>
  <c r="I131" i="21"/>
  <c r="N130" i="21"/>
  <c r="O130" i="21"/>
  <c r="G130" i="21"/>
  <c r="N129" i="21"/>
  <c r="O129" i="21" s="1"/>
  <c r="G129" i="21"/>
  <c r="N128" i="21"/>
  <c r="O128" i="21"/>
  <c r="G128" i="21"/>
  <c r="I128" i="21"/>
  <c r="N127" i="21"/>
  <c r="O127" i="21" s="1"/>
  <c r="G127" i="21"/>
  <c r="N126" i="21"/>
  <c r="O126" i="21" s="1"/>
  <c r="G126" i="21"/>
  <c r="N125" i="21"/>
  <c r="O125" i="21"/>
  <c r="G125" i="21"/>
  <c r="I125" i="21" s="1"/>
  <c r="N124" i="21"/>
  <c r="O124" i="21"/>
  <c r="G124" i="21"/>
  <c r="N123" i="21"/>
  <c r="O123" i="21" s="1"/>
  <c r="G123" i="21"/>
  <c r="N122" i="21"/>
  <c r="O122" i="21"/>
  <c r="G122" i="21"/>
  <c r="I122" i="21"/>
  <c r="N121" i="21"/>
  <c r="O121" i="21" s="1"/>
  <c r="G121" i="21"/>
  <c r="I121" i="21" s="1"/>
  <c r="J121" i="21" s="1"/>
  <c r="I121" i="6" s="1"/>
  <c r="N120" i="21"/>
  <c r="O120" i="21"/>
  <c r="G120" i="21"/>
  <c r="I120" i="21"/>
  <c r="N119" i="21"/>
  <c r="O119" i="21"/>
  <c r="G119" i="21"/>
  <c r="N118" i="21"/>
  <c r="O118" i="21" s="1"/>
  <c r="G118" i="21"/>
  <c r="I118" i="21" s="1"/>
  <c r="N117" i="21"/>
  <c r="O117" i="21" s="1"/>
  <c r="G117" i="21"/>
  <c r="I117" i="21" s="1"/>
  <c r="N116" i="21"/>
  <c r="O116" i="21" s="1"/>
  <c r="G116" i="21"/>
  <c r="I116" i="21" s="1"/>
  <c r="N115" i="21"/>
  <c r="O115" i="21" s="1"/>
  <c r="G115" i="21"/>
  <c r="I115" i="21" s="1"/>
  <c r="N114" i="21"/>
  <c r="O114" i="21" s="1"/>
  <c r="G114" i="21"/>
  <c r="I114" i="21" s="1"/>
  <c r="N113" i="21"/>
  <c r="O113" i="21" s="1"/>
  <c r="G113" i="21"/>
  <c r="I113" i="21" s="1"/>
  <c r="N112" i="21"/>
  <c r="O112" i="21" s="1"/>
  <c r="G112" i="21"/>
  <c r="I112" i="21" s="1"/>
  <c r="N111" i="21"/>
  <c r="O111" i="21" s="1"/>
  <c r="G111" i="21"/>
  <c r="N110" i="21"/>
  <c r="O110" i="21"/>
  <c r="G110" i="21"/>
  <c r="I110" i="21" s="1"/>
  <c r="N109" i="21"/>
  <c r="O109" i="21" s="1"/>
  <c r="G109" i="21"/>
  <c r="I109" i="21" s="1"/>
  <c r="J109" i="21" s="1"/>
  <c r="I109" i="6" s="1"/>
  <c r="J109" i="6" s="1"/>
  <c r="N108" i="21"/>
  <c r="O108" i="21" s="1"/>
  <c r="G108" i="21"/>
  <c r="N107" i="21"/>
  <c r="O107" i="21"/>
  <c r="G107" i="21"/>
  <c r="I107" i="21"/>
  <c r="N106" i="21"/>
  <c r="O106" i="21"/>
  <c r="G106" i="21"/>
  <c r="N105" i="21"/>
  <c r="O105" i="21" s="1"/>
  <c r="G105" i="21"/>
  <c r="N104" i="21"/>
  <c r="O104" i="21" s="1"/>
  <c r="G104" i="21"/>
  <c r="I104" i="21"/>
  <c r="N103" i="21"/>
  <c r="O103" i="21"/>
  <c r="G103" i="21"/>
  <c r="I103" i="21" s="1"/>
  <c r="N102" i="21"/>
  <c r="O102" i="21" s="1"/>
  <c r="G102" i="21"/>
  <c r="I102" i="21" s="1"/>
  <c r="N101" i="21"/>
  <c r="O101" i="21" s="1"/>
  <c r="G101" i="21"/>
  <c r="I101" i="21"/>
  <c r="J101" i="21" s="1"/>
  <c r="I101" i="6" s="1"/>
  <c r="J101" i="6" s="1"/>
  <c r="M101" i="6" s="1"/>
  <c r="N100" i="21"/>
  <c r="O100" i="21"/>
  <c r="G100" i="21"/>
  <c r="I100" i="21" s="1"/>
  <c r="N99" i="21"/>
  <c r="O99" i="21" s="1"/>
  <c r="G99" i="21"/>
  <c r="I99" i="21" s="1"/>
  <c r="N98" i="21"/>
  <c r="O98" i="21" s="1"/>
  <c r="G98" i="21"/>
  <c r="I98" i="21"/>
  <c r="N97" i="21"/>
  <c r="O97" i="21"/>
  <c r="G97" i="21"/>
  <c r="I97" i="21" s="1"/>
  <c r="N96" i="21"/>
  <c r="O96" i="21" s="1"/>
  <c r="G96" i="21"/>
  <c r="N95" i="21"/>
  <c r="O95" i="21" s="1"/>
  <c r="G95" i="21"/>
  <c r="I95" i="21" s="1"/>
  <c r="N94" i="21"/>
  <c r="O94" i="21" s="1"/>
  <c r="G94" i="21"/>
  <c r="N93" i="21"/>
  <c r="O93" i="21" s="1"/>
  <c r="G93" i="21"/>
  <c r="N92" i="21"/>
  <c r="O92" i="21" s="1"/>
  <c r="G92" i="21"/>
  <c r="I92" i="21" s="1"/>
  <c r="N91" i="21"/>
  <c r="O91" i="21" s="1"/>
  <c r="G91" i="21"/>
  <c r="I91" i="21" s="1"/>
  <c r="N90" i="21"/>
  <c r="O90" i="21" s="1"/>
  <c r="G90" i="21"/>
  <c r="N89" i="21"/>
  <c r="O89" i="21" s="1"/>
  <c r="G89" i="21"/>
  <c r="I89" i="21"/>
  <c r="N88" i="21"/>
  <c r="O88" i="21"/>
  <c r="G88" i="21"/>
  <c r="N87" i="21"/>
  <c r="O87" i="21" s="1"/>
  <c r="G87" i="21"/>
  <c r="N86" i="21"/>
  <c r="O86" i="21"/>
  <c r="G86" i="21"/>
  <c r="I86" i="21"/>
  <c r="N85" i="21"/>
  <c r="O85" i="21" s="1"/>
  <c r="G85" i="21"/>
  <c r="N84" i="21"/>
  <c r="O84" i="21"/>
  <c r="G84" i="21"/>
  <c r="I84" i="21" s="1"/>
  <c r="N83" i="21"/>
  <c r="O83" i="21" s="1"/>
  <c r="G83" i="21"/>
  <c r="I83" i="21" s="1"/>
  <c r="J83" i="21" s="1"/>
  <c r="I83" i="6" s="1"/>
  <c r="N82" i="21"/>
  <c r="O82" i="21" s="1"/>
  <c r="G82" i="21"/>
  <c r="I82" i="21"/>
  <c r="N81" i="21"/>
  <c r="O81" i="21"/>
  <c r="G81" i="21"/>
  <c r="N80" i="21"/>
  <c r="O80" i="21" s="1"/>
  <c r="G80" i="21"/>
  <c r="N79" i="21"/>
  <c r="O79" i="21" s="1"/>
  <c r="G79" i="21"/>
  <c r="N78" i="21"/>
  <c r="O78" i="21"/>
  <c r="G78" i="21"/>
  <c r="I78" i="21" s="1"/>
  <c r="N77" i="21"/>
  <c r="O77" i="21" s="1"/>
  <c r="G77" i="21"/>
  <c r="I77" i="21"/>
  <c r="N76" i="21"/>
  <c r="O76" i="21"/>
  <c r="G76" i="21"/>
  <c r="N75" i="21"/>
  <c r="O75" i="21" s="1"/>
  <c r="G75" i="21"/>
  <c r="N74" i="21"/>
  <c r="O74" i="21" s="1"/>
  <c r="G74" i="21"/>
  <c r="I74" i="21"/>
  <c r="N73" i="21"/>
  <c r="O73" i="21"/>
  <c r="G73" i="21"/>
  <c r="I73" i="21" s="1"/>
  <c r="N72" i="21"/>
  <c r="O72" i="21" s="1"/>
  <c r="G72" i="21"/>
  <c r="N71" i="21"/>
  <c r="O71" i="21" s="1"/>
  <c r="G71" i="21"/>
  <c r="N70" i="21"/>
  <c r="O70" i="21" s="1"/>
  <c r="G70" i="21"/>
  <c r="N69" i="21"/>
  <c r="O69" i="21" s="1"/>
  <c r="G69" i="21"/>
  <c r="I69" i="21" s="1"/>
  <c r="N68" i="21"/>
  <c r="O68" i="21" s="1"/>
  <c r="G68" i="21"/>
  <c r="N67" i="21"/>
  <c r="O67" i="21" s="1"/>
  <c r="G67" i="21"/>
  <c r="I67" i="21" s="1"/>
  <c r="J67" i="21" s="1"/>
  <c r="I67" i="6" s="1"/>
  <c r="N66" i="21"/>
  <c r="O66" i="21" s="1"/>
  <c r="G66" i="21"/>
  <c r="I66" i="21"/>
  <c r="N65" i="21"/>
  <c r="O65" i="21"/>
  <c r="G65" i="21"/>
  <c r="I65" i="21" s="1"/>
  <c r="N64" i="21"/>
  <c r="O64" i="21"/>
  <c r="G64" i="21"/>
  <c r="N63" i="21"/>
  <c r="O63" i="21" s="1"/>
  <c r="G63" i="21"/>
  <c r="I63" i="21" s="1"/>
  <c r="J63" i="21" s="1"/>
  <c r="N62" i="21"/>
  <c r="O62" i="21"/>
  <c r="G62" i="21"/>
  <c r="I62" i="21"/>
  <c r="N61" i="21"/>
  <c r="O61" i="21" s="1"/>
  <c r="G61" i="21"/>
  <c r="I61" i="21" s="1"/>
  <c r="N60" i="21"/>
  <c r="O60" i="21" s="1"/>
  <c r="G60" i="21"/>
  <c r="N59" i="21"/>
  <c r="O59" i="21" s="1"/>
  <c r="G59" i="21"/>
  <c r="N58" i="21"/>
  <c r="O58" i="21" s="1"/>
  <c r="G58" i="21"/>
  <c r="N57" i="21"/>
  <c r="O57" i="21" s="1"/>
  <c r="G57" i="21"/>
  <c r="N56" i="21"/>
  <c r="O56" i="21" s="1"/>
  <c r="G56" i="21"/>
  <c r="I56" i="21" s="1"/>
  <c r="N55" i="21"/>
  <c r="O55" i="21" s="1"/>
  <c r="G55" i="21"/>
  <c r="N54" i="21"/>
  <c r="O54" i="21" s="1"/>
  <c r="G54" i="21"/>
  <c r="N53" i="21"/>
  <c r="O53" i="21" s="1"/>
  <c r="G53" i="21"/>
  <c r="N52" i="21"/>
  <c r="O52" i="21" s="1"/>
  <c r="G52" i="21"/>
  <c r="N51" i="21"/>
  <c r="O51" i="21"/>
  <c r="G51" i="21"/>
  <c r="N50" i="21"/>
  <c r="O50" i="21" s="1"/>
  <c r="G50" i="21"/>
  <c r="N49" i="21"/>
  <c r="O49" i="21"/>
  <c r="G49" i="21"/>
  <c r="I49" i="21" s="1"/>
  <c r="N48" i="21"/>
  <c r="O48" i="21" s="1"/>
  <c r="G48" i="21"/>
  <c r="N47" i="21"/>
  <c r="O47" i="21"/>
  <c r="G47" i="21"/>
  <c r="N46" i="21"/>
  <c r="O46" i="21" s="1"/>
  <c r="G46" i="21"/>
  <c r="I46" i="21" s="1"/>
  <c r="N45" i="21"/>
  <c r="O45" i="21" s="1"/>
  <c r="G45" i="21"/>
  <c r="N44" i="21"/>
  <c r="O44" i="21" s="1"/>
  <c r="G44" i="21"/>
  <c r="N43" i="21"/>
  <c r="O43" i="21" s="1"/>
  <c r="G43" i="21"/>
  <c r="I43" i="21" s="1"/>
  <c r="N42" i="21"/>
  <c r="O42" i="21" s="1"/>
  <c r="G42" i="21"/>
  <c r="N41" i="21"/>
  <c r="O41" i="21" s="1"/>
  <c r="G41" i="21"/>
  <c r="N40" i="21"/>
  <c r="O40" i="21" s="1"/>
  <c r="G40" i="21"/>
  <c r="I40" i="21" s="1"/>
  <c r="N39" i="21"/>
  <c r="O39" i="21" s="1"/>
  <c r="G39" i="21"/>
  <c r="N38" i="21"/>
  <c r="O38" i="21" s="1"/>
  <c r="G38" i="21"/>
  <c r="I38" i="21" s="1"/>
  <c r="N37" i="21"/>
  <c r="O37" i="21" s="1"/>
  <c r="G37" i="21"/>
  <c r="N36" i="21"/>
  <c r="O36" i="21" s="1"/>
  <c r="G36" i="21"/>
  <c r="I36" i="21" s="1"/>
  <c r="N35" i="21"/>
  <c r="O35" i="21" s="1"/>
  <c r="G35" i="21"/>
  <c r="I35" i="21" s="1"/>
  <c r="N34" i="21"/>
  <c r="O34" i="21" s="1"/>
  <c r="G34" i="21"/>
  <c r="I34" i="21" s="1"/>
  <c r="N33" i="21"/>
  <c r="O33" i="21" s="1"/>
  <c r="G33" i="21"/>
  <c r="N32" i="21"/>
  <c r="O32" i="21"/>
  <c r="G32" i="21"/>
  <c r="I32" i="21" s="1"/>
  <c r="N31" i="21"/>
  <c r="O31" i="21" s="1"/>
  <c r="G31" i="21"/>
  <c r="I31" i="21"/>
  <c r="J31" i="21" s="1"/>
  <c r="I31" i="6" s="1"/>
  <c r="J31" i="6" s="1"/>
  <c r="M31" i="6" s="1"/>
  <c r="N30" i="21"/>
  <c r="O30" i="21"/>
  <c r="G30" i="21"/>
  <c r="N29" i="21"/>
  <c r="O29" i="21" s="1"/>
  <c r="G29" i="21"/>
  <c r="I29" i="21" s="1"/>
  <c r="J29" i="21" s="1"/>
  <c r="I29" i="6" s="1"/>
  <c r="N28" i="21"/>
  <c r="O28" i="21" s="1"/>
  <c r="G28" i="21"/>
  <c r="N27" i="21"/>
  <c r="O27" i="21" s="1"/>
  <c r="G27" i="21"/>
  <c r="I27" i="21" s="1"/>
  <c r="N26" i="21"/>
  <c r="O26" i="21" s="1"/>
  <c r="G26" i="21"/>
  <c r="I26" i="21" s="1"/>
  <c r="N25" i="21"/>
  <c r="O25" i="21" s="1"/>
  <c r="G25" i="21"/>
  <c r="I25" i="21" s="1"/>
  <c r="J25" i="21"/>
  <c r="I25" i="6" s="1"/>
  <c r="N24" i="21"/>
  <c r="O24" i="21" s="1"/>
  <c r="G24" i="21"/>
  <c r="N23" i="21"/>
  <c r="O23" i="21"/>
  <c r="G23" i="21"/>
  <c r="I23" i="21" s="1"/>
  <c r="J23" i="21" s="1"/>
  <c r="I23" i="6" s="1"/>
  <c r="N22" i="21"/>
  <c r="O22" i="21" s="1"/>
  <c r="G22" i="21"/>
  <c r="I22" i="21"/>
  <c r="N21" i="21"/>
  <c r="O21" i="21" s="1"/>
  <c r="G21" i="21"/>
  <c r="N20" i="21"/>
  <c r="O20" i="21"/>
  <c r="G20" i="21"/>
  <c r="I20" i="21"/>
  <c r="J20" i="21" s="1"/>
  <c r="I20" i="6" s="1"/>
  <c r="J20" i="6" s="1"/>
  <c r="N19" i="21"/>
  <c r="O19" i="21" s="1"/>
  <c r="G19" i="21"/>
  <c r="N18" i="21"/>
  <c r="O18" i="21"/>
  <c r="G18" i="21"/>
  <c r="I18" i="21" s="1"/>
  <c r="N17" i="21"/>
  <c r="O17" i="21" s="1"/>
  <c r="G17" i="21"/>
  <c r="I17" i="21" s="1"/>
  <c r="N16" i="21"/>
  <c r="O16" i="21" s="1"/>
  <c r="G16" i="21"/>
  <c r="I16" i="21"/>
  <c r="N15" i="21"/>
  <c r="O15" i="21"/>
  <c r="G15" i="21"/>
  <c r="N14" i="21"/>
  <c r="O14" i="21" s="1"/>
  <c r="G14" i="21"/>
  <c r="I14" i="21" s="1"/>
  <c r="AA1644" i="6"/>
  <c r="Z1644" i="6"/>
  <c r="AA13" i="6"/>
  <c r="Z13" i="6"/>
  <c r="N13" i="6"/>
  <c r="AA12" i="6"/>
  <c r="Z12" i="6"/>
  <c r="AA11" i="6"/>
  <c r="Z11" i="6"/>
  <c r="AA10" i="6"/>
  <c r="Z10" i="6"/>
  <c r="AA9" i="6"/>
  <c r="Z9" i="6"/>
  <c r="N9" i="6"/>
  <c r="AA8" i="6"/>
  <c r="Z8" i="6"/>
  <c r="AA7" i="6"/>
  <c r="Z7" i="6"/>
  <c r="I1687" i="6"/>
  <c r="I1683" i="6"/>
  <c r="I1682" i="6"/>
  <c r="I1667" i="6"/>
  <c r="N13" i="21"/>
  <c r="O13" i="21" s="1"/>
  <c r="G13" i="21"/>
  <c r="N12" i="21"/>
  <c r="O12" i="21" s="1"/>
  <c r="G12" i="21"/>
  <c r="I12" i="21" s="1"/>
  <c r="J12" i="21" s="1"/>
  <c r="I12" i="6" s="1"/>
  <c r="J12" i="6" s="1"/>
  <c r="M12" i="6" s="1"/>
  <c r="N11" i="21"/>
  <c r="O11" i="21" s="1"/>
  <c r="G11" i="21"/>
  <c r="N10" i="21"/>
  <c r="O10" i="21" s="1"/>
  <c r="G10" i="21"/>
  <c r="N9" i="21"/>
  <c r="O9" i="21" s="1"/>
  <c r="G9" i="21"/>
  <c r="N8" i="21"/>
  <c r="O8" i="21" s="1"/>
  <c r="G8" i="21"/>
  <c r="I8" i="21"/>
  <c r="N7" i="21"/>
  <c r="O7" i="21" s="1"/>
  <c r="G7" i="21"/>
  <c r="D1683" i="6"/>
  <c r="I1662" i="6"/>
  <c r="D1662" i="6"/>
  <c r="G1662" i="6"/>
  <c r="D1698" i="6"/>
  <c r="G1698" i="6"/>
  <c r="T1645" i="6"/>
  <c r="S1645" i="6"/>
  <c r="D1699" i="6"/>
  <c r="B16" i="7" s="1"/>
  <c r="I1673" i="6"/>
  <c r="D1673" i="6"/>
  <c r="H1680" i="6"/>
  <c r="D1680" i="6"/>
  <c r="G1680" i="6"/>
  <c r="I1716" i="6"/>
  <c r="D1716" i="6"/>
  <c r="D1715" i="6"/>
  <c r="B20" i="7" s="1"/>
  <c r="D1676" i="6"/>
  <c r="I1706" i="6"/>
  <c r="D1706" i="6"/>
  <c r="D1679" i="6"/>
  <c r="I1672" i="6"/>
  <c r="D1672" i="6"/>
  <c r="I1714" i="6"/>
  <c r="D1714" i="6"/>
  <c r="I1660" i="6"/>
  <c r="D1660" i="6"/>
  <c r="I1681" i="6"/>
  <c r="D1681" i="6"/>
  <c r="D1697" i="6"/>
  <c r="G1697" i="6"/>
  <c r="D1696" i="6"/>
  <c r="I1712" i="6"/>
  <c r="D1712" i="6"/>
  <c r="D1711" i="6"/>
  <c r="D1667" i="6"/>
  <c r="D1666" i="6"/>
  <c r="D1694" i="6"/>
  <c r="G1694" i="6"/>
  <c r="D1693" i="6"/>
  <c r="I1703" i="6"/>
  <c r="I1702" i="6"/>
  <c r="I1715" i="6"/>
  <c r="D1690" i="6"/>
  <c r="I1710" i="6"/>
  <c r="D1710" i="6"/>
  <c r="D1708" i="6"/>
  <c r="B18" i="7" s="1"/>
  <c r="D1656" i="6"/>
  <c r="D1655" i="6"/>
  <c r="I1677" i="6"/>
  <c r="I1659" i="6"/>
  <c r="D1659" i="6"/>
  <c r="D1702" i="6"/>
  <c r="D1701" i="6"/>
  <c r="D1689" i="6"/>
  <c r="F1688" i="6"/>
  <c r="D1688" i="6"/>
  <c r="N869" i="21"/>
  <c r="O869" i="21" s="1"/>
  <c r="H1686" i="6"/>
  <c r="D1686" i="6"/>
  <c r="I1679" i="6"/>
  <c r="H1679" i="6"/>
  <c r="D1675" i="6"/>
  <c r="I1718" i="6"/>
  <c r="I1713" i="6"/>
  <c r="I1711" i="6"/>
  <c r="I1708" i="6"/>
  <c r="I1705" i="6"/>
  <c r="I1696" i="6"/>
  <c r="I1691" i="6"/>
  <c r="I1685" i="6"/>
  <c r="I1678" i="6"/>
  <c r="I1663" i="6"/>
  <c r="I1661" i="6"/>
  <c r="I1658" i="6"/>
  <c r="I1657" i="6"/>
  <c r="I1655" i="6"/>
  <c r="I1654" i="6"/>
  <c r="D1713" i="6"/>
  <c r="B19" i="7" s="1"/>
  <c r="D1661" i="6"/>
  <c r="D1658" i="6"/>
  <c r="G1661" i="6"/>
  <c r="D1669" i="6"/>
  <c r="D1677" i="6"/>
  <c r="H1715" i="6"/>
  <c r="H1704" i="6"/>
  <c r="H1692" i="6"/>
  <c r="H1688" i="6"/>
  <c r="H1684" i="6"/>
  <c r="H1670" i="6"/>
  <c r="H1668" i="6"/>
  <c r="H1665" i="6"/>
  <c r="H1664" i="6"/>
  <c r="D1685" i="6"/>
  <c r="D1684" i="6"/>
  <c r="B14" i="7" s="1"/>
  <c r="D1692" i="6"/>
  <c r="D1645" i="6"/>
  <c r="D1654" i="6"/>
  <c r="D1657" i="6"/>
  <c r="B10" i="7" s="1"/>
  <c r="D1663" i="6"/>
  <c r="B11" i="7" s="1"/>
  <c r="D1664" i="6"/>
  <c r="D1665" i="6"/>
  <c r="B12" i="7" s="1"/>
  <c r="D1668" i="6"/>
  <c r="F1668" i="6"/>
  <c r="D1670" i="6"/>
  <c r="F1670" i="6"/>
  <c r="D1674" i="6"/>
  <c r="D1678" i="6"/>
  <c r="D1682" i="6"/>
  <c r="B13" i="7" s="1"/>
  <c r="F1684" i="6"/>
  <c r="C14" i="7" s="1"/>
  <c r="D1687" i="6"/>
  <c r="B15" i="7" s="1"/>
  <c r="D1691" i="6"/>
  <c r="D1703" i="6"/>
  <c r="D1704" i="6"/>
  <c r="F1704" i="6"/>
  <c r="D1705" i="6"/>
  <c r="B17" i="7" s="1"/>
  <c r="D1707" i="6"/>
  <c r="F1715" i="6"/>
  <c r="C20" i="7" s="1"/>
  <c r="D1718" i="6"/>
  <c r="B21" i="7" s="1"/>
  <c r="G869" i="21"/>
  <c r="I869" i="21" s="1"/>
  <c r="J869" i="21" s="1"/>
  <c r="D43" i="7"/>
  <c r="D41" i="7"/>
  <c r="D33" i="7"/>
  <c r="D31" i="7"/>
  <c r="D29" i="7"/>
  <c r="D23" i="7"/>
  <c r="D21" i="7"/>
  <c r="D19" i="7"/>
  <c r="D17" i="7"/>
  <c r="D13" i="7"/>
  <c r="D11" i="7"/>
  <c r="D10" i="7"/>
  <c r="B24" i="7"/>
  <c r="B28" i="7"/>
  <c r="B32" i="7"/>
  <c r="B36" i="7"/>
  <c r="B40" i="7"/>
  <c r="B44" i="7"/>
  <c r="B43" i="7"/>
  <c r="B42" i="7"/>
  <c r="B41" i="7"/>
  <c r="B39" i="7"/>
  <c r="B38" i="7"/>
  <c r="B37" i="7"/>
  <c r="B35" i="7"/>
  <c r="B34" i="7"/>
  <c r="B33" i="7"/>
  <c r="B31" i="7"/>
  <c r="B30" i="7"/>
  <c r="B29" i="7"/>
  <c r="B27" i="7"/>
  <c r="B26" i="7"/>
  <c r="B25" i="7"/>
  <c r="B23" i="7"/>
  <c r="B22" i="7"/>
  <c r="C35" i="7"/>
  <c r="C43" i="7"/>
  <c r="D37" i="7"/>
  <c r="C23" i="7"/>
  <c r="D22" i="7"/>
  <c r="D27" i="7"/>
  <c r="C38" i="7"/>
  <c r="D15" i="7"/>
  <c r="C33" i="7"/>
  <c r="C34" i="7"/>
  <c r="C25" i="7"/>
  <c r="C41" i="7"/>
  <c r="C28" i="7"/>
  <c r="D44" i="7"/>
  <c r="D18" i="7"/>
  <c r="C22" i="7"/>
  <c r="C27" i="7"/>
  <c r="D28" i="7"/>
  <c r="C42" i="7"/>
  <c r="D25" i="7"/>
  <c r="D40" i="7"/>
  <c r="C24" i="7"/>
  <c r="C39" i="7"/>
  <c r="C29" i="7"/>
  <c r="C26" i="7"/>
  <c r="D16" i="7"/>
  <c r="D38" i="7"/>
  <c r="D36" i="7"/>
  <c r="D24" i="7"/>
  <c r="D34" i="7"/>
  <c r="C30" i="7"/>
  <c r="D39" i="7"/>
  <c r="D26" i="7"/>
  <c r="D35" i="7"/>
  <c r="C44" i="7"/>
  <c r="C32" i="7"/>
  <c r="C37" i="7"/>
  <c r="C31" i="7"/>
  <c r="D30" i="7"/>
  <c r="D14" i="7"/>
  <c r="C40" i="7"/>
  <c r="D20" i="7"/>
  <c r="D42" i="7"/>
  <c r="C36" i="7"/>
  <c r="D32" i="7"/>
  <c r="D12" i="7"/>
  <c r="E45" i="7"/>
  <c r="F1692" i="6"/>
  <c r="F1664" i="6"/>
  <c r="F1665" i="6"/>
  <c r="C12" i="7" s="1"/>
  <c r="H1661" i="6"/>
  <c r="F1661" i="6"/>
  <c r="F1675" i="6"/>
  <c r="F1686" i="6"/>
  <c r="H1659" i="6"/>
  <c r="F1659" i="6"/>
  <c r="F1689" i="6"/>
  <c r="H1689" i="6"/>
  <c r="H1690" i="6"/>
  <c r="F1690" i="6"/>
  <c r="F1710" i="6"/>
  <c r="H1710" i="6"/>
  <c r="F1654" i="6"/>
  <c r="H1654" i="6"/>
  <c r="H1694" i="6"/>
  <c r="F1694" i="6"/>
  <c r="H1712" i="6"/>
  <c r="F1697" i="6"/>
  <c r="H1697" i="6"/>
  <c r="F1712" i="6"/>
  <c r="H1669" i="6"/>
  <c r="F1669" i="6"/>
  <c r="H1701" i="6"/>
  <c r="F1701" i="6"/>
  <c r="F1657" i="6"/>
  <c r="C10" i="7" s="1"/>
  <c r="F1696" i="6"/>
  <c r="H1657" i="6"/>
  <c r="H1696" i="6"/>
  <c r="H1674" i="6"/>
  <c r="H1675" i="6"/>
  <c r="F1674" i="6"/>
  <c r="F1681" i="6"/>
  <c r="H1681" i="6"/>
  <c r="F1714" i="6"/>
  <c r="H1714" i="6"/>
  <c r="H1691" i="6"/>
  <c r="F1691" i="6"/>
  <c r="I1656" i="6"/>
  <c r="X5" i="6"/>
  <c r="H1706" i="6"/>
  <c r="F1706" i="6"/>
  <c r="F1685" i="6"/>
  <c r="F1693" i="6"/>
  <c r="H1693" i="6"/>
  <c r="H1685" i="6"/>
  <c r="F1676" i="6"/>
  <c r="H1676" i="6"/>
  <c r="F1699" i="6"/>
  <c r="C16" i="7" s="1"/>
  <c r="H1699" i="6"/>
  <c r="F1716" i="6"/>
  <c r="H1716" i="6"/>
  <c r="F1666" i="6"/>
  <c r="H1666" i="6"/>
  <c r="F1698" i="6"/>
  <c r="F1702" i="6"/>
  <c r="H1702" i="6"/>
  <c r="F1679" i="6"/>
  <c r="F1680" i="6"/>
  <c r="T13" i="6"/>
  <c r="T12" i="6"/>
  <c r="T11" i="6"/>
  <c r="F1713" i="6"/>
  <c r="C19" i="7" s="1"/>
  <c r="H1713" i="6"/>
  <c r="T15" i="6"/>
  <c r="T14" i="6"/>
  <c r="N18" i="6"/>
  <c r="I820" i="21"/>
  <c r="J820" i="21"/>
  <c r="I796" i="21"/>
  <c r="J796" i="21" s="1"/>
  <c r="N17" i="6"/>
  <c r="I814" i="21"/>
  <c r="J814" i="21" s="1"/>
  <c r="I808" i="21"/>
  <c r="J808" i="21" s="1"/>
  <c r="H1673" i="6"/>
  <c r="F1671" i="6"/>
  <c r="H1671" i="6"/>
  <c r="T16" i="6"/>
  <c r="T19" i="6"/>
  <c r="T18" i="6"/>
  <c r="T17" i="6"/>
  <c r="I844" i="21"/>
  <c r="J844" i="21"/>
  <c r="N33" i="6"/>
  <c r="J850" i="21"/>
  <c r="J838" i="21"/>
  <c r="T35" i="6"/>
  <c r="T33" i="6"/>
  <c r="T31" i="6"/>
  <c r="N38" i="6"/>
  <c r="J790" i="21"/>
  <c r="J784" i="21"/>
  <c r="F1709" i="6"/>
  <c r="H1709" i="6"/>
  <c r="I802" i="21"/>
  <c r="J802" i="21" s="1"/>
  <c r="J772" i="21"/>
  <c r="T42" i="6"/>
  <c r="T41" i="6"/>
  <c r="T40" i="6"/>
  <c r="T51" i="6"/>
  <c r="T50" i="6"/>
  <c r="J828" i="21"/>
  <c r="J786" i="21"/>
  <c r="J792" i="21"/>
  <c r="J822" i="21"/>
  <c r="J774" i="21"/>
  <c r="J804" i="21"/>
  <c r="J798" i="21"/>
  <c r="J805" i="21"/>
  <c r="J617" i="21"/>
  <c r="J611" i="21"/>
  <c r="J737" i="21"/>
  <c r="J683" i="21"/>
  <c r="J395" i="21"/>
  <c r="J509" i="21"/>
  <c r="I515" i="21"/>
  <c r="I832" i="21"/>
  <c r="J832" i="21" s="1"/>
  <c r="J778" i="21"/>
  <c r="I826" i="21"/>
  <c r="J826" i="21"/>
  <c r="J363" i="21"/>
  <c r="J787" i="21"/>
  <c r="H1717" i="6"/>
  <c r="I503" i="21"/>
  <c r="J503" i="21" s="1"/>
  <c r="J599" i="21"/>
  <c r="I629" i="21"/>
  <c r="J629" i="21"/>
  <c r="I473" i="21"/>
  <c r="J473" i="21" s="1"/>
  <c r="I641" i="21"/>
  <c r="J641" i="21"/>
  <c r="I670" i="21"/>
  <c r="J846" i="21"/>
  <c r="J852" i="21"/>
  <c r="I781" i="21"/>
  <c r="J781" i="21" s="1"/>
  <c r="I823" i="21"/>
  <c r="J823" i="21" s="1"/>
  <c r="J840" i="21"/>
  <c r="J817" i="21"/>
  <c r="J834" i="21"/>
  <c r="T63" i="6"/>
  <c r="T62" i="6"/>
  <c r="T61" i="6"/>
  <c r="T60" i="6"/>
  <c r="T59" i="6"/>
  <c r="I635" i="21"/>
  <c r="J635" i="21" s="1"/>
  <c r="I810" i="21"/>
  <c r="J810" i="21" s="1"/>
  <c r="J835" i="21"/>
  <c r="I799" i="21"/>
  <c r="J799" i="21" s="1"/>
  <c r="T72" i="6"/>
  <c r="T71" i="6"/>
  <c r="T70" i="6"/>
  <c r="T69" i="6"/>
  <c r="I563" i="21"/>
  <c r="J563" i="21"/>
  <c r="I539" i="21"/>
  <c r="J539" i="21" s="1"/>
  <c r="I695" i="21"/>
  <c r="J695" i="21"/>
  <c r="I436" i="21"/>
  <c r="J436" i="21" s="1"/>
  <c r="J569" i="21"/>
  <c r="J858" i="21"/>
  <c r="T87" i="6"/>
  <c r="N111" i="6"/>
  <c r="J789" i="21"/>
  <c r="J831" i="21"/>
  <c r="J807" i="21"/>
  <c r="J862" i="21"/>
  <c r="J856" i="21"/>
  <c r="J233" i="21"/>
  <c r="I245" i="21"/>
  <c r="J245" i="21" s="1"/>
  <c r="I446" i="21"/>
  <c r="J446" i="21" s="1"/>
  <c r="I371" i="21"/>
  <c r="J371" i="21" s="1"/>
  <c r="I639" i="21"/>
  <c r="J639" i="21" s="1"/>
  <c r="I533" i="21"/>
  <c r="J533" i="21" s="1"/>
  <c r="I545" i="21"/>
  <c r="J545" i="21" s="1"/>
  <c r="I455" i="21"/>
  <c r="J455" i="21" s="1"/>
  <c r="I743" i="21"/>
  <c r="J743" i="21" s="1"/>
  <c r="I818" i="21"/>
  <c r="J818" i="21" s="1"/>
  <c r="I783" i="21"/>
  <c r="J783" i="21" s="1"/>
  <c r="J646" i="21"/>
  <c r="J389" i="21"/>
  <c r="I413" i="21"/>
  <c r="J413" i="21" s="1"/>
  <c r="I497" i="21"/>
  <c r="J497" i="21" s="1"/>
  <c r="I239" i="21"/>
  <c r="J239" i="21" s="1"/>
  <c r="I197" i="21"/>
  <c r="J197" i="21" s="1"/>
  <c r="I47" i="21"/>
  <c r="J47" i="21" s="1"/>
  <c r="I47" i="6" s="1"/>
  <c r="J864" i="21"/>
  <c r="I70" i="21"/>
  <c r="J70" i="21" s="1"/>
  <c r="I130" i="21"/>
  <c r="J130" i="21" s="1"/>
  <c r="I130" i="6" s="1"/>
  <c r="I148" i="21"/>
  <c r="J148" i="21" s="1"/>
  <c r="I777" i="21"/>
  <c r="J777" i="21" s="1"/>
  <c r="J819" i="21"/>
  <c r="H1660" i="6"/>
  <c r="H1707" i="6"/>
  <c r="F1707" i="6"/>
  <c r="H1682" i="6"/>
  <c r="H1711" i="6"/>
  <c r="I605" i="21"/>
  <c r="J605" i="21"/>
  <c r="J761" i="21"/>
  <c r="I55" i="21"/>
  <c r="J55" i="21" s="1"/>
  <c r="I55" i="6" s="1"/>
  <c r="J55" i="6" s="1"/>
  <c r="J645" i="21"/>
  <c r="I59" i="21"/>
  <c r="J59" i="21"/>
  <c r="I124" i="21"/>
  <c r="J124" i="21" s="1"/>
  <c r="I124" i="6" s="1"/>
  <c r="J124" i="6" s="1"/>
  <c r="J66" i="21"/>
  <c r="I66" i="6"/>
  <c r="I72" i="21"/>
  <c r="J72" i="21" s="1"/>
  <c r="J155" i="21"/>
  <c r="I383" i="21"/>
  <c r="J383" i="21" s="1"/>
  <c r="J557" i="21"/>
  <c r="J593" i="21"/>
  <c r="J868" i="21"/>
  <c r="H1656" i="6"/>
  <c r="I811" i="21"/>
  <c r="J811" i="21" s="1"/>
  <c r="I76" i="21"/>
  <c r="J76" i="21" s="1"/>
  <c r="I76" i="6" s="1"/>
  <c r="J76" i="6" s="1"/>
  <c r="M76" i="6" s="1"/>
  <c r="I173" i="21"/>
  <c r="J173" i="21" s="1"/>
  <c r="J624" i="21"/>
  <c r="J615" i="21"/>
  <c r="J597" i="21"/>
  <c r="J816" i="21"/>
  <c r="J485" i="21"/>
  <c r="J659" i="21"/>
  <c r="J401" i="21"/>
  <c r="J780" i="21"/>
  <c r="I106" i="21"/>
  <c r="J106" i="21"/>
  <c r="I106" i="6" s="1"/>
  <c r="I108" i="21"/>
  <c r="I741" i="21"/>
  <c r="J741" i="21" s="1"/>
  <c r="J120" i="21"/>
  <c r="I120" i="6" s="1"/>
  <c r="J120" i="6" s="1"/>
  <c r="T127" i="6"/>
  <c r="T126" i="6"/>
  <c r="T125" i="6"/>
  <c r="N186" i="6"/>
  <c r="M178" i="6"/>
  <c r="O206" i="6"/>
  <c r="N175" i="6"/>
  <c r="N393" i="6"/>
  <c r="R350" i="6"/>
  <c r="S350" i="6" s="1"/>
  <c r="T350" i="6" s="1"/>
  <c r="P350" i="6"/>
  <c r="N363" i="6"/>
  <c r="J210" i="6"/>
  <c r="N246" i="6"/>
  <c r="J451" i="6"/>
  <c r="O451" i="6"/>
  <c r="J395" i="6"/>
  <c r="O395" i="6"/>
  <c r="N403" i="6"/>
  <c r="M418" i="6"/>
  <c r="N418" i="6"/>
  <c r="N306" i="6"/>
  <c r="N318" i="6"/>
  <c r="O455" i="6"/>
  <c r="N263" i="6"/>
  <c r="N415" i="6"/>
  <c r="N434" i="6"/>
  <c r="N317" i="6"/>
  <c r="J431" i="6"/>
  <c r="O431" i="6"/>
  <c r="N645" i="6"/>
  <c r="J298" i="6"/>
  <c r="O443" i="6"/>
  <c r="N303" i="6"/>
  <c r="O523" i="6"/>
  <c r="N255" i="6"/>
  <c r="R306" i="6"/>
  <c r="S306" i="6" s="1"/>
  <c r="T306" i="6" s="1"/>
  <c r="N279" i="6"/>
  <c r="N291" i="6"/>
  <c r="N343" i="6"/>
  <c r="J442" i="6"/>
  <c r="N581" i="6"/>
  <c r="M501" i="6"/>
  <c r="N454" i="6"/>
  <c r="M543" i="6"/>
  <c r="M557" i="6"/>
  <c r="J415" i="6"/>
  <c r="M415" i="6"/>
  <c r="N490" i="6"/>
  <c r="M457" i="6"/>
  <c r="M531" i="6"/>
  <c r="M627" i="6"/>
  <c r="M663" i="6"/>
  <c r="M561" i="6"/>
  <c r="N655" i="6"/>
  <c r="N862" i="6"/>
  <c r="M673" i="6"/>
  <c r="M726" i="6"/>
  <c r="M759" i="6"/>
  <c r="N597" i="6"/>
  <c r="M754" i="6"/>
  <c r="N811" i="6"/>
  <c r="N609" i="6"/>
  <c r="M609" i="6"/>
  <c r="N573" i="6"/>
  <c r="N591" i="6"/>
  <c r="N878" i="6"/>
  <c r="M878" i="6"/>
  <c r="M917" i="6"/>
  <c r="N919" i="6"/>
  <c r="M823" i="6"/>
  <c r="N883" i="6"/>
  <c r="J786" i="6"/>
  <c r="J825" i="6"/>
  <c r="N891" i="6"/>
  <c r="M891" i="6"/>
  <c r="M903" i="6"/>
  <c r="M915" i="6"/>
  <c r="R910" i="6"/>
  <c r="S910" i="6" s="1"/>
  <c r="T910" i="6" s="1"/>
  <c r="N907" i="6"/>
  <c r="M929" i="6"/>
  <c r="M931" i="6"/>
  <c r="M927" i="6"/>
  <c r="N858" i="6"/>
  <c r="N909" i="6"/>
  <c r="O978" i="6"/>
  <c r="J954" i="6"/>
  <c r="M1034" i="6"/>
  <c r="M1394" i="6"/>
  <c r="N1131" i="6"/>
  <c r="M1114" i="6"/>
  <c r="O170" i="6"/>
  <c r="M1038" i="6"/>
  <c r="J946" i="6"/>
  <c r="O1386" i="6"/>
  <c r="J962" i="6"/>
  <c r="J117" i="21"/>
  <c r="I117" i="6" s="1"/>
  <c r="O117" i="6" s="1"/>
  <c r="J189" i="21"/>
  <c r="I119" i="21"/>
  <c r="J119" i="21" s="1"/>
  <c r="I119" i="6" s="1"/>
  <c r="I431" i="21"/>
  <c r="J431" i="21"/>
  <c r="J114" i="21"/>
  <c r="I114" i="6" s="1"/>
  <c r="J725" i="21"/>
  <c r="I129" i="21"/>
  <c r="P814" i="6"/>
  <c r="R831" i="6"/>
  <c r="S831" i="6" s="1"/>
  <c r="T831" i="6" s="1"/>
  <c r="R275" i="6"/>
  <c r="S275" i="6" s="1"/>
  <c r="T275" i="6" s="1"/>
  <c r="J1592" i="6"/>
  <c r="J1628" i="6"/>
  <c r="J1273" i="6"/>
  <c r="N932" i="6"/>
  <c r="J1581" i="6"/>
  <c r="M400" i="6"/>
  <c r="N412" i="6"/>
  <c r="M504" i="6"/>
  <c r="M840" i="6"/>
  <c r="N388" i="6"/>
  <c r="O141" i="6"/>
  <c r="O1485" i="6"/>
  <c r="O1281" i="6"/>
  <c r="O961" i="6"/>
  <c r="O1005" i="6"/>
  <c r="O1029" i="6"/>
  <c r="O1357" i="6"/>
  <c r="J1341" i="6"/>
  <c r="J1309" i="6"/>
  <c r="J1441" i="6"/>
  <c r="M149" i="6"/>
  <c r="O1329" i="6"/>
  <c r="J1297" i="6"/>
  <c r="J1381" i="6"/>
  <c r="J1009" i="6"/>
  <c r="O1257" i="6"/>
  <c r="O1377" i="6"/>
  <c r="J1369" i="6"/>
  <c r="O1285" i="6"/>
  <c r="O1017" i="6"/>
  <c r="J1473" i="6"/>
  <c r="J1077" i="6"/>
  <c r="J1041" i="6"/>
  <c r="N1360" i="6"/>
  <c r="M1352" i="6"/>
  <c r="M1340" i="6"/>
  <c r="N1132" i="6"/>
  <c r="N1228" i="6"/>
  <c r="N1216" i="6"/>
  <c r="M1298" i="6"/>
  <c r="M1274" i="6"/>
  <c r="N1146" i="6"/>
  <c r="M1270" i="6"/>
  <c r="N1466" i="6"/>
  <c r="M1238" i="6"/>
  <c r="N1238" i="6"/>
  <c r="N1294" i="6"/>
  <c r="N1470" i="6"/>
  <c r="N1162" i="6"/>
  <c r="M1410" i="6"/>
  <c r="M1226" i="6"/>
  <c r="N1410" i="6"/>
  <c r="N1010" i="6"/>
  <c r="M1302" i="6"/>
  <c r="M1442" i="6"/>
  <c r="N1154" i="6"/>
  <c r="N1234" i="6"/>
  <c r="N158" i="6"/>
  <c r="M1322" i="6"/>
  <c r="P158" i="6"/>
  <c r="P1010" i="6"/>
  <c r="M1254" i="6"/>
  <c r="M176" i="6"/>
  <c r="J171" i="6"/>
  <c r="J180" i="6"/>
  <c r="M1152" i="6"/>
  <c r="J1549" i="6"/>
  <c r="N149" i="6"/>
  <c r="O1509" i="6"/>
  <c r="O1497" i="6"/>
  <c r="N1145" i="6"/>
  <c r="M87" i="6"/>
  <c r="N1566" i="6"/>
  <c r="J696" i="21"/>
  <c r="M1011" i="6"/>
  <c r="M1131" i="6"/>
  <c r="J720" i="21"/>
  <c r="J558" i="21"/>
  <c r="N1534" i="6"/>
  <c r="M1634" i="6"/>
  <c r="M220" i="6"/>
  <c r="J708" i="21"/>
  <c r="J642" i="21"/>
  <c r="J648" i="21"/>
  <c r="M1558" i="6"/>
  <c r="J666" i="21"/>
  <c r="J714" i="21"/>
  <c r="O151" i="6"/>
  <c r="J150" i="21"/>
  <c r="M344" i="6"/>
  <c r="J672" i="21"/>
  <c r="M967" i="6"/>
  <c r="J155" i="6"/>
  <c r="J174" i="21"/>
  <c r="J156" i="21"/>
  <c r="J450" i="21"/>
  <c r="J167" i="6"/>
  <c r="J762" i="21"/>
  <c r="M1594" i="6"/>
  <c r="J552" i="21"/>
  <c r="J588" i="21"/>
  <c r="N63" i="6"/>
  <c r="J582" i="21"/>
  <c r="J612" i="21"/>
  <c r="M1461" i="6"/>
  <c r="O1593" i="6"/>
  <c r="N50" i="6"/>
  <c r="N1429" i="6"/>
  <c r="O1081" i="6"/>
  <c r="J1101" i="6"/>
  <c r="J878" i="6"/>
  <c r="O454" i="6"/>
  <c r="J214" i="21"/>
  <c r="M1477" i="6"/>
  <c r="N1449" i="6"/>
  <c r="O1605" i="6"/>
  <c r="J882" i="6"/>
  <c r="J208" i="21"/>
  <c r="J735" i="21"/>
  <c r="M646" i="6"/>
  <c r="M790" i="6"/>
  <c r="J669" i="21"/>
  <c r="J694" i="21"/>
  <c r="J610" i="21"/>
  <c r="R706" i="6"/>
  <c r="S706" i="6" s="1"/>
  <c r="T706" i="6" s="1"/>
  <c r="O446" i="6"/>
  <c r="J369" i="21"/>
  <c r="J297" i="21"/>
  <c r="M1441" i="6"/>
  <c r="J1557" i="6"/>
  <c r="N722" i="6"/>
  <c r="O215" i="6"/>
  <c r="J760" i="21"/>
  <c r="R690" i="6"/>
  <c r="S690" i="6" s="1"/>
  <c r="T690" i="6" s="1"/>
  <c r="J1617" i="6"/>
  <c r="J537" i="21"/>
  <c r="N554" i="6"/>
  <c r="N1473" i="6"/>
  <c r="O1569" i="6"/>
  <c r="R1485" i="6"/>
  <c r="S1485" i="6" s="1"/>
  <c r="T1485" i="6" s="1"/>
  <c r="J1489" i="6"/>
  <c r="M1249" i="6"/>
  <c r="M702" i="6"/>
  <c r="P423" i="6"/>
  <c r="M658" i="6"/>
  <c r="J609" i="21"/>
  <c r="J315" i="21"/>
  <c r="J682" i="21"/>
  <c r="J724" i="21"/>
  <c r="J754" i="21"/>
  <c r="J591" i="21"/>
  <c r="J1545" i="6"/>
  <c r="J688" i="21"/>
  <c r="J310" i="21"/>
  <c r="J1069" i="6"/>
  <c r="J251" i="6"/>
  <c r="J718" i="21"/>
  <c r="J501" i="21"/>
  <c r="I541" i="21"/>
  <c r="J541" i="21" s="1"/>
  <c r="I577" i="21"/>
  <c r="J577" i="21" s="1"/>
  <c r="M1403" i="6"/>
  <c r="N1403" i="6"/>
  <c r="J583" i="21"/>
  <c r="M1387" i="6"/>
  <c r="J703" i="21"/>
  <c r="I571" i="21"/>
  <c r="J571" i="21" s="1"/>
  <c r="I625" i="21"/>
  <c r="J625" i="21" s="1"/>
  <c r="I691" i="21"/>
  <c r="N1219" i="6"/>
  <c r="N1243" i="6"/>
  <c r="N1263" i="6"/>
  <c r="M1287" i="6"/>
  <c r="N1287" i="6"/>
  <c r="N1335" i="6"/>
  <c r="M1367" i="6"/>
  <c r="N1391" i="6"/>
  <c r="M1391" i="6"/>
  <c r="M1475" i="6"/>
  <c r="I277" i="21"/>
  <c r="J277" i="21" s="1"/>
  <c r="I547" i="21"/>
  <c r="J547" i="21" s="1"/>
  <c r="I601" i="21"/>
  <c r="J601" i="21" s="1"/>
  <c r="M1239" i="6"/>
  <c r="M1275" i="6"/>
  <c r="N1303" i="6"/>
  <c r="M1383" i="6"/>
  <c r="M1411" i="6"/>
  <c r="N1411" i="6"/>
  <c r="N1471" i="6"/>
  <c r="N1483" i="6"/>
  <c r="I589" i="21"/>
  <c r="J589" i="21"/>
  <c r="J655" i="21"/>
  <c r="M1359" i="6"/>
  <c r="N1359" i="6"/>
  <c r="N1167" i="6"/>
  <c r="N1251" i="6"/>
  <c r="M1327" i="6"/>
  <c r="I565" i="21"/>
  <c r="J565" i="21" s="1"/>
  <c r="N1155" i="6"/>
  <c r="I535" i="21"/>
  <c r="J535" i="21" s="1"/>
  <c r="I595" i="21"/>
  <c r="J595" i="21" s="1"/>
  <c r="J745" i="21"/>
  <c r="N1179" i="6"/>
  <c r="N1207" i="6"/>
  <c r="N1299" i="6"/>
  <c r="M1299" i="6"/>
  <c r="N1351" i="6"/>
  <c r="N1375" i="6"/>
  <c r="M1427" i="6"/>
  <c r="N1143" i="6"/>
  <c r="M1315" i="6"/>
  <c r="I529" i="21"/>
  <c r="J529" i="21" s="1"/>
  <c r="N1163" i="6"/>
  <c r="N1311" i="6"/>
  <c r="N648" i="6"/>
  <c r="I283" i="21"/>
  <c r="J559" i="21"/>
  <c r="I673" i="21"/>
  <c r="J673" i="21" s="1"/>
  <c r="I733" i="21"/>
  <c r="J733" i="21" s="1"/>
  <c r="M1215" i="6"/>
  <c r="N1215" i="6"/>
  <c r="N1231" i="6"/>
  <c r="M1255" i="6"/>
  <c r="N1255" i="6"/>
  <c r="M1371" i="6"/>
  <c r="M1399" i="6"/>
  <c r="N1399" i="6"/>
  <c r="N1455" i="6"/>
  <c r="N640" i="6"/>
  <c r="N1275" i="6"/>
  <c r="N1291" i="6"/>
  <c r="H1705" i="6"/>
  <c r="N1563" i="6"/>
  <c r="M668" i="6"/>
  <c r="M1012" i="6"/>
  <c r="N668" i="6"/>
  <c r="M612" i="6"/>
  <c r="N612" i="6"/>
  <c r="M1088" i="6"/>
  <c r="M1080" i="6"/>
  <c r="M572" i="6"/>
  <c r="M692" i="6"/>
  <c r="M676" i="6"/>
  <c r="M1048" i="6"/>
  <c r="N664" i="6"/>
  <c r="N656" i="6"/>
  <c r="M956" i="6"/>
  <c r="M1076" i="6"/>
  <c r="N696" i="6"/>
  <c r="O144" i="6"/>
  <c r="N71" i="6"/>
  <c r="N628" i="6"/>
  <c r="M696" i="6"/>
  <c r="M1084" i="6"/>
  <c r="M148" i="6"/>
  <c r="N1487" i="6"/>
  <c r="M980" i="6"/>
  <c r="M524" i="6"/>
  <c r="M245" i="6"/>
  <c r="J863" i="21"/>
  <c r="N980" i="6"/>
  <c r="N144" i="6"/>
  <c r="N1092" i="6"/>
  <c r="J857" i="21"/>
  <c r="N1100" i="6"/>
  <c r="M1092" i="6"/>
  <c r="N1048" i="6"/>
  <c r="N1088" i="6"/>
  <c r="N1028" i="6"/>
  <c r="N1623" i="6"/>
  <c r="N164" i="6"/>
  <c r="N976" i="6"/>
  <c r="M944" i="6"/>
  <c r="M197" i="6"/>
  <c r="N1044" i="6"/>
  <c r="N1080" i="6"/>
  <c r="N1108" i="6"/>
  <c r="N237" i="6"/>
  <c r="N197" i="6"/>
  <c r="M1627" i="6"/>
  <c r="J602" i="21"/>
  <c r="M168" i="6"/>
  <c r="J839" i="21"/>
  <c r="M1116" i="6"/>
  <c r="N189" i="6"/>
  <c r="N1076" i="6"/>
  <c r="J821" i="21"/>
  <c r="N152" i="6"/>
  <c r="N1615" i="6"/>
  <c r="M1068" i="6"/>
  <c r="N540" i="6"/>
  <c r="M393" i="6"/>
  <c r="N201" i="6"/>
  <c r="J206" i="21"/>
  <c r="M257" i="6"/>
  <c r="M800" i="6"/>
  <c r="J62" i="21"/>
  <c r="J1414" i="6"/>
  <c r="J860" i="21"/>
  <c r="N438" i="6"/>
  <c r="N482" i="6"/>
  <c r="N486" i="6"/>
  <c r="P411" i="6"/>
  <c r="J866" i="21"/>
  <c r="J1394" i="6"/>
  <c r="J253" i="21"/>
  <c r="J812" i="21"/>
  <c r="M1134" i="6"/>
  <c r="N183" i="6"/>
  <c r="M363" i="6"/>
  <c r="M187" i="6"/>
  <c r="P183" i="6"/>
  <c r="N1134" i="6"/>
  <c r="M1214" i="6"/>
  <c r="N187" i="6"/>
  <c r="R183" i="6"/>
  <c r="S183" i="6" s="1"/>
  <c r="T183" i="6" s="1"/>
  <c r="M478" i="6"/>
  <c r="J355" i="6"/>
  <c r="J806" i="21"/>
  <c r="T575" i="6"/>
  <c r="R579" i="6"/>
  <c r="S579" i="6" s="1"/>
  <c r="T579" i="6" s="1"/>
  <c r="R647" i="6"/>
  <c r="S647" i="6" s="1"/>
  <c r="T647" i="6" s="1"/>
  <c r="M1210" i="6"/>
  <c r="M351" i="6"/>
  <c r="O371" i="6"/>
  <c r="M470" i="6"/>
  <c r="M1174" i="6"/>
  <c r="J794" i="21"/>
  <c r="J836" i="21"/>
  <c r="M1178" i="6"/>
  <c r="M1154" i="6"/>
  <c r="J323" i="6"/>
  <c r="O335" i="6"/>
  <c r="O1150" i="6"/>
  <c r="J842" i="21"/>
  <c r="R503" i="6"/>
  <c r="S503" i="6" s="1"/>
  <c r="T503" i="6" s="1"/>
  <c r="N989" i="6"/>
  <c r="N1001" i="6"/>
  <c r="M940" i="6"/>
  <c r="J542" i="21"/>
  <c r="J620" i="21"/>
  <c r="N949" i="6"/>
  <c r="N1503" i="6"/>
  <c r="N969" i="6"/>
  <c r="N1499" i="6"/>
  <c r="N1008" i="6"/>
  <c r="M518" i="6"/>
  <c r="J308" i="21"/>
  <c r="J728" i="21"/>
  <c r="J734" i="21"/>
  <c r="M1515" i="6"/>
  <c r="J50" i="6"/>
  <c r="M50" i="6"/>
  <c r="M1017" i="6"/>
  <c r="N1016" i="6"/>
  <c r="J488" i="21"/>
  <c r="J825" i="21"/>
  <c r="J596" i="21"/>
  <c r="J686" i="21"/>
  <c r="M957" i="6"/>
  <c r="N988" i="6"/>
  <c r="J89" i="21"/>
  <c r="I89" i="6" s="1"/>
  <c r="O89" i="6" s="1"/>
  <c r="J464" i="21"/>
  <c r="J578" i="21"/>
  <c r="J813" i="21"/>
  <c r="J362" i="21"/>
  <c r="J95" i="21"/>
  <c r="I95" i="6" s="1"/>
  <c r="J350" i="21"/>
  <c r="J470" i="21"/>
  <c r="P147" i="6"/>
  <c r="O1053" i="6"/>
  <c r="M693" i="6"/>
  <c r="M1104" i="6"/>
  <c r="J837" i="21"/>
  <c r="J452" i="21"/>
  <c r="J626" i="21"/>
  <c r="M233" i="6"/>
  <c r="J668" i="21"/>
  <c r="N945" i="6"/>
  <c r="M1495" i="6"/>
  <c r="N956" i="6"/>
  <c r="M253" i="6"/>
  <c r="J795" i="21"/>
  <c r="N996" i="6"/>
  <c r="J476" i="21"/>
  <c r="J716" i="21"/>
  <c r="J614" i="21"/>
  <c r="N953" i="6"/>
  <c r="J801" i="21"/>
  <c r="J416" i="21"/>
  <c r="R230" i="6"/>
  <c r="S230" i="6" s="1"/>
  <c r="T230" i="6" s="1"/>
  <c r="J46" i="21"/>
  <c r="I46" i="6" s="1"/>
  <c r="M1296" i="6"/>
  <c r="N1280" i="6"/>
  <c r="N788" i="6"/>
  <c r="N1332" i="6"/>
  <c r="O1189" i="6"/>
  <c r="M780" i="6"/>
  <c r="N800" i="6"/>
  <c r="M471" i="6"/>
  <c r="J480" i="21"/>
  <c r="O1078" i="6"/>
  <c r="M1086" i="6"/>
  <c r="M804" i="6"/>
  <c r="M1324" i="6"/>
  <c r="J187" i="21"/>
  <c r="N1531" i="6"/>
  <c r="M328" i="6"/>
  <c r="J432" i="21"/>
  <c r="P785" i="6"/>
  <c r="N1336" i="6"/>
  <c r="M1531" i="6"/>
  <c r="M1094" i="6"/>
  <c r="J1161" i="6"/>
  <c r="O1209" i="6"/>
  <c r="J59" i="6"/>
  <c r="M59" i="6"/>
  <c r="J122" i="21"/>
  <c r="I122" i="6" s="1"/>
  <c r="M792" i="6"/>
  <c r="M708" i="6"/>
  <c r="M467" i="6"/>
  <c r="J348" i="21"/>
  <c r="J1090" i="6"/>
  <c r="J128" i="21"/>
  <c r="I128" i="6" s="1"/>
  <c r="J128" i="6" s="1"/>
  <c r="M128" i="6" s="1"/>
  <c r="P107" i="6"/>
  <c r="N792" i="6"/>
  <c r="J479" i="6"/>
  <c r="P467" i="6"/>
  <c r="J420" i="21"/>
  <c r="J426" i="21"/>
  <c r="M784" i="6"/>
  <c r="M475" i="6"/>
  <c r="J306" i="21"/>
  <c r="J486" i="21"/>
  <c r="J414" i="21"/>
  <c r="J199" i="21"/>
  <c r="J74" i="21"/>
  <c r="I74" i="6" s="1"/>
  <c r="O74" i="6" s="1"/>
  <c r="J462" i="21"/>
  <c r="M1304" i="6"/>
  <c r="N51" i="6"/>
  <c r="N1316" i="6"/>
  <c r="N1284" i="6"/>
  <c r="M1328" i="6"/>
  <c r="M1062" i="6"/>
  <c r="O1221" i="6"/>
  <c r="M716" i="6"/>
  <c r="J181" i="21"/>
  <c r="J456" i="21"/>
  <c r="J63" i="6"/>
  <c r="M63" i="6"/>
  <c r="M1523" i="6"/>
  <c r="J492" i="21"/>
  <c r="J498" i="21"/>
  <c r="P1336" i="6"/>
  <c r="N1244" i="6"/>
  <c r="M1244" i="6"/>
  <c r="N1252" i="6"/>
  <c r="M1252" i="6"/>
  <c r="M1264" i="6"/>
  <c r="O1137" i="6"/>
  <c r="J1137" i="6"/>
  <c r="O1141" i="6"/>
  <c r="J1149" i="6"/>
  <c r="O1149" i="6"/>
  <c r="O1153" i="6"/>
  <c r="J1153" i="6"/>
  <c r="O1165" i="6"/>
  <c r="J1165" i="6"/>
  <c r="J1173" i="6"/>
  <c r="M1173" i="6"/>
  <c r="O1173" i="6"/>
  <c r="O1177" i="6"/>
  <c r="J1177" i="6"/>
  <c r="M1177" i="6"/>
  <c r="N1066" i="6"/>
  <c r="M1066" i="6"/>
  <c r="N1070" i="6"/>
  <c r="M1074" i="6"/>
  <c r="N1074" i="6"/>
  <c r="M1078" i="6"/>
  <c r="N1082" i="6"/>
  <c r="N1086" i="6"/>
  <c r="N1094" i="6"/>
  <c r="N1098" i="6"/>
  <c r="J1110" i="6"/>
  <c r="M1110" i="6"/>
  <c r="M1118" i="6"/>
  <c r="O1118" i="6"/>
  <c r="M884" i="6"/>
  <c r="N892" i="6"/>
  <c r="M892" i="6"/>
  <c r="N896" i="6"/>
  <c r="M900" i="6"/>
  <c r="N904" i="6"/>
  <c r="M1272" i="6"/>
  <c r="N1272" i="6"/>
  <c r="I367" i="21"/>
  <c r="J367" i="21"/>
  <c r="I373" i="21"/>
  <c r="J373" i="21" s="1"/>
  <c r="I397" i="21"/>
  <c r="J397" i="21" s="1"/>
  <c r="I403" i="21"/>
  <c r="J403" i="21" s="1"/>
  <c r="I421" i="21"/>
  <c r="J421" i="21"/>
  <c r="I439" i="21"/>
  <c r="J439" i="21" s="1"/>
  <c r="I445" i="21"/>
  <c r="J445" i="21" s="1"/>
  <c r="I451" i="21"/>
  <c r="J451" i="21" s="1"/>
  <c r="I457" i="21"/>
  <c r="J457" i="21" s="1"/>
  <c r="P143" i="6"/>
  <c r="M147" i="6"/>
  <c r="N147" i="6"/>
  <c r="N151" i="6"/>
  <c r="M151" i="6"/>
  <c r="N163" i="6"/>
  <c r="N967" i="6"/>
  <c r="N975" i="6"/>
  <c r="N983" i="6"/>
  <c r="M983" i="6"/>
  <c r="N987" i="6"/>
  <c r="N991" i="6"/>
  <c r="N999" i="6"/>
  <c r="M999" i="6"/>
  <c r="N1003" i="6"/>
  <c r="N1011" i="6"/>
  <c r="N1015" i="6"/>
  <c r="M1015" i="6"/>
  <c r="N1027" i="6"/>
  <c r="N1035" i="6"/>
  <c r="M1035" i="6"/>
  <c r="M1039" i="6"/>
  <c r="N1039" i="6"/>
  <c r="M1047" i="6"/>
  <c r="N1047" i="6"/>
  <c r="P1047" i="6"/>
  <c r="M1051" i="6"/>
  <c r="M1055" i="6"/>
  <c r="I153" i="21"/>
  <c r="J153" i="21" s="1"/>
  <c r="N550" i="6"/>
  <c r="P550" i="6"/>
  <c r="R550" i="6"/>
  <c r="S550" i="6" s="1"/>
  <c r="T550" i="6" s="1"/>
  <c r="J598" i="6"/>
  <c r="J634" i="6"/>
  <c r="O634" i="6"/>
  <c r="O670" i="6"/>
  <c r="J670" i="6"/>
  <c r="N713" i="6"/>
  <c r="M713" i="6"/>
  <c r="M717" i="6"/>
  <c r="N717" i="6"/>
  <c r="N725" i="6"/>
  <c r="M729" i="6"/>
  <c r="N1240" i="6"/>
  <c r="M1240" i="6"/>
  <c r="M1248" i="6"/>
  <c r="N1248" i="6"/>
  <c r="M1256" i="6"/>
  <c r="N1256" i="6"/>
  <c r="M1268" i="6"/>
  <c r="I7" i="21"/>
  <c r="J7" i="21" s="1"/>
  <c r="I7" i="6" s="1"/>
  <c r="M441" i="6"/>
  <c r="J414" i="6"/>
  <c r="M1502" i="6"/>
  <c r="N1502" i="6"/>
  <c r="M1506" i="6"/>
  <c r="N1506" i="6"/>
  <c r="N1510" i="6"/>
  <c r="N231" i="6"/>
  <c r="M231" i="6"/>
  <c r="M243" i="6"/>
  <c r="N247" i="6"/>
  <c r="M247" i="6"/>
  <c r="O263" i="6"/>
  <c r="J263" i="6"/>
  <c r="M263" i="6"/>
  <c r="M279" i="6"/>
  <c r="J287" i="6"/>
  <c r="M287" i="6"/>
  <c r="O287" i="6"/>
  <c r="J295" i="6"/>
  <c r="M295" i="6"/>
  <c r="O295" i="6"/>
  <c r="O299" i="6"/>
  <c r="J299" i="6"/>
  <c r="O311" i="6"/>
  <c r="J311" i="6"/>
  <c r="M315" i="6"/>
  <c r="O315" i="6"/>
  <c r="O1379" i="6"/>
  <c r="O1403" i="6"/>
  <c r="O1435" i="6"/>
  <c r="O1479" i="6"/>
  <c r="N1339" i="6"/>
  <c r="M1339" i="6"/>
  <c r="N1347" i="6"/>
  <c r="M1347" i="6"/>
  <c r="N461" i="6"/>
  <c r="N481" i="6"/>
  <c r="M819" i="6"/>
  <c r="R147" i="6"/>
  <c r="S147" i="6" s="1"/>
  <c r="T147" i="6" s="1"/>
  <c r="R1047" i="6"/>
  <c r="S1047" i="6" s="1"/>
  <c r="T1047" i="6" s="1"/>
  <c r="P239" i="6"/>
  <c r="N1232" i="6"/>
  <c r="N852" i="6"/>
  <c r="M852" i="6"/>
  <c r="M864" i="6"/>
  <c r="M872" i="6"/>
  <c r="N880" i="6"/>
  <c r="M880" i="6"/>
  <c r="N378" i="6"/>
  <c r="N382" i="6"/>
  <c r="R382" i="6"/>
  <c r="S382" i="6" s="1"/>
  <c r="T382" i="6" s="1"/>
  <c r="N753" i="6"/>
  <c r="M753" i="6"/>
  <c r="N761" i="6"/>
  <c r="M761" i="6"/>
  <c r="M793" i="6"/>
  <c r="N805" i="6"/>
  <c r="P67" i="6"/>
  <c r="M1181" i="6"/>
  <c r="M299" i="6"/>
  <c r="N307" i="6"/>
  <c r="N737" i="6"/>
  <c r="M737" i="6"/>
  <c r="M741" i="6"/>
  <c r="N749" i="6"/>
  <c r="M749" i="6"/>
  <c r="N777" i="6"/>
  <c r="M1071" i="6"/>
  <c r="J1122" i="6"/>
  <c r="M690" i="6"/>
  <c r="P690" i="6"/>
  <c r="Q690" i="6" s="1"/>
  <c r="U690" i="6" s="1"/>
  <c r="N694" i="6"/>
  <c r="P694" i="6"/>
  <c r="O718" i="6"/>
  <c r="J718" i="6"/>
  <c r="N244" i="6"/>
  <c r="N248" i="6"/>
  <c r="M252" i="6"/>
  <c r="O675" i="6"/>
  <c r="M72" i="6"/>
  <c r="M1052" i="6"/>
  <c r="N1056" i="6"/>
  <c r="M221" i="6"/>
  <c r="P599" i="6"/>
  <c r="M603" i="6"/>
  <c r="N607" i="6"/>
  <c r="M607" i="6"/>
  <c r="N741" i="6"/>
  <c r="M1535" i="6"/>
  <c r="N1535" i="6"/>
  <c r="M1539" i="6"/>
  <c r="M1547" i="6"/>
  <c r="N1547" i="6"/>
  <c r="M1551" i="6"/>
  <c r="N1555" i="6"/>
  <c r="N1559" i="6"/>
  <c r="N1575" i="6"/>
  <c r="N773" i="6"/>
  <c r="I382" i="21"/>
  <c r="J382" i="21" s="1"/>
  <c r="I388" i="21"/>
  <c r="J388" i="21" s="1"/>
  <c r="I400" i="21"/>
  <c r="J400" i="21" s="1"/>
  <c r="I424" i="21"/>
  <c r="J424" i="21" s="1"/>
  <c r="I460" i="21"/>
  <c r="J460" i="21" s="1"/>
  <c r="I466" i="21"/>
  <c r="J466" i="21" s="1"/>
  <c r="I472" i="21"/>
  <c r="J472" i="21"/>
  <c r="I484" i="21"/>
  <c r="J484" i="21" s="1"/>
  <c r="I490" i="21"/>
  <c r="J490" i="21" s="1"/>
  <c r="O1425" i="6"/>
  <c r="O1449" i="6"/>
  <c r="J1449" i="6"/>
  <c r="M1508" i="6"/>
  <c r="M548" i="6"/>
  <c r="O1201" i="6"/>
  <c r="N1353" i="6"/>
  <c r="N1381" i="6"/>
  <c r="N1385" i="6"/>
  <c r="M1385" i="6"/>
  <c r="M1393" i="6"/>
  <c r="N1393" i="6"/>
  <c r="N1397" i="6"/>
  <c r="M1397" i="6"/>
  <c r="M1401" i="6"/>
  <c r="N1409" i="6"/>
  <c r="M1409" i="6"/>
  <c r="I311" i="21"/>
  <c r="J311" i="21" s="1"/>
  <c r="I359" i="21"/>
  <c r="J359" i="21" s="1"/>
  <c r="N1330" i="6"/>
  <c r="M1330" i="6"/>
  <c r="N1334" i="6"/>
  <c r="N1267" i="6"/>
  <c r="N479" i="6"/>
  <c r="M479" i="6"/>
  <c r="R514" i="6"/>
  <c r="S514" i="6" s="1"/>
  <c r="T514" i="6" s="1"/>
  <c r="P518" i="6"/>
  <c r="R518" i="6"/>
  <c r="S518" i="6" s="1"/>
  <c r="T518" i="6" s="1"/>
  <c r="N525" i="6"/>
  <c r="M525" i="6"/>
  <c r="M529" i="6"/>
  <c r="M537" i="6"/>
  <c r="I37" i="21"/>
  <c r="J37" i="21" s="1"/>
  <c r="I37" i="6" s="1"/>
  <c r="O37" i="6" s="1"/>
  <c r="I45" i="21"/>
  <c r="J45" i="21" s="1"/>
  <c r="I45" i="6" s="1"/>
  <c r="I146" i="21"/>
  <c r="I164" i="21"/>
  <c r="J164" i="21" s="1"/>
  <c r="P542" i="6"/>
  <c r="N545" i="6"/>
  <c r="M422" i="6"/>
  <c r="N293" i="6"/>
  <c r="M617" i="6"/>
  <c r="M724" i="6"/>
  <c r="N736" i="6"/>
  <c r="M579" i="6"/>
  <c r="I240" i="21"/>
  <c r="J240" i="21" s="1"/>
  <c r="I264" i="21"/>
  <c r="J264" i="21" s="1"/>
  <c r="I75" i="21"/>
  <c r="J75" i="21" s="1"/>
  <c r="I75" i="6" s="1"/>
  <c r="I81" i="21"/>
  <c r="J81" i="21" s="1"/>
  <c r="I81" i="6" s="1"/>
  <c r="J81" i="6" s="1"/>
  <c r="I111" i="21"/>
  <c r="J111" i="21"/>
  <c r="I111" i="6" s="1"/>
  <c r="J111" i="6" s="1"/>
  <c r="M111" i="6" s="1"/>
  <c r="N623" i="6"/>
  <c r="O1279" i="6"/>
  <c r="M1225" i="6"/>
  <c r="J1233" i="6"/>
  <c r="N912" i="6"/>
  <c r="M912" i="6"/>
  <c r="M916" i="6"/>
  <c r="M920" i="6"/>
  <c r="M924" i="6"/>
  <c r="N924" i="6"/>
  <c r="M1505" i="6"/>
  <c r="N1505" i="6"/>
  <c r="P1513" i="6"/>
  <c r="O1521" i="6"/>
  <c r="J1521" i="6"/>
  <c r="M1552" i="6"/>
  <c r="M1560" i="6"/>
  <c r="M530" i="6"/>
  <c r="M534" i="6"/>
  <c r="N549" i="6"/>
  <c r="M549" i="6"/>
  <c r="N553" i="6"/>
  <c r="M553" i="6"/>
  <c r="M600" i="6"/>
  <c r="N600" i="6"/>
  <c r="M604" i="6"/>
  <c r="M861" i="6"/>
  <c r="M877" i="6"/>
  <c r="N877" i="6"/>
  <c r="M358" i="6"/>
  <c r="N1478" i="6"/>
  <c r="M1478" i="6"/>
  <c r="N1482" i="6"/>
  <c r="M1482" i="6"/>
  <c r="J834" i="6"/>
  <c r="O834" i="6"/>
  <c r="M1595" i="6"/>
  <c r="N366" i="6"/>
  <c r="M1155" i="6"/>
  <c r="M1179" i="6"/>
  <c r="O254" i="6"/>
  <c r="N269" i="6"/>
  <c r="N289" i="6"/>
  <c r="J252" i="21"/>
  <c r="P167" i="6"/>
  <c r="N1050" i="6"/>
  <c r="M1050" i="6"/>
  <c r="O1058" i="6"/>
  <c r="O1089" i="6"/>
  <c r="J1089" i="6"/>
  <c r="J1093" i="6"/>
  <c r="O1093" i="6"/>
  <c r="M1132" i="6"/>
  <c r="P231" i="6"/>
  <c r="R231" i="6"/>
  <c r="S231" i="6" s="1"/>
  <c r="T231" i="6" s="1"/>
  <c r="M783" i="6"/>
  <c r="N783" i="6"/>
  <c r="Q783" i="6" s="1"/>
  <c r="U783" i="6" s="1"/>
  <c r="M791" i="6"/>
  <c r="N791" i="6"/>
  <c r="I258" i="21"/>
  <c r="J258" i="21" s="1"/>
  <c r="N1579" i="6"/>
  <c r="M1579" i="6"/>
  <c r="N1587" i="6"/>
  <c r="M1591" i="6"/>
  <c r="N1591" i="6"/>
  <c r="N362" i="6"/>
  <c r="M1587" i="6"/>
  <c r="P59" i="6"/>
  <c r="N59" i="6"/>
  <c r="N70" i="6"/>
  <c r="M1419" i="6"/>
  <c r="N1423" i="6"/>
  <c r="M1423" i="6"/>
  <c r="M1439" i="6"/>
  <c r="N1439" i="6"/>
  <c r="N195" i="6"/>
  <c r="R195" i="6"/>
  <c r="S195" i="6" s="1"/>
  <c r="T195" i="6" s="1"/>
  <c r="N199" i="6"/>
  <c r="N207" i="6"/>
  <c r="N211" i="6"/>
  <c r="M211" i="6"/>
  <c r="M1267" i="6"/>
  <c r="N1599" i="6"/>
  <c r="I751" i="21"/>
  <c r="J751" i="21" s="1"/>
  <c r="M685" i="6"/>
  <c r="O697" i="6"/>
  <c r="N728" i="6"/>
  <c r="M732" i="6"/>
  <c r="N1607" i="6"/>
  <c r="I524" i="21"/>
  <c r="J524" i="21" s="1"/>
  <c r="M1368" i="6"/>
  <c r="N1368" i="6"/>
  <c r="N1372" i="6"/>
  <c r="M1380" i="6"/>
  <c r="N1380" i="6"/>
  <c r="N1384" i="6"/>
  <c r="N1388" i="6"/>
  <c r="M1392" i="6"/>
  <c r="I843" i="21"/>
  <c r="J843" i="21" s="1"/>
  <c r="I849" i="21"/>
  <c r="J849" i="21"/>
  <c r="I855" i="21"/>
  <c r="J855" i="21" s="1"/>
  <c r="I861" i="21"/>
  <c r="J861" i="21"/>
  <c r="I867" i="21"/>
  <c r="J867" i="21" s="1"/>
  <c r="N451" i="6"/>
  <c r="N1583" i="6"/>
  <c r="I411" i="21"/>
  <c r="J411" i="21" s="1"/>
  <c r="I423" i="21"/>
  <c r="J423" i="21"/>
  <c r="I435" i="21"/>
  <c r="J435" i="21" s="1"/>
  <c r="I441" i="21"/>
  <c r="J441" i="21"/>
  <c r="I453" i="21"/>
  <c r="J453" i="21" s="1"/>
  <c r="M1341" i="6"/>
  <c r="N1341" i="6"/>
  <c r="M1630" i="6"/>
  <c r="M1638" i="6"/>
  <c r="N1638" i="6"/>
  <c r="M405" i="6"/>
  <c r="M413" i="6"/>
  <c r="M417" i="6"/>
  <c r="M424" i="6"/>
  <c r="N424" i="6"/>
  <c r="N432" i="6"/>
  <c r="I275" i="21"/>
  <c r="J275" i="21" s="1"/>
  <c r="I293" i="21"/>
  <c r="J293" i="21" s="1"/>
  <c r="J382" i="6"/>
  <c r="P398" i="6"/>
  <c r="Q398" i="6" s="1"/>
  <c r="U398" i="6" s="1"/>
  <c r="R143" i="6"/>
  <c r="P326" i="6"/>
  <c r="M316" i="6"/>
  <c r="N889" i="6"/>
  <c r="N243" i="6"/>
  <c r="N375" i="6"/>
  <c r="M459" i="6"/>
  <c r="M474" i="6"/>
  <c r="J174" i="6"/>
  <c r="M174" i="6"/>
  <c r="N217" i="6"/>
  <c r="M606" i="6"/>
  <c r="N622" i="6"/>
  <c r="M677" i="6"/>
  <c r="N684" i="6"/>
  <c r="N782" i="6"/>
  <c r="R63" i="6"/>
  <c r="P195" i="6"/>
  <c r="N315" i="6"/>
  <c r="R458" i="6"/>
  <c r="S458" i="6" s="1"/>
  <c r="T458" i="6" s="1"/>
  <c r="P534" i="6"/>
  <c r="M821" i="6"/>
  <c r="N966" i="6"/>
  <c r="M1310" i="6"/>
  <c r="N330" i="6"/>
  <c r="O143" i="6"/>
  <c r="J143" i="6"/>
  <c r="M143" i="6"/>
  <c r="O1295" i="6"/>
  <c r="Q1295" i="6" s="1"/>
  <c r="U1295" i="6" s="1"/>
  <c r="N308" i="6"/>
  <c r="N480" i="6"/>
  <c r="M480" i="6"/>
  <c r="R515" i="6"/>
  <c r="S515" i="6" s="1"/>
  <c r="T515" i="6" s="1"/>
  <c r="I141" i="21"/>
  <c r="J141" i="21" s="1"/>
  <c r="N87" i="6"/>
  <c r="N1073" i="6"/>
  <c r="N1279" i="6"/>
  <c r="M1279" i="6"/>
  <c r="N928" i="6"/>
  <c r="M928" i="6"/>
  <c r="M1458" i="6"/>
  <c r="M204" i="6"/>
  <c r="N297" i="6"/>
  <c r="R418" i="6"/>
  <c r="S418" i="6" s="1"/>
  <c r="T418" i="6" s="1"/>
  <c r="P418" i="6"/>
  <c r="M425" i="6"/>
  <c r="J429" i="6"/>
  <c r="M429" i="6"/>
  <c r="F1705" i="6"/>
  <c r="C17" i="7" s="1"/>
  <c r="M978" i="6"/>
  <c r="M966" i="6"/>
  <c r="J493" i="21"/>
  <c r="I675" i="21"/>
  <c r="J675" i="21" s="1"/>
  <c r="I699" i="21"/>
  <c r="J699" i="21"/>
  <c r="I705" i="21"/>
  <c r="J705" i="21" s="1"/>
  <c r="I711" i="21"/>
  <c r="J711" i="21" s="1"/>
  <c r="J723" i="21"/>
  <c r="M1424" i="6"/>
  <c r="J1565" i="6"/>
  <c r="I71" i="21"/>
  <c r="J71" i="21" s="1"/>
  <c r="M1028" i="6"/>
  <c r="M1413" i="6"/>
  <c r="M189" i="6"/>
  <c r="M1318" i="6"/>
  <c r="I51" i="21"/>
  <c r="J51" i="21" s="1"/>
  <c r="I556" i="21"/>
  <c r="J556" i="21" s="1"/>
  <c r="I568" i="21"/>
  <c r="J568" i="21" s="1"/>
  <c r="I574" i="21"/>
  <c r="J574" i="21"/>
  <c r="I592" i="21"/>
  <c r="J592" i="21" s="1"/>
  <c r="I604" i="21"/>
  <c r="J604" i="21" s="1"/>
  <c r="N1024" i="6"/>
  <c r="M1024" i="6"/>
  <c r="N1204" i="6"/>
  <c r="M1204" i="6"/>
  <c r="M185" i="6"/>
  <c r="N590" i="6"/>
  <c r="R590" i="6"/>
  <c r="S590" i="6" s="1"/>
  <c r="T590" i="6" s="1"/>
  <c r="N710" i="6"/>
  <c r="M710" i="6"/>
  <c r="M714" i="6"/>
  <c r="M718" i="6"/>
  <c r="M974" i="6"/>
  <c r="M1626" i="6"/>
  <c r="N1318" i="6"/>
  <c r="N1310" i="6"/>
  <c r="I243" i="21"/>
  <c r="J243" i="21"/>
  <c r="I527" i="21"/>
  <c r="J527" i="21" s="1"/>
  <c r="O1185" i="6"/>
  <c r="J1185" i="6"/>
  <c r="N368" i="6"/>
  <c r="O993" i="6"/>
  <c r="I13" i="21"/>
  <c r="J13" i="21"/>
  <c r="I13" i="6" s="1"/>
  <c r="I481" i="21"/>
  <c r="J481" i="21" s="1"/>
  <c r="I499" i="21"/>
  <c r="J499" i="21"/>
  <c r="M361" i="6"/>
  <c r="N970" i="6"/>
  <c r="N1363" i="6"/>
  <c r="I776" i="21"/>
  <c r="J776" i="21" s="1"/>
  <c r="I788" i="21"/>
  <c r="J788" i="21" s="1"/>
  <c r="J249" i="6"/>
  <c r="M1108" i="6"/>
  <c r="M1112" i="6"/>
  <c r="N218" i="6"/>
  <c r="N222" i="6"/>
  <c r="M222" i="6"/>
  <c r="M226" i="6"/>
  <c r="J350" i="6"/>
  <c r="M626" i="6"/>
  <c r="N626" i="6"/>
  <c r="N630" i="6"/>
  <c r="M630" i="6"/>
  <c r="P630" i="6"/>
  <c r="M354" i="6"/>
  <c r="R434" i="6"/>
  <c r="S434" i="6" s="1"/>
  <c r="T434" i="6" s="1"/>
  <c r="M602" i="6"/>
  <c r="N764" i="6"/>
  <c r="Q764" i="6" s="1"/>
  <c r="U764" i="6" s="1"/>
  <c r="O918" i="6"/>
  <c r="N466" i="6"/>
  <c r="N595" i="6"/>
  <c r="M377" i="6"/>
  <c r="M796" i="6"/>
  <c r="N647" i="6"/>
  <c r="M689" i="6"/>
  <c r="N743" i="6"/>
  <c r="J116" i="21"/>
  <c r="I116" i="6" s="1"/>
  <c r="M184" i="6"/>
  <c r="N651" i="6"/>
  <c r="O211" i="6"/>
  <c r="M240" i="6"/>
  <c r="N278" i="6"/>
  <c r="N296" i="6"/>
  <c r="N367" i="6"/>
  <c r="P222" i="6"/>
  <c r="O259" i="6"/>
  <c r="N333" i="6"/>
  <c r="P590" i="6"/>
  <c r="M748" i="6"/>
  <c r="O790" i="6"/>
  <c r="I254" i="21"/>
  <c r="J254" i="21" s="1"/>
  <c r="I295" i="21"/>
  <c r="J295" i="21" s="1"/>
  <c r="I740" i="21"/>
  <c r="J740" i="21" s="1"/>
  <c r="M946" i="6"/>
  <c r="N946" i="6"/>
  <c r="M954" i="6"/>
  <c r="P954" i="6"/>
  <c r="N958" i="6"/>
  <c r="R1077" i="6"/>
  <c r="S1077" i="6" s="1"/>
  <c r="T1077" i="6" s="1"/>
  <c r="N1084" i="6"/>
  <c r="R1215" i="6"/>
  <c r="S1215" i="6" s="1"/>
  <c r="T1215" i="6" s="1"/>
  <c r="M1447" i="6"/>
  <c r="N1447" i="6"/>
  <c r="M1450" i="6"/>
  <c r="O200" i="6"/>
  <c r="J383" i="6"/>
  <c r="M383" i="6"/>
  <c r="O383" i="6"/>
  <c r="N386" i="6"/>
  <c r="N541" i="6"/>
  <c r="M541" i="6"/>
  <c r="M687" i="6"/>
  <c r="N687" i="6"/>
  <c r="I301" i="21"/>
  <c r="J301" i="21" s="1"/>
  <c r="I532" i="21"/>
  <c r="J532" i="21"/>
  <c r="I544" i="21"/>
  <c r="J544" i="21" s="1"/>
  <c r="I729" i="21"/>
  <c r="J729" i="21" s="1"/>
  <c r="I752" i="21"/>
  <c r="J752" i="21" s="1"/>
  <c r="P163" i="6"/>
  <c r="M1138" i="6"/>
  <c r="M1329" i="6"/>
  <c r="N1329" i="6"/>
  <c r="M1344" i="6"/>
  <c r="I859" i="21"/>
  <c r="J859" i="21" s="1"/>
  <c r="M268" i="6"/>
  <c r="M448" i="6"/>
  <c r="N448" i="6"/>
  <c r="M680" i="6"/>
  <c r="N680" i="6"/>
  <c r="N849" i="6"/>
  <c r="M1260" i="6"/>
  <c r="N1260" i="6"/>
  <c r="P103" i="6"/>
  <c r="M958" i="6"/>
  <c r="R1344" i="6"/>
  <c r="S1344" i="6" s="1"/>
  <c r="T1344" i="6" s="1"/>
  <c r="N954" i="6"/>
  <c r="M669" i="6"/>
  <c r="N669" i="6"/>
  <c r="I216" i="21"/>
  <c r="J216" i="21" s="1"/>
  <c r="I222" i="21"/>
  <c r="J222" i="21" s="1"/>
  <c r="I447" i="21"/>
  <c r="J447" i="21" s="1"/>
  <c r="N257" i="6"/>
  <c r="O654" i="6"/>
  <c r="J654" i="6"/>
  <c r="I19" i="21"/>
  <c r="J19" i="21" s="1"/>
  <c r="I19" i="6" s="1"/>
  <c r="J19" i="6" s="1"/>
  <c r="M19" i="6" s="1"/>
  <c r="I701" i="21"/>
  <c r="J701" i="21"/>
  <c r="M250" i="6"/>
  <c r="J884" i="6"/>
  <c r="I85" i="21"/>
  <c r="J85" i="21"/>
  <c r="I85" i="6" s="1"/>
  <c r="J85" i="6" s="1"/>
  <c r="M85" i="6" s="1"/>
  <c r="J419" i="21"/>
  <c r="J554" i="21"/>
  <c r="I316" i="21"/>
  <c r="J316" i="21"/>
  <c r="N352" i="6"/>
  <c r="I644" i="21"/>
  <c r="J644" i="21" s="1"/>
  <c r="I650" i="21"/>
  <c r="J650" i="21"/>
  <c r="O214" i="6"/>
  <c r="M214" i="6"/>
  <c r="J91" i="21"/>
  <c r="I91" i="6"/>
  <c r="J91" i="6" s="1"/>
  <c r="J638" i="21"/>
  <c r="I317" i="21"/>
  <c r="J317" i="21"/>
  <c r="N397" i="6"/>
  <c r="M633" i="6"/>
  <c r="N633" i="6"/>
  <c r="M859" i="6"/>
  <c r="N859" i="6"/>
  <c r="J465" i="21"/>
  <c r="I549" i="21"/>
  <c r="J549" i="21" s="1"/>
  <c r="I768" i="21"/>
  <c r="J768" i="21" s="1"/>
  <c r="N468" i="6"/>
  <c r="M308" i="6"/>
  <c r="N349" i="6"/>
  <c r="Q349" i="6" s="1"/>
  <c r="U349" i="6" s="1"/>
  <c r="N513" i="6"/>
  <c r="N644" i="6"/>
  <c r="N831" i="6"/>
  <c r="M835" i="6"/>
  <c r="M272" i="6"/>
  <c r="M303" i="6"/>
  <c r="J378" i="6"/>
  <c r="M378" i="6"/>
  <c r="O499" i="6"/>
  <c r="J324" i="21"/>
  <c r="M269" i="6"/>
  <c r="M634" i="6"/>
  <c r="N758" i="6"/>
  <c r="P399" i="6"/>
  <c r="R478" i="6"/>
  <c r="S478" i="6" s="1"/>
  <c r="T478" i="6" s="1"/>
  <c r="P522" i="6"/>
  <c r="N536" i="6"/>
  <c r="M631" i="6"/>
  <c r="P227" i="6"/>
  <c r="N329" i="6"/>
  <c r="O463" i="6"/>
  <c r="M589" i="6"/>
  <c r="N807" i="6"/>
  <c r="J814" i="6"/>
  <c r="N861" i="6"/>
  <c r="M199" i="6"/>
  <c r="M307" i="6"/>
  <c r="O347" i="6"/>
  <c r="J515" i="6"/>
  <c r="M546" i="6"/>
  <c r="N604" i="6"/>
  <c r="N280" i="6"/>
  <c r="N433" i="6"/>
  <c r="J203" i="6"/>
  <c r="N341" i="6"/>
  <c r="N793" i="6"/>
  <c r="I643" i="21"/>
  <c r="J643" i="21"/>
  <c r="R123" i="6"/>
  <c r="P123" i="6"/>
  <c r="N166" i="6"/>
  <c r="J985" i="6"/>
  <c r="M992" i="6"/>
  <c r="N992" i="6"/>
  <c r="M1026" i="6"/>
  <c r="N1026" i="6"/>
  <c r="J1113" i="6"/>
  <c r="O1113" i="6"/>
  <c r="M1120" i="6"/>
  <c r="N1120" i="6"/>
  <c r="N1278" i="6"/>
  <c r="N1457" i="6"/>
  <c r="J1461" i="6"/>
  <c r="O1461" i="6"/>
  <c r="N636" i="6"/>
  <c r="M636" i="6"/>
  <c r="M698" i="6"/>
  <c r="N698" i="6"/>
  <c r="P842" i="6"/>
  <c r="R842" i="6"/>
  <c r="S842" i="6" s="1"/>
  <c r="T842" i="6" s="1"/>
  <c r="M1278" i="6"/>
  <c r="I418" i="21"/>
  <c r="J418" i="21" s="1"/>
  <c r="I757" i="21"/>
  <c r="J757" i="21" s="1"/>
  <c r="R170" i="6"/>
  <c r="S170" i="6" s="1"/>
  <c r="T170" i="6" s="1"/>
  <c r="R1095" i="6"/>
  <c r="S1095" i="6" s="1"/>
  <c r="T1095" i="6" s="1"/>
  <c r="P1203" i="6"/>
  <c r="N1418" i="6"/>
  <c r="M1418" i="6"/>
  <c r="N437" i="6"/>
  <c r="M437" i="6"/>
  <c r="M455" i="6"/>
  <c r="P455" i="6"/>
  <c r="I649" i="21"/>
  <c r="J649" i="21" s="1"/>
  <c r="H99" i="6"/>
  <c r="P99" i="6" s="1"/>
  <c r="M1073" i="6"/>
  <c r="P647" i="6"/>
  <c r="O1333" i="6"/>
  <c r="I96" i="21"/>
  <c r="J96" i="21" s="1"/>
  <c r="I96" i="6" s="1"/>
  <c r="J96" i="6" s="1"/>
  <c r="M96" i="6" s="1"/>
  <c r="I154" i="21"/>
  <c r="J154" i="21" s="1"/>
  <c r="I223" i="21"/>
  <c r="J223" i="21" s="1"/>
  <c r="I312" i="21"/>
  <c r="J312" i="21" s="1"/>
  <c r="I500" i="21"/>
  <c r="J500" i="21" s="1"/>
  <c r="I567" i="21"/>
  <c r="J567" i="21"/>
  <c r="I573" i="21"/>
  <c r="J573" i="21" s="1"/>
  <c r="I53" i="21"/>
  <c r="J53" i="21" s="1"/>
  <c r="I53" i="6" s="1"/>
  <c r="I692" i="21"/>
  <c r="J692" i="21" s="1"/>
  <c r="I742" i="21"/>
  <c r="J742" i="21" s="1"/>
  <c r="J26" i="21"/>
  <c r="I26" i="6"/>
  <c r="O26" i="6" s="1"/>
  <c r="I404" i="21"/>
  <c r="J404" i="21" s="1"/>
  <c r="I478" i="21"/>
  <c r="J478" i="21"/>
  <c r="I399" i="21"/>
  <c r="J399" i="21" s="1"/>
  <c r="I534" i="21"/>
  <c r="J534" i="21" s="1"/>
  <c r="I687" i="21"/>
  <c r="J687" i="21" s="1"/>
  <c r="I135" i="21"/>
  <c r="J135" i="21" s="1"/>
  <c r="I135" i="6" s="1"/>
  <c r="I188" i="21"/>
  <c r="J188" i="21"/>
  <c r="I198" i="21"/>
  <c r="J198" i="21" s="1"/>
  <c r="I39" i="21"/>
  <c r="J39" i="21" s="1"/>
  <c r="I39" i="6"/>
  <c r="J39" i="6" s="1"/>
  <c r="M39" i="6" s="1"/>
  <c r="I525" i="21"/>
  <c r="J525" i="21"/>
  <c r="I665" i="21"/>
  <c r="J665" i="21" s="1"/>
  <c r="I722" i="21"/>
  <c r="J722" i="21" s="1"/>
  <c r="I279" i="21"/>
  <c r="J279" i="21" s="1"/>
  <c r="I767" i="21"/>
  <c r="J767" i="21" s="1"/>
  <c r="I274" i="21"/>
  <c r="J274" i="21" s="1"/>
  <c r="I385" i="21"/>
  <c r="J385" i="21" s="1"/>
  <c r="I654" i="21"/>
  <c r="J654" i="21" s="1"/>
  <c r="J449" i="21"/>
  <c r="M619" i="6"/>
  <c r="N619" i="6"/>
  <c r="N757" i="6"/>
  <c r="M757" i="6"/>
  <c r="J237" i="21"/>
  <c r="J112" i="21"/>
  <c r="I112" i="6" s="1"/>
  <c r="J112" i="6" s="1"/>
  <c r="M112" i="6" s="1"/>
  <c r="M357" i="6"/>
  <c r="O549" i="6"/>
  <c r="N667" i="6"/>
  <c r="M667" i="6"/>
  <c r="J597" i="6"/>
  <c r="O642" i="6"/>
  <c r="J642" i="6"/>
  <c r="J782" i="6"/>
  <c r="J270" i="6"/>
  <c r="M270" i="6"/>
  <c r="N267" i="6"/>
  <c r="N314" i="6"/>
  <c r="M314" i="6"/>
  <c r="M760" i="6"/>
  <c r="N760" i="6"/>
  <c r="M845" i="6"/>
  <c r="N845" i="6"/>
  <c r="N869" i="6"/>
  <c r="M869" i="6"/>
  <c r="O309" i="6"/>
  <c r="O434" i="6"/>
  <c r="O910" i="6"/>
  <c r="J934" i="6"/>
  <c r="M293" i="6"/>
  <c r="M265" i="6"/>
  <c r="N295" i="6"/>
  <c r="M301" i="6"/>
  <c r="N364" i="6"/>
  <c r="J802" i="6"/>
  <c r="M805" i="6"/>
  <c r="N886" i="6"/>
  <c r="M896" i="6"/>
  <c r="M246" i="6"/>
  <c r="M327" i="6"/>
  <c r="J373" i="6"/>
  <c r="J438" i="6"/>
  <c r="M438" i="6"/>
  <c r="M535" i="6"/>
  <c r="R283" i="6"/>
  <c r="S283" i="6" s="1"/>
  <c r="T283" i="6" s="1"/>
  <c r="M288" i="6"/>
  <c r="M699" i="6"/>
  <c r="M728" i="6"/>
  <c r="M735" i="6"/>
  <c r="N802" i="6"/>
  <c r="M815" i="6"/>
  <c r="O187" i="6"/>
  <c r="N271" i="6"/>
  <c r="M291" i="6"/>
  <c r="J302" i="6"/>
  <c r="M302" i="6"/>
  <c r="N371" i="6"/>
  <c r="J398" i="6"/>
  <c r="N441" i="6"/>
  <c r="M469" i="6"/>
  <c r="M512" i="6"/>
  <c r="M550" i="6"/>
  <c r="M576" i="6"/>
  <c r="M592" i="6"/>
  <c r="M652" i="6"/>
  <c r="J722" i="6"/>
  <c r="O862" i="6"/>
  <c r="M868" i="6"/>
  <c r="M881" i="6"/>
  <c r="O190" i="6"/>
  <c r="N250" i="6"/>
  <c r="J283" i="6"/>
  <c r="M283" i="6"/>
  <c r="N405" i="6"/>
  <c r="M632" i="6"/>
  <c r="O662" i="6"/>
  <c r="M691" i="6"/>
  <c r="N715" i="6"/>
  <c r="M806" i="6"/>
  <c r="N920" i="6"/>
  <c r="O926" i="6"/>
  <c r="O930" i="6"/>
  <c r="N510" i="6"/>
  <c r="M560" i="6"/>
  <c r="M580" i="6"/>
  <c r="M615" i="6"/>
  <c r="J650" i="6"/>
  <c r="J702" i="6"/>
  <c r="M173" i="6"/>
  <c r="N221" i="6"/>
  <c r="J278" i="6"/>
  <c r="M278" i="6"/>
  <c r="M294" i="6"/>
  <c r="O328" i="6"/>
  <c r="M402" i="6"/>
  <c r="O630" i="6"/>
  <c r="M638" i="6"/>
  <c r="N697" i="6"/>
  <c r="N746" i="6"/>
  <c r="N770" i="6"/>
  <c r="N841" i="6"/>
  <c r="M206" i="6"/>
  <c r="P275" i="6"/>
  <c r="O294" i="6"/>
  <c r="P306" i="6"/>
  <c r="R390" i="6"/>
  <c r="S390" i="6" s="1"/>
  <c r="T390" i="6" s="1"/>
  <c r="O420" i="6"/>
  <c r="N473" i="6"/>
  <c r="M660" i="6"/>
  <c r="N685" i="6"/>
  <c r="M882" i="6"/>
  <c r="M338" i="6"/>
  <c r="J571" i="6"/>
  <c r="N898" i="6"/>
  <c r="N933" i="6"/>
  <c r="I203" i="21"/>
  <c r="J203" i="21" s="1"/>
  <c r="I468" i="21"/>
  <c r="J468" i="21" s="1"/>
  <c r="I504" i="21"/>
  <c r="J504" i="21"/>
  <c r="I717" i="21"/>
  <c r="J717" i="21" s="1"/>
  <c r="M159" i="6"/>
  <c r="N311" i="6"/>
  <c r="M311" i="6"/>
  <c r="M329" i="6"/>
  <c r="N159" i="6"/>
  <c r="I579" i="21"/>
  <c r="J579" i="21" s="1"/>
  <c r="I732" i="21"/>
  <c r="J732" i="21" s="1"/>
  <c r="N1501" i="6"/>
  <c r="M1501" i="6"/>
  <c r="I758" i="21"/>
  <c r="J758" i="21" s="1"/>
  <c r="I251" i="21"/>
  <c r="J251" i="21"/>
  <c r="I11" i="21"/>
  <c r="J11" i="21" s="1"/>
  <c r="I11" i="6" s="1"/>
  <c r="J11" i="6" s="1"/>
  <c r="M11" i="6" s="1"/>
  <c r="J247" i="21"/>
  <c r="J543" i="21"/>
  <c r="J508" i="21"/>
  <c r="I287" i="21"/>
  <c r="J287" i="21" s="1"/>
  <c r="J168" i="21"/>
  <c r="J224" i="21"/>
  <c r="J706" i="21"/>
  <c r="N326" i="6"/>
  <c r="O421" i="6"/>
  <c r="N223" i="6"/>
  <c r="J284" i="21"/>
  <c r="N276" i="6"/>
  <c r="N323" i="6"/>
  <c r="M323" i="6"/>
  <c r="J162" i="21"/>
  <c r="J357" i="21"/>
  <c r="M193" i="6"/>
  <c r="M234" i="6"/>
  <c r="N234" i="6"/>
  <c r="J681" i="21"/>
  <c r="J715" i="21"/>
  <c r="N181" i="6"/>
  <c r="M181" i="6"/>
  <c r="J69" i="21"/>
  <c r="O218" i="6"/>
  <c r="J218" i="6"/>
  <c r="J270" i="21"/>
  <c r="M200" i="6"/>
  <c r="N200" i="6"/>
  <c r="J191" i="6"/>
  <c r="O191" i="6"/>
  <c r="J771" i="21"/>
  <c r="O198" i="6"/>
  <c r="J198" i="6"/>
  <c r="M198" i="6"/>
  <c r="N242" i="6"/>
  <c r="J851" i="21"/>
  <c r="M195" i="6"/>
  <c r="N209" i="6"/>
  <c r="N252" i="6"/>
  <c r="M262" i="6"/>
  <c r="O318" i="6"/>
  <c r="P321" i="6"/>
  <c r="N505" i="6"/>
  <c r="M505" i="6"/>
  <c r="N582" i="6"/>
  <c r="M582" i="6"/>
  <c r="P270" i="6"/>
  <c r="Q270" i="6" s="1"/>
  <c r="U270" i="6" s="1"/>
  <c r="N342" i="6"/>
  <c r="M342" i="6"/>
  <c r="N391" i="6"/>
  <c r="J432" i="6"/>
  <c r="M444" i="6"/>
  <c r="R479" i="6"/>
  <c r="S479" i="6" s="1"/>
  <c r="T479" i="6" s="1"/>
  <c r="N521" i="6"/>
  <c r="M521" i="6"/>
  <c r="M552" i="6"/>
  <c r="N552" i="6"/>
  <c r="M205" i="6"/>
  <c r="P210" i="6"/>
  <c r="N214" i="6"/>
  <c r="O230" i="6"/>
  <c r="O274" i="6"/>
  <c r="O307" i="6"/>
  <c r="N361" i="6"/>
  <c r="M453" i="6"/>
  <c r="J822" i="6"/>
  <c r="O822" i="6"/>
  <c r="O830" i="6"/>
  <c r="J830" i="6"/>
  <c r="N910" i="6"/>
  <c r="J256" i="6"/>
  <c r="M256" i="6"/>
  <c r="J806" i="6"/>
  <c r="O806" i="6"/>
  <c r="J362" i="6"/>
  <c r="N532" i="6"/>
  <c r="M532" i="6"/>
  <c r="N556" i="6"/>
  <c r="M556" i="6"/>
  <c r="N887" i="6"/>
  <c r="R174" i="6"/>
  <c r="S174" i="6" s="1"/>
  <c r="T174" i="6" s="1"/>
  <c r="N210" i="6"/>
  <c r="N258" i="6"/>
  <c r="N319" i="6"/>
  <c r="N359" i="6"/>
  <c r="Q359" i="6" s="1"/>
  <c r="U359" i="6" s="1"/>
  <c r="N185" i="6"/>
  <c r="N194" i="6"/>
  <c r="N208" i="6"/>
  <c r="J244" i="6"/>
  <c r="M244" i="6"/>
  <c r="M248" i="6"/>
  <c r="M275" i="6"/>
  <c r="M296" i="6"/>
  <c r="N335" i="6"/>
  <c r="N350" i="6"/>
  <c r="M350" i="6"/>
  <c r="N416" i="6"/>
  <c r="M803" i="6"/>
  <c r="N803" i="6"/>
  <c r="M837" i="6"/>
  <c r="N837" i="6"/>
  <c r="O458" i="6"/>
  <c r="J458" i="6"/>
  <c r="N526" i="6"/>
  <c r="M526" i="6"/>
  <c r="M533" i="6"/>
  <c r="N533" i="6"/>
  <c r="M756" i="6"/>
  <c r="N756" i="6"/>
  <c r="O898" i="6"/>
  <c r="J898" i="6"/>
  <c r="N174" i="6"/>
  <c r="J202" i="6"/>
  <c r="R242" i="6"/>
  <c r="S242" i="6" s="1"/>
  <c r="T242" i="6" s="1"/>
  <c r="O275" i="6"/>
  <c r="N413" i="6"/>
  <c r="M423" i="6"/>
  <c r="N423" i="6"/>
  <c r="N516" i="6"/>
  <c r="O778" i="6"/>
  <c r="J778" i="6"/>
  <c r="R1336" i="6"/>
  <c r="S1336" i="6" s="1"/>
  <c r="T1336" i="6" s="1"/>
  <c r="O390" i="6"/>
  <c r="M390" i="6"/>
  <c r="J410" i="6"/>
  <c r="O410" i="6"/>
  <c r="O527" i="6"/>
  <c r="J527" i="6"/>
  <c r="O710" i="6"/>
  <c r="J710" i="6"/>
  <c r="J326" i="6"/>
  <c r="M326" i="6"/>
  <c r="J331" i="6"/>
  <c r="M331" i="6"/>
  <c r="N491" i="6"/>
  <c r="M491" i="6"/>
  <c r="N564" i="6"/>
  <c r="M564" i="6"/>
  <c r="N730" i="6"/>
  <c r="M497" i="6"/>
  <c r="N822" i="6"/>
  <c r="M398" i="6"/>
  <c r="M843" i="6"/>
  <c r="J938" i="6"/>
  <c r="N348" i="6"/>
  <c r="M362" i="6"/>
  <c r="J379" i="6"/>
  <c r="M386" i="6"/>
  <c r="N390" i="6"/>
  <c r="M483" i="6"/>
  <c r="M495" i="6"/>
  <c r="M517" i="6"/>
  <c r="N530" i="6"/>
  <c r="N534" i="6"/>
  <c r="N569" i="6"/>
  <c r="J575" i="6"/>
  <c r="M598" i="6"/>
  <c r="N610" i="6"/>
  <c r="M642" i="6"/>
  <c r="M688" i="6"/>
  <c r="N705" i="6"/>
  <c r="Q705" i="6" s="1"/>
  <c r="U705" i="6" s="1"/>
  <c r="J754" i="6"/>
  <c r="M778" i="6"/>
  <c r="M799" i="6"/>
  <c r="N817" i="6"/>
  <c r="O870" i="6"/>
  <c r="O886" i="6"/>
  <c r="J511" i="6"/>
  <c r="M618" i="6"/>
  <c r="N744" i="6"/>
  <c r="O746" i="6"/>
  <c r="M776" i="6"/>
  <c r="M781" i="6"/>
  <c r="J794" i="6"/>
  <c r="M908" i="6"/>
  <c r="M381" i="6"/>
  <c r="J391" i="6"/>
  <c r="M391" i="6"/>
  <c r="M397" i="6"/>
  <c r="O409" i="6"/>
  <c r="M445" i="6"/>
  <c r="N447" i="6"/>
  <c r="N493" i="6"/>
  <c r="M542" i="6"/>
  <c r="M544" i="6"/>
  <c r="M583" i="6"/>
  <c r="J638" i="6"/>
  <c r="M751" i="6"/>
  <c r="N825" i="6"/>
  <c r="O838" i="6"/>
  <c r="M849" i="6"/>
  <c r="J854" i="6"/>
  <c r="O858" i="6"/>
  <c r="N865" i="6"/>
  <c r="R347" i="6"/>
  <c r="S347" i="6" s="1"/>
  <c r="T347" i="6" s="1"/>
  <c r="M395" i="6"/>
  <c r="P410" i="6"/>
  <c r="J433" i="6"/>
  <c r="M433" i="6"/>
  <c r="M488" i="6"/>
  <c r="N523" i="6"/>
  <c r="J706" i="6"/>
  <c r="M734" i="6"/>
  <c r="M742" i="6"/>
  <c r="P826" i="6"/>
  <c r="N888" i="6"/>
  <c r="M407" i="6"/>
  <c r="J491" i="6"/>
  <c r="M558" i="6"/>
  <c r="M568" i="6"/>
  <c r="O678" i="6"/>
  <c r="M711" i="6"/>
  <c r="O734" i="6"/>
  <c r="N789" i="6"/>
  <c r="M721" i="6"/>
  <c r="O730" i="6"/>
  <c r="N732" i="6"/>
  <c r="M740" i="6"/>
  <c r="R745" i="6"/>
  <c r="S745" i="6" s="1"/>
  <c r="T745" i="6" s="1"/>
  <c r="J758" i="6"/>
  <c r="M769" i="6"/>
  <c r="M810" i="6"/>
  <c r="N826" i="6"/>
  <c r="M897" i="6"/>
  <c r="N901" i="6"/>
  <c r="M904" i="6"/>
  <c r="J922" i="6"/>
  <c r="M421" i="6"/>
  <c r="M468" i="6"/>
  <c r="J487" i="6"/>
  <c r="R538" i="6"/>
  <c r="S538" i="6" s="1"/>
  <c r="T538" i="6" s="1"/>
  <c r="M641" i="6"/>
  <c r="M681" i="6"/>
  <c r="M709" i="6"/>
  <c r="N864" i="6"/>
  <c r="N895" i="6"/>
  <c r="N939" i="6"/>
  <c r="N357" i="6"/>
  <c r="N489" i="6"/>
  <c r="M514" i="6"/>
  <c r="N547" i="6"/>
  <c r="M584" i="6"/>
  <c r="N653" i="6"/>
  <c r="O666" i="6"/>
  <c r="N745" i="6"/>
  <c r="I68" i="21"/>
  <c r="J68" i="21" s="1"/>
  <c r="I68" i="6" s="1"/>
  <c r="I33" i="21"/>
  <c r="J33" i="21" s="1"/>
  <c r="I33" i="6" s="1"/>
  <c r="O33" i="6" s="1"/>
  <c r="I182" i="21"/>
  <c r="J182" i="21" s="1"/>
  <c r="I147" i="21"/>
  <c r="J147" i="21" s="1"/>
  <c r="I127" i="21"/>
  <c r="J127" i="21" s="1"/>
  <c r="I127" i="6" s="1"/>
  <c r="I302" i="21"/>
  <c r="J302" i="21" s="1"/>
  <c r="I318" i="21"/>
  <c r="J318" i="21"/>
  <c r="J305" i="21"/>
  <c r="J221" i="21"/>
  <c r="J202" i="21"/>
  <c r="I422" i="21"/>
  <c r="J422" i="21" s="1"/>
  <c r="I667" i="21"/>
  <c r="J667" i="21" s="1"/>
  <c r="I241" i="21"/>
  <c r="J241" i="21" s="1"/>
  <c r="I677" i="21"/>
  <c r="J677" i="21" s="1"/>
  <c r="I769" i="21"/>
  <c r="J769" i="21" s="1"/>
  <c r="I273" i="21"/>
  <c r="J273" i="21" s="1"/>
  <c r="I358" i="21"/>
  <c r="J358" i="21" s="1"/>
  <c r="I266" i="21"/>
  <c r="J266" i="21" s="1"/>
  <c r="J227" i="21"/>
  <c r="J328" i="21"/>
  <c r="J115" i="21"/>
  <c r="I115" i="6"/>
  <c r="O115" i="6" s="1"/>
  <c r="J32" i="21"/>
  <c r="I32" i="6" s="1"/>
  <c r="J560" i="21"/>
  <c r="J434" i="21"/>
  <c r="J652" i="21"/>
  <c r="N337" i="6"/>
  <c r="O343" i="6"/>
  <c r="J343" i="6"/>
  <c r="M343" i="6"/>
  <c r="N360" i="6"/>
  <c r="M360" i="6"/>
  <c r="O324" i="6"/>
  <c r="O192" i="6"/>
  <c r="M192" i="6"/>
  <c r="M183" i="6"/>
  <c r="O175" i="6"/>
  <c r="N204" i="6"/>
  <c r="N259" i="6"/>
  <c r="M259" i="6"/>
  <c r="M261" i="6"/>
  <c r="M492" i="6"/>
  <c r="N492" i="6"/>
  <c r="O698" i="6"/>
  <c r="J698" i="6"/>
  <c r="M177" i="6"/>
  <c r="N192" i="6"/>
  <c r="M229" i="6"/>
  <c r="N229" i="6"/>
  <c r="N235" i="6"/>
  <c r="J271" i="6"/>
  <c r="M271" i="6"/>
  <c r="J330" i="6"/>
  <c r="M330" i="6"/>
  <c r="R359" i="6"/>
  <c r="S359" i="6" s="1"/>
  <c r="T359" i="6" s="1"/>
  <c r="M317" i="6"/>
  <c r="N325" i="6"/>
  <c r="M325" i="6"/>
  <c r="O179" i="6"/>
  <c r="O182" i="6"/>
  <c r="J227" i="6"/>
  <c r="J242" i="6"/>
  <c r="M242" i="6"/>
  <c r="J260" i="6"/>
  <c r="M260" i="6"/>
  <c r="M281" i="6"/>
  <c r="N281" i="6"/>
  <c r="O333" i="6"/>
  <c r="P394" i="6"/>
  <c r="R394" i="6"/>
  <c r="S394" i="6" s="1"/>
  <c r="T394" i="6" s="1"/>
  <c r="M225" i="6"/>
  <c r="J236" i="6"/>
  <c r="M236" i="6"/>
  <c r="O236" i="6"/>
  <c r="M238" i="6"/>
  <c r="O228" i="6"/>
  <c r="M228" i="6"/>
  <c r="M387" i="6"/>
  <c r="N387" i="6"/>
  <c r="N507" i="6"/>
  <c r="M230" i="6"/>
  <c r="M232" i="6"/>
  <c r="N232" i="6"/>
  <c r="N376" i="6"/>
  <c r="M219" i="6"/>
  <c r="N228" i="6"/>
  <c r="R334" i="6"/>
  <c r="S334" i="6" s="1"/>
  <c r="T334" i="6" s="1"/>
  <c r="N396" i="6"/>
  <c r="M396" i="6"/>
  <c r="N414" i="6"/>
  <c r="M414" i="6"/>
  <c r="N499" i="6"/>
  <c r="M499" i="6"/>
  <c r="O310" i="6"/>
  <c r="N344" i="6"/>
  <c r="O403" i="6"/>
  <c r="N409" i="6"/>
  <c r="M409" i="6"/>
  <c r="M440" i="6"/>
  <c r="O513" i="6"/>
  <c r="M577" i="6"/>
  <c r="N577" i="6"/>
  <c r="O580" i="6"/>
  <c r="J356" i="6"/>
  <c r="M449" i="6"/>
  <c r="N449" i="6"/>
  <c r="M292" i="6"/>
  <c r="J349" i="6"/>
  <c r="M349" i="6"/>
  <c r="J359" i="6"/>
  <c r="M359" i="6"/>
  <c r="J427" i="6"/>
  <c r="O427" i="6"/>
  <c r="M539" i="6"/>
  <c r="N539" i="6"/>
  <c r="M345" i="6"/>
  <c r="M389" i="6"/>
  <c r="M404" i="6"/>
  <c r="N445" i="6"/>
  <c r="N566" i="6"/>
  <c r="M566" i="6"/>
  <c r="O332" i="6"/>
  <c r="N353" i="6"/>
  <c r="N410" i="6"/>
  <c r="O450" i="6"/>
  <c r="J450" i="6"/>
  <c r="J306" i="6"/>
  <c r="N399" i="6"/>
  <c r="O426" i="6"/>
  <c r="J426" i="6"/>
  <c r="M498" i="6"/>
  <c r="J604" i="6"/>
  <c r="M608" i="6"/>
  <c r="N608" i="6"/>
  <c r="O325" i="6"/>
  <c r="N411" i="6"/>
  <c r="M411" i="6"/>
  <c r="J480" i="6"/>
  <c r="O501" i="6"/>
  <c r="O532" i="6"/>
  <c r="M369" i="6"/>
  <c r="N428" i="6"/>
  <c r="N446" i="6"/>
  <c r="M487" i="6"/>
  <c r="M458" i="6"/>
  <c r="N465" i="6"/>
  <c r="M472" i="6"/>
  <c r="M614" i="6"/>
  <c r="N614" i="6"/>
  <c r="O632" i="6"/>
  <c r="M506" i="6"/>
  <c r="N621" i="6"/>
  <c r="M621" i="6"/>
  <c r="M570" i="6"/>
  <c r="N570" i="6"/>
  <c r="O672" i="6"/>
  <c r="M463" i="6"/>
  <c r="J503" i="6"/>
  <c r="M509" i="6"/>
  <c r="M520" i="6"/>
  <c r="N562" i="6"/>
  <c r="M562" i="6"/>
  <c r="M462" i="6"/>
  <c r="M476" i="6"/>
  <c r="M494" i="6"/>
  <c r="M500" i="6"/>
  <c r="M538" i="6"/>
  <c r="M567" i="6"/>
  <c r="N567" i="6"/>
  <c r="N650" i="6"/>
  <c r="M650" i="6"/>
  <c r="O646" i="6"/>
  <c r="J646" i="6"/>
  <c r="N701" i="6"/>
  <c r="M701" i="6"/>
  <c r="N522" i="6"/>
  <c r="O601" i="6"/>
  <c r="M666" i="6"/>
  <c r="M834" i="6"/>
  <c r="N834" i="6"/>
  <c r="N586" i="6"/>
  <c r="M586" i="6"/>
  <c r="O547" i="6"/>
  <c r="J547" i="6"/>
  <c r="O563" i="6"/>
  <c r="N629" i="6"/>
  <c r="M629" i="6"/>
  <c r="O572" i="6"/>
  <c r="O866" i="6"/>
  <c r="J866" i="6"/>
  <c r="O658" i="6"/>
  <c r="N688" i="6"/>
  <c r="N594" i="6"/>
  <c r="M624" i="6"/>
  <c r="M648" i="6"/>
  <c r="M661" i="6"/>
  <c r="J682" i="6"/>
  <c r="N720" i="6"/>
  <c r="O765" i="6"/>
  <c r="N848" i="6"/>
  <c r="M596" i="6"/>
  <c r="N616" i="6"/>
  <c r="M665" i="6"/>
  <c r="O674" i="6"/>
  <c r="N682" i="6"/>
  <c r="J690" i="6"/>
  <c r="M725" i="6"/>
  <c r="N765" i="6"/>
  <c r="M765" i="6"/>
  <c r="O774" i="6"/>
  <c r="J774" i="6"/>
  <c r="M574" i="6"/>
  <c r="M588" i="6"/>
  <c r="M593" i="6"/>
  <c r="J614" i="6"/>
  <c r="M671" i="6"/>
  <c r="J686" i="6"/>
  <c r="M733" i="6"/>
  <c r="J766" i="6"/>
  <c r="N818" i="6"/>
  <c r="M818" i="6"/>
  <c r="M867" i="6"/>
  <c r="N925" i="6"/>
  <c r="N670" i="6"/>
  <c r="N674" i="6"/>
  <c r="N686" i="6"/>
  <c r="N704" i="6"/>
  <c r="N739" i="6"/>
  <c r="M739" i="6"/>
  <c r="N795" i="6"/>
  <c r="M795" i="6"/>
  <c r="N851" i="6"/>
  <c r="M851" i="6"/>
  <c r="J861" i="6"/>
  <c r="N772" i="6"/>
  <c r="M772" i="6"/>
  <c r="J798" i="6"/>
  <c r="O798" i="6"/>
  <c r="Q798" i="6" s="1"/>
  <c r="U798" i="6" s="1"/>
  <c r="N876" i="6"/>
  <c r="M876" i="6"/>
  <c r="N738" i="6"/>
  <c r="Q738" i="6" s="1"/>
  <c r="U738" i="6" s="1"/>
  <c r="O745" i="6"/>
  <c r="N768" i="6"/>
  <c r="N775" i="6"/>
  <c r="M727" i="6"/>
  <c r="J742" i="6"/>
  <c r="M752" i="6"/>
  <c r="M787" i="6"/>
  <c r="J842" i="6"/>
  <c r="J850" i="6"/>
  <c r="M857" i="6"/>
  <c r="O714" i="6"/>
  <c r="M801" i="6"/>
  <c r="N847" i="6"/>
  <c r="J874" i="6"/>
  <c r="O906" i="6"/>
  <c r="J726" i="6"/>
  <c r="N794" i="6"/>
  <c r="J800" i="6"/>
  <c r="M833" i="6"/>
  <c r="M874" i="6"/>
  <c r="N714" i="6"/>
  <c r="J762" i="6"/>
  <c r="O810" i="6"/>
  <c r="N729" i="6"/>
  <c r="M747" i="6"/>
  <c r="M771" i="6"/>
  <c r="M773" i="6"/>
  <c r="J83" i="6"/>
  <c r="H1678" i="6"/>
  <c r="F1678" i="6"/>
  <c r="F1700" i="6"/>
  <c r="H1700" i="6"/>
  <c r="H1687" i="6"/>
  <c r="H1672" i="6"/>
  <c r="H1662" i="6"/>
  <c r="H1663" i="6"/>
  <c r="J43" i="21"/>
  <c r="I43" i="6" s="1"/>
  <c r="J132" i="21"/>
  <c r="I132" i="6" s="1"/>
  <c r="O132" i="6" s="1"/>
  <c r="P1033" i="6"/>
  <c r="P57" i="6"/>
  <c r="P1031" i="6"/>
  <c r="R1031" i="6"/>
  <c r="S1031" i="6" s="1"/>
  <c r="T1031" i="6" s="1"/>
  <c r="R1219" i="6"/>
  <c r="S1219" i="6" s="1"/>
  <c r="T1219" i="6" s="1"/>
  <c r="P111" i="6"/>
  <c r="R111" i="6"/>
  <c r="S111" i="6" s="1"/>
  <c r="T111" i="6" s="1"/>
  <c r="P894" i="6"/>
  <c r="P1276" i="6"/>
  <c r="R1312" i="6"/>
  <c r="S1312" i="6" s="1"/>
  <c r="T1312" i="6" s="1"/>
  <c r="P779" i="6"/>
  <c r="R779" i="6"/>
  <c r="S779" i="6" s="1"/>
  <c r="T779" i="6" s="1"/>
  <c r="P795" i="6"/>
  <c r="R795" i="6"/>
  <c r="S795" i="6" s="1"/>
  <c r="T795" i="6" s="1"/>
  <c r="P874" i="6"/>
  <c r="Q874" i="6" s="1"/>
  <c r="U874" i="6" s="1"/>
  <c r="R699" i="6"/>
  <c r="S699" i="6" s="1"/>
  <c r="T699" i="6" s="1"/>
  <c r="J133" i="21"/>
  <c r="I133" i="6" s="1"/>
  <c r="J134" i="21"/>
  <c r="I134" i="6" s="1"/>
  <c r="O134" i="6" s="1"/>
  <c r="R135" i="6"/>
  <c r="P135" i="6"/>
  <c r="P126" i="6"/>
  <c r="R126" i="6"/>
  <c r="P198" i="6"/>
  <c r="P205" i="6"/>
  <c r="Q205" i="6" s="1"/>
  <c r="U205" i="6" s="1"/>
  <c r="R205" i="6"/>
  <c r="S205" i="6" s="1"/>
  <c r="T205" i="6" s="1"/>
  <c r="R555" i="6"/>
  <c r="S555" i="6" s="1"/>
  <c r="T555" i="6" s="1"/>
  <c r="P555" i="6"/>
  <c r="P576" i="6"/>
  <c r="R596" i="6"/>
  <c r="S596" i="6" s="1"/>
  <c r="T596" i="6" s="1"/>
  <c r="R601" i="6"/>
  <c r="S601" i="6" s="1"/>
  <c r="T601" i="6" s="1"/>
  <c r="P601" i="6"/>
  <c r="R1239" i="6"/>
  <c r="S1239" i="6" s="1"/>
  <c r="T1239" i="6" s="1"/>
  <c r="P338" i="6"/>
  <c r="Q338" i="6" s="1"/>
  <c r="U338" i="6" s="1"/>
  <c r="R338" i="6"/>
  <c r="S338" i="6" s="1"/>
  <c r="T338" i="6" s="1"/>
  <c r="P37" i="6"/>
  <c r="R58" i="6"/>
  <c r="P58" i="6"/>
  <c r="R46" i="6"/>
  <c r="R291" i="6"/>
  <c r="S291" i="6" s="1"/>
  <c r="T291" i="6" s="1"/>
  <c r="P866" i="6"/>
  <c r="J99" i="21"/>
  <c r="I99" i="6" s="1"/>
  <c r="J99" i="6" s="1"/>
  <c r="R502" i="6"/>
  <c r="S502" i="6" s="1"/>
  <c r="T502" i="6" s="1"/>
  <c r="P1213" i="6"/>
  <c r="P635" i="6"/>
  <c r="R635" i="6"/>
  <c r="S635" i="6" s="1"/>
  <c r="T635" i="6" s="1"/>
  <c r="R926" i="6"/>
  <c r="S926" i="6" s="1"/>
  <c r="T926" i="6" s="1"/>
  <c r="P926" i="6"/>
  <c r="R1018" i="6"/>
  <c r="S1018" i="6" s="1"/>
  <c r="T1018" i="6" s="1"/>
  <c r="R294" i="6"/>
  <c r="S294" i="6" s="1"/>
  <c r="T294" i="6" s="1"/>
  <c r="P294" i="6"/>
  <c r="J137" i="21"/>
  <c r="I137" i="6" s="1"/>
  <c r="R886" i="6"/>
  <c r="S886" i="6" s="1"/>
  <c r="T886" i="6" s="1"/>
  <c r="P886" i="6"/>
  <c r="P730" i="6"/>
  <c r="R759" i="6"/>
  <c r="S759" i="6" s="1"/>
  <c r="T759" i="6" s="1"/>
  <c r="P759" i="6"/>
  <c r="P798" i="6"/>
  <c r="R798" i="6"/>
  <c r="S798" i="6" s="1"/>
  <c r="T798" i="6" s="1"/>
  <c r="P712" i="6"/>
  <c r="R712" i="6"/>
  <c r="S712" i="6" s="1"/>
  <c r="T712" i="6" s="1"/>
  <c r="P1619" i="6"/>
  <c r="R1623" i="6"/>
  <c r="S1623" i="6" s="1"/>
  <c r="T1623" i="6" s="1"/>
  <c r="P194" i="6"/>
  <c r="R194" i="6"/>
  <c r="S194" i="6" s="1"/>
  <c r="T194" i="6" s="1"/>
  <c r="R201" i="6"/>
  <c r="S201" i="6" s="1"/>
  <c r="T201" i="6" s="1"/>
  <c r="P201" i="6"/>
  <c r="R219" i="6"/>
  <c r="S219" i="6" s="1"/>
  <c r="T219" i="6" s="1"/>
  <c r="P314" i="6"/>
  <c r="R314" i="6"/>
  <c r="S314" i="6" s="1"/>
  <c r="T314" i="6" s="1"/>
  <c r="P381" i="6"/>
  <c r="R381" i="6"/>
  <c r="S381" i="6" s="1"/>
  <c r="T381" i="6" s="1"/>
  <c r="P406" i="6"/>
  <c r="R442" i="6"/>
  <c r="S442" i="6" s="1"/>
  <c r="T442" i="6" s="1"/>
  <c r="P442" i="6"/>
  <c r="R594" i="6"/>
  <c r="S594" i="6" s="1"/>
  <c r="T594" i="6" s="1"/>
  <c r="R1545" i="6"/>
  <c r="S1545" i="6" s="1"/>
  <c r="T1545" i="6" s="1"/>
  <c r="R1547" i="6"/>
  <c r="S1547" i="6" s="1"/>
  <c r="T1547" i="6" s="1"/>
  <c r="P1547" i="6"/>
  <c r="P142" i="6"/>
  <c r="R166" i="6"/>
  <c r="S166" i="6" s="1"/>
  <c r="T166" i="6" s="1"/>
  <c r="P166" i="6"/>
  <c r="P1000" i="6"/>
  <c r="R1002" i="6"/>
  <c r="S1002" i="6" s="1"/>
  <c r="T1002" i="6" s="1"/>
  <c r="P1030" i="6"/>
  <c r="R1049" i="6"/>
  <c r="S1049" i="6" s="1"/>
  <c r="T1049" i="6" s="1"/>
  <c r="R1114" i="6"/>
  <c r="S1114" i="6" s="1"/>
  <c r="T1114" i="6" s="1"/>
  <c r="P1139" i="6"/>
  <c r="R1139" i="6"/>
  <c r="S1139" i="6" s="1"/>
  <c r="T1139" i="6" s="1"/>
  <c r="R1184" i="6"/>
  <c r="S1184" i="6" s="1"/>
  <c r="T1184" i="6" s="1"/>
  <c r="P1359" i="6"/>
  <c r="R1359" i="6"/>
  <c r="S1359" i="6" s="1"/>
  <c r="T1359" i="6" s="1"/>
  <c r="R1377" i="6"/>
  <c r="S1377" i="6" s="1"/>
  <c r="T1377" i="6" s="1"/>
  <c r="P1377" i="6"/>
  <c r="P1457" i="6"/>
  <c r="P80" i="6"/>
  <c r="P18" i="6"/>
  <c r="R18" i="6"/>
  <c r="R23" i="6"/>
  <c r="P1005" i="6"/>
  <c r="P1115" i="6"/>
  <c r="Q1115" i="6" s="1"/>
  <c r="U1115" i="6" s="1"/>
  <c r="R1115" i="6"/>
  <c r="S1115" i="6" s="1"/>
  <c r="T1115" i="6" s="1"/>
  <c r="P117" i="6"/>
  <c r="R90" i="6"/>
  <c r="P71" i="6"/>
  <c r="R71" i="6"/>
  <c r="R1300" i="6"/>
  <c r="S1300" i="6" s="1"/>
  <c r="T1300" i="6" s="1"/>
  <c r="R318" i="6"/>
  <c r="S318" i="6" s="1"/>
  <c r="T318" i="6" s="1"/>
  <c r="R1173" i="6"/>
  <c r="S1173" i="6" s="1"/>
  <c r="T1173" i="6" s="1"/>
  <c r="R1437" i="6"/>
  <c r="S1437" i="6" s="1"/>
  <c r="T1437" i="6" s="1"/>
  <c r="R554" i="6"/>
  <c r="S554" i="6" s="1"/>
  <c r="T554" i="6" s="1"/>
  <c r="R571" i="6"/>
  <c r="S571" i="6" s="1"/>
  <c r="T571" i="6" s="1"/>
  <c r="P571" i="6"/>
  <c r="Q571" i="6" s="1"/>
  <c r="U571" i="6" s="1"/>
  <c r="R778" i="6"/>
  <c r="S778" i="6" s="1"/>
  <c r="T778" i="6" s="1"/>
  <c r="R722" i="6"/>
  <c r="S722" i="6" s="1"/>
  <c r="T722" i="6" s="1"/>
  <c r="R415" i="6"/>
  <c r="S415" i="6" s="1"/>
  <c r="T415" i="6" s="1"/>
  <c r="P415" i="6"/>
  <c r="Q415" i="6" s="1"/>
  <c r="U415" i="6" s="1"/>
  <c r="R539" i="6"/>
  <c r="S539" i="6" s="1"/>
  <c r="T539" i="6" s="1"/>
  <c r="R175" i="6"/>
  <c r="S175" i="6" s="1"/>
  <c r="T175" i="6" s="1"/>
  <c r="R186" i="6"/>
  <c r="S186" i="6" s="1"/>
  <c r="T186" i="6" s="1"/>
  <c r="R1060" i="6"/>
  <c r="S1060" i="6" s="1"/>
  <c r="T1060" i="6" s="1"/>
  <c r="P1060" i="6"/>
  <c r="R59" i="6"/>
  <c r="R1175" i="6"/>
  <c r="S1175" i="6" s="1"/>
  <c r="T1175" i="6" s="1"/>
  <c r="P1631" i="6"/>
  <c r="P1397" i="6"/>
  <c r="R1427" i="6"/>
  <c r="S1427" i="6" s="1"/>
  <c r="T1427" i="6" s="1"/>
  <c r="R222" i="6"/>
  <c r="S222" i="6" s="1"/>
  <c r="T222" i="6" s="1"/>
  <c r="R371" i="6"/>
  <c r="S371" i="6" s="1"/>
  <c r="T371" i="6" s="1"/>
  <c r="P1312" i="6"/>
  <c r="R1480" i="6"/>
  <c r="S1480" i="6" s="1"/>
  <c r="T1480" i="6" s="1"/>
  <c r="P1485" i="6"/>
  <c r="R1525" i="6"/>
  <c r="S1525" i="6" s="1"/>
  <c r="T1525" i="6" s="1"/>
  <c r="P318" i="6"/>
  <c r="R551" i="6"/>
  <c r="S551" i="6" s="1"/>
  <c r="T551" i="6" s="1"/>
  <c r="R673" i="6"/>
  <c r="S673" i="6" s="1"/>
  <c r="T673" i="6" s="1"/>
  <c r="P87" i="6"/>
  <c r="R87" i="6"/>
  <c r="H109" i="6"/>
  <c r="P109" i="6" s="1"/>
  <c r="J142" i="6"/>
  <c r="M142" i="6"/>
  <c r="O142" i="6"/>
  <c r="M157" i="6"/>
  <c r="P157" i="6"/>
  <c r="N157" i="6"/>
  <c r="O161" i="6"/>
  <c r="J161" i="6"/>
  <c r="N169" i="6"/>
  <c r="M169" i="6"/>
  <c r="N171" i="6"/>
  <c r="R171" i="6"/>
  <c r="S171" i="6" s="1"/>
  <c r="T171" i="6" s="1"/>
  <c r="M171" i="6"/>
  <c r="N943" i="6"/>
  <c r="N972" i="6"/>
  <c r="J994" i="6"/>
  <c r="M994" i="6"/>
  <c r="J1022" i="6"/>
  <c r="O1022" i="6"/>
  <c r="O1033" i="6"/>
  <c r="J1033" i="6"/>
  <c r="M1033" i="6"/>
  <c r="N1079" i="6"/>
  <c r="M1079" i="6"/>
  <c r="J1082" i="6"/>
  <c r="M1085" i="6"/>
  <c r="N1085" i="6"/>
  <c r="J1098" i="6"/>
  <c r="M1099" i="6"/>
  <c r="N1099" i="6"/>
  <c r="N1113" i="6"/>
  <c r="M1113" i="6"/>
  <c r="P1113" i="6"/>
  <c r="R1137" i="6"/>
  <c r="S1137" i="6" s="1"/>
  <c r="T1137" i="6" s="1"/>
  <c r="P1137" i="6"/>
  <c r="O1146" i="6"/>
  <c r="J1146" i="6"/>
  <c r="M1146" i="6"/>
  <c r="M1147" i="6"/>
  <c r="O1147" i="6"/>
  <c r="J1163" i="6"/>
  <c r="M1180" i="6"/>
  <c r="N1188" i="6"/>
  <c r="Q1188" i="6" s="1"/>
  <c r="U1188" i="6" s="1"/>
  <c r="M1188" i="6"/>
  <c r="N1192" i="6"/>
  <c r="M1192" i="6"/>
  <c r="N1198" i="6"/>
  <c r="M1198" i="6"/>
  <c r="M1203" i="6"/>
  <c r="M1205" i="6"/>
  <c r="N1205" i="6"/>
  <c r="N1224" i="6"/>
  <c r="M1224" i="6"/>
  <c r="J1317" i="6"/>
  <c r="O1317" i="6"/>
  <c r="N1320" i="6"/>
  <c r="M1320" i="6"/>
  <c r="M1349" i="6"/>
  <c r="N1349" i="6"/>
  <c r="N1358" i="6"/>
  <c r="M1358" i="6"/>
  <c r="J1362" i="6"/>
  <c r="R1405" i="6"/>
  <c r="S1405" i="6" s="1"/>
  <c r="T1405" i="6" s="1"/>
  <c r="M1405" i="6"/>
  <c r="N1406" i="6"/>
  <c r="M1406" i="6"/>
  <c r="N1430" i="6"/>
  <c r="M1430" i="6"/>
  <c r="N1431" i="6"/>
  <c r="R1431" i="6"/>
  <c r="S1431" i="6" s="1"/>
  <c r="T1431" i="6" s="1"/>
  <c r="N1452" i="6"/>
  <c r="M1453" i="6"/>
  <c r="J1457" i="6"/>
  <c r="M1459" i="6"/>
  <c r="N1459" i="6"/>
  <c r="M1494" i="6"/>
  <c r="N1494" i="6"/>
  <c r="M1519" i="6"/>
  <c r="M1542" i="6"/>
  <c r="N1542" i="6"/>
  <c r="N1560" i="6"/>
  <c r="J1573" i="6"/>
  <c r="O1573" i="6"/>
  <c r="J1590" i="6"/>
  <c r="M1602" i="6"/>
  <c r="N1602" i="6"/>
  <c r="M1603" i="6"/>
  <c r="N1603" i="6"/>
  <c r="O1609" i="6"/>
  <c r="M1610" i="6"/>
  <c r="N1610" i="6"/>
  <c r="M1611" i="6"/>
  <c r="P1611" i="6"/>
  <c r="N1611" i="6"/>
  <c r="O1616" i="6"/>
  <c r="J1616" i="6"/>
  <c r="M182" i="6"/>
  <c r="N182" i="6"/>
  <c r="J276" i="6"/>
  <c r="O276" i="6"/>
  <c r="P277" i="6"/>
  <c r="R277" i="6"/>
  <c r="S277" i="6" s="1"/>
  <c r="T277" i="6" s="1"/>
  <c r="R299" i="6"/>
  <c r="S299" i="6" s="1"/>
  <c r="T299" i="6" s="1"/>
  <c r="P834" i="6"/>
  <c r="R834" i="6"/>
  <c r="S834" i="6" s="1"/>
  <c r="T834" i="6" s="1"/>
  <c r="R838" i="6"/>
  <c r="S838" i="6" s="1"/>
  <c r="T838" i="6" s="1"/>
  <c r="J839" i="6"/>
  <c r="N850" i="6"/>
  <c r="N854" i="6"/>
  <c r="M854" i="6"/>
  <c r="P854" i="6"/>
  <c r="P858" i="6"/>
  <c r="R858" i="6"/>
  <c r="S858" i="6" s="1"/>
  <c r="T858" i="6" s="1"/>
  <c r="M870" i="6"/>
  <c r="R870" i="6"/>
  <c r="S870" i="6" s="1"/>
  <c r="T870" i="6" s="1"/>
  <c r="M871" i="6"/>
  <c r="N871" i="6"/>
  <c r="O900" i="6"/>
  <c r="Q900" i="6" s="1"/>
  <c r="U900" i="6" s="1"/>
  <c r="M913" i="6"/>
  <c r="N913" i="6"/>
  <c r="M914" i="6"/>
  <c r="R914" i="6"/>
  <c r="S914" i="6" s="1"/>
  <c r="T914" i="6" s="1"/>
  <c r="N934" i="6"/>
  <c r="M934" i="6"/>
  <c r="N937" i="6"/>
  <c r="M937" i="6"/>
  <c r="R141" i="6"/>
  <c r="N914" i="6"/>
  <c r="N872" i="6"/>
  <c r="M1431" i="6"/>
  <c r="O899" i="6"/>
  <c r="P914" i="6"/>
  <c r="J300" i="6"/>
  <c r="M300" i="6"/>
  <c r="P295" i="6"/>
  <c r="M935" i="6"/>
  <c r="P170" i="6"/>
  <c r="M170" i="6"/>
  <c r="R155" i="6"/>
  <c r="S155" i="6" s="1"/>
  <c r="T155" i="6" s="1"/>
  <c r="M873" i="6"/>
  <c r="M1363" i="6"/>
  <c r="P916" i="6"/>
  <c r="P897" i="6"/>
  <c r="R169" i="6"/>
  <c r="S169" i="6" s="1"/>
  <c r="T169" i="6" s="1"/>
  <c r="R182" i="6"/>
  <c r="S182" i="6" s="1"/>
  <c r="T182" i="6" s="1"/>
  <c r="P1029" i="6"/>
  <c r="N870" i="6"/>
  <c r="N836" i="6"/>
  <c r="M855" i="6"/>
  <c r="P870" i="6"/>
  <c r="M943" i="6"/>
  <c r="N1319" i="6"/>
  <c r="N1453" i="6"/>
  <c r="M1433" i="6"/>
  <c r="M1452" i="6"/>
  <c r="J942" i="6"/>
  <c r="M942" i="6"/>
  <c r="M828" i="6"/>
  <c r="O835" i="6"/>
  <c r="M277" i="6"/>
  <c r="J186" i="6"/>
  <c r="P171" i="6"/>
  <c r="N277" i="6"/>
  <c r="N1405" i="6"/>
  <c r="J1437" i="6"/>
  <c r="P937" i="6"/>
  <c r="O156" i="6"/>
  <c r="O148" i="6"/>
  <c r="J71" i="6"/>
  <c r="M71" i="6"/>
  <c r="N1350" i="6"/>
  <c r="M1434" i="6"/>
  <c r="N1046" i="6"/>
  <c r="M1046" i="6"/>
  <c r="N1077" i="6"/>
  <c r="M1077" i="6"/>
  <c r="O1127" i="6"/>
  <c r="M1144" i="6"/>
  <c r="N1144" i="6"/>
  <c r="M1396" i="6"/>
  <c r="N1396" i="6"/>
  <c r="N1518" i="6"/>
  <c r="M1518" i="6"/>
  <c r="M1588" i="6"/>
  <c r="N1629" i="6"/>
  <c r="M394" i="6"/>
  <c r="N394" i="6"/>
  <c r="P34" i="6"/>
  <c r="P94" i="6"/>
  <c r="R94" i="6"/>
  <c r="M1305" i="6"/>
  <c r="P1305" i="6"/>
  <c r="N1306" i="6"/>
  <c r="M202" i="6"/>
  <c r="P202" i="6"/>
  <c r="M346" i="6"/>
  <c r="R346" i="6"/>
  <c r="S346" i="6" s="1"/>
  <c r="T346" i="6" s="1"/>
  <c r="N355" i="6"/>
  <c r="M355" i="6"/>
  <c r="O430" i="6"/>
  <c r="J430" i="6"/>
  <c r="M430" i="6"/>
  <c r="J950" i="6"/>
  <c r="M950" i="6"/>
  <c r="O950" i="6"/>
  <c r="J1123" i="6"/>
  <c r="M1123" i="6"/>
  <c r="J1199" i="6"/>
  <c r="M1206" i="6"/>
  <c r="N1206" i="6"/>
  <c r="O1242" i="6"/>
  <c r="J1242" i="6"/>
  <c r="J1243" i="6"/>
  <c r="O1243" i="6"/>
  <c r="M1250" i="6"/>
  <c r="J1365" i="6"/>
  <c r="O1365" i="6"/>
  <c r="N1460" i="6"/>
  <c r="M1460" i="6"/>
  <c r="M1465" i="6"/>
  <c r="N1465" i="6"/>
  <c r="N1496" i="6"/>
  <c r="M1496" i="6"/>
  <c r="M1520" i="6"/>
  <c r="N1520" i="6"/>
  <c r="M1562" i="6"/>
  <c r="N1562" i="6"/>
  <c r="P1511" i="6"/>
  <c r="P1155" i="6"/>
  <c r="P1347" i="6"/>
  <c r="R274" i="6"/>
  <c r="S274" i="6" s="1"/>
  <c r="T274" i="6" s="1"/>
  <c r="R327" i="6"/>
  <c r="S327" i="6" s="1"/>
  <c r="T327" i="6" s="1"/>
  <c r="R978" i="6"/>
  <c r="S978" i="6" s="1"/>
  <c r="T978" i="6" s="1"/>
  <c r="P347" i="6"/>
  <c r="R423" i="6"/>
  <c r="S423" i="6" s="1"/>
  <c r="T423" i="6" s="1"/>
  <c r="P1293" i="6"/>
  <c r="R259" i="6"/>
  <c r="S259" i="6" s="1"/>
  <c r="T259" i="6" s="1"/>
  <c r="P301" i="6"/>
  <c r="R487" i="6"/>
  <c r="S487" i="6" s="1"/>
  <c r="T487" i="6" s="1"/>
  <c r="P843" i="6"/>
  <c r="R681" i="6"/>
  <c r="S681" i="6" s="1"/>
  <c r="T681" i="6" s="1"/>
  <c r="R719" i="6"/>
  <c r="S719" i="6" s="1"/>
  <c r="T719" i="6" s="1"/>
  <c r="P739" i="6"/>
  <c r="P771" i="6"/>
  <c r="P831" i="6"/>
  <c r="P910" i="6"/>
  <c r="R543" i="6"/>
  <c r="S543" i="6" s="1"/>
  <c r="T543" i="6" s="1"/>
  <c r="R709" i="6"/>
  <c r="S709" i="6" s="1"/>
  <c r="T709" i="6" s="1"/>
  <c r="R1085" i="6"/>
  <c r="S1085" i="6" s="1"/>
  <c r="T1085" i="6" s="1"/>
  <c r="P1038" i="6"/>
  <c r="Q1038" i="6" s="1"/>
  <c r="U1038" i="6" s="1"/>
  <c r="R1059" i="6"/>
  <c r="S1059" i="6" s="1"/>
  <c r="T1059" i="6" s="1"/>
  <c r="P1173" i="6"/>
  <c r="P178" i="6"/>
  <c r="R1223" i="6"/>
  <c r="S1223" i="6" s="1"/>
  <c r="T1223" i="6" s="1"/>
  <c r="R417" i="6"/>
  <c r="S417" i="6" s="1"/>
  <c r="T417" i="6" s="1"/>
  <c r="P503" i="6"/>
  <c r="P661" i="6"/>
  <c r="P453" i="6"/>
  <c r="P575" i="6"/>
  <c r="Q575" i="6" s="1"/>
  <c r="U575" i="6" s="1"/>
  <c r="P535" i="6"/>
  <c r="R854" i="6"/>
  <c r="S854" i="6" s="1"/>
  <c r="T854" i="6" s="1"/>
  <c r="P15" i="6"/>
  <c r="R1360" i="6"/>
  <c r="S1360" i="6" s="1"/>
  <c r="T1360" i="6" s="1"/>
  <c r="R1371" i="6"/>
  <c r="S1371" i="6" s="1"/>
  <c r="T1371" i="6" s="1"/>
  <c r="P1499" i="6"/>
  <c r="M254" i="6"/>
  <c r="N254" i="6"/>
  <c r="R399" i="6"/>
  <c r="S399" i="6" s="1"/>
  <c r="T399" i="6" s="1"/>
  <c r="P405" i="6"/>
  <c r="P407" i="6"/>
  <c r="R349" i="6"/>
  <c r="S349" i="6" s="1"/>
  <c r="T349" i="6" s="1"/>
  <c r="P387" i="6"/>
  <c r="P395" i="6"/>
  <c r="P458" i="6"/>
  <c r="P813" i="6"/>
  <c r="I30" i="21"/>
  <c r="J30" i="21" s="1"/>
  <c r="I30" i="6" s="1"/>
  <c r="I88" i="21"/>
  <c r="J88" i="21" s="1"/>
  <c r="I88" i="6" s="1"/>
  <c r="I192" i="21"/>
  <c r="J192" i="21"/>
  <c r="I228" i="21"/>
  <c r="J228" i="21" s="1"/>
  <c r="I271" i="21"/>
  <c r="J271" i="21" s="1"/>
  <c r="I294" i="21"/>
  <c r="J294" i="21"/>
  <c r="I378" i="21"/>
  <c r="J378" i="21"/>
  <c r="I514" i="21"/>
  <c r="J514" i="21"/>
  <c r="I603" i="21"/>
  <c r="J603" i="21"/>
  <c r="I631" i="21"/>
  <c r="J631" i="21" s="1"/>
  <c r="I678" i="21"/>
  <c r="J678" i="21"/>
  <c r="I87" i="21"/>
  <c r="J87" i="21"/>
  <c r="I191" i="21"/>
  <c r="J191" i="21"/>
  <c r="I377" i="21"/>
  <c r="J377" i="21"/>
  <c r="I398" i="21"/>
  <c r="J398" i="21" s="1"/>
  <c r="I461" i="21"/>
  <c r="J461" i="21"/>
  <c r="I513" i="21"/>
  <c r="J513" i="21" s="1"/>
  <c r="I590" i="21"/>
  <c r="J590" i="21" s="1"/>
  <c r="I15" i="21"/>
  <c r="J15" i="21" s="1"/>
  <c r="I15" i="6" s="1"/>
  <c r="J15" i="6" s="1"/>
  <c r="M15" i="6" s="1"/>
  <c r="I24" i="21"/>
  <c r="J24" i="21" s="1"/>
  <c r="I24" i="6" s="1"/>
  <c r="I44" i="21"/>
  <c r="J44" i="21"/>
  <c r="I44" i="6" s="1"/>
  <c r="I123" i="21"/>
  <c r="J123" i="21"/>
  <c r="I123" i="6" s="1"/>
  <c r="J123" i="6" s="1"/>
  <c r="J129" i="21"/>
  <c r="I129" i="6" s="1"/>
  <c r="O129" i="6" s="1"/>
  <c r="I140" i="21"/>
  <c r="J140" i="21" s="1"/>
  <c r="I186" i="21"/>
  <c r="J186" i="21" s="1"/>
  <c r="I232" i="21"/>
  <c r="J232" i="21" s="1"/>
  <c r="I242" i="21"/>
  <c r="J242" i="21"/>
  <c r="I246" i="21"/>
  <c r="J246" i="21" s="1"/>
  <c r="I282" i="21"/>
  <c r="J282" i="21" s="1"/>
  <c r="I304" i="21"/>
  <c r="J304" i="21" s="1"/>
  <c r="I387" i="21"/>
  <c r="J387" i="21" s="1"/>
  <c r="I562" i="21"/>
  <c r="J562" i="21" s="1"/>
  <c r="I647" i="21"/>
  <c r="J647" i="21" s="1"/>
  <c r="I79" i="21"/>
  <c r="J79" i="21" s="1"/>
  <c r="I79" i="6" s="1"/>
  <c r="O79" i="6" s="1"/>
  <c r="I185" i="21"/>
  <c r="J185" i="21" s="1"/>
  <c r="I195" i="21"/>
  <c r="J195" i="21" s="1"/>
  <c r="I231" i="21"/>
  <c r="J231" i="21" s="1"/>
  <c r="I276" i="21"/>
  <c r="J276" i="21" s="1"/>
  <c r="I281" i="21"/>
  <c r="J281" i="21" s="1"/>
  <c r="I299" i="21"/>
  <c r="J299" i="21" s="1"/>
  <c r="I381" i="21"/>
  <c r="J381" i="21" s="1"/>
  <c r="I412" i="21"/>
  <c r="J412" i="21" s="1"/>
  <c r="I425" i="21"/>
  <c r="J425" i="21" s="1"/>
  <c r="I505" i="21"/>
  <c r="J505" i="21" s="1"/>
  <c r="I608" i="21"/>
  <c r="J608" i="21" s="1"/>
  <c r="I663" i="21"/>
  <c r="J663" i="21" s="1"/>
  <c r="J691" i="21"/>
  <c r="R105" i="6"/>
  <c r="O152" i="6"/>
  <c r="J152" i="6"/>
  <c r="M1217" i="6"/>
  <c r="N1217" i="6"/>
  <c r="N487" i="6"/>
  <c r="Q487" i="6" s="1"/>
  <c r="U487" i="6" s="1"/>
  <c r="P500" i="6"/>
  <c r="R500" i="6"/>
  <c r="S500" i="6" s="1"/>
  <c r="T500" i="6" s="1"/>
  <c r="O691" i="6"/>
  <c r="O60" i="6"/>
  <c r="N1354" i="6"/>
  <c r="N1398" i="6"/>
  <c r="N1096" i="6"/>
  <c r="P43" i="6"/>
  <c r="O1353" i="6"/>
  <c r="M1083" i="6"/>
  <c r="N302" i="6"/>
  <c r="I21" i="21"/>
  <c r="J21" i="21" s="1"/>
  <c r="I21" i="6" s="1"/>
  <c r="J34" i="21"/>
  <c r="I34" i="6"/>
  <c r="I41" i="21"/>
  <c r="J41" i="21" s="1"/>
  <c r="I41" i="6" s="1"/>
  <c r="I48" i="21"/>
  <c r="J48" i="21" s="1"/>
  <c r="I48" i="6" s="1"/>
  <c r="I60" i="21"/>
  <c r="J60" i="21"/>
  <c r="J61" i="21"/>
  <c r="J77" i="21"/>
  <c r="I77" i="6" s="1"/>
  <c r="J78" i="21"/>
  <c r="I78" i="6"/>
  <c r="O78" i="6" s="1"/>
  <c r="I94" i="21"/>
  <c r="J94" i="21" s="1"/>
  <c r="I94" i="6" s="1"/>
  <c r="J100" i="21"/>
  <c r="I100" i="6"/>
  <c r="J100" i="6" s="1"/>
  <c r="M100" i="6" s="1"/>
  <c r="J104" i="21"/>
  <c r="I104" i="6"/>
  <c r="O104" i="6" s="1"/>
  <c r="J110" i="21"/>
  <c r="I110" i="6" s="1"/>
  <c r="J110" i="6" s="1"/>
  <c r="M110" i="6" s="1"/>
  <c r="J118" i="21"/>
  <c r="I118" i="6" s="1"/>
  <c r="I143" i="21"/>
  <c r="J143" i="21" s="1"/>
  <c r="J144" i="21"/>
  <c r="I151" i="21"/>
  <c r="J151" i="21"/>
  <c r="J152" i="21"/>
  <c r="I163" i="21"/>
  <c r="J163" i="21" s="1"/>
  <c r="J169" i="21"/>
  <c r="J170" i="21"/>
  <c r="I184" i="21"/>
  <c r="J184" i="21" s="1"/>
  <c r="I190" i="21"/>
  <c r="J190" i="21" s="1"/>
  <c r="J207" i="21"/>
  <c r="I217" i="21"/>
  <c r="J217" i="21" s="1"/>
  <c r="J218" i="21"/>
  <c r="J219" i="21"/>
  <c r="J225" i="21"/>
  <c r="J259" i="21"/>
  <c r="I269" i="21"/>
  <c r="J269" i="21" s="1"/>
  <c r="J288" i="21"/>
  <c r="I291" i="21"/>
  <c r="J291" i="21" s="1"/>
  <c r="J292" i="21"/>
  <c r="I303" i="21"/>
  <c r="J303" i="21"/>
  <c r="I351" i="21"/>
  <c r="J351" i="21"/>
  <c r="J352" i="21"/>
  <c r="I355" i="21"/>
  <c r="J355" i="21" s="1"/>
  <c r="J356" i="21"/>
  <c r="I365" i="21"/>
  <c r="J365" i="21" s="1"/>
  <c r="I375" i="21"/>
  <c r="J375" i="21" s="1"/>
  <c r="J376" i="21"/>
  <c r="J396" i="21"/>
  <c r="I402" i="21"/>
  <c r="J402" i="21" s="1"/>
  <c r="J417" i="21"/>
  <c r="I433" i="21"/>
  <c r="J433" i="21" s="1"/>
  <c r="I471" i="21"/>
  <c r="J471" i="21" s="1"/>
  <c r="J520" i="21"/>
  <c r="I564" i="21"/>
  <c r="J564" i="21" s="1"/>
  <c r="I572" i="21"/>
  <c r="J572" i="21" s="1"/>
  <c r="I598" i="21"/>
  <c r="J598" i="21" s="1"/>
  <c r="I616" i="21"/>
  <c r="J616" i="21" s="1"/>
  <c r="I685" i="21"/>
  <c r="J685" i="21" s="1"/>
  <c r="J731" i="21"/>
  <c r="I766" i="21"/>
  <c r="J766" i="21" s="1"/>
  <c r="O51" i="6"/>
  <c r="J51" i="6"/>
  <c r="M51" i="6"/>
  <c r="R145" i="6"/>
  <c r="S145" i="6" s="1"/>
  <c r="T145" i="6" s="1"/>
  <c r="M1023" i="6"/>
  <c r="M1060" i="6"/>
  <c r="M1087" i="6"/>
  <c r="N1087" i="6"/>
  <c r="M1182" i="6"/>
  <c r="N1182" i="6"/>
  <c r="M1200" i="6"/>
  <c r="N1200" i="6"/>
  <c r="N1213" i="6"/>
  <c r="M1213" i="6"/>
  <c r="O1350" i="6"/>
  <c r="J1350" i="6"/>
  <c r="M1374" i="6"/>
  <c r="O1390" i="6"/>
  <c r="J1533" i="6"/>
  <c r="O1533" i="6"/>
  <c r="O1542" i="6"/>
  <c r="I830" i="21"/>
  <c r="J830" i="21" s="1"/>
  <c r="P1403" i="6"/>
  <c r="M1548" i="6"/>
  <c r="P994" i="6"/>
  <c r="M1183" i="6"/>
  <c r="I713" i="21"/>
  <c r="J713" i="21" s="1"/>
  <c r="J8" i="21"/>
  <c r="I8" i="6" s="1"/>
  <c r="J17" i="21"/>
  <c r="I17" i="6" s="1"/>
  <c r="J18" i="21"/>
  <c r="I18" i="6"/>
  <c r="O18" i="6" s="1"/>
  <c r="J27" i="21"/>
  <c r="I27" i="6" s="1"/>
  <c r="O27" i="6" s="1"/>
  <c r="I42" i="21"/>
  <c r="J42" i="21"/>
  <c r="I42" i="6" s="1"/>
  <c r="O42" i="6" s="1"/>
  <c r="I50" i="21"/>
  <c r="J50" i="21" s="1"/>
  <c r="J82" i="21"/>
  <c r="I82" i="6" s="1"/>
  <c r="O82" i="6" s="1"/>
  <c r="J84" i="21"/>
  <c r="I84" i="6"/>
  <c r="I93" i="21"/>
  <c r="J93" i="21"/>
  <c r="I93" i="6" s="1"/>
  <c r="I142" i="21"/>
  <c r="J142" i="21" s="1"/>
  <c r="I157" i="21"/>
  <c r="J157" i="21" s="1"/>
  <c r="J158" i="21"/>
  <c r="I167" i="21"/>
  <c r="J167" i="21" s="1"/>
  <c r="I205" i="21"/>
  <c r="J205" i="21" s="1"/>
  <c r="I234" i="21"/>
  <c r="J234" i="21"/>
  <c r="J235" i="21"/>
  <c r="I244" i="21"/>
  <c r="J244" i="21" s="1"/>
  <c r="I257" i="21"/>
  <c r="J257" i="21" s="1"/>
  <c r="I278" i="21"/>
  <c r="J278" i="21" s="1"/>
  <c r="J285" i="21"/>
  <c r="I296" i="21"/>
  <c r="J296" i="21" s="1"/>
  <c r="J307" i="21"/>
  <c r="I326" i="21"/>
  <c r="J326" i="21" s="1"/>
  <c r="J327" i="21"/>
  <c r="I333" i="21"/>
  <c r="J333" i="21" s="1"/>
  <c r="J334" i="21"/>
  <c r="I337" i="21"/>
  <c r="J337" i="21" s="1"/>
  <c r="J338" i="21"/>
  <c r="I341" i="21"/>
  <c r="J341" i="21" s="1"/>
  <c r="J342" i="21"/>
  <c r="I345" i="21"/>
  <c r="J345" i="21" s="1"/>
  <c r="J346" i="21"/>
  <c r="I360" i="21"/>
  <c r="J360" i="21" s="1"/>
  <c r="J361" i="21"/>
  <c r="I390" i="21"/>
  <c r="J390" i="21" s="1"/>
  <c r="J391" i="21"/>
  <c r="I394" i="21"/>
  <c r="J394" i="21" s="1"/>
  <c r="I406" i="21"/>
  <c r="J406" i="21"/>
  <c r="J407" i="21"/>
  <c r="I410" i="21"/>
  <c r="J410" i="21" s="1"/>
  <c r="I415" i="21"/>
  <c r="J415" i="21" s="1"/>
  <c r="I443" i="21"/>
  <c r="J443" i="21" s="1"/>
  <c r="J444" i="21"/>
  <c r="I516" i="21"/>
  <c r="J516" i="21" s="1"/>
  <c r="J517" i="21"/>
  <c r="I546" i="21"/>
  <c r="J546" i="21" s="1"/>
  <c r="J587" i="21"/>
  <c r="I632" i="21"/>
  <c r="J632" i="21" s="1"/>
  <c r="I653" i="21"/>
  <c r="J653" i="21" s="1"/>
  <c r="J660" i="21"/>
  <c r="J670" i="21"/>
  <c r="I684" i="21"/>
  <c r="J684" i="21" s="1"/>
  <c r="I693" i="21"/>
  <c r="J693" i="21"/>
  <c r="I719" i="21"/>
  <c r="J719" i="21" s="1"/>
  <c r="J748" i="21"/>
  <c r="J749" i="21"/>
  <c r="R33" i="6"/>
  <c r="P33" i="6"/>
  <c r="M1032" i="6"/>
  <c r="N1032" i="6"/>
  <c r="M1064" i="6"/>
  <c r="N1064" i="6"/>
  <c r="M1072" i="6"/>
  <c r="N1072" i="6"/>
  <c r="O1126" i="6"/>
  <c r="J1126" i="6"/>
  <c r="M1126" i="6"/>
  <c r="M1290" i="6"/>
  <c r="N1290" i="6"/>
  <c r="M1446" i="6"/>
  <c r="N1463" i="6"/>
  <c r="M1463" i="6"/>
  <c r="J1506" i="6"/>
  <c r="M1541" i="6"/>
  <c r="N1541" i="6"/>
  <c r="J36" i="21"/>
  <c r="I36" i="6" s="1"/>
  <c r="I54" i="21"/>
  <c r="J54" i="21" s="1"/>
  <c r="I54" i="6" s="1"/>
  <c r="J54" i="6" s="1"/>
  <c r="I58" i="21"/>
  <c r="J58" i="21" s="1"/>
  <c r="I58" i="6" s="1"/>
  <c r="J73" i="21"/>
  <c r="I73" i="6" s="1"/>
  <c r="O73" i="6" s="1"/>
  <c r="I90" i="21"/>
  <c r="J90" i="21" s="1"/>
  <c r="I90" i="6" s="1"/>
  <c r="J97" i="21"/>
  <c r="I97" i="6" s="1"/>
  <c r="J97" i="6" s="1"/>
  <c r="M97" i="6" s="1"/>
  <c r="J102" i="21"/>
  <c r="I102" i="6" s="1"/>
  <c r="J108" i="21"/>
  <c r="I108" i="6" s="1"/>
  <c r="J131" i="21"/>
  <c r="I131" i="6"/>
  <c r="O131" i="6" s="1"/>
  <c r="I176" i="21"/>
  <c r="J176" i="21" s="1"/>
  <c r="J177" i="21"/>
  <c r="I196" i="21"/>
  <c r="J196" i="21" s="1"/>
  <c r="I215" i="21"/>
  <c r="J215" i="21"/>
  <c r="J248" i="21"/>
  <c r="J255" i="21"/>
  <c r="J283" i="21"/>
  <c r="J313" i="21"/>
  <c r="I320" i="21"/>
  <c r="J320" i="21" s="1"/>
  <c r="J321" i="21"/>
  <c r="J427" i="21"/>
  <c r="I430" i="21"/>
  <c r="J430" i="21" s="1"/>
  <c r="I458" i="21"/>
  <c r="J458" i="21"/>
  <c r="I479" i="21"/>
  <c r="J479" i="21" s="1"/>
  <c r="I489" i="21"/>
  <c r="J489" i="21" s="1"/>
  <c r="I502" i="21"/>
  <c r="J502" i="21" s="1"/>
  <c r="J515" i="21"/>
  <c r="I526" i="21"/>
  <c r="J526" i="21" s="1"/>
  <c r="I540" i="21"/>
  <c r="J540" i="21" s="1"/>
  <c r="J584" i="21"/>
  <c r="I594" i="21"/>
  <c r="J594" i="21" s="1"/>
  <c r="I619" i="21"/>
  <c r="J619" i="21"/>
  <c r="I627" i="21"/>
  <c r="J627" i="21" s="1"/>
  <c r="J636" i="21"/>
  <c r="J656" i="21"/>
  <c r="J664" i="21"/>
  <c r="I664" i="21"/>
  <c r="J676" i="21"/>
  <c r="I680" i="21"/>
  <c r="J680" i="21"/>
  <c r="I702" i="21"/>
  <c r="J702" i="21" s="1"/>
  <c r="J707" i="21"/>
  <c r="I759" i="21"/>
  <c r="J759" i="21" s="1"/>
  <c r="J763" i="21"/>
  <c r="J765" i="21"/>
  <c r="R83" i="6"/>
  <c r="O163" i="6"/>
  <c r="J163" i="6"/>
  <c r="M164" i="6"/>
  <c r="M1040" i="6"/>
  <c r="N1097" i="6"/>
  <c r="J1125" i="6"/>
  <c r="M1125" i="6"/>
  <c r="O1125" i="6"/>
  <c r="O1237" i="6"/>
  <c r="N1258" i="6"/>
  <c r="N1282" i="6"/>
  <c r="M1282" i="6"/>
  <c r="M1307" i="6"/>
  <c r="N1416" i="6"/>
  <c r="M1416" i="6"/>
  <c r="J483" i="21"/>
  <c r="J511" i="21"/>
  <c r="J550" i="21"/>
  <c r="J580" i="21"/>
  <c r="J689" i="21"/>
  <c r="J697" i="21"/>
  <c r="J738" i="21"/>
  <c r="J755" i="21"/>
  <c r="P1072" i="6"/>
  <c r="I793" i="21"/>
  <c r="J793" i="21" s="1"/>
  <c r="I827" i="21"/>
  <c r="J827" i="21"/>
  <c r="J487" i="21"/>
  <c r="J548" i="21"/>
  <c r="J570" i="21"/>
  <c r="J600" i="21"/>
  <c r="J618" i="21"/>
  <c r="R1053" i="6"/>
  <c r="S1053" i="6" s="1"/>
  <c r="T1053" i="6" s="1"/>
  <c r="P1083" i="6"/>
  <c r="I775" i="21"/>
  <c r="J775" i="21" s="1"/>
  <c r="P1239" i="6"/>
  <c r="I833" i="21"/>
  <c r="J833" i="21" s="1"/>
  <c r="J847" i="21"/>
  <c r="R321" i="6"/>
  <c r="S321" i="6" s="1"/>
  <c r="T321" i="6" s="1"/>
  <c r="R323" i="6"/>
  <c r="S323" i="6" s="1"/>
  <c r="T323" i="6" s="1"/>
  <c r="P345" i="6"/>
  <c r="R505" i="6"/>
  <c r="S505" i="6" s="1"/>
  <c r="T505" i="6" s="1"/>
  <c r="R916" i="6"/>
  <c r="S916" i="6" s="1"/>
  <c r="T916" i="6" s="1"/>
  <c r="P55" i="6"/>
  <c r="R55" i="6"/>
  <c r="R85" i="6"/>
  <c r="P85" i="6"/>
  <c r="P417" i="6"/>
  <c r="O1614" i="6"/>
  <c r="N1030" i="6"/>
  <c r="N941" i="6"/>
  <c r="M941" i="6"/>
  <c r="M961" i="6"/>
  <c r="N961" i="6"/>
  <c r="N978" i="6"/>
  <c r="N981" i="6"/>
  <c r="M984" i="6"/>
  <c r="N984" i="6"/>
  <c r="M985" i="6"/>
  <c r="N985" i="6"/>
  <c r="P990" i="6"/>
  <c r="N990" i="6"/>
  <c r="R990" i="6"/>
  <c r="S990" i="6" s="1"/>
  <c r="T990" i="6" s="1"/>
  <c r="M995" i="6"/>
  <c r="N995" i="6"/>
  <c r="M1000" i="6"/>
  <c r="N1000" i="6"/>
  <c r="R1000" i="6"/>
  <c r="S1000" i="6" s="1"/>
  <c r="T1000" i="6" s="1"/>
  <c r="M1004" i="6"/>
  <c r="N1004" i="6"/>
  <c r="N1013" i="6"/>
  <c r="M1019" i="6"/>
  <c r="M1025" i="6"/>
  <c r="N1090" i="6"/>
  <c r="M1090" i="6"/>
  <c r="R1090" i="6"/>
  <c r="S1090" i="6" s="1"/>
  <c r="T1090" i="6" s="1"/>
  <c r="M1091" i="6"/>
  <c r="R1091" i="6"/>
  <c r="S1091" i="6" s="1"/>
  <c r="T1091" i="6" s="1"/>
  <c r="M1096" i="6"/>
  <c r="P1096" i="6"/>
  <c r="R1096" i="6"/>
  <c r="S1096" i="6" s="1"/>
  <c r="T1096" i="6" s="1"/>
  <c r="P1581" i="6"/>
  <c r="J1582" i="6"/>
  <c r="O1582" i="6"/>
  <c r="J1583" i="6"/>
  <c r="O1583" i="6"/>
  <c r="P1612" i="6"/>
  <c r="N284" i="6"/>
  <c r="M284" i="6"/>
  <c r="N304" i="6"/>
  <c r="M304" i="6"/>
  <c r="N305" i="6"/>
  <c r="M305" i="6"/>
  <c r="M309" i="6"/>
  <c r="N313" i="6"/>
  <c r="M313" i="6"/>
  <c r="P370" i="6"/>
  <c r="N370" i="6"/>
  <c r="N385" i="6"/>
  <c r="M385" i="6"/>
  <c r="N426" i="6"/>
  <c r="M426" i="6"/>
  <c r="N427" i="6"/>
  <c r="M427" i="6"/>
  <c r="N435" i="6"/>
  <c r="P435" i="6"/>
  <c r="M436" i="6"/>
  <c r="N436" i="6"/>
  <c r="R439" i="6"/>
  <c r="S439" i="6" s="1"/>
  <c r="T439" i="6" s="1"/>
  <c r="N439" i="6"/>
  <c r="M439" i="6"/>
  <c r="O911" i="6"/>
  <c r="I1460" i="21"/>
  <c r="J1460" i="21"/>
  <c r="I1444" i="21"/>
  <c r="J1444" i="21" s="1"/>
  <c r="I1428" i="21"/>
  <c r="J1428" i="21"/>
  <c r="I1412" i="21"/>
  <c r="J1412" i="21" s="1"/>
  <c r="I1396" i="21"/>
  <c r="J1396" i="21" s="1"/>
  <c r="I1388" i="21"/>
  <c r="J1388" i="21" s="1"/>
  <c r="I1380" i="21"/>
  <c r="J1380" i="21"/>
  <c r="I1372" i="21"/>
  <c r="J1372" i="21" s="1"/>
  <c r="I1364" i="21"/>
  <c r="J1364" i="21" s="1"/>
  <c r="I1348" i="21"/>
  <c r="J1348" i="21"/>
  <c r="I1332" i="21"/>
  <c r="J1332" i="21" s="1"/>
  <c r="I1316" i="21"/>
  <c r="J1316" i="21" s="1"/>
  <c r="I1300" i="21"/>
  <c r="J1300" i="21" s="1"/>
  <c r="I1284" i="21"/>
  <c r="J1284" i="21" s="1"/>
  <c r="I1239" i="21"/>
  <c r="J1239" i="21" s="1"/>
  <c r="I1114" i="21"/>
  <c r="J1114" i="21"/>
  <c r="I1098" i="21"/>
  <c r="J1098" i="21" s="1"/>
  <c r="I1082" i="21"/>
  <c r="J1082" i="21" s="1"/>
  <c r="I1066" i="21"/>
  <c r="J1066" i="21" s="1"/>
  <c r="I1050" i="21"/>
  <c r="J1050" i="21" s="1"/>
  <c r="I995" i="21"/>
  <c r="J995" i="21" s="1"/>
  <c r="I986" i="21"/>
  <c r="J986" i="21"/>
  <c r="I981" i="21"/>
  <c r="J981" i="21" s="1"/>
  <c r="I877" i="21"/>
  <c r="J877" i="21" s="1"/>
  <c r="M379" i="6"/>
  <c r="M373" i="6"/>
  <c r="R373" i="6"/>
  <c r="S373" i="6" s="1"/>
  <c r="T373" i="6" s="1"/>
  <c r="R1030" i="6"/>
  <c r="S1030" i="6" s="1"/>
  <c r="T1030" i="6" s="1"/>
  <c r="M376" i="6"/>
  <c r="N373" i="6"/>
  <c r="Q373" i="6" s="1"/>
  <c r="U373" i="6" s="1"/>
  <c r="J912" i="6"/>
  <c r="N309" i="6"/>
  <c r="M370" i="6"/>
  <c r="P1019" i="6"/>
  <c r="R62" i="6"/>
  <c r="M153" i="6"/>
  <c r="N153" i="6"/>
  <c r="N160" i="6"/>
  <c r="M160" i="6"/>
  <c r="N161" i="6"/>
  <c r="M161" i="6"/>
  <c r="N162" i="6"/>
  <c r="M162" i="6"/>
  <c r="N957" i="6"/>
  <c r="P976" i="6"/>
  <c r="M976" i="6"/>
  <c r="R976" i="6"/>
  <c r="S976" i="6" s="1"/>
  <c r="T976" i="6" s="1"/>
  <c r="N1069" i="6"/>
  <c r="M1070" i="6"/>
  <c r="M1075" i="6"/>
  <c r="N1075" i="6"/>
  <c r="J1561" i="6"/>
  <c r="O1561" i="6"/>
  <c r="N261" i="6"/>
  <c r="R261" i="6"/>
  <c r="S261" i="6" s="1"/>
  <c r="T261" i="6" s="1"/>
  <c r="M266" i="6"/>
  <c r="N266" i="6"/>
  <c r="M267" i="6"/>
  <c r="N273" i="6"/>
  <c r="M273" i="6"/>
  <c r="M406" i="6"/>
  <c r="N406" i="6"/>
  <c r="R406" i="6"/>
  <c r="S406" i="6" s="1"/>
  <c r="T406" i="6" s="1"/>
  <c r="N407" i="6"/>
  <c r="R407" i="6"/>
  <c r="S407" i="6" s="1"/>
  <c r="T407" i="6" s="1"/>
  <c r="J890" i="6"/>
  <c r="O890" i="6"/>
  <c r="O895" i="6"/>
  <c r="J902" i="6"/>
  <c r="O902" i="6"/>
  <c r="P930" i="6"/>
  <c r="Q930" i="6" s="1"/>
  <c r="U930" i="6" s="1"/>
  <c r="R930" i="6"/>
  <c r="S930" i="6" s="1"/>
  <c r="T930" i="6" s="1"/>
  <c r="I1461" i="21"/>
  <c r="J1461" i="21" s="1"/>
  <c r="I1445" i="21"/>
  <c r="J1445" i="21" s="1"/>
  <c r="I1429" i="21"/>
  <c r="J1429" i="21" s="1"/>
  <c r="I1413" i="21"/>
  <c r="J1413" i="21" s="1"/>
  <c r="I1397" i="21"/>
  <c r="J1397" i="21" s="1"/>
  <c r="I1389" i="21"/>
  <c r="J1389" i="21" s="1"/>
  <c r="I1381" i="21"/>
  <c r="J1381" i="21" s="1"/>
  <c r="I1373" i="21"/>
  <c r="J1373" i="21" s="1"/>
  <c r="I1365" i="21"/>
  <c r="J1365" i="21" s="1"/>
  <c r="M150" i="6"/>
  <c r="N150" i="6"/>
  <c r="R150" i="6"/>
  <c r="S150" i="6" s="1"/>
  <c r="T150" i="6" s="1"/>
  <c r="N955" i="6"/>
  <c r="M968" i="6"/>
  <c r="N968" i="6"/>
  <c r="M1042" i="6"/>
  <c r="R1042" i="6"/>
  <c r="S1042" i="6" s="1"/>
  <c r="T1042" i="6" s="1"/>
  <c r="N1042" i="6"/>
  <c r="N1052" i="6"/>
  <c r="N1057" i="6"/>
  <c r="M1057" i="6"/>
  <c r="N1058" i="6"/>
  <c r="M1058" i="6"/>
  <c r="M1059" i="6"/>
  <c r="N1059" i="6"/>
  <c r="N1063" i="6"/>
  <c r="M1063" i="6"/>
  <c r="N1116" i="6"/>
  <c r="M1117" i="6"/>
  <c r="N1117" i="6"/>
  <c r="M1122" i="6"/>
  <c r="N1122" i="6"/>
  <c r="N1123" i="6"/>
  <c r="N1130" i="6"/>
  <c r="M1130" i="6"/>
  <c r="N1135" i="6"/>
  <c r="N1140" i="6"/>
  <c r="M1140" i="6"/>
  <c r="N1141" i="6"/>
  <c r="M1141" i="6"/>
  <c r="N1150" i="6"/>
  <c r="M1150" i="6"/>
  <c r="N1156" i="6"/>
  <c r="M1156" i="6"/>
  <c r="P1156" i="6"/>
  <c r="M1161" i="6"/>
  <c r="N1161" i="6"/>
  <c r="N1170" i="6"/>
  <c r="M1170" i="6"/>
  <c r="M1171" i="6"/>
  <c r="M1176" i="6"/>
  <c r="P1177" i="6"/>
  <c r="N1197" i="6"/>
  <c r="M1197" i="6"/>
  <c r="M1202" i="6"/>
  <c r="N1202" i="6"/>
  <c r="N1203" i="6"/>
  <c r="N1208" i="6"/>
  <c r="M1208" i="6"/>
  <c r="M1212" i="6"/>
  <c r="N1212" i="6"/>
  <c r="P1557" i="6"/>
  <c r="Q1557" i="6" s="1"/>
  <c r="U1557" i="6" s="1"/>
  <c r="R1557" i="6"/>
  <c r="S1557" i="6" s="1"/>
  <c r="T1557" i="6" s="1"/>
  <c r="J1598" i="6"/>
  <c r="O1602" i="6"/>
  <c r="J1602" i="6"/>
  <c r="N193" i="6"/>
  <c r="M196" i="6"/>
  <c r="N196" i="6"/>
  <c r="R202" i="6"/>
  <c r="S202" i="6" s="1"/>
  <c r="T202" i="6" s="1"/>
  <c r="N202" i="6"/>
  <c r="P207" i="6"/>
  <c r="M207" i="6"/>
  <c r="R207" i="6"/>
  <c r="S207" i="6" s="1"/>
  <c r="T207" i="6" s="1"/>
  <c r="N212" i="6"/>
  <c r="M212" i="6"/>
  <c r="M217" i="6"/>
  <c r="R218" i="6"/>
  <c r="S218" i="6" s="1"/>
  <c r="T218" i="6" s="1"/>
  <c r="M218" i="6"/>
  <c r="P218" i="6"/>
  <c r="N219" i="6"/>
  <c r="P219" i="6"/>
  <c r="M223" i="6"/>
  <c r="P226" i="6"/>
  <c r="N226" i="6"/>
  <c r="N230" i="6"/>
  <c r="P230" i="6"/>
  <c r="M235" i="6"/>
  <c r="M249" i="6"/>
  <c r="P249" i="6"/>
  <c r="N249" i="6"/>
  <c r="N298" i="6"/>
  <c r="M298" i="6"/>
  <c r="M340" i="6"/>
  <c r="N340" i="6"/>
  <c r="M348" i="6"/>
  <c r="M365" i="6"/>
  <c r="N365" i="6"/>
  <c r="N392" i="6"/>
  <c r="M392" i="6"/>
  <c r="M401" i="6"/>
  <c r="N401" i="6"/>
  <c r="I1463" i="21"/>
  <c r="J1463" i="21" s="1"/>
  <c r="I1447" i="21"/>
  <c r="J1447" i="21" s="1"/>
  <c r="I1431" i="21"/>
  <c r="J1431" i="21" s="1"/>
  <c r="I1415" i="21"/>
  <c r="J1415" i="21" s="1"/>
  <c r="I1399" i="21"/>
  <c r="J1399" i="21" s="1"/>
  <c r="I1392" i="21"/>
  <c r="J1392" i="21" s="1"/>
  <c r="J1384" i="21"/>
  <c r="I1384" i="21"/>
  <c r="I1376" i="21"/>
  <c r="J1376" i="21" s="1"/>
  <c r="I1368" i="21"/>
  <c r="J1368" i="21" s="1"/>
  <c r="N145" i="6"/>
  <c r="M145" i="6"/>
  <c r="M146" i="6"/>
  <c r="N146" i="6"/>
  <c r="M948" i="6"/>
  <c r="N948" i="6"/>
  <c r="N952" i="6"/>
  <c r="M952" i="6"/>
  <c r="M963" i="6"/>
  <c r="P963" i="6"/>
  <c r="N963" i="6"/>
  <c r="N964" i="6"/>
  <c r="R964" i="6"/>
  <c r="S964" i="6" s="1"/>
  <c r="T964" i="6" s="1"/>
  <c r="M964" i="6"/>
  <c r="P964" i="6"/>
  <c r="M1036" i="6"/>
  <c r="R1036" i="6"/>
  <c r="S1036" i="6" s="1"/>
  <c r="T1036" i="6" s="1"/>
  <c r="P1036" i="6"/>
  <c r="N1036" i="6"/>
  <c r="M1105" i="6"/>
  <c r="N1105" i="6"/>
  <c r="M1106" i="6"/>
  <c r="N1106" i="6"/>
  <c r="N1111" i="6"/>
  <c r="M1111" i="6"/>
  <c r="O1626" i="6"/>
  <c r="J1626" i="6"/>
  <c r="N288" i="6"/>
  <c r="N322" i="6"/>
  <c r="R322" i="6"/>
  <c r="S322" i="6" s="1"/>
  <c r="T322" i="6" s="1"/>
  <c r="P322" i="6"/>
  <c r="N332" i="6"/>
  <c r="M332" i="6"/>
  <c r="R337" i="6"/>
  <c r="S337" i="6" s="1"/>
  <c r="T337" i="6" s="1"/>
  <c r="P337" i="6"/>
  <c r="M337" i="6"/>
  <c r="M416" i="6"/>
  <c r="M446" i="6"/>
  <c r="J872" i="6"/>
  <c r="O872" i="6"/>
  <c r="I1635" i="21"/>
  <c r="J1635" i="21" s="1"/>
  <c r="J1634" i="21"/>
  <c r="I1631" i="21"/>
  <c r="J1631" i="21" s="1"/>
  <c r="J1630" i="21"/>
  <c r="I1627" i="21"/>
  <c r="J1627" i="21" s="1"/>
  <c r="J1626" i="21"/>
  <c r="I1623" i="21"/>
  <c r="J1623" i="21"/>
  <c r="J1622" i="21"/>
  <c r="I1619" i="21"/>
  <c r="J1619" i="21" s="1"/>
  <c r="J1618" i="21"/>
  <c r="I1615" i="21"/>
  <c r="J1615" i="21" s="1"/>
  <c r="J1614" i="21"/>
  <c r="I1611" i="21"/>
  <c r="J1611" i="21" s="1"/>
  <c r="J1610" i="21"/>
  <c r="I1607" i="21"/>
  <c r="J1607" i="21" s="1"/>
  <c r="J1606" i="21"/>
  <c r="I1603" i="21"/>
  <c r="J1603" i="21" s="1"/>
  <c r="I1599" i="21"/>
  <c r="J1599" i="21" s="1"/>
  <c r="J1598" i="21"/>
  <c r="I1595" i="21"/>
  <c r="J1595" i="21"/>
  <c r="J1594" i="21"/>
  <c r="I1591" i="21"/>
  <c r="J1591" i="21" s="1"/>
  <c r="J1590" i="21"/>
  <c r="I1587" i="21"/>
  <c r="J1587" i="21"/>
  <c r="J1586" i="21"/>
  <c r="I1583" i="21"/>
  <c r="J1583" i="21" s="1"/>
  <c r="J1582" i="21"/>
  <c r="I1579" i="21"/>
  <c r="J1579" i="21"/>
  <c r="J1578" i="21"/>
  <c r="I1575" i="21"/>
  <c r="J1575" i="21" s="1"/>
  <c r="J1574" i="21"/>
  <c r="I1571" i="21"/>
  <c r="J1571" i="21" s="1"/>
  <c r="J1570" i="21"/>
  <c r="I1567" i="21"/>
  <c r="J1567" i="21" s="1"/>
  <c r="J1566" i="21"/>
  <c r="I1563" i="21"/>
  <c r="J1563" i="21"/>
  <c r="J1562" i="21"/>
  <c r="I1559" i="21"/>
  <c r="J1559" i="21" s="1"/>
  <c r="J1558" i="21"/>
  <c r="I1555" i="21"/>
  <c r="J1555" i="21" s="1"/>
  <c r="J1554" i="21"/>
  <c r="I1551" i="21"/>
  <c r="J1551" i="21" s="1"/>
  <c r="J1550" i="21"/>
  <c r="I1547" i="21"/>
  <c r="J1547" i="21" s="1"/>
  <c r="J1546" i="21"/>
  <c r="I1543" i="21"/>
  <c r="J1543" i="21" s="1"/>
  <c r="J1542" i="21"/>
  <c r="I1539" i="21"/>
  <c r="J1539" i="21" s="1"/>
  <c r="J1538" i="21"/>
  <c r="J1534" i="21"/>
  <c r="I1531" i="21"/>
  <c r="J1531" i="21" s="1"/>
  <c r="J1530" i="21"/>
  <c r="I1527" i="21"/>
  <c r="J1527" i="21" s="1"/>
  <c r="J1526" i="21"/>
  <c r="I1523" i="21"/>
  <c r="J1523" i="21"/>
  <c r="J1522" i="21"/>
  <c r="I1519" i="21"/>
  <c r="J1519" i="21" s="1"/>
  <c r="J1518" i="21"/>
  <c r="I1515" i="21"/>
  <c r="J1515" i="21" s="1"/>
  <c r="J1514" i="21"/>
  <c r="I1511" i="21"/>
  <c r="J1511" i="21" s="1"/>
  <c r="J1510" i="21"/>
  <c r="I1507" i="21"/>
  <c r="J1507" i="21" s="1"/>
  <c r="J1506" i="21"/>
  <c r="I1503" i="21"/>
  <c r="J1503" i="21" s="1"/>
  <c r="J1502" i="21"/>
  <c r="I1499" i="21"/>
  <c r="J1499" i="21" s="1"/>
  <c r="J1498" i="21"/>
  <c r="I1495" i="21"/>
  <c r="J1495" i="21" s="1"/>
  <c r="J1494" i="21"/>
  <c r="I1491" i="21"/>
  <c r="J1491" i="21"/>
  <c r="J1490" i="21"/>
  <c r="I1487" i="21"/>
  <c r="J1487" i="21" s="1"/>
  <c r="J1486" i="21"/>
  <c r="I1483" i="21"/>
  <c r="J1483" i="21" s="1"/>
  <c r="J1482" i="21"/>
  <c r="I1479" i="21"/>
  <c r="J1479" i="21" s="1"/>
  <c r="J1478" i="21"/>
  <c r="I1475" i="21"/>
  <c r="J1475" i="21"/>
  <c r="J1474" i="21"/>
  <c r="I1393" i="21"/>
  <c r="J1393" i="21" s="1"/>
  <c r="I1385" i="21"/>
  <c r="J1385" i="21" s="1"/>
  <c r="I1377" i="21"/>
  <c r="J1377" i="21" s="1"/>
  <c r="I1369" i="21"/>
  <c r="J1369" i="21" s="1"/>
  <c r="J1472" i="21"/>
  <c r="J1456" i="21"/>
  <c r="J1440" i="21"/>
  <c r="J1424" i="21"/>
  <c r="J1408" i="21"/>
  <c r="I1360" i="21"/>
  <c r="J1360" i="21"/>
  <c r="I1344" i="21"/>
  <c r="J1344" i="21"/>
  <c r="I1328" i="21"/>
  <c r="J1328" i="21" s="1"/>
  <c r="I1312" i="21"/>
  <c r="J1312" i="21"/>
  <c r="I1296" i="21"/>
  <c r="J1296" i="21"/>
  <c r="J1295" i="21"/>
  <c r="I1280" i="21"/>
  <c r="J1280" i="21" s="1"/>
  <c r="J1279" i="21"/>
  <c r="I1270" i="21"/>
  <c r="J1270" i="21" s="1"/>
  <c r="J1269" i="21"/>
  <c r="I1257" i="21"/>
  <c r="J1257" i="21" s="1"/>
  <c r="N141" i="6"/>
  <c r="P421" i="6"/>
  <c r="J1468" i="21"/>
  <c r="J1452" i="21"/>
  <c r="J1436" i="21"/>
  <c r="J1420" i="21"/>
  <c r="J1404" i="21"/>
  <c r="I1356" i="21"/>
  <c r="J1356" i="21" s="1"/>
  <c r="I1340" i="21"/>
  <c r="J1340" i="21" s="1"/>
  <c r="I1324" i="21"/>
  <c r="J1324" i="21"/>
  <c r="I1308" i="21"/>
  <c r="J1308" i="21" s="1"/>
  <c r="I1292" i="21"/>
  <c r="J1292" i="21" s="1"/>
  <c r="J1291" i="21"/>
  <c r="I1276" i="21"/>
  <c r="J1276" i="21" s="1"/>
  <c r="J1275" i="21"/>
  <c r="I1271" i="21"/>
  <c r="J1271" i="21"/>
  <c r="I1254" i="21"/>
  <c r="J1254" i="21"/>
  <c r="J1253" i="21"/>
  <c r="I1241" i="21"/>
  <c r="J1241" i="21" s="1"/>
  <c r="J1464" i="21"/>
  <c r="J1448" i="21"/>
  <c r="J1432" i="21"/>
  <c r="J1416" i="21"/>
  <c r="J1400" i="21"/>
  <c r="I1352" i="21"/>
  <c r="J1352" i="21" s="1"/>
  <c r="I1336" i="21"/>
  <c r="J1336" i="21" s="1"/>
  <c r="I1320" i="21"/>
  <c r="J1320" i="21"/>
  <c r="I1304" i="21"/>
  <c r="J1304" i="21" s="1"/>
  <c r="J1303" i="21"/>
  <c r="I1288" i="21"/>
  <c r="J1288" i="21" s="1"/>
  <c r="J1287" i="21"/>
  <c r="I1272" i="21"/>
  <c r="J1272" i="21"/>
  <c r="I1255" i="21"/>
  <c r="J1255" i="21"/>
  <c r="I1238" i="21"/>
  <c r="J1238" i="21"/>
  <c r="J1237" i="21"/>
  <c r="J1361" i="21"/>
  <c r="J1357" i="21"/>
  <c r="J1353" i="21"/>
  <c r="J1349" i="21"/>
  <c r="J1345" i="21"/>
  <c r="J1341" i="21"/>
  <c r="J1337" i="21"/>
  <c r="J1333" i="21"/>
  <c r="J1329" i="21"/>
  <c r="J1325" i="21"/>
  <c r="J1321" i="21"/>
  <c r="J1317" i="21"/>
  <c r="J1313" i="21"/>
  <c r="J1309" i="21"/>
  <c r="J1266" i="21"/>
  <c r="J1250" i="21"/>
  <c r="J1234" i="21"/>
  <c r="I1231" i="21"/>
  <c r="J1231" i="21"/>
  <c r="J1230" i="21"/>
  <c r="I1227" i="21"/>
  <c r="J1227" i="21" s="1"/>
  <c r="J1226" i="21"/>
  <c r="I1223" i="21"/>
  <c r="J1223" i="21"/>
  <c r="J1222" i="21"/>
  <c r="I1219" i="21"/>
  <c r="J1219" i="21" s="1"/>
  <c r="J1218" i="21"/>
  <c r="I1215" i="21"/>
  <c r="J1215" i="21"/>
  <c r="J1214" i="21"/>
  <c r="I1211" i="21"/>
  <c r="J1211" i="21" s="1"/>
  <c r="J1210" i="21"/>
  <c r="I1207" i="21"/>
  <c r="J1207" i="21" s="1"/>
  <c r="J1206" i="21"/>
  <c r="I1203" i="21"/>
  <c r="J1203" i="21" s="1"/>
  <c r="J1202" i="21"/>
  <c r="I1199" i="21"/>
  <c r="J1199" i="21"/>
  <c r="J1198" i="21"/>
  <c r="I1195" i="21"/>
  <c r="J1195" i="21" s="1"/>
  <c r="J1194" i="21"/>
  <c r="I1191" i="21"/>
  <c r="J1191" i="21" s="1"/>
  <c r="J1190" i="21"/>
  <c r="I1187" i="21"/>
  <c r="J1187" i="21" s="1"/>
  <c r="J1186" i="21"/>
  <c r="I1183" i="21"/>
  <c r="J1183" i="21" s="1"/>
  <c r="J1182" i="21"/>
  <c r="I1179" i="21"/>
  <c r="J1179" i="21" s="1"/>
  <c r="J1178" i="21"/>
  <c r="I1175" i="21"/>
  <c r="J1175" i="21" s="1"/>
  <c r="J1174" i="21"/>
  <c r="I1171" i="21"/>
  <c r="J1171" i="21" s="1"/>
  <c r="J1170" i="21"/>
  <c r="I1167" i="21"/>
  <c r="J1167" i="21"/>
  <c r="J1166" i="21"/>
  <c r="I1163" i="21"/>
  <c r="J1163" i="21" s="1"/>
  <c r="J1162" i="21"/>
  <c r="I1159" i="21"/>
  <c r="J1159" i="21" s="1"/>
  <c r="J1158" i="21"/>
  <c r="I1155" i="21"/>
  <c r="J1155" i="21" s="1"/>
  <c r="J1154" i="21"/>
  <c r="I1151" i="21"/>
  <c r="J1151" i="21"/>
  <c r="J1150" i="21"/>
  <c r="I1147" i="21"/>
  <c r="J1147" i="21" s="1"/>
  <c r="J1146" i="21"/>
  <c r="I1143" i="21"/>
  <c r="J1143" i="21" s="1"/>
  <c r="J1142" i="21"/>
  <c r="I1139" i="21"/>
  <c r="J1139" i="21" s="1"/>
  <c r="J1138" i="21"/>
  <c r="I1135" i="21"/>
  <c r="J1135" i="21"/>
  <c r="J1134" i="21"/>
  <c r="I1131" i="21"/>
  <c r="J1131" i="21" s="1"/>
  <c r="J1130" i="21"/>
  <c r="I1127" i="21"/>
  <c r="J1127" i="21"/>
  <c r="J1126" i="21"/>
  <c r="I1123" i="21"/>
  <c r="J1123" i="21" s="1"/>
  <c r="J1122" i="21"/>
  <c r="I1119" i="21"/>
  <c r="J1119" i="21"/>
  <c r="J1118" i="21"/>
  <c r="I1115" i="21"/>
  <c r="J1115" i="21" s="1"/>
  <c r="I1100" i="21"/>
  <c r="J1100" i="21" s="1"/>
  <c r="I1084" i="21"/>
  <c r="J1084" i="21" s="1"/>
  <c r="I1068" i="21"/>
  <c r="J1068" i="21" s="1"/>
  <c r="I1052" i="21"/>
  <c r="J1052" i="21" s="1"/>
  <c r="I1032" i="21"/>
  <c r="J1032" i="21" s="1"/>
  <c r="I1014" i="21"/>
  <c r="J1014" i="21" s="1"/>
  <c r="I996" i="21"/>
  <c r="J996" i="21" s="1"/>
  <c r="I992" i="21"/>
  <c r="J992" i="21" s="1"/>
  <c r="J1262" i="21"/>
  <c r="J1259" i="21"/>
  <c r="J1246" i="21"/>
  <c r="J1243" i="21"/>
  <c r="I1015" i="21"/>
  <c r="J1015" i="21" s="1"/>
  <c r="J1258" i="21"/>
  <c r="J1242" i="21"/>
  <c r="I1113" i="21"/>
  <c r="J1113" i="21" s="1"/>
  <c r="I1097" i="21"/>
  <c r="J1097" i="21" s="1"/>
  <c r="I1081" i="21"/>
  <c r="J1081" i="21" s="1"/>
  <c r="I1065" i="21"/>
  <c r="J1065" i="21" s="1"/>
  <c r="I1039" i="21"/>
  <c r="J1039" i="21" s="1"/>
  <c r="I1010" i="21"/>
  <c r="J1010" i="21" s="1"/>
  <c r="J1109" i="21"/>
  <c r="J1093" i="21"/>
  <c r="J1077" i="21"/>
  <c r="J1061" i="21"/>
  <c r="J1043" i="21"/>
  <c r="J1023" i="21"/>
  <c r="I1016" i="21"/>
  <c r="J1016" i="21" s="1"/>
  <c r="I999" i="21"/>
  <c r="J999" i="21" s="1"/>
  <c r="J998" i="21"/>
  <c r="J1105" i="21"/>
  <c r="J1089" i="21"/>
  <c r="J1073" i="21"/>
  <c r="J1057" i="21"/>
  <c r="I1047" i="21"/>
  <c r="J1047" i="21" s="1"/>
  <c r="J1046" i="21"/>
  <c r="J1027" i="21"/>
  <c r="J1007" i="21"/>
  <c r="I1000" i="21"/>
  <c r="J1000" i="21" s="1"/>
  <c r="I983" i="21"/>
  <c r="J983" i="21" s="1"/>
  <c r="J1101" i="21"/>
  <c r="J1085" i="21"/>
  <c r="J1069" i="21"/>
  <c r="J1053" i="21"/>
  <c r="I1048" i="21"/>
  <c r="J1048" i="21" s="1"/>
  <c r="I1031" i="21"/>
  <c r="J1031" i="21" s="1"/>
  <c r="J1030" i="21"/>
  <c r="J1011" i="21"/>
  <c r="J991" i="21"/>
  <c r="I976" i="21"/>
  <c r="J976" i="21" s="1"/>
  <c r="J1035" i="21"/>
  <c r="J1019" i="21"/>
  <c r="J1003" i="21"/>
  <c r="J987" i="21"/>
  <c r="I980" i="21"/>
  <c r="J980" i="21" s="1"/>
  <c r="J979" i="21"/>
  <c r="J972" i="21"/>
  <c r="I969" i="21"/>
  <c r="J969" i="21" s="1"/>
  <c r="J968" i="21"/>
  <c r="I965" i="21"/>
  <c r="J965" i="21" s="1"/>
  <c r="J964" i="21"/>
  <c r="I961" i="21"/>
  <c r="J961" i="21" s="1"/>
  <c r="J960" i="21"/>
  <c r="I957" i="21"/>
  <c r="J957" i="21" s="1"/>
  <c r="J956" i="21"/>
  <c r="I953" i="21"/>
  <c r="J953" i="21" s="1"/>
  <c r="J952" i="21"/>
  <c r="I949" i="21"/>
  <c r="J949" i="21" s="1"/>
  <c r="J948" i="21"/>
  <c r="I945" i="21"/>
  <c r="J945" i="21"/>
  <c r="J944" i="21"/>
  <c r="I941" i="21"/>
  <c r="J941" i="21" s="1"/>
  <c r="J940" i="21"/>
  <c r="I937" i="21"/>
  <c r="J937" i="21" s="1"/>
  <c r="J936" i="21"/>
  <c r="I933" i="21"/>
  <c r="J933" i="21" s="1"/>
  <c r="J932" i="21"/>
  <c r="I929" i="21"/>
  <c r="J929" i="21"/>
  <c r="J928" i="21"/>
  <c r="I925" i="21"/>
  <c r="J925" i="21" s="1"/>
  <c r="J924" i="21"/>
  <c r="I921" i="21"/>
  <c r="J921" i="21" s="1"/>
  <c r="J920" i="21"/>
  <c r="I917" i="21"/>
  <c r="J917" i="21" s="1"/>
  <c r="J916" i="21"/>
  <c r="I913" i="21"/>
  <c r="J913" i="21"/>
  <c r="J912" i="21"/>
  <c r="I909" i="21"/>
  <c r="J909" i="21" s="1"/>
  <c r="J908" i="21"/>
  <c r="I905" i="21"/>
  <c r="J905" i="21"/>
  <c r="J904" i="21"/>
  <c r="I901" i="21"/>
  <c r="J901" i="21" s="1"/>
  <c r="J900" i="21"/>
  <c r="I897" i="21"/>
  <c r="J897" i="21"/>
  <c r="J896" i="21"/>
  <c r="I893" i="21"/>
  <c r="J893" i="21" s="1"/>
  <c r="J892" i="21"/>
  <c r="I889" i="21"/>
  <c r="J889" i="21" s="1"/>
  <c r="J888" i="21"/>
  <c r="I873" i="21"/>
  <c r="J873" i="21" s="1"/>
  <c r="J872" i="21"/>
  <c r="I885" i="21"/>
  <c r="J885" i="21"/>
  <c r="I881" i="21"/>
  <c r="J881" i="21"/>
  <c r="J880" i="21"/>
  <c r="N177" i="6"/>
  <c r="N383" i="6"/>
  <c r="R383" i="6"/>
  <c r="S383" i="6" s="1"/>
  <c r="T383" i="6" s="1"/>
  <c r="N994" i="6"/>
  <c r="R994" i="6"/>
  <c r="S994" i="6" s="1"/>
  <c r="T994" i="6" s="1"/>
  <c r="M1029" i="6"/>
  <c r="N1062" i="6"/>
  <c r="M1009" i="6"/>
  <c r="M333" i="6"/>
  <c r="N379" i="6"/>
  <c r="M1136" i="6"/>
  <c r="R1628" i="6"/>
  <c r="S1628" i="6" s="1"/>
  <c r="T1628" i="6" s="1"/>
  <c r="M990" i="6"/>
  <c r="M1061" i="6"/>
  <c r="M1095" i="6"/>
  <c r="N1186" i="6"/>
  <c r="T310" i="6"/>
  <c r="R339" i="6"/>
  <c r="S339" i="6" s="1"/>
  <c r="T339" i="6" s="1"/>
  <c r="P375" i="6"/>
  <c r="M186" i="6"/>
  <c r="S167" i="6"/>
  <c r="T167" i="6" s="1"/>
  <c r="M319" i="6"/>
  <c r="S405" i="6"/>
  <c r="T405" i="6" s="1"/>
  <c r="M1102" i="6"/>
  <c r="R48" i="6"/>
  <c r="P50" i="6"/>
  <c r="S210" i="6"/>
  <c r="T210" i="6" s="1"/>
  <c r="S370" i="6"/>
  <c r="T370" i="6" s="1"/>
  <c r="M152" i="6"/>
  <c r="M1164" i="6"/>
  <c r="M1168" i="6"/>
  <c r="M987" i="6"/>
  <c r="M1022" i="6"/>
  <c r="M163" i="6"/>
  <c r="S1127" i="6"/>
  <c r="T1127" i="6" s="1"/>
  <c r="M1127" i="6"/>
  <c r="M1016" i="6"/>
  <c r="M1082" i="6"/>
  <c r="M975" i="6"/>
  <c r="M1098" i="6"/>
  <c r="M1199" i="6"/>
  <c r="M276" i="6"/>
  <c r="M428" i="6"/>
  <c r="M410" i="6"/>
  <c r="S410" i="6"/>
  <c r="T410" i="6" s="1"/>
  <c r="M255" i="6"/>
  <c r="M216" i="6"/>
  <c r="M282" i="6"/>
  <c r="M264" i="6"/>
  <c r="M324" i="6"/>
  <c r="M366" i="6"/>
  <c r="M320" i="6"/>
  <c r="M306" i="6"/>
  <c r="M412" i="6"/>
  <c r="M289" i="6"/>
  <c r="M353" i="6"/>
  <c r="M352" i="6"/>
  <c r="M356" i="6"/>
  <c r="M237" i="6"/>
  <c r="M432" i="6"/>
  <c r="M209" i="6"/>
  <c r="M1169" i="6"/>
  <c r="M1124" i="6"/>
  <c r="S227" i="6"/>
  <c r="T227" i="6" s="1"/>
  <c r="M1100" i="6"/>
  <c r="R39" i="6"/>
  <c r="S39" i="6" s="1"/>
  <c r="T39" i="6" s="1"/>
  <c r="P39" i="6"/>
  <c r="S411" i="6"/>
  <c r="T411" i="6" s="1"/>
  <c r="R118" i="6"/>
  <c r="P118" i="6"/>
  <c r="P1317" i="6"/>
  <c r="S270" i="6"/>
  <c r="T270" i="6" s="1"/>
  <c r="S1179" i="6"/>
  <c r="T1179" i="6" s="1"/>
  <c r="M1635" i="6"/>
  <c r="N1635" i="6"/>
  <c r="M1567" i="6"/>
  <c r="N1567" i="6"/>
  <c r="N1543" i="6"/>
  <c r="M1543" i="6"/>
  <c r="M1527" i="6"/>
  <c r="N1527" i="6"/>
  <c r="M1511" i="6"/>
  <c r="N1511" i="6"/>
  <c r="N1507" i="6"/>
  <c r="M1507" i="6"/>
  <c r="M1479" i="6"/>
  <c r="N1479" i="6"/>
  <c r="M1467" i="6"/>
  <c r="N1467" i="6"/>
  <c r="Q1467" i="6" s="1"/>
  <c r="U1467" i="6" s="1"/>
  <c r="N1227" i="6"/>
  <c r="M1227" i="6"/>
  <c r="P11" i="6"/>
  <c r="R27" i="6"/>
  <c r="R79" i="6"/>
  <c r="M175" i="6"/>
  <c r="M367" i="6"/>
  <c r="N1199" i="6"/>
  <c r="N1187" i="6"/>
  <c r="N1159" i="6"/>
  <c r="N1147" i="6"/>
  <c r="N1119" i="6"/>
  <c r="M1107" i="6"/>
  <c r="N1103" i="6"/>
  <c r="N1091" i="6"/>
  <c r="N1083" i="6"/>
  <c r="N1071" i="6"/>
  <c r="N1067" i="6"/>
  <c r="N1051" i="6"/>
  <c r="M1031" i="6"/>
  <c r="N1023" i="6"/>
  <c r="N951" i="6"/>
  <c r="N443" i="6"/>
  <c r="N419" i="6"/>
  <c r="M403" i="6"/>
  <c r="M371" i="6"/>
  <c r="N347" i="6"/>
  <c r="N339" i="6"/>
  <c r="M951" i="6"/>
  <c r="M675" i="6"/>
  <c r="M1027" i="6"/>
  <c r="M375" i="6"/>
  <c r="R51" i="6"/>
  <c r="M435" i="6"/>
  <c r="J1603" i="6"/>
  <c r="O1603" i="6"/>
  <c r="O1595" i="6"/>
  <c r="J1595" i="6"/>
  <c r="J1587" i="6"/>
  <c r="O1587" i="6"/>
  <c r="J1535" i="6"/>
  <c r="O1535" i="6"/>
  <c r="O1531" i="6"/>
  <c r="J1531" i="6"/>
  <c r="O1495" i="6"/>
  <c r="Q1495" i="6" s="1"/>
  <c r="U1495" i="6" s="1"/>
  <c r="J1495" i="6"/>
  <c r="O1431" i="6"/>
  <c r="O1427" i="6"/>
  <c r="J1427" i="6"/>
  <c r="J1363" i="6"/>
  <c r="J1355" i="6"/>
  <c r="O1355" i="6"/>
  <c r="J1351" i="6"/>
  <c r="J1343" i="6"/>
  <c r="O1343" i="6"/>
  <c r="J1339" i="6"/>
  <c r="J1331" i="6"/>
  <c r="O1331" i="6"/>
  <c r="J1327" i="6"/>
  <c r="O1319" i="6"/>
  <c r="J1319" i="6"/>
  <c r="J1271" i="6"/>
  <c r="J1259" i="6"/>
  <c r="O1259" i="6"/>
  <c r="Q1259" i="6" s="1"/>
  <c r="U1259" i="6" s="1"/>
  <c r="O1255" i="6"/>
  <c r="O1239" i="6"/>
  <c r="O1235" i="6"/>
  <c r="O1211" i="6"/>
  <c r="J1211" i="6"/>
  <c r="M1211" i="6"/>
  <c r="N1211" i="6"/>
  <c r="M1207" i="6"/>
  <c r="N1195" i="6"/>
  <c r="O1195" i="6"/>
  <c r="M1195" i="6"/>
  <c r="N1191" i="6"/>
  <c r="M1191" i="6"/>
  <c r="N1183" i="6"/>
  <c r="M1175" i="6"/>
  <c r="M1167" i="6"/>
  <c r="J1151" i="6"/>
  <c r="M1151" i="6"/>
  <c r="M1143" i="6"/>
  <c r="N1139" i="6"/>
  <c r="J1139" i="6"/>
  <c r="M1139" i="6"/>
  <c r="J1135" i="6"/>
  <c r="M1135" i="6"/>
  <c r="J1627" i="6"/>
  <c r="N1644" i="6"/>
  <c r="J1599" i="6"/>
  <c r="O1539" i="6"/>
  <c r="O1571" i="6"/>
  <c r="O1515" i="6"/>
  <c r="O1267" i="6"/>
  <c r="J1579" i="6"/>
  <c r="J1591" i="6"/>
  <c r="J1527" i="6"/>
  <c r="J1644" i="6"/>
  <c r="M1644" i="6"/>
  <c r="M1115" i="6"/>
  <c r="O1007" i="6"/>
  <c r="J1007" i="6"/>
  <c r="M1007" i="6"/>
  <c r="J1003" i="6"/>
  <c r="M1003" i="6"/>
  <c r="O991" i="6"/>
  <c r="M991" i="6"/>
  <c r="N979" i="6"/>
  <c r="M979" i="6"/>
  <c r="O955" i="6"/>
  <c r="J955" i="6"/>
  <c r="M955" i="6"/>
  <c r="N1107" i="6"/>
  <c r="M1119" i="6"/>
  <c r="N1095" i="6"/>
  <c r="J1067" i="6"/>
  <c r="M1067" i="6"/>
  <c r="N1007" i="6"/>
  <c r="J419" i="6"/>
  <c r="M419" i="6"/>
  <c r="M339" i="6"/>
  <c r="J347" i="6"/>
  <c r="M347" i="6"/>
  <c r="J443" i="6"/>
  <c r="M443" i="6"/>
  <c r="P988" i="6"/>
  <c r="R988" i="6"/>
  <c r="S988" i="6" s="1"/>
  <c r="T988" i="6" s="1"/>
  <c r="P767" i="6"/>
  <c r="R767" i="6"/>
  <c r="S767" i="6" s="1"/>
  <c r="T767" i="6" s="1"/>
  <c r="P774" i="6"/>
  <c r="R774" i="6"/>
  <c r="S774" i="6" s="1"/>
  <c r="T774" i="6" s="1"/>
  <c r="P1321" i="6"/>
  <c r="R1321" i="6"/>
  <c r="S1321" i="6" s="1"/>
  <c r="T1321" i="6" s="1"/>
  <c r="R452" i="6"/>
  <c r="S452" i="6" s="1"/>
  <c r="T452" i="6" s="1"/>
  <c r="P452" i="6"/>
  <c r="P1211" i="6"/>
  <c r="R1211" i="6"/>
  <c r="S1211" i="6" s="1"/>
  <c r="T1211" i="6" s="1"/>
  <c r="R1119" i="6"/>
  <c r="S1119" i="6" s="1"/>
  <c r="T1119" i="6" s="1"/>
  <c r="P1119" i="6"/>
  <c r="R987" i="6"/>
  <c r="S987" i="6" s="1"/>
  <c r="T987" i="6" s="1"/>
  <c r="P815" i="6"/>
  <c r="Q815" i="6" s="1"/>
  <c r="R815" i="6"/>
  <c r="S815" i="6" s="1"/>
  <c r="T815" i="6" s="1"/>
  <c r="R807" i="6"/>
  <c r="S807" i="6" s="1"/>
  <c r="T807" i="6" s="1"/>
  <c r="P807" i="6"/>
  <c r="R696" i="6"/>
  <c r="S696" i="6" s="1"/>
  <c r="T696" i="6" s="1"/>
  <c r="P680" i="6"/>
  <c r="R680" i="6"/>
  <c r="S680" i="6" s="1"/>
  <c r="T680" i="6" s="1"/>
  <c r="R656" i="6"/>
  <c r="S656" i="6" s="1"/>
  <c r="T656" i="6" s="1"/>
  <c r="R652" i="6"/>
  <c r="S652" i="6" s="1"/>
  <c r="T652" i="6" s="1"/>
  <c r="P652" i="6"/>
  <c r="P524" i="6"/>
  <c r="P428" i="6"/>
  <c r="R428" i="6"/>
  <c r="S428" i="6" s="1"/>
  <c r="T428" i="6" s="1"/>
  <c r="R152" i="6"/>
  <c r="S152" i="6" s="1"/>
  <c r="T152" i="6" s="1"/>
  <c r="P152" i="6"/>
  <c r="P45" i="6"/>
  <c r="J1638" i="6"/>
  <c r="O1638" i="6"/>
  <c r="J1630" i="6"/>
  <c r="O1630" i="6"/>
  <c r="J1606" i="6"/>
  <c r="O1606" i="6"/>
  <c r="O1578" i="6"/>
  <c r="J1578" i="6"/>
  <c r="J1574" i="6"/>
  <c r="O1570" i="6"/>
  <c r="J1570" i="6"/>
  <c r="O1566" i="6"/>
  <c r="J1566" i="6"/>
  <c r="O1558" i="6"/>
  <c r="J1558" i="6"/>
  <c r="O1554" i="6"/>
  <c r="J1554" i="6"/>
  <c r="O1494" i="6"/>
  <c r="J1494" i="6"/>
  <c r="O1486" i="6"/>
  <c r="J1486" i="6"/>
  <c r="J1470" i="6"/>
  <c r="O1470" i="6"/>
  <c r="J1462" i="6"/>
  <c r="O1462" i="6"/>
  <c r="O1446" i="6"/>
  <c r="J1446" i="6"/>
  <c r="O1402" i="6"/>
  <c r="J1402" i="6"/>
  <c r="J1398" i="6"/>
  <c r="O1398" i="6"/>
  <c r="O1366" i="6"/>
  <c r="O1358" i="6"/>
  <c r="J1354" i="6"/>
  <c r="O1346" i="6"/>
  <c r="J1338" i="6"/>
  <c r="O1326" i="6"/>
  <c r="O1310" i="6"/>
  <c r="O1306" i="6"/>
  <c r="J1298" i="6"/>
  <c r="O1290" i="6"/>
  <c r="J1286" i="6"/>
  <c r="O1222" i="6"/>
  <c r="O1154" i="6"/>
  <c r="J1154" i="6"/>
  <c r="J1130" i="6"/>
  <c r="O1130" i="6"/>
  <c r="O1102" i="6"/>
  <c r="J1102" i="6"/>
  <c r="O1086" i="6"/>
  <c r="J1086" i="6"/>
  <c r="O1066" i="6"/>
  <c r="J1066" i="6"/>
  <c r="O1062" i="6"/>
  <c r="J1062" i="6"/>
  <c r="O1054" i="6"/>
  <c r="J1054" i="6"/>
  <c r="J1050" i="6"/>
  <c r="O1050" i="6"/>
  <c r="J1046" i="6"/>
  <c r="O1046" i="6"/>
  <c r="O1042" i="6"/>
  <c r="J1042" i="6"/>
  <c r="P688" i="6"/>
  <c r="R783" i="6"/>
  <c r="S783" i="6" s="1"/>
  <c r="T783" i="6" s="1"/>
  <c r="P991" i="6"/>
  <c r="R476" i="6"/>
  <c r="S476" i="6" s="1"/>
  <c r="T476" i="6" s="1"/>
  <c r="R907" i="6"/>
  <c r="S907" i="6" s="1"/>
  <c r="T907" i="6" s="1"/>
  <c r="P751" i="6"/>
  <c r="Q751" i="6" s="1"/>
  <c r="U751" i="6" s="1"/>
  <c r="R172" i="6"/>
  <c r="S172" i="6" s="1"/>
  <c r="T172" i="6" s="1"/>
  <c r="J1518" i="6"/>
  <c r="P704" i="6"/>
  <c r="J1594" i="6"/>
  <c r="J1458" i="6"/>
  <c r="O1546" i="6"/>
  <c r="R1561" i="6"/>
  <c r="S1561" i="6" s="1"/>
  <c r="T1561" i="6" s="1"/>
  <c r="R927" i="6"/>
  <c r="S927" i="6" s="1"/>
  <c r="T927" i="6" s="1"/>
  <c r="R875" i="6"/>
  <c r="S875" i="6" s="1"/>
  <c r="T875" i="6" s="1"/>
  <c r="P827" i="6"/>
  <c r="R1067" i="6"/>
  <c r="S1067" i="6" s="1"/>
  <c r="T1067" i="6" s="1"/>
  <c r="R484" i="6"/>
  <c r="S484" i="6" s="1"/>
  <c r="T484" i="6" s="1"/>
  <c r="R967" i="6"/>
  <c r="S967" i="6" s="1"/>
  <c r="T967" i="6" s="1"/>
  <c r="O1530" i="6"/>
  <c r="J1410" i="6"/>
  <c r="J1438" i="6"/>
  <c r="P676" i="6"/>
  <c r="P1143" i="6"/>
  <c r="P176" i="6"/>
  <c r="O1498" i="6"/>
  <c r="R823" i="6"/>
  <c r="S823" i="6" s="1"/>
  <c r="T823" i="6" s="1"/>
  <c r="P879" i="6"/>
  <c r="J1030" i="6"/>
  <c r="O583" i="6"/>
  <c r="J583" i="6"/>
  <c r="O559" i="6"/>
  <c r="J559" i="6"/>
  <c r="J467" i="6"/>
  <c r="O467" i="6"/>
  <c r="J439" i="6"/>
  <c r="O439" i="6"/>
  <c r="O411" i="6"/>
  <c r="J407" i="6"/>
  <c r="O407" i="6"/>
  <c r="J367" i="6"/>
  <c r="O367" i="6"/>
  <c r="J1026" i="6"/>
  <c r="O1026" i="6"/>
  <c r="O1018" i="6"/>
  <c r="J1018" i="6"/>
  <c r="J1014" i="6"/>
  <c r="O1014" i="6"/>
  <c r="O1006" i="6"/>
  <c r="J1006" i="6"/>
  <c r="O986" i="6"/>
  <c r="J986" i="6"/>
  <c r="J974" i="6"/>
  <c r="O974" i="6"/>
  <c r="O894" i="6"/>
  <c r="J894" i="6"/>
  <c r="O818" i="6"/>
  <c r="J818" i="6"/>
  <c r="J694" i="6"/>
  <c r="O694" i="6"/>
  <c r="O846" i="6"/>
  <c r="P790" i="6"/>
  <c r="J982" i="6"/>
  <c r="O1010" i="6"/>
  <c r="J998" i="6"/>
  <c r="O966" i="6"/>
  <c r="J1038" i="6"/>
  <c r="J970" i="6"/>
  <c r="R115" i="6"/>
  <c r="P46" i="6"/>
  <c r="R14" i="6"/>
  <c r="P47" i="6"/>
  <c r="O1575" i="6"/>
  <c r="Q1575" i="6" s="1"/>
  <c r="U1575" i="6" s="1"/>
  <c r="J1575" i="6"/>
  <c r="O1563" i="6"/>
  <c r="J1563" i="6"/>
  <c r="J1555" i="6"/>
  <c r="J1551" i="6"/>
  <c r="O1551" i="6"/>
  <c r="O1543" i="6"/>
  <c r="J1543" i="6"/>
  <c r="O1511" i="6"/>
  <c r="J1511" i="6"/>
  <c r="J1491" i="6"/>
  <c r="O1491" i="6"/>
  <c r="O1415" i="6"/>
  <c r="J1415" i="6"/>
  <c r="J1399" i="6"/>
  <c r="O1399" i="6"/>
  <c r="O1367" i="6"/>
  <c r="J1367" i="6"/>
  <c r="O1291" i="6"/>
  <c r="J1291" i="6"/>
  <c r="O1223" i="6"/>
  <c r="J1223" i="6"/>
  <c r="O1075" i="6"/>
  <c r="J1063" i="6"/>
  <c r="O1047" i="6"/>
  <c r="J1031" i="6"/>
  <c r="O1027" i="6"/>
  <c r="J1027" i="6"/>
  <c r="J995" i="6"/>
  <c r="O971" i="6"/>
  <c r="J971" i="6"/>
  <c r="O967" i="6"/>
  <c r="Q967" i="6" s="1"/>
  <c r="U967" i="6" s="1"/>
  <c r="O959" i="6"/>
  <c r="J959" i="6"/>
  <c r="O947" i="6"/>
  <c r="J947" i="6"/>
  <c r="J943" i="6"/>
  <c r="O943" i="6"/>
  <c r="J907" i="6"/>
  <c r="O907" i="6"/>
  <c r="J787" i="6"/>
  <c r="O787" i="6"/>
  <c r="Q787" i="6" s="1"/>
  <c r="U787" i="6" s="1"/>
  <c r="O767" i="6"/>
  <c r="J767" i="6"/>
  <c r="O763" i="6"/>
  <c r="J763" i="6"/>
  <c r="O739" i="6"/>
  <c r="J739" i="6"/>
  <c r="O727" i="6"/>
  <c r="J727" i="6"/>
  <c r="O719" i="6"/>
  <c r="J719" i="6"/>
  <c r="O683" i="6"/>
  <c r="J683" i="6"/>
  <c r="O679" i="6"/>
  <c r="J679" i="6"/>
  <c r="O595" i="6"/>
  <c r="J595" i="6"/>
  <c r="O576" i="6"/>
  <c r="J576" i="6"/>
  <c r="J556" i="6"/>
  <c r="O556" i="6"/>
  <c r="J544" i="6"/>
  <c r="O544" i="6"/>
  <c r="O512" i="6"/>
  <c r="J512" i="6"/>
  <c r="J500" i="6"/>
  <c r="O500" i="6"/>
  <c r="J492" i="6"/>
  <c r="O492" i="6"/>
  <c r="O488" i="6"/>
  <c r="J488" i="6"/>
  <c r="O484" i="6"/>
  <c r="J484" i="6"/>
  <c r="O476" i="6"/>
  <c r="Q476" i="6" s="1"/>
  <c r="U476" i="6" s="1"/>
  <c r="J476" i="6"/>
  <c r="O468" i="6"/>
  <c r="J468" i="6"/>
  <c r="O440" i="6"/>
  <c r="J440" i="6"/>
  <c r="O428" i="6"/>
  <c r="J428" i="6"/>
  <c r="J408" i="6"/>
  <c r="O408" i="6"/>
  <c r="O404" i="6"/>
  <c r="J404" i="6"/>
  <c r="O392" i="6"/>
  <c r="J392" i="6"/>
  <c r="J376" i="6"/>
  <c r="O376" i="6"/>
  <c r="O372" i="6"/>
  <c r="J372" i="6"/>
  <c r="J364" i="6"/>
  <c r="O364" i="6"/>
  <c r="J360" i="6"/>
  <c r="O360" i="6"/>
  <c r="J348" i="6"/>
  <c r="O348" i="6"/>
  <c r="O336" i="6"/>
  <c r="J336" i="6"/>
  <c r="J304" i="6"/>
  <c r="O304" i="6"/>
  <c r="J292" i="6"/>
  <c r="O292" i="6"/>
  <c r="J280" i="6"/>
  <c r="O280" i="6"/>
  <c r="J268" i="6"/>
  <c r="O268" i="6"/>
  <c r="O264" i="6"/>
  <c r="J264" i="6"/>
  <c r="J220" i="6"/>
  <c r="O220" i="6"/>
  <c r="O212" i="6"/>
  <c r="J212" i="6"/>
  <c r="J208" i="6"/>
  <c r="O208" i="6"/>
  <c r="O204" i="6"/>
  <c r="J204" i="6"/>
  <c r="O188" i="6"/>
  <c r="J188" i="6"/>
  <c r="O176" i="6"/>
  <c r="J176" i="6"/>
  <c r="J164" i="6"/>
  <c r="O164" i="6"/>
  <c r="O160" i="6"/>
  <c r="J160" i="6"/>
  <c r="N19" i="6"/>
  <c r="R19" i="6"/>
  <c r="N1628" i="6"/>
  <c r="M1624" i="6"/>
  <c r="N1624" i="6"/>
  <c r="N1600" i="6"/>
  <c r="M1600" i="6"/>
  <c r="N1592" i="6"/>
  <c r="N1584" i="6"/>
  <c r="M1584" i="6"/>
  <c r="M1572" i="6"/>
  <c r="N1572" i="6"/>
  <c r="M1544" i="6"/>
  <c r="N1544" i="6"/>
  <c r="M1528" i="6"/>
  <c r="N1528" i="6"/>
  <c r="M1524" i="6"/>
  <c r="N1524" i="6"/>
  <c r="M1504" i="6"/>
  <c r="N1504" i="6"/>
  <c r="M1480" i="6"/>
  <c r="N1480" i="6"/>
  <c r="M1464" i="6"/>
  <c r="N1464" i="6"/>
  <c r="M1456" i="6"/>
  <c r="N1456" i="6"/>
  <c r="M1436" i="6"/>
  <c r="N1436" i="6"/>
  <c r="N1432" i="6"/>
  <c r="M1432" i="6"/>
  <c r="N1420" i="6"/>
  <c r="M1420" i="6"/>
  <c r="N1412" i="6"/>
  <c r="M1412" i="6"/>
  <c r="J611" i="6"/>
  <c r="J564" i="6"/>
  <c r="O935" i="6"/>
  <c r="O444" i="6"/>
  <c r="Q444" i="6" s="1"/>
  <c r="U444" i="6" s="1"/>
  <c r="O931" i="6"/>
  <c r="J631" i="6"/>
  <c r="J871" i="6"/>
  <c r="O436" i="6"/>
  <c r="J643" i="6"/>
  <c r="J1103" i="6"/>
  <c r="J883" i="6"/>
  <c r="J1471" i="6"/>
  <c r="O1447" i="6"/>
  <c r="J1423" i="6"/>
  <c r="O1395" i="6"/>
  <c r="J1375" i="6"/>
  <c r="J1051" i="6"/>
  <c r="J380" i="6"/>
  <c r="O1559" i="6"/>
  <c r="J416" i="6"/>
  <c r="J1487" i="6"/>
  <c r="J983" i="6"/>
  <c r="J344" i="6"/>
  <c r="J1111" i="6"/>
  <c r="O1043" i="6"/>
  <c r="J1015" i="6"/>
  <c r="P206" i="6"/>
  <c r="Q206" i="6" s="1"/>
  <c r="R206" i="6"/>
  <c r="S206" i="6" s="1"/>
  <c r="T206" i="6" s="1"/>
  <c r="O791" i="6"/>
  <c r="O795" i="6"/>
  <c r="O536" i="6"/>
  <c r="J647" i="6"/>
  <c r="J587" i="6"/>
  <c r="O1315" i="6"/>
  <c r="J1099" i="6"/>
  <c r="J1467" i="6"/>
  <c r="J1443" i="6"/>
  <c r="O1419" i="6"/>
  <c r="O1391" i="6"/>
  <c r="J1055" i="6"/>
  <c r="J1503" i="6"/>
  <c r="O923" i="6"/>
  <c r="J823" i="6"/>
  <c r="O755" i="6"/>
  <c r="O659" i="6"/>
  <c r="O743" i="6"/>
  <c r="J703" i="6"/>
  <c r="O464" i="6"/>
  <c r="J603" i="6"/>
  <c r="O667" i="6"/>
  <c r="O352" i="6"/>
  <c r="O1303" i="6"/>
  <c r="Q1303" i="6" s="1"/>
  <c r="U1303" i="6" s="1"/>
  <c r="J1451" i="6"/>
  <c r="J1283" i="6"/>
  <c r="O1091" i="6"/>
  <c r="J1483" i="6"/>
  <c r="J1463" i="6"/>
  <c r="J1439" i="6"/>
  <c r="J1407" i="6"/>
  <c r="O1387" i="6"/>
  <c r="J424" i="6"/>
  <c r="O540" i="6"/>
  <c r="Q540" i="6" s="1"/>
  <c r="U540" i="6" s="1"/>
  <c r="O1247" i="6"/>
  <c r="M1364" i="6"/>
  <c r="N1364" i="6"/>
  <c r="N1148" i="6"/>
  <c r="M1148" i="6"/>
  <c r="M936" i="6"/>
  <c r="N936" i="6"/>
  <c r="N824" i="6"/>
  <c r="M824" i="6"/>
  <c r="N812" i="6"/>
  <c r="M812" i="6"/>
  <c r="N808" i="6"/>
  <c r="M808" i="6"/>
  <c r="N496" i="6"/>
  <c r="M496" i="6"/>
  <c r="N460" i="6"/>
  <c r="M460" i="6"/>
  <c r="N456" i="6"/>
  <c r="M456" i="6"/>
  <c r="N452" i="6"/>
  <c r="M452" i="6"/>
  <c r="M420" i="6"/>
  <c r="N420" i="6"/>
  <c r="N408" i="6"/>
  <c r="M408" i="6"/>
  <c r="N224" i="6"/>
  <c r="M224" i="6"/>
  <c r="N188" i="6"/>
  <c r="M188" i="6"/>
  <c r="M180" i="6"/>
  <c r="N180" i="6"/>
  <c r="N172" i="6"/>
  <c r="M172" i="6"/>
  <c r="R286" i="6"/>
  <c r="S286" i="6" s="1"/>
  <c r="T286" i="6" s="1"/>
  <c r="P286" i="6"/>
  <c r="P923" i="6"/>
  <c r="P755" i="6"/>
  <c r="R755" i="6"/>
  <c r="S755" i="6" s="1"/>
  <c r="T755" i="6" s="1"/>
  <c r="R735" i="6"/>
  <c r="S735" i="6" s="1"/>
  <c r="T735" i="6" s="1"/>
  <c r="P735" i="6"/>
  <c r="R128" i="6"/>
  <c r="R116" i="6"/>
  <c r="P92" i="6"/>
  <c r="J1586" i="6"/>
  <c r="M156" i="6"/>
  <c r="R302" i="6"/>
  <c r="S302" i="6" s="1"/>
  <c r="T302" i="6" s="1"/>
  <c r="P1635" i="6"/>
  <c r="P1599" i="6"/>
  <c r="R1599" i="6"/>
  <c r="S1599" i="6" s="1"/>
  <c r="T1599" i="6" s="1"/>
  <c r="R1571" i="6"/>
  <c r="S1571" i="6" s="1"/>
  <c r="T1571" i="6" s="1"/>
  <c r="R1563" i="6"/>
  <c r="S1563" i="6" s="1"/>
  <c r="T1563" i="6" s="1"/>
  <c r="P1539" i="6"/>
  <c r="R1539" i="6"/>
  <c r="S1539" i="6" s="1"/>
  <c r="T1539" i="6" s="1"/>
  <c r="P1535" i="6"/>
  <c r="R1535" i="6"/>
  <c r="S1535" i="6" s="1"/>
  <c r="T1535" i="6" s="1"/>
  <c r="P1527" i="6"/>
  <c r="P1503" i="6"/>
  <c r="P1487" i="6"/>
  <c r="R1487" i="6"/>
  <c r="S1487" i="6" s="1"/>
  <c r="T1487" i="6" s="1"/>
  <c r="R1439" i="6"/>
  <c r="S1439" i="6" s="1"/>
  <c r="T1439" i="6" s="1"/>
  <c r="P1439" i="6"/>
  <c r="R1419" i="6"/>
  <c r="S1419" i="6" s="1"/>
  <c r="T1419" i="6" s="1"/>
  <c r="R1395" i="6"/>
  <c r="S1395" i="6" s="1"/>
  <c r="T1395" i="6" s="1"/>
  <c r="P1395" i="6"/>
  <c r="P1383" i="6"/>
  <c r="R1383" i="6"/>
  <c r="S1383" i="6" s="1"/>
  <c r="T1383" i="6" s="1"/>
  <c r="P1367" i="6"/>
  <c r="R1367" i="6"/>
  <c r="S1367" i="6" s="1"/>
  <c r="T1367" i="6" s="1"/>
  <c r="R1355" i="6"/>
  <c r="S1355" i="6" s="1"/>
  <c r="T1355" i="6" s="1"/>
  <c r="P1355" i="6"/>
  <c r="P1343" i="6"/>
  <c r="R1343" i="6"/>
  <c r="S1343" i="6" s="1"/>
  <c r="T1343" i="6" s="1"/>
  <c r="R1331" i="6"/>
  <c r="S1331" i="6" s="1"/>
  <c r="T1331" i="6" s="1"/>
  <c r="P1331" i="6"/>
  <c r="P1283" i="6"/>
  <c r="R1271" i="6"/>
  <c r="S1271" i="6" s="1"/>
  <c r="T1271" i="6" s="1"/>
  <c r="P1271" i="6"/>
  <c r="R1132" i="6"/>
  <c r="S1132" i="6" s="1"/>
  <c r="T1132" i="6" s="1"/>
  <c r="P1132" i="6"/>
  <c r="R1068" i="6"/>
  <c r="S1068" i="6" s="1"/>
  <c r="T1068" i="6" s="1"/>
  <c r="P1048" i="6"/>
  <c r="R1048" i="6"/>
  <c r="S1048" i="6" s="1"/>
  <c r="T1048" i="6" s="1"/>
  <c r="P1028" i="6"/>
  <c r="P1024" i="6"/>
  <c r="R1016" i="6"/>
  <c r="S1016" i="6" s="1"/>
  <c r="T1016" i="6" s="1"/>
  <c r="P1012" i="6"/>
  <c r="R1012" i="6"/>
  <c r="S1012" i="6" s="1"/>
  <c r="T1012" i="6" s="1"/>
  <c r="P956" i="6"/>
  <c r="R956" i="6"/>
  <c r="S956" i="6" s="1"/>
  <c r="T956" i="6" s="1"/>
  <c r="P944" i="6"/>
  <c r="P936" i="6"/>
  <c r="R932" i="6"/>
  <c r="S932" i="6" s="1"/>
  <c r="T932" i="6" s="1"/>
  <c r="P928" i="6"/>
  <c r="R928" i="6"/>
  <c r="S928" i="6" s="1"/>
  <c r="T928" i="6" s="1"/>
  <c r="P896" i="6"/>
  <c r="R892" i="6"/>
  <c r="S892" i="6" s="1"/>
  <c r="T892" i="6" s="1"/>
  <c r="P892" i="6"/>
  <c r="R884" i="6"/>
  <c r="S884" i="6" s="1"/>
  <c r="T884" i="6" s="1"/>
  <c r="P884" i="6"/>
  <c r="P868" i="6"/>
  <c r="P848" i="6"/>
  <c r="P824" i="6"/>
  <c r="P796" i="6"/>
  <c r="R796" i="6"/>
  <c r="S796" i="6" s="1"/>
  <c r="T796" i="6" s="1"/>
  <c r="P784" i="6"/>
  <c r="P772" i="6"/>
  <c r="R760" i="6"/>
  <c r="S760" i="6" s="1"/>
  <c r="T760" i="6" s="1"/>
  <c r="P748" i="6"/>
  <c r="P740" i="6"/>
  <c r="P728" i="6"/>
  <c r="R728" i="6"/>
  <c r="S728" i="6" s="1"/>
  <c r="T728" i="6" s="1"/>
  <c r="R716" i="6"/>
  <c r="S716" i="6" s="1"/>
  <c r="T716" i="6" s="1"/>
  <c r="R708" i="6"/>
  <c r="S708" i="6" s="1"/>
  <c r="T708" i="6" s="1"/>
  <c r="P705" i="6"/>
  <c r="R705" i="6"/>
  <c r="S705" i="6" s="1"/>
  <c r="T705" i="6" s="1"/>
  <c r="R685" i="6"/>
  <c r="S685" i="6" s="1"/>
  <c r="T685" i="6" s="1"/>
  <c r="P685" i="6"/>
  <c r="R633" i="6"/>
  <c r="S633" i="6" s="1"/>
  <c r="T633" i="6" s="1"/>
  <c r="P633" i="6"/>
  <c r="R549" i="6"/>
  <c r="S549" i="6" s="1"/>
  <c r="T549" i="6" s="1"/>
  <c r="P549" i="6"/>
  <c r="P541" i="6"/>
  <c r="P529" i="6"/>
  <c r="R529" i="6"/>
  <c r="S529" i="6" s="1"/>
  <c r="T529" i="6" s="1"/>
  <c r="R525" i="6"/>
  <c r="S525" i="6" s="1"/>
  <c r="T525" i="6" s="1"/>
  <c r="P525" i="6"/>
  <c r="R497" i="6"/>
  <c r="S497" i="6" s="1"/>
  <c r="T497" i="6" s="1"/>
  <c r="P481" i="6"/>
  <c r="R481" i="6"/>
  <c r="S481" i="6" s="1"/>
  <c r="T481" i="6" s="1"/>
  <c r="P469" i="6"/>
  <c r="R469" i="6"/>
  <c r="S469" i="6" s="1"/>
  <c r="T469" i="6" s="1"/>
  <c r="P449" i="6"/>
  <c r="P445" i="6"/>
  <c r="R445" i="6"/>
  <c r="S445" i="6" s="1"/>
  <c r="T445" i="6" s="1"/>
  <c r="P441" i="6"/>
  <c r="R441" i="6"/>
  <c r="S441" i="6" s="1"/>
  <c r="T441" i="6" s="1"/>
  <c r="P409" i="6"/>
  <c r="R409" i="6"/>
  <c r="S409" i="6" s="1"/>
  <c r="T409" i="6" s="1"/>
  <c r="P357" i="6"/>
  <c r="R357" i="6"/>
  <c r="S357" i="6" s="1"/>
  <c r="T357" i="6" s="1"/>
  <c r="R325" i="6"/>
  <c r="S325" i="6" s="1"/>
  <c r="T325" i="6" s="1"/>
  <c r="P325" i="6"/>
  <c r="P289" i="6"/>
  <c r="R289" i="6"/>
  <c r="S289" i="6" s="1"/>
  <c r="T289" i="6" s="1"/>
  <c r="P281" i="6"/>
  <c r="P265" i="6"/>
  <c r="R265" i="6"/>
  <c r="S265" i="6" s="1"/>
  <c r="T265" i="6" s="1"/>
  <c r="R253" i="6"/>
  <c r="S253" i="6" s="1"/>
  <c r="T253" i="6" s="1"/>
  <c r="P253" i="6"/>
  <c r="R241" i="6"/>
  <c r="S241" i="6" s="1"/>
  <c r="T241" i="6" s="1"/>
  <c r="P241" i="6"/>
  <c r="P237" i="6"/>
  <c r="R237" i="6"/>
  <c r="S237" i="6" s="1"/>
  <c r="T237" i="6" s="1"/>
  <c r="R225" i="6"/>
  <c r="S225" i="6" s="1"/>
  <c r="T225" i="6" s="1"/>
  <c r="P225" i="6"/>
  <c r="R213" i="6"/>
  <c r="S213" i="6" s="1"/>
  <c r="T213" i="6" s="1"/>
  <c r="P213" i="6"/>
  <c r="P173" i="6"/>
  <c r="P1523" i="6"/>
  <c r="R724" i="6"/>
  <c r="S724" i="6" s="1"/>
  <c r="T724" i="6" s="1"/>
  <c r="P589" i="6"/>
  <c r="P121" i="6"/>
  <c r="R121" i="6"/>
  <c r="P113" i="6"/>
  <c r="H38" i="6"/>
  <c r="R38" i="6" s="1"/>
  <c r="S38" i="6" s="1"/>
  <c r="T38" i="6" s="1"/>
  <c r="J1631" i="6"/>
  <c r="O1631" i="6"/>
  <c r="O1623" i="6"/>
  <c r="J1623" i="6"/>
  <c r="O1615" i="6"/>
  <c r="J1615" i="6"/>
  <c r="O1611" i="6"/>
  <c r="J1611" i="6"/>
  <c r="J1607" i="6"/>
  <c r="O1607" i="6"/>
  <c r="O1576" i="6"/>
  <c r="O1564" i="6"/>
  <c r="O1560" i="6"/>
  <c r="O1548" i="6"/>
  <c r="J1532" i="6"/>
  <c r="J1512" i="6"/>
  <c r="J1508" i="6"/>
  <c r="O1508" i="6"/>
  <c r="J1496" i="6"/>
  <c r="O1496" i="6"/>
  <c r="J1484" i="6"/>
  <c r="O1484" i="6"/>
  <c r="O1472" i="6"/>
  <c r="J1472" i="6"/>
  <c r="O1464" i="6"/>
  <c r="J1460" i="6"/>
  <c r="O1460" i="6"/>
  <c r="O1448" i="6"/>
  <c r="J1448" i="6"/>
  <c r="J1444" i="6"/>
  <c r="J1436" i="6"/>
  <c r="O1436" i="6"/>
  <c r="O1428" i="6"/>
  <c r="J1420" i="6"/>
  <c r="J1412" i="6"/>
  <c r="O1412" i="6"/>
  <c r="O1400" i="6"/>
  <c r="J1400" i="6"/>
  <c r="J1388" i="6"/>
  <c r="O1388" i="6"/>
  <c r="J1384" i="6"/>
  <c r="O1384" i="6"/>
  <c r="J1376" i="6"/>
  <c r="O1376" i="6"/>
  <c r="Q1376" i="6" s="1"/>
  <c r="U1376" i="6" s="1"/>
  <c r="O1372" i="6"/>
  <c r="J1372" i="6"/>
  <c r="J1364" i="6"/>
  <c r="O1364" i="6"/>
  <c r="O1340" i="6"/>
  <c r="J1340" i="6"/>
  <c r="O1336" i="6"/>
  <c r="J1336" i="6"/>
  <c r="J1332" i="6"/>
  <c r="J1328" i="6"/>
  <c r="O1328" i="6"/>
  <c r="O1312" i="6"/>
  <c r="J1312" i="6"/>
  <c r="J1308" i="6"/>
  <c r="J1304" i="6"/>
  <c r="O1304" i="6"/>
  <c r="O1292" i="6"/>
  <c r="O1288" i="6"/>
  <c r="J1288" i="6"/>
  <c r="J1272" i="6"/>
  <c r="O1268" i="6"/>
  <c r="J1268" i="6"/>
  <c r="J1256" i="6"/>
  <c r="O1256" i="6"/>
  <c r="J1244" i="6"/>
  <c r="O1244" i="6"/>
  <c r="O1240" i="6"/>
  <c r="J1240" i="6"/>
  <c r="J1236" i="6"/>
  <c r="J1228" i="6"/>
  <c r="O1228" i="6"/>
  <c r="O1216" i="6"/>
  <c r="J1216" i="6"/>
  <c r="J1208" i="6"/>
  <c r="O1208" i="6"/>
  <c r="J1204" i="6"/>
  <c r="O1204" i="6"/>
  <c r="J1200" i="6"/>
  <c r="O1196" i="6"/>
  <c r="J1088" i="6"/>
  <c r="O996" i="6"/>
  <c r="J956" i="6"/>
  <c r="O952" i="6"/>
  <c r="J952" i="6"/>
  <c r="J948" i="6"/>
  <c r="J944" i="6"/>
  <c r="O944" i="6"/>
  <c r="O932" i="6"/>
  <c r="O924" i="6"/>
  <c r="J924" i="6"/>
  <c r="J916" i="6"/>
  <c r="O916" i="6"/>
  <c r="O896" i="6"/>
  <c r="J896" i="6"/>
  <c r="J892" i="6"/>
  <c r="O892" i="6"/>
  <c r="O880" i="6"/>
  <c r="J880" i="6"/>
  <c r="O876" i="6"/>
  <c r="J876" i="6"/>
  <c r="O864" i="6"/>
  <c r="J864" i="6"/>
  <c r="O860" i="6"/>
  <c r="J860" i="6"/>
  <c r="O856" i="6"/>
  <c r="J856" i="6"/>
  <c r="J844" i="6"/>
  <c r="O844" i="6"/>
  <c r="J840" i="6"/>
  <c r="O840" i="6"/>
  <c r="J828" i="6"/>
  <c r="O828" i="6"/>
  <c r="Q828" i="6" s="1"/>
  <c r="U828" i="6" s="1"/>
  <c r="J824" i="6"/>
  <c r="O824" i="6"/>
  <c r="J816" i="6"/>
  <c r="O816" i="6"/>
  <c r="O808" i="6"/>
  <c r="J808" i="6"/>
  <c r="J796" i="6"/>
  <c r="O796" i="6"/>
  <c r="J784" i="6"/>
  <c r="O784" i="6"/>
  <c r="O780" i="6"/>
  <c r="J780" i="6"/>
  <c r="J776" i="6"/>
  <c r="O776" i="6"/>
  <c r="O772" i="6"/>
  <c r="J772" i="6"/>
  <c r="O768" i="6"/>
  <c r="J768" i="6"/>
  <c r="O764" i="6"/>
  <c r="J764" i="6"/>
  <c r="O760" i="6"/>
  <c r="O756" i="6"/>
  <c r="J756" i="6"/>
  <c r="O752" i="6"/>
  <c r="J752" i="6"/>
  <c r="O744" i="6"/>
  <c r="J744" i="6"/>
  <c r="J740" i="6"/>
  <c r="O740" i="6"/>
  <c r="J732" i="6"/>
  <c r="O732" i="6"/>
  <c r="J728" i="6"/>
  <c r="O728" i="6"/>
  <c r="J724" i="6"/>
  <c r="O724" i="6"/>
  <c r="O720" i="6"/>
  <c r="J720" i="6"/>
  <c r="J716" i="6"/>
  <c r="O716" i="6"/>
  <c r="Q716" i="6" s="1"/>
  <c r="U716" i="6" s="1"/>
  <c r="J708" i="6"/>
  <c r="O708" i="6"/>
  <c r="O704" i="6"/>
  <c r="J704" i="6"/>
  <c r="J696" i="6"/>
  <c r="O696" i="6"/>
  <c r="J692" i="6"/>
  <c r="O692" i="6"/>
  <c r="O688" i="6"/>
  <c r="J688" i="6"/>
  <c r="O684" i="6"/>
  <c r="J684" i="6"/>
  <c r="J680" i="6"/>
  <c r="O680" i="6"/>
  <c r="O676" i="6"/>
  <c r="J676" i="6"/>
  <c r="O668" i="6"/>
  <c r="J668" i="6"/>
  <c r="O656" i="6"/>
  <c r="J656" i="6"/>
  <c r="O636" i="6"/>
  <c r="J636" i="6"/>
  <c r="O628" i="6"/>
  <c r="J628" i="6"/>
  <c r="O620" i="6"/>
  <c r="J620" i="6"/>
  <c r="O616" i="6"/>
  <c r="J616" i="6"/>
  <c r="O612" i="6"/>
  <c r="J612" i="6"/>
  <c r="O608" i="6"/>
  <c r="J608" i="6"/>
  <c r="J600" i="6"/>
  <c r="O600" i="6"/>
  <c r="O596" i="6"/>
  <c r="Q596" i="6" s="1"/>
  <c r="U596" i="6" s="1"/>
  <c r="J596" i="6"/>
  <c r="J592" i="6"/>
  <c r="O592" i="6"/>
  <c r="J588" i="6"/>
  <c r="O588" i="6"/>
  <c r="J584" i="6"/>
  <c r="O584" i="6"/>
  <c r="O581" i="6"/>
  <c r="Q581" i="6" s="1"/>
  <c r="U581" i="6" s="1"/>
  <c r="J581" i="6"/>
  <c r="O573" i="6"/>
  <c r="J573" i="6"/>
  <c r="J565" i="6"/>
  <c r="O565" i="6"/>
  <c r="O553" i="6"/>
  <c r="J553" i="6"/>
  <c r="J545" i="6"/>
  <c r="O545" i="6"/>
  <c r="J541" i="6"/>
  <c r="O541" i="6"/>
  <c r="O533" i="6"/>
  <c r="J529" i="6"/>
  <c r="O529" i="6"/>
  <c r="O525" i="6"/>
  <c r="J525" i="6"/>
  <c r="O517" i="6"/>
  <c r="J517" i="6"/>
  <c r="J509" i="6"/>
  <c r="O509" i="6"/>
  <c r="O505" i="6"/>
  <c r="J505" i="6"/>
  <c r="J493" i="6"/>
  <c r="O493" i="6"/>
  <c r="O489" i="6"/>
  <c r="J489" i="6"/>
  <c r="O481" i="6"/>
  <c r="J481" i="6"/>
  <c r="O477" i="6"/>
  <c r="J477" i="6"/>
  <c r="J461" i="6"/>
  <c r="O461" i="6"/>
  <c r="J457" i="6"/>
  <c r="O457" i="6"/>
  <c r="O453" i="6"/>
  <c r="J453" i="6"/>
  <c r="O445" i="6"/>
  <c r="J445" i="6"/>
  <c r="O441" i="6"/>
  <c r="J441" i="6"/>
  <c r="J437" i="6"/>
  <c r="O437" i="6"/>
  <c r="J417" i="6"/>
  <c r="O417" i="6"/>
  <c r="O405" i="6"/>
  <c r="J405" i="6"/>
  <c r="O397" i="6"/>
  <c r="J397" i="6"/>
  <c r="O393" i="6"/>
  <c r="J393" i="6"/>
  <c r="J389" i="6"/>
  <c r="O389" i="6"/>
  <c r="O385" i="6"/>
  <c r="J385" i="6"/>
  <c r="J377" i="6"/>
  <c r="O369" i="6"/>
  <c r="J369" i="6"/>
  <c r="O357" i="6"/>
  <c r="J357" i="6"/>
  <c r="J345" i="6"/>
  <c r="O345" i="6"/>
  <c r="J337" i="6"/>
  <c r="O337" i="6"/>
  <c r="O321" i="6"/>
  <c r="J321" i="6"/>
  <c r="O317" i="6"/>
  <c r="J317" i="6"/>
  <c r="O313" i="6"/>
  <c r="J313" i="6"/>
  <c r="J301" i="6"/>
  <c r="O301" i="6"/>
  <c r="O297" i="6"/>
  <c r="J297" i="6"/>
  <c r="O289" i="6"/>
  <c r="J289" i="6"/>
  <c r="O285" i="6"/>
  <c r="J285" i="6"/>
  <c r="O281" i="6"/>
  <c r="J281" i="6"/>
  <c r="J277" i="6"/>
  <c r="O277" i="6"/>
  <c r="O269" i="6"/>
  <c r="O265" i="6"/>
  <c r="J265" i="6"/>
  <c r="J261" i="6"/>
  <c r="O261" i="6"/>
  <c r="O257" i="6"/>
  <c r="O253" i="6"/>
  <c r="J253" i="6"/>
  <c r="J245" i="6"/>
  <c r="O245" i="6"/>
  <c r="O241" i="6"/>
  <c r="J241" i="6"/>
  <c r="O233" i="6"/>
  <c r="J233" i="6"/>
  <c r="J229" i="6"/>
  <c r="O229" i="6"/>
  <c r="O225" i="6"/>
  <c r="J225" i="6"/>
  <c r="O221" i="6"/>
  <c r="J221" i="6"/>
  <c r="J209" i="6"/>
  <c r="O209" i="6"/>
  <c r="J201" i="6"/>
  <c r="O201" i="6"/>
  <c r="J197" i="6"/>
  <c r="O197" i="6"/>
  <c r="J193" i="6"/>
  <c r="O193" i="6"/>
  <c r="O189" i="6"/>
  <c r="J189" i="6"/>
  <c r="J185" i="6"/>
  <c r="O185" i="6"/>
  <c r="Q185" i="6" s="1"/>
  <c r="U185" i="6" s="1"/>
  <c r="J181" i="6"/>
  <c r="O181" i="6"/>
  <c r="O177" i="6"/>
  <c r="J177" i="6"/>
  <c r="O173" i="6"/>
  <c r="J173" i="6"/>
  <c r="O169" i="6"/>
  <c r="J169" i="6"/>
  <c r="J165" i="6"/>
  <c r="O165" i="6"/>
  <c r="O157" i="6"/>
  <c r="J157" i="6"/>
  <c r="O145" i="6"/>
  <c r="J145" i="6"/>
  <c r="O69" i="6"/>
  <c r="J69" i="6"/>
  <c r="M69" i="6"/>
  <c r="J61" i="6"/>
  <c r="M61" i="6"/>
  <c r="O61" i="6"/>
  <c r="O852" i="6"/>
  <c r="J820" i="6"/>
  <c r="O561" i="6"/>
  <c r="J652" i="6"/>
  <c r="O624" i="6"/>
  <c r="J700" i="6"/>
  <c r="O537" i="6"/>
  <c r="J1520" i="6"/>
  <c r="O1300" i="6"/>
  <c r="Q1300" i="6" s="1"/>
  <c r="U1300" i="6" s="1"/>
  <c r="O1424" i="6"/>
  <c r="O908" i="6"/>
  <c r="O1568" i="6"/>
  <c r="O1556" i="6"/>
  <c r="O712" i="6"/>
  <c r="J664" i="6"/>
  <c r="J577" i="6"/>
  <c r="O904" i="6"/>
  <c r="O521" i="6"/>
  <c r="J792" i="6"/>
  <c r="J473" i="6"/>
  <c r="J812" i="6"/>
  <c r="J644" i="6"/>
  <c r="J920" i="6"/>
  <c r="J569" i="6"/>
  <c r="J413" i="6"/>
  <c r="J1635" i="6"/>
  <c r="O1316" i="6"/>
  <c r="O341" i="6"/>
  <c r="N12" i="6"/>
  <c r="N8" i="6"/>
  <c r="P8" i="6"/>
  <c r="N1633" i="6"/>
  <c r="M1633" i="6"/>
  <c r="N1617" i="6"/>
  <c r="M1617" i="6"/>
  <c r="N1605" i="6"/>
  <c r="M1605" i="6"/>
  <c r="M1597" i="6"/>
  <c r="N1597" i="6"/>
  <c r="N1593" i="6"/>
  <c r="M1593" i="6"/>
  <c r="N1585" i="6"/>
  <c r="M1585" i="6"/>
  <c r="M1581" i="6"/>
  <c r="N1581" i="6"/>
  <c r="N1561" i="6"/>
  <c r="M1561" i="6"/>
  <c r="N1553" i="6"/>
  <c r="M1553" i="6"/>
  <c r="N1537" i="6"/>
  <c r="M1537" i="6"/>
  <c r="N1533" i="6"/>
  <c r="M1533" i="6"/>
  <c r="M1517" i="6"/>
  <c r="N1517" i="6"/>
  <c r="N1513" i="6"/>
  <c r="M1513" i="6"/>
  <c r="N1601" i="6"/>
  <c r="N1609" i="6"/>
  <c r="N1549" i="6"/>
  <c r="R290" i="6"/>
  <c r="S290" i="6" s="1"/>
  <c r="T290" i="6" s="1"/>
  <c r="P290" i="6"/>
  <c r="M1569" i="6"/>
  <c r="N1565" i="6"/>
  <c r="M1637" i="6"/>
  <c r="N1625" i="6"/>
  <c r="R144" i="6"/>
  <c r="S144" i="6" s="1"/>
  <c r="T144" i="6" s="1"/>
  <c r="N1489" i="6"/>
  <c r="Q1489" i="6" s="1"/>
  <c r="U1489" i="6" s="1"/>
  <c r="M1489" i="6"/>
  <c r="N1469" i="6"/>
  <c r="M1469" i="6"/>
  <c r="N1445" i="6"/>
  <c r="M1445" i="6"/>
  <c r="N1421" i="6"/>
  <c r="M1421" i="6"/>
  <c r="M1417" i="6"/>
  <c r="N1417" i="6"/>
  <c r="N1337" i="6"/>
  <c r="M1337" i="6"/>
  <c r="M1325" i="6"/>
  <c r="N1325" i="6"/>
  <c r="M1321" i="6"/>
  <c r="N1321" i="6"/>
  <c r="N1297" i="6"/>
  <c r="Q1297" i="6" s="1"/>
  <c r="U1297" i="6" s="1"/>
  <c r="M1297" i="6"/>
  <c r="N1293" i="6"/>
  <c r="Q1293" i="6" s="1"/>
  <c r="U1293" i="6" s="1"/>
  <c r="M1293" i="6"/>
  <c r="M1241" i="6"/>
  <c r="M1497" i="6"/>
  <c r="M993" i="6"/>
  <c r="N993" i="6"/>
  <c r="N601" i="6"/>
  <c r="Q601" i="6" s="1"/>
  <c r="U601" i="6" s="1"/>
  <c r="M601" i="6"/>
  <c r="M565" i="6"/>
  <c r="N565" i="6"/>
  <c r="N321" i="6"/>
  <c r="M321" i="6"/>
  <c r="N241" i="6"/>
  <c r="M241" i="6"/>
  <c r="M213" i="6"/>
  <c r="N213" i="6"/>
  <c r="N69" i="6"/>
  <c r="P1179" i="6"/>
  <c r="R1167" i="6"/>
  <c r="S1167" i="6" s="1"/>
  <c r="T1167" i="6" s="1"/>
  <c r="P27" i="6"/>
  <c r="P20" i="6"/>
  <c r="P127" i="6"/>
  <c r="R127" i="6"/>
  <c r="O919" i="6"/>
  <c r="J919" i="6"/>
  <c r="J887" i="6"/>
  <c r="O887" i="6"/>
  <c r="O863" i="6"/>
  <c r="J863" i="6"/>
  <c r="O851" i="6"/>
  <c r="J851" i="6"/>
  <c r="J843" i="6"/>
  <c r="O827" i="6"/>
  <c r="J827" i="6"/>
  <c r="O779" i="6"/>
  <c r="J779" i="6"/>
  <c r="O731" i="6"/>
  <c r="J731" i="6"/>
  <c r="O715" i="6"/>
  <c r="J715" i="6"/>
  <c r="O655" i="6"/>
  <c r="J655" i="6"/>
  <c r="O651" i="6"/>
  <c r="J635" i="6"/>
  <c r="O635" i="6"/>
  <c r="J607" i="6"/>
  <c r="O607" i="6"/>
  <c r="J599" i="6"/>
  <c r="O599" i="6"/>
  <c r="O568" i="6"/>
  <c r="J568" i="6"/>
  <c r="O552" i="6"/>
  <c r="J552" i="6"/>
  <c r="O548" i="6"/>
  <c r="J548" i="6"/>
  <c r="O496" i="6"/>
  <c r="J496" i="6"/>
  <c r="J460" i="6"/>
  <c r="O460" i="6"/>
  <c r="O456" i="6"/>
  <c r="J456" i="6"/>
  <c r="J452" i="6"/>
  <c r="O452" i="6"/>
  <c r="J400" i="6"/>
  <c r="O400" i="6"/>
  <c r="J396" i="6"/>
  <c r="O396" i="6"/>
  <c r="J388" i="6"/>
  <c r="O388" i="6"/>
  <c r="O384" i="6"/>
  <c r="J384" i="6"/>
  <c r="O368" i="6"/>
  <c r="J368" i="6"/>
  <c r="O320" i="6"/>
  <c r="J320" i="6"/>
  <c r="J316" i="6"/>
  <c r="O316" i="6"/>
  <c r="O312" i="6"/>
  <c r="J312" i="6"/>
  <c r="J308" i="6"/>
  <c r="O308" i="6"/>
  <c r="O288" i="6"/>
  <c r="J288" i="6"/>
  <c r="O284" i="6"/>
  <c r="J284" i="6"/>
  <c r="O272" i="6"/>
  <c r="J272" i="6"/>
  <c r="O252" i="6"/>
  <c r="J252" i="6"/>
  <c r="O248" i="6"/>
  <c r="J248" i="6"/>
  <c r="O240" i="6"/>
  <c r="J240" i="6"/>
  <c r="J232" i="6"/>
  <c r="O232" i="6"/>
  <c r="O224" i="6"/>
  <c r="J224" i="6"/>
  <c r="O196" i="6"/>
  <c r="J196" i="6"/>
  <c r="O184" i="6"/>
  <c r="J184" i="6"/>
  <c r="J172" i="6"/>
  <c r="O172" i="6"/>
  <c r="O168" i="6"/>
  <c r="J168" i="6"/>
  <c r="O140" i="6"/>
  <c r="Q140" i="6" s="1"/>
  <c r="J140" i="6"/>
  <c r="M140" i="6"/>
  <c r="J751" i="6"/>
  <c r="J775" i="6"/>
  <c r="O875" i="6"/>
  <c r="Q875" i="6" s="1"/>
  <c r="U875" i="6" s="1"/>
  <c r="O695" i="6"/>
  <c r="J623" i="6"/>
  <c r="J811" i="6"/>
  <c r="O560" i="6"/>
  <c r="J472" i="6"/>
  <c r="J799" i="6"/>
  <c r="O707" i="6"/>
  <c r="P1569" i="6"/>
  <c r="R1569" i="6"/>
  <c r="S1569" i="6" s="1"/>
  <c r="T1569" i="6" s="1"/>
  <c r="M1484" i="6"/>
  <c r="N1484" i="6"/>
  <c r="M1476" i="6"/>
  <c r="N1476" i="6"/>
  <c r="M1220" i="6"/>
  <c r="N1220" i="6"/>
  <c r="M1184" i="6"/>
  <c r="N1184" i="6"/>
  <c r="M1128" i="6"/>
  <c r="N1128" i="6"/>
  <c r="M1020" i="6"/>
  <c r="N1020" i="6"/>
  <c r="M860" i="6"/>
  <c r="N860" i="6"/>
  <c r="M820" i="6"/>
  <c r="N820" i="6"/>
  <c r="M816" i="6"/>
  <c r="N816" i="6"/>
  <c r="N508" i="6"/>
  <c r="M508" i="6"/>
  <c r="N484" i="6"/>
  <c r="Q484" i="6" s="1"/>
  <c r="U484" i="6" s="1"/>
  <c r="M484" i="6"/>
  <c r="P19" i="6"/>
  <c r="M1312" i="6"/>
  <c r="M1300" i="6"/>
  <c r="N1292" i="6"/>
  <c r="M1616" i="6"/>
  <c r="M1492" i="6"/>
  <c r="M1596" i="6"/>
  <c r="M1160" i="6"/>
  <c r="N1440" i="6"/>
  <c r="M1196" i="6"/>
  <c r="M1576" i="6"/>
  <c r="N1356" i="6"/>
  <c r="M1472" i="6"/>
  <c r="M1236" i="6"/>
  <c r="M1468" i="6"/>
  <c r="R31" i="6"/>
  <c r="N1488" i="6"/>
  <c r="O20" i="6"/>
  <c r="N1580" i="6"/>
  <c r="N1636" i="6"/>
  <c r="N1632" i="6"/>
  <c r="M1516" i="6"/>
  <c r="N1564" i="6"/>
  <c r="M1604" i="6"/>
  <c r="N1556" i="6"/>
  <c r="M1532" i="6"/>
  <c r="N1448" i="6"/>
  <c r="N1444" i="6"/>
  <c r="M1428" i="6"/>
  <c r="M1376" i="6"/>
  <c r="N60" i="6"/>
  <c r="R1413" i="6"/>
  <c r="S1413" i="6" s="1"/>
  <c r="T1413" i="6" s="1"/>
  <c r="O1450" i="6"/>
  <c r="J1450" i="6"/>
  <c r="R11" i="6"/>
  <c r="P165" i="6"/>
  <c r="R165" i="6"/>
  <c r="S165" i="6" s="1"/>
  <c r="T165" i="6" s="1"/>
  <c r="R229" i="6"/>
  <c r="S229" i="6" s="1"/>
  <c r="T229" i="6" s="1"/>
  <c r="P116" i="6"/>
  <c r="R1369" i="6"/>
  <c r="S1369" i="6" s="1"/>
  <c r="T1369" i="6" s="1"/>
  <c r="R1058" i="6"/>
  <c r="S1058" i="6" s="1"/>
  <c r="T1058" i="6" s="1"/>
  <c r="P1058" i="6"/>
  <c r="R577" i="6"/>
  <c r="S577" i="6" s="1"/>
  <c r="T577" i="6" s="1"/>
  <c r="P577" i="6"/>
  <c r="P566" i="6"/>
  <c r="R566" i="6"/>
  <c r="S566" i="6" s="1"/>
  <c r="T566" i="6" s="1"/>
  <c r="P562" i="6"/>
  <c r="R562" i="6"/>
  <c r="S562" i="6" s="1"/>
  <c r="T562" i="6" s="1"/>
  <c r="P558" i="6"/>
  <c r="R558" i="6"/>
  <c r="S558" i="6" s="1"/>
  <c r="T558" i="6" s="1"/>
  <c r="P450" i="6"/>
  <c r="R450" i="6"/>
  <c r="S450" i="6" s="1"/>
  <c r="T450" i="6" s="1"/>
  <c r="R446" i="6"/>
  <c r="S446" i="6" s="1"/>
  <c r="T446" i="6" s="1"/>
  <c r="P446" i="6"/>
  <c r="P31" i="6"/>
  <c r="P14" i="6"/>
  <c r="P1364" i="6"/>
  <c r="P494" i="6"/>
  <c r="R494" i="6"/>
  <c r="S494" i="6" s="1"/>
  <c r="T494" i="6" s="1"/>
  <c r="P1098" i="6"/>
  <c r="R1098" i="6"/>
  <c r="S1098" i="6" s="1"/>
  <c r="T1098" i="6" s="1"/>
  <c r="P42" i="6"/>
  <c r="R42" i="6"/>
  <c r="N1451" i="6"/>
  <c r="M1451" i="6"/>
  <c r="N1435" i="6"/>
  <c r="M1435" i="6"/>
  <c r="N1415" i="6"/>
  <c r="M1415" i="6"/>
  <c r="M1323" i="6"/>
  <c r="N1323" i="6"/>
  <c r="P686" i="6"/>
  <c r="J1045" i="6"/>
  <c r="P506" i="6"/>
  <c r="R940" i="6"/>
  <c r="S940" i="6" s="1"/>
  <c r="T940" i="6" s="1"/>
  <c r="R20" i="6"/>
  <c r="S20" i="6" s="1"/>
  <c r="T20" i="6" s="1"/>
  <c r="J1220" i="6"/>
  <c r="O1232" i="6"/>
  <c r="J1192" i="6"/>
  <c r="R254" i="6"/>
  <c r="S254" i="6" s="1"/>
  <c r="T254" i="6" s="1"/>
  <c r="O1264" i="6"/>
  <c r="J1264" i="6"/>
  <c r="O1097" i="6"/>
  <c r="J1065" i="6"/>
  <c r="O1065" i="6"/>
  <c r="J619" i="6"/>
  <c r="O619" i="6"/>
  <c r="Q619" i="6" s="1"/>
  <c r="U619" i="6" s="1"/>
  <c r="P63" i="6"/>
  <c r="Q63" i="6" s="1"/>
  <c r="M1259" i="6"/>
  <c r="R103" i="6"/>
  <c r="P95" i="6"/>
  <c r="R67" i="6"/>
  <c r="R93" i="6"/>
  <c r="P863" i="6"/>
  <c r="R863" i="6"/>
  <c r="S863" i="6" s="1"/>
  <c r="T863" i="6" s="1"/>
  <c r="R859" i="6"/>
  <c r="S859" i="6" s="1"/>
  <c r="T859" i="6" s="1"/>
  <c r="R668" i="6"/>
  <c r="S668" i="6" s="1"/>
  <c r="T668" i="6" s="1"/>
  <c r="R367" i="6"/>
  <c r="S367" i="6" s="1"/>
  <c r="T367" i="6" s="1"/>
  <c r="P367" i="6"/>
  <c r="R278" i="6"/>
  <c r="S278" i="6" s="1"/>
  <c r="T278" i="6" s="1"/>
  <c r="P278" i="6"/>
  <c r="O1523" i="6"/>
  <c r="J1523" i="6"/>
  <c r="O1504" i="6"/>
  <c r="J1254" i="6"/>
  <c r="O1254" i="6"/>
  <c r="O1238" i="6"/>
  <c r="O1226" i="6"/>
  <c r="J1226" i="6"/>
  <c r="O1218" i="6"/>
  <c r="O1214" i="6"/>
  <c r="J1214" i="6"/>
  <c r="J1198" i="6"/>
  <c r="O1194" i="6"/>
  <c r="J1194" i="6"/>
  <c r="O1190" i="6"/>
  <c r="J1182" i="6"/>
  <c r="O1182" i="6"/>
  <c r="O1138" i="6"/>
  <c r="J1138" i="6"/>
  <c r="O997" i="6"/>
  <c r="J997" i="6"/>
  <c r="O989" i="6"/>
  <c r="O981" i="6"/>
  <c r="J981" i="6"/>
  <c r="O973" i="6"/>
  <c r="J973" i="6"/>
  <c r="O535" i="6"/>
  <c r="J535" i="6"/>
  <c r="O528" i="6"/>
  <c r="J528" i="6"/>
  <c r="O524" i="6"/>
  <c r="J524" i="6"/>
  <c r="O520" i="6"/>
  <c r="J520" i="6"/>
  <c r="O516" i="6"/>
  <c r="J516" i="6"/>
  <c r="O322" i="6"/>
  <c r="J322" i="6"/>
  <c r="J314" i="6"/>
  <c r="O314" i="6"/>
  <c r="O290" i="6"/>
  <c r="J290" i="6"/>
  <c r="O286" i="6"/>
  <c r="J286" i="6"/>
  <c r="O266" i="6"/>
  <c r="J266" i="6"/>
  <c r="J262" i="6"/>
  <c r="O262" i="6"/>
  <c r="O238" i="6"/>
  <c r="J238" i="6"/>
  <c r="J226" i="6"/>
  <c r="O226" i="6"/>
  <c r="J194" i="6"/>
  <c r="O194" i="6"/>
  <c r="O166" i="6"/>
  <c r="J166" i="6"/>
  <c r="J162" i="6"/>
  <c r="O162" i="6"/>
  <c r="O154" i="6"/>
  <c r="J154" i="6"/>
  <c r="O62" i="6"/>
  <c r="J62" i="6"/>
  <c r="M62" i="6"/>
  <c r="N1621" i="6"/>
  <c r="M1621" i="6"/>
  <c r="N1613" i="6"/>
  <c r="M1613" i="6"/>
  <c r="M1589" i="6"/>
  <c r="N1589" i="6"/>
  <c r="N1577" i="6"/>
  <c r="M1577" i="6"/>
  <c r="N1573" i="6"/>
  <c r="M1573" i="6"/>
  <c r="N1545" i="6"/>
  <c r="M1545" i="6"/>
  <c r="M1529" i="6"/>
  <c r="N1529" i="6"/>
  <c r="N1525" i="6"/>
  <c r="M1525" i="6"/>
  <c r="N1521" i="6"/>
  <c r="M1521" i="6"/>
  <c r="M1493" i="6"/>
  <c r="N1493" i="6"/>
  <c r="M1485" i="6"/>
  <c r="N1485" i="6"/>
  <c r="N1481" i="6"/>
  <c r="M1481" i="6"/>
  <c r="N1437" i="6"/>
  <c r="Q1437" i="6" s="1"/>
  <c r="U1437" i="6" s="1"/>
  <c r="M1437" i="6"/>
  <c r="M1425" i="6"/>
  <c r="N1425" i="6"/>
  <c r="N1389" i="6"/>
  <c r="M1389" i="6"/>
  <c r="N1373" i="6"/>
  <c r="M1373" i="6"/>
  <c r="M1369" i="6"/>
  <c r="N1369" i="6"/>
  <c r="Q1369" i="6" s="1"/>
  <c r="U1369" i="6" s="1"/>
  <c r="N1365" i="6"/>
  <c r="M1365" i="6"/>
  <c r="N1345" i="6"/>
  <c r="M1345" i="6"/>
  <c r="N1317" i="6"/>
  <c r="M1317" i="6"/>
  <c r="M1313" i="6"/>
  <c r="N1313" i="6"/>
  <c r="N1309" i="6"/>
  <c r="M1309" i="6"/>
  <c r="M1289" i="6"/>
  <c r="N1289" i="6"/>
  <c r="M1285" i="6"/>
  <c r="N1285" i="6"/>
  <c r="N1281" i="6"/>
  <c r="M1281" i="6"/>
  <c r="M1277" i="6"/>
  <c r="N1277" i="6"/>
  <c r="M1269" i="6"/>
  <c r="N1269" i="6"/>
  <c r="N1265" i="6"/>
  <c r="M1265" i="6"/>
  <c r="M1261" i="6"/>
  <c r="N1261" i="6"/>
  <c r="N1257" i="6"/>
  <c r="M1257" i="6"/>
  <c r="P1131" i="6"/>
  <c r="R1120" i="6"/>
  <c r="S1120" i="6" s="1"/>
  <c r="T1120" i="6" s="1"/>
  <c r="P1127" i="6"/>
  <c r="R649" i="6"/>
  <c r="S649" i="6" s="1"/>
  <c r="T649" i="6" s="1"/>
  <c r="P1353" i="6"/>
  <c r="R1467" i="6"/>
  <c r="S1467" i="6" s="1"/>
  <c r="T1467" i="6" s="1"/>
  <c r="J406" i="6"/>
  <c r="O1186" i="6"/>
  <c r="J1174" i="6"/>
  <c r="J1246" i="6"/>
  <c r="O1262" i="6"/>
  <c r="J1519" i="6"/>
  <c r="R754" i="6"/>
  <c r="S754" i="6" s="1"/>
  <c r="T754" i="6" s="1"/>
  <c r="J1230" i="6"/>
  <c r="J370" i="6"/>
  <c r="O354" i="6"/>
  <c r="O346" i="6"/>
  <c r="O418" i="6"/>
  <c r="O358" i="6"/>
  <c r="J386" i="6"/>
  <c r="J508" i="6"/>
  <c r="P181" i="6"/>
  <c r="J338" i="6"/>
  <c r="J539" i="6"/>
  <c r="P1463" i="6"/>
  <c r="J422" i="6"/>
  <c r="O402" i="6"/>
  <c r="J1158" i="6"/>
  <c r="J1234" i="6"/>
  <c r="J1178" i="6"/>
  <c r="J1170" i="6"/>
  <c r="O1274" i="6"/>
  <c r="J1250" i="6"/>
  <c r="O1278" i="6"/>
  <c r="O969" i="6"/>
  <c r="R746" i="6"/>
  <c r="S746" i="6" s="1"/>
  <c r="T746" i="6" s="1"/>
  <c r="R742" i="6"/>
  <c r="S742" i="6" s="1"/>
  <c r="T742" i="6" s="1"/>
  <c r="J1039" i="6"/>
  <c r="R738" i="6"/>
  <c r="S738" i="6" s="1"/>
  <c r="T738" i="6" s="1"/>
  <c r="O394" i="6"/>
  <c r="J366" i="6"/>
  <c r="O334" i="6"/>
  <c r="P844" i="6"/>
  <c r="J282" i="6"/>
  <c r="R1089" i="6"/>
  <c r="S1089" i="6" s="1"/>
  <c r="T1089" i="6" s="1"/>
  <c r="O1162" i="6"/>
  <c r="O1142" i="6"/>
  <c r="O1202" i="6"/>
  <c r="O1270" i="6"/>
  <c r="J1206" i="6"/>
  <c r="R734" i="6"/>
  <c r="S734" i="6" s="1"/>
  <c r="T734" i="6" s="1"/>
  <c r="J504" i="6"/>
  <c r="J1166" i="6"/>
  <c r="O158" i="6"/>
  <c r="J1134" i="6"/>
  <c r="J374" i="6"/>
  <c r="N1201" i="6"/>
  <c r="M1201" i="6"/>
  <c r="N1157" i="6"/>
  <c r="M1157" i="6"/>
  <c r="N1109" i="6"/>
  <c r="M1109" i="6"/>
  <c r="N1101" i="6"/>
  <c r="M1101" i="6"/>
  <c r="M1053" i="6"/>
  <c r="N1053" i="6"/>
  <c r="Q1053" i="6" s="1"/>
  <c r="U1053" i="6" s="1"/>
  <c r="M885" i="6"/>
  <c r="N885" i="6"/>
  <c r="N853" i="6"/>
  <c r="M853" i="6"/>
  <c r="N809" i="6"/>
  <c r="M657" i="6"/>
  <c r="N657" i="6"/>
  <c r="M637" i="6"/>
  <c r="N637" i="6"/>
  <c r="N625" i="6"/>
  <c r="M625" i="6"/>
  <c r="N605" i="6"/>
  <c r="M605" i="6"/>
  <c r="N585" i="6"/>
  <c r="M585" i="6"/>
  <c r="N477" i="6"/>
  <c r="M477" i="6"/>
  <c r="N165" i="6"/>
  <c r="M165" i="6"/>
  <c r="N125" i="6"/>
  <c r="M1093" i="6"/>
  <c r="N1037" i="6"/>
  <c r="N1233" i="6"/>
  <c r="M1065" i="6"/>
  <c r="N1245" i="6"/>
  <c r="M1209" i="6"/>
  <c r="M1081" i="6"/>
  <c r="N829" i="6"/>
  <c r="M921" i="6"/>
  <c r="M1005" i="6"/>
  <c r="N1041" i="6"/>
  <c r="M1221" i="6"/>
  <c r="N893" i="6"/>
  <c r="Q799" i="6"/>
  <c r="U799" i="6" s="1"/>
  <c r="P808" i="6"/>
  <c r="R43" i="6"/>
  <c r="J1534" i="6"/>
  <c r="O1534" i="6"/>
  <c r="P49" i="6"/>
  <c r="R49" i="6"/>
  <c r="P81" i="6"/>
  <c r="P129" i="6"/>
  <c r="P73" i="6"/>
  <c r="P93" i="6"/>
  <c r="J1261" i="6"/>
  <c r="J1269" i="6"/>
  <c r="R8" i="6"/>
  <c r="S8" i="6" s="1"/>
  <c r="T8" i="6" s="1"/>
  <c r="R47" i="6"/>
  <c r="P603" i="6"/>
  <c r="R603" i="6"/>
  <c r="S603" i="6" s="1"/>
  <c r="T603" i="6" s="1"/>
  <c r="R702" i="6"/>
  <c r="S702" i="6" s="1"/>
  <c r="T702" i="6" s="1"/>
  <c r="P702" i="6"/>
  <c r="Q702" i="6" s="1"/>
  <c r="U702" i="6" s="1"/>
  <c r="R30" i="6"/>
  <c r="P30" i="6"/>
  <c r="P664" i="6"/>
  <c r="P102" i="6"/>
  <c r="R82" i="6"/>
  <c r="M70" i="6"/>
  <c r="N62" i="6"/>
  <c r="R1432" i="6"/>
  <c r="S1432" i="6" s="1"/>
  <c r="T1432" i="6" s="1"/>
  <c r="R1255" i="6"/>
  <c r="S1255" i="6" s="1"/>
  <c r="T1255" i="6" s="1"/>
  <c r="P1255" i="6"/>
  <c r="M1622" i="6"/>
  <c r="N1622" i="6"/>
  <c r="M1618" i="6"/>
  <c r="N1618" i="6"/>
  <c r="M1614" i="6"/>
  <c r="N1614" i="6"/>
  <c r="M1606" i="6"/>
  <c r="N1606" i="6"/>
  <c r="N1598" i="6"/>
  <c r="Q1598" i="6" s="1"/>
  <c r="U1598" i="6" s="1"/>
  <c r="M1598" i="6"/>
  <c r="M1590" i="6"/>
  <c r="N1590" i="6"/>
  <c r="N1586" i="6"/>
  <c r="M1586" i="6"/>
  <c r="N1582" i="6"/>
  <c r="M1582" i="6"/>
  <c r="N1578" i="6"/>
  <c r="M1578" i="6"/>
  <c r="N1574" i="6"/>
  <c r="M1574" i="6"/>
  <c r="M1570" i="6"/>
  <c r="N1570" i="6"/>
  <c r="N1554" i="6"/>
  <c r="M1554" i="6"/>
  <c r="N1546" i="6"/>
  <c r="M1546" i="6"/>
  <c r="N1530" i="6"/>
  <c r="M1530" i="6"/>
  <c r="N1526" i="6"/>
  <c r="M1526" i="6"/>
  <c r="M1522" i="6"/>
  <c r="N1522" i="6"/>
  <c r="M1490" i="6"/>
  <c r="N1490" i="6"/>
  <c r="N1454" i="6"/>
  <c r="M1454" i="6"/>
  <c r="M1422" i="6"/>
  <c r="N1422" i="6"/>
  <c r="N1402" i="6"/>
  <c r="M1402" i="6"/>
  <c r="N1390" i="6"/>
  <c r="M1390" i="6"/>
  <c r="N1382" i="6"/>
  <c r="M1382" i="6"/>
  <c r="N1362" i="6"/>
  <c r="M1362" i="6"/>
  <c r="N1342" i="6"/>
  <c r="M1342" i="6"/>
  <c r="M1338" i="6"/>
  <c r="N1338" i="6"/>
  <c r="N1262" i="6"/>
  <c r="M1262" i="6"/>
  <c r="N1222" i="6"/>
  <c r="M1222" i="6"/>
  <c r="N1218" i="6"/>
  <c r="N1166" i="6"/>
  <c r="M1166" i="6"/>
  <c r="M1158" i="6"/>
  <c r="N1158" i="6"/>
  <c r="N1142" i="6"/>
  <c r="M1142" i="6"/>
  <c r="N1006" i="6"/>
  <c r="M1006" i="6"/>
  <c r="N986" i="6"/>
  <c r="M986" i="6"/>
  <c r="M922" i="6"/>
  <c r="N922" i="6"/>
  <c r="M838" i="6"/>
  <c r="N838" i="6"/>
  <c r="N798" i="6"/>
  <c r="M798" i="6"/>
  <c r="M786" i="6"/>
  <c r="N786" i="6"/>
  <c r="N678" i="6"/>
  <c r="M678" i="6"/>
  <c r="M662" i="6"/>
  <c r="N662" i="6"/>
  <c r="M502" i="6"/>
  <c r="N502" i="6"/>
  <c r="M450" i="6"/>
  <c r="N450" i="6"/>
  <c r="M442" i="6"/>
  <c r="N442" i="6"/>
  <c r="N374" i="6"/>
  <c r="M374" i="6"/>
  <c r="N290" i="6"/>
  <c r="M290" i="6"/>
  <c r="M190" i="6"/>
  <c r="N190" i="6"/>
  <c r="N154" i="6"/>
  <c r="M154" i="6"/>
  <c r="R98" i="6"/>
  <c r="P98" i="6"/>
  <c r="M1326" i="6"/>
  <c r="N1366" i="6"/>
  <c r="N1346" i="6"/>
  <c r="N1378" i="6"/>
  <c r="M1314" i="6"/>
  <c r="M1370" i="6"/>
  <c r="N1002" i="6"/>
  <c r="M1190" i="6"/>
  <c r="N1014" i="6"/>
  <c r="N998" i="6"/>
  <c r="N1242" i="6"/>
  <c r="N1194" i="6"/>
  <c r="M1266" i="6"/>
  <c r="N1286" i="6"/>
  <c r="N1246" i="6"/>
  <c r="M938" i="6"/>
  <c r="M1386" i="6"/>
  <c r="P10" i="6"/>
  <c r="R10" i="6"/>
  <c r="S10" i="6" s="1"/>
  <c r="T10" i="6" s="1"/>
  <c r="N962" i="6"/>
  <c r="P982" i="6"/>
  <c r="R982" i="6"/>
  <c r="S982" i="6" s="1"/>
  <c r="T982" i="6" s="1"/>
  <c r="R78" i="6"/>
  <c r="P78" i="6"/>
  <c r="P82" i="6"/>
  <c r="R102" i="6"/>
  <c r="R26" i="6"/>
  <c r="P26" i="6"/>
  <c r="R1468" i="6"/>
  <c r="S1468" i="6" s="1"/>
  <c r="T1468" i="6" s="1"/>
  <c r="P1468" i="6"/>
  <c r="R1425" i="6"/>
  <c r="S1425" i="6" s="1"/>
  <c r="T1425" i="6" s="1"/>
  <c r="P1273" i="6"/>
  <c r="R1273" i="6"/>
  <c r="S1273" i="6" s="1"/>
  <c r="T1273" i="6" s="1"/>
  <c r="P482" i="6"/>
  <c r="R482" i="6"/>
  <c r="S482" i="6" s="1"/>
  <c r="T482" i="6" s="1"/>
  <c r="J1633" i="6"/>
  <c r="O1633" i="6"/>
  <c r="J1580" i="6"/>
  <c r="O1580" i="6"/>
  <c r="O1525" i="6"/>
  <c r="J1525" i="6"/>
  <c r="J1305" i="6"/>
  <c r="O1305" i="6"/>
  <c r="J1294" i="6"/>
  <c r="O1294" i="6"/>
  <c r="R1243" i="6"/>
  <c r="S1243" i="6" s="1"/>
  <c r="T1243" i="6" s="1"/>
  <c r="R1201" i="6"/>
  <c r="S1201" i="6" s="1"/>
  <c r="T1201" i="6" s="1"/>
  <c r="P1201" i="6"/>
  <c r="R1624" i="6"/>
  <c r="S1624" i="6" s="1"/>
  <c r="T1624" i="6" s="1"/>
  <c r="P1624" i="6"/>
  <c r="R1227" i="6"/>
  <c r="S1227" i="6" s="1"/>
  <c r="T1227" i="6" s="1"/>
  <c r="P1227" i="6"/>
  <c r="Q1227" i="6" s="1"/>
  <c r="U1227" i="6" s="1"/>
  <c r="M6" i="6"/>
  <c r="P1420" i="6"/>
  <c r="R1420" i="6"/>
  <c r="S1420" i="6" s="1"/>
  <c r="T1420" i="6" s="1"/>
  <c r="P1269" i="6"/>
  <c r="R1269" i="6"/>
  <c r="S1269" i="6" s="1"/>
  <c r="T1269" i="6" s="1"/>
  <c r="P6" i="6"/>
  <c r="Q6" i="6" s="1"/>
  <c r="U6" i="6" s="1"/>
  <c r="R6" i="6"/>
  <c r="S6" i="6" s="1"/>
  <c r="T6" i="6" s="1"/>
  <c r="J6" i="6"/>
  <c r="R985" i="6"/>
  <c r="S985" i="6" s="1"/>
  <c r="T985" i="6" s="1"/>
  <c r="P985" i="6"/>
  <c r="R980" i="6"/>
  <c r="S980" i="6" s="1"/>
  <c r="T980" i="6" s="1"/>
  <c r="R1081" i="6"/>
  <c r="S1081" i="6" s="1"/>
  <c r="T1081" i="6" s="1"/>
  <c r="R997" i="6"/>
  <c r="S997" i="6" s="1"/>
  <c r="T997" i="6" s="1"/>
  <c r="R1501" i="6"/>
  <c r="S1501" i="6" s="1"/>
  <c r="T1501" i="6" s="1"/>
  <c r="P781" i="6"/>
  <c r="R644" i="6"/>
  <c r="S644" i="6" s="1"/>
  <c r="T644" i="6" s="1"/>
  <c r="R1580" i="6"/>
  <c r="S1580" i="6" s="1"/>
  <c r="T1580" i="6" s="1"/>
  <c r="R776" i="6"/>
  <c r="S776" i="6" s="1"/>
  <c r="T776" i="6" s="1"/>
  <c r="P1573" i="6"/>
  <c r="P1225" i="6"/>
  <c r="R1165" i="6"/>
  <c r="S1165" i="6" s="1"/>
  <c r="T1165" i="6" s="1"/>
  <c r="R1052" i="6"/>
  <c r="S1052" i="6" s="1"/>
  <c r="T1052" i="6" s="1"/>
  <c r="R572" i="6"/>
  <c r="S572" i="6" s="1"/>
  <c r="T572" i="6" s="1"/>
  <c r="P584" i="6"/>
  <c r="J1604" i="6"/>
  <c r="R1004" i="6"/>
  <c r="S1004" i="6" s="1"/>
  <c r="T1004" i="6" s="1"/>
  <c r="R901" i="6"/>
  <c r="S901" i="6" s="1"/>
  <c r="T901" i="6" s="1"/>
  <c r="R7" i="6"/>
  <c r="S7" i="6" s="1"/>
  <c r="T7" i="6" s="1"/>
  <c r="J1321" i="6"/>
  <c r="R130" i="6"/>
  <c r="R1489" i="6"/>
  <c r="S1489" i="6" s="1"/>
  <c r="T1489" i="6" s="1"/>
  <c r="R800" i="6"/>
  <c r="S800" i="6" s="1"/>
  <c r="T800" i="6" s="1"/>
  <c r="R992" i="6"/>
  <c r="S992" i="6" s="1"/>
  <c r="T992" i="6" s="1"/>
  <c r="R536" i="6"/>
  <c r="S536" i="6" s="1"/>
  <c r="T536" i="6" s="1"/>
  <c r="P620" i="6"/>
  <c r="R560" i="6"/>
  <c r="S560" i="6" s="1"/>
  <c r="T560" i="6" s="1"/>
  <c r="R1585" i="6"/>
  <c r="S1585" i="6" s="1"/>
  <c r="T1585" i="6" s="1"/>
  <c r="P625" i="6"/>
  <c r="R1436" i="6"/>
  <c r="S1436" i="6" s="1"/>
  <c r="T1436" i="6" s="1"/>
  <c r="P1129" i="6"/>
  <c r="P949" i="6"/>
  <c r="J1345" i="6"/>
  <c r="J1021" i="6"/>
  <c r="R28" i="6"/>
  <c r="R764" i="6"/>
  <c r="S764" i="6" s="1"/>
  <c r="T764" i="6" s="1"/>
  <c r="R860" i="6"/>
  <c r="S860" i="6" s="1"/>
  <c r="T860" i="6" s="1"/>
  <c r="P1088" i="6"/>
  <c r="R164" i="6"/>
  <c r="S164" i="6" s="1"/>
  <c r="T164" i="6" s="1"/>
  <c r="R733" i="6"/>
  <c r="S733" i="6" s="1"/>
  <c r="T733" i="6" s="1"/>
  <c r="R140" i="6"/>
  <c r="J1429" i="6"/>
  <c r="P1249" i="6"/>
  <c r="J1352" i="6"/>
  <c r="O1249" i="6"/>
  <c r="P1009" i="6"/>
  <c r="Q1009" i="6" s="1"/>
  <c r="U1009" i="6" s="1"/>
  <c r="P488" i="6"/>
  <c r="P1261" i="6"/>
  <c r="P908" i="6"/>
  <c r="O1517" i="6"/>
  <c r="R1279" i="6"/>
  <c r="S1279" i="6" s="1"/>
  <c r="T1279" i="6" s="1"/>
  <c r="R1327" i="6"/>
  <c r="S1327" i="6" s="1"/>
  <c r="T1327" i="6" s="1"/>
  <c r="R787" i="6"/>
  <c r="S787" i="6" s="1"/>
  <c r="T787" i="6" s="1"/>
  <c r="P1171" i="6"/>
  <c r="P1387" i="6"/>
  <c r="P1315" i="6"/>
  <c r="P199" i="6"/>
  <c r="P1039" i="6"/>
  <c r="P247" i="6"/>
  <c r="P1027" i="6"/>
  <c r="R619" i="6"/>
  <c r="S619" i="6" s="1"/>
  <c r="T619" i="6" s="1"/>
  <c r="P1375" i="6"/>
  <c r="P943" i="6"/>
  <c r="P1459" i="6"/>
  <c r="P1231" i="6"/>
  <c r="R1051" i="6"/>
  <c r="S1051" i="6" s="1"/>
  <c r="T1051" i="6" s="1"/>
  <c r="P607" i="6"/>
  <c r="P463" i="6"/>
  <c r="P1447" i="6"/>
  <c r="P931" i="6"/>
  <c r="P547" i="6"/>
  <c r="R1411" i="6"/>
  <c r="S1411" i="6" s="1"/>
  <c r="T1411" i="6" s="1"/>
  <c r="R1075" i="6"/>
  <c r="S1075" i="6" s="1"/>
  <c r="T1075" i="6" s="1"/>
  <c r="R511" i="6"/>
  <c r="S511" i="6" s="1"/>
  <c r="T511" i="6" s="1"/>
  <c r="R187" i="6"/>
  <c r="S187" i="6" s="1"/>
  <c r="T187" i="6" s="1"/>
  <c r="P1567" i="6"/>
  <c r="P1063" i="6"/>
  <c r="P1183" i="6"/>
  <c r="R1339" i="6"/>
  <c r="S1339" i="6" s="1"/>
  <c r="T1339" i="6" s="1"/>
  <c r="Q775" i="6"/>
  <c r="U775" i="6" s="1"/>
  <c r="R523" i="6"/>
  <c r="S523" i="6" s="1"/>
  <c r="T523" i="6" s="1"/>
  <c r="P475" i="6"/>
  <c r="Q475" i="6" s="1"/>
  <c r="U475" i="6" s="1"/>
  <c r="R1303" i="6"/>
  <c r="S1303" i="6" s="1"/>
  <c r="T1303" i="6" s="1"/>
  <c r="P223" i="6"/>
  <c r="P955" i="6"/>
  <c r="R919" i="6"/>
  <c r="S919" i="6" s="1"/>
  <c r="T919" i="6" s="1"/>
  <c r="R1471" i="6"/>
  <c r="S1471" i="6" s="1"/>
  <c r="T1471" i="6" s="1"/>
  <c r="P871" i="6"/>
  <c r="P835" i="6"/>
  <c r="P979" i="6"/>
  <c r="Q979" i="6" s="1"/>
  <c r="U979" i="6" s="1"/>
  <c r="R691" i="6"/>
  <c r="S691" i="6" s="1"/>
  <c r="T691" i="6" s="1"/>
  <c r="P679" i="6"/>
  <c r="R763" i="6"/>
  <c r="S763" i="6" s="1"/>
  <c r="T763" i="6" s="1"/>
  <c r="R427" i="6"/>
  <c r="S427" i="6" s="1"/>
  <c r="T427" i="6" s="1"/>
  <c r="R595" i="6"/>
  <c r="S595" i="6" s="1"/>
  <c r="T595" i="6" s="1"/>
  <c r="R775" i="6"/>
  <c r="S775" i="6" s="1"/>
  <c r="T775" i="6" s="1"/>
  <c r="P1423" i="6"/>
  <c r="Q1423" i="6" s="1"/>
  <c r="U1423" i="6" s="1"/>
  <c r="R847" i="6"/>
  <c r="S847" i="6" s="1"/>
  <c r="T847" i="6" s="1"/>
  <c r="P1435" i="6"/>
  <c r="R1495" i="6"/>
  <c r="S1495" i="6" s="1"/>
  <c r="T1495" i="6" s="1"/>
  <c r="R799" i="6"/>
  <c r="S799" i="6" s="1"/>
  <c r="T799" i="6" s="1"/>
  <c r="P727" i="6"/>
  <c r="P146" i="6"/>
  <c r="R343" i="6"/>
  <c r="S343" i="6" s="1"/>
  <c r="T343" i="6" s="1"/>
  <c r="P883" i="6"/>
  <c r="P655" i="6"/>
  <c r="P583" i="6"/>
  <c r="P715" i="6"/>
  <c r="P1483" i="6"/>
  <c r="P1121" i="6"/>
  <c r="R1121" i="6"/>
  <c r="S1121" i="6" s="1"/>
  <c r="T1121" i="6" s="1"/>
  <c r="P1061" i="6"/>
  <c r="R1061" i="6"/>
  <c r="S1061" i="6" s="1"/>
  <c r="T1061" i="6" s="1"/>
  <c r="P856" i="6"/>
  <c r="R856" i="6"/>
  <c r="S856" i="6" s="1"/>
  <c r="T856" i="6" s="1"/>
  <c r="P921" i="6"/>
  <c r="R921" i="6"/>
  <c r="S921" i="6" s="1"/>
  <c r="T921" i="6" s="1"/>
  <c r="O1409" i="6"/>
  <c r="J1529" i="6"/>
  <c r="P1109" i="6"/>
  <c r="R593" i="6"/>
  <c r="S593" i="6" s="1"/>
  <c r="T593" i="6" s="1"/>
  <c r="R185" i="6"/>
  <c r="S185" i="6" s="1"/>
  <c r="T185" i="6" s="1"/>
  <c r="P461" i="6"/>
  <c r="P509" i="6"/>
  <c r="R605" i="6"/>
  <c r="S605" i="6" s="1"/>
  <c r="T605" i="6" s="1"/>
  <c r="P77" i="6"/>
  <c r="P89" i="6"/>
  <c r="P1433" i="6"/>
  <c r="R1141" i="6"/>
  <c r="S1141" i="6" s="1"/>
  <c r="T1141" i="6" s="1"/>
  <c r="P821" i="6"/>
  <c r="R1337" i="6"/>
  <c r="S1337" i="6" s="1"/>
  <c r="T1337" i="6" s="1"/>
  <c r="O101" i="6"/>
  <c r="R809" i="6"/>
  <c r="S809" i="6" s="1"/>
  <c r="T809" i="6" s="1"/>
  <c r="P905" i="6"/>
  <c r="R1589" i="6"/>
  <c r="S1589" i="6" s="1"/>
  <c r="T1589" i="6" s="1"/>
  <c r="P197" i="6"/>
  <c r="P149" i="6"/>
  <c r="Q149" i="6" s="1"/>
  <c r="U149" i="6" s="1"/>
  <c r="J1625" i="6"/>
  <c r="R833" i="6"/>
  <c r="S833" i="6" s="1"/>
  <c r="T833" i="6" s="1"/>
  <c r="R1361" i="6"/>
  <c r="S1361" i="6" s="1"/>
  <c r="T1361" i="6" s="1"/>
  <c r="R1181" i="6"/>
  <c r="S1181" i="6" s="1"/>
  <c r="T1181" i="6" s="1"/>
  <c r="P1613" i="6"/>
  <c r="N101" i="6"/>
  <c r="P749" i="6"/>
  <c r="J1421" i="6"/>
  <c r="R557" i="6"/>
  <c r="S557" i="6" s="1"/>
  <c r="T557" i="6" s="1"/>
  <c r="P233" i="6"/>
  <c r="P1445" i="6"/>
  <c r="P1133" i="6"/>
  <c r="J1445" i="6"/>
  <c r="O1433" i="6"/>
  <c r="P125" i="6"/>
  <c r="P425" i="6"/>
  <c r="R1169" i="6"/>
  <c r="S1169" i="6" s="1"/>
  <c r="T1169" i="6" s="1"/>
  <c r="P209" i="6"/>
  <c r="R437" i="6"/>
  <c r="S437" i="6" s="1"/>
  <c r="T437" i="6" s="1"/>
  <c r="P473" i="6"/>
  <c r="P545" i="6"/>
  <c r="R941" i="6"/>
  <c r="S941" i="6" s="1"/>
  <c r="T941" i="6" s="1"/>
  <c r="P1217" i="6"/>
  <c r="P1469" i="6"/>
  <c r="Q1173" i="6"/>
  <c r="U1173" i="6" s="1"/>
  <c r="R1097" i="6"/>
  <c r="S1097" i="6" s="1"/>
  <c r="T1097" i="6" s="1"/>
  <c r="J1241" i="6"/>
  <c r="P617" i="6"/>
  <c r="R1193" i="6"/>
  <c r="S1193" i="6" s="1"/>
  <c r="T1193" i="6" s="1"/>
  <c r="R725" i="6"/>
  <c r="S725" i="6" s="1"/>
  <c r="T725" i="6" s="1"/>
  <c r="O1217" i="6"/>
  <c r="R1253" i="6"/>
  <c r="S1253" i="6" s="1"/>
  <c r="T1253" i="6" s="1"/>
  <c r="J1505" i="6"/>
  <c r="P245" i="6"/>
  <c r="R917" i="6"/>
  <c r="S917" i="6" s="1"/>
  <c r="T917" i="6" s="1"/>
  <c r="P881" i="6"/>
  <c r="P653" i="6"/>
  <c r="P1265" i="6"/>
  <c r="R413" i="6"/>
  <c r="S413" i="6" s="1"/>
  <c r="T413" i="6" s="1"/>
  <c r="P1301" i="6"/>
  <c r="J1637" i="6"/>
  <c r="R53" i="6"/>
  <c r="P845" i="6"/>
  <c r="J1049" i="6"/>
  <c r="R65" i="6"/>
  <c r="R257" i="6"/>
  <c r="S257" i="6" s="1"/>
  <c r="T257" i="6" s="1"/>
  <c r="R353" i="6"/>
  <c r="S353" i="6" s="1"/>
  <c r="T353" i="6" s="1"/>
  <c r="P389" i="6"/>
  <c r="P161" i="6"/>
  <c r="P401" i="6"/>
  <c r="P1241" i="6"/>
  <c r="R677" i="6"/>
  <c r="S677" i="6" s="1"/>
  <c r="T677" i="6" s="1"/>
  <c r="R857" i="6"/>
  <c r="S857" i="6" s="1"/>
  <c r="T857" i="6" s="1"/>
  <c r="R317" i="6"/>
  <c r="S317" i="6" s="1"/>
  <c r="T317" i="6" s="1"/>
  <c r="P1025" i="6"/>
  <c r="P701" i="6"/>
  <c r="J1061" i="6"/>
  <c r="P377" i="6"/>
  <c r="Q377" i="6" s="1"/>
  <c r="U377" i="6" s="1"/>
  <c r="R329" i="6"/>
  <c r="S329" i="6" s="1"/>
  <c r="T329" i="6" s="1"/>
  <c r="R1313" i="6"/>
  <c r="S1313" i="6" s="1"/>
  <c r="T1313" i="6" s="1"/>
  <c r="J1469" i="6"/>
  <c r="J1121" i="6"/>
  <c r="O1589" i="6"/>
  <c r="O1481" i="6"/>
  <c r="R521" i="6"/>
  <c r="S521" i="6" s="1"/>
  <c r="T521" i="6" s="1"/>
  <c r="P989" i="6"/>
  <c r="R101" i="6"/>
  <c r="R581" i="6"/>
  <c r="S581" i="6" s="1"/>
  <c r="T581" i="6" s="1"/>
  <c r="P689" i="6"/>
  <c r="P1553" i="6"/>
  <c r="J1613" i="6"/>
  <c r="P41" i="6"/>
  <c r="R29" i="6"/>
  <c r="R929" i="6"/>
  <c r="S929" i="6" s="1"/>
  <c r="T929" i="6" s="1"/>
  <c r="J1493" i="6"/>
  <c r="R1229" i="6"/>
  <c r="S1229" i="6" s="1"/>
  <c r="T1229" i="6" s="1"/>
  <c r="O1601" i="6"/>
  <c r="P773" i="6"/>
  <c r="R953" i="6"/>
  <c r="S953" i="6" s="1"/>
  <c r="T953" i="6" s="1"/>
  <c r="J1397" i="6"/>
  <c r="P221" i="6"/>
  <c r="P1493" i="6"/>
  <c r="P137" i="6"/>
  <c r="Q413" i="6"/>
  <c r="U413" i="6" s="1"/>
  <c r="P305" i="6"/>
  <c r="R869" i="6"/>
  <c r="S869" i="6" s="1"/>
  <c r="T869" i="6" s="1"/>
  <c r="Q144" i="6"/>
  <c r="U144" i="6" s="1"/>
  <c r="K46" i="23"/>
  <c r="R1536" i="6"/>
  <c r="S1536" i="6" s="1"/>
  <c r="T1536" i="6" s="1"/>
  <c r="P1536" i="6"/>
  <c r="P35" i="6"/>
  <c r="R35" i="6"/>
  <c r="R570" i="6"/>
  <c r="S570" i="6" s="1"/>
  <c r="T570" i="6" s="1"/>
  <c r="P570" i="6"/>
  <c r="R162" i="6"/>
  <c r="S162" i="6" s="1"/>
  <c r="T162" i="6" s="1"/>
  <c r="P162" i="6"/>
  <c r="R1022" i="6"/>
  <c r="S1022" i="6" s="1"/>
  <c r="T1022" i="6" s="1"/>
  <c r="P1022" i="6"/>
  <c r="P602" i="6"/>
  <c r="R602" i="6"/>
  <c r="S602" i="6" s="1"/>
  <c r="T602" i="6" s="1"/>
  <c r="P1056" i="6"/>
  <c r="P1332" i="6"/>
  <c r="Q1332" i="6" s="1"/>
  <c r="U1332" i="6" s="1"/>
  <c r="O120" i="6"/>
  <c r="O1440" i="6"/>
  <c r="P648" i="6"/>
  <c r="Q648" i="6" s="1"/>
  <c r="U648" i="6" s="1"/>
  <c r="P528" i="6"/>
  <c r="R444" i="6"/>
  <c r="S444" i="6" s="1"/>
  <c r="T444" i="6" s="1"/>
  <c r="R12" i="6"/>
  <c r="J1476" i="6"/>
  <c r="O1524" i="6"/>
  <c r="R744" i="6"/>
  <c r="S744" i="6" s="1"/>
  <c r="T744" i="6" s="1"/>
  <c r="P756" i="6"/>
  <c r="R900" i="6"/>
  <c r="S900" i="6" s="1"/>
  <c r="T900" i="6" s="1"/>
  <c r="P1236" i="6"/>
  <c r="R1632" i="6"/>
  <c r="S1632" i="6" s="1"/>
  <c r="T1632" i="6" s="1"/>
  <c r="R1608" i="6"/>
  <c r="S1608" i="6" s="1"/>
  <c r="T1608" i="6" s="1"/>
  <c r="P1164" i="6"/>
  <c r="O109" i="6"/>
  <c r="R588" i="6"/>
  <c r="S588" i="6" s="1"/>
  <c r="T588" i="6" s="1"/>
  <c r="R726" i="6"/>
  <c r="S726" i="6"/>
  <c r="T726" i="6" s="1"/>
  <c r="P1308" i="6"/>
  <c r="P1013" i="6"/>
  <c r="R828" i="6"/>
  <c r="S828" i="6" s="1"/>
  <c r="T828" i="6" s="1"/>
  <c r="R120" i="6"/>
  <c r="P912" i="6"/>
  <c r="J1572" i="6"/>
  <c r="O1260" i="6"/>
  <c r="J1368" i="6"/>
  <c r="J1212" i="6"/>
  <c r="J1284" i="6"/>
  <c r="O1320" i="6"/>
  <c r="J1344" i="6"/>
  <c r="R1092" i="6"/>
  <c r="S1092" i="6" s="1"/>
  <c r="T1092" i="6" s="1"/>
  <c r="P1260" i="6"/>
  <c r="P1548" i="6"/>
  <c r="P1560" i="6"/>
  <c r="R96" i="6"/>
  <c r="P684" i="6"/>
  <c r="P612" i="6"/>
  <c r="O1620" i="6"/>
  <c r="R1296" i="6"/>
  <c r="S1296" i="6" s="1"/>
  <c r="T1296" i="6" s="1"/>
  <c r="R1596" i="6"/>
  <c r="S1596" i="6" s="1"/>
  <c r="T1596" i="6" s="1"/>
  <c r="P24" i="6"/>
  <c r="R816" i="6"/>
  <c r="S816" i="6" s="1"/>
  <c r="T816" i="6" s="1"/>
  <c r="R1116" i="6"/>
  <c r="S1116" i="6" s="1"/>
  <c r="T1116" i="6" s="1"/>
  <c r="R720" i="6"/>
  <c r="S720" i="6"/>
  <c r="T720" i="6" s="1"/>
  <c r="P36" i="6"/>
  <c r="R492" i="6"/>
  <c r="S492" i="6" s="1"/>
  <c r="T492" i="6" s="1"/>
  <c r="O1596" i="6"/>
  <c r="Q1596" i="6" s="1"/>
  <c r="U1596" i="6" s="1"/>
  <c r="P480" i="6"/>
  <c r="P1584" i="6"/>
  <c r="P168" i="6"/>
  <c r="J1188" i="6"/>
  <c r="O1248" i="6"/>
  <c r="P456" i="6"/>
  <c r="R1452" i="6"/>
  <c r="S1452" i="6" s="1"/>
  <c r="T1452" i="6" s="1"/>
  <c r="J1356" i="6"/>
  <c r="R1044" i="6"/>
  <c r="S1044" i="6" s="1"/>
  <c r="T1044" i="6" s="1"/>
  <c r="R1188" i="6"/>
  <c r="S1188" i="6" s="1"/>
  <c r="T1188" i="6" s="1"/>
  <c r="R1416" i="6"/>
  <c r="S1416" i="6" s="1"/>
  <c r="T1416" i="6" s="1"/>
  <c r="P1380" i="6"/>
  <c r="Q1380" i="6" s="1"/>
  <c r="U1380" i="6" s="1"/>
  <c r="P1524" i="6"/>
  <c r="O1632" i="6"/>
  <c r="R192" i="6"/>
  <c r="S192" i="6" s="1"/>
  <c r="T192" i="6" s="1"/>
  <c r="O1452" i="6"/>
  <c r="O1536" i="6"/>
  <c r="P1248" i="6"/>
  <c r="P792" i="6"/>
  <c r="P960" i="6"/>
  <c r="R1356" i="6"/>
  <c r="S1356" i="6" s="1"/>
  <c r="T1356" i="6" s="1"/>
  <c r="P564" i="6"/>
  <c r="P156" i="6"/>
  <c r="O1584" i="6"/>
  <c r="R1212" i="6"/>
  <c r="S1212" i="6" s="1"/>
  <c r="T1212" i="6" s="1"/>
  <c r="R984" i="6"/>
  <c r="S984" i="6" s="1"/>
  <c r="T984" i="6" s="1"/>
  <c r="R1080" i="6"/>
  <c r="S1080" i="6" s="1"/>
  <c r="T1080" i="6" s="1"/>
  <c r="P646" i="6"/>
  <c r="R154" i="6"/>
  <c r="S154" i="6" s="1"/>
  <c r="T154" i="6" s="1"/>
  <c r="R540" i="6"/>
  <c r="S540" i="6" s="1"/>
  <c r="T540" i="6" s="1"/>
  <c r="J1500" i="6"/>
  <c r="O1224" i="6"/>
  <c r="R1020" i="6"/>
  <c r="S1020" i="6" s="1"/>
  <c r="T1020" i="6" s="1"/>
  <c r="P468" i="6"/>
  <c r="P672" i="6"/>
  <c r="P1440" i="6"/>
  <c r="R924" i="6"/>
  <c r="S924" i="6" s="1"/>
  <c r="T924" i="6" s="1"/>
  <c r="P1128" i="6"/>
  <c r="R768" i="6"/>
  <c r="S768" i="6" s="1"/>
  <c r="T768" i="6" s="1"/>
  <c r="P1032" i="6"/>
  <c r="R84" i="6"/>
  <c r="P1404" i="6"/>
  <c r="P1152" i="6"/>
  <c r="J1152" i="6"/>
  <c r="P1140" i="6"/>
  <c r="R948" i="6"/>
  <c r="S948" i="6" s="1"/>
  <c r="T948" i="6" s="1"/>
  <c r="R972" i="6"/>
  <c r="S972" i="6" s="1"/>
  <c r="T972" i="6" s="1"/>
  <c r="O1404" i="6"/>
  <c r="R420" i="6"/>
  <c r="S420" i="6" s="1"/>
  <c r="T420" i="6" s="1"/>
  <c r="P1008" i="6"/>
  <c r="P1176" i="6"/>
  <c r="R636" i="6"/>
  <c r="S636" i="6" s="1"/>
  <c r="T636" i="6" s="1"/>
  <c r="O1416" i="6"/>
  <c r="O1392" i="6"/>
  <c r="R578" i="6"/>
  <c r="S578" i="6" s="1"/>
  <c r="T578" i="6" s="1"/>
  <c r="Q699" i="6"/>
  <c r="U699" i="6" s="1"/>
  <c r="Q306" i="6"/>
  <c r="U306" i="6" s="1"/>
  <c r="Q323" i="6"/>
  <c r="U323" i="6" s="1"/>
  <c r="J89" i="6"/>
  <c r="M89" i="6" s="1"/>
  <c r="J723" i="6"/>
  <c r="O627" i="6"/>
  <c r="J1035" i="6"/>
  <c r="J1502" i="6"/>
  <c r="O1323" i="6"/>
  <c r="Q283" i="6"/>
  <c r="U283" i="6" s="1"/>
  <c r="J183" i="6"/>
  <c r="O459" i="6"/>
  <c r="J72" i="6"/>
  <c r="J735" i="6"/>
  <c r="J1299" i="6"/>
  <c r="J1538" i="6"/>
  <c r="O1454" i="6"/>
  <c r="O1095" i="6"/>
  <c r="J891" i="6"/>
  <c r="O531" i="6"/>
  <c r="O435" i="6"/>
  <c r="O1287" i="6"/>
  <c r="J1514" i="6"/>
  <c r="J975" i="6"/>
  <c r="J279" i="6"/>
  <c r="J663" i="6"/>
  <c r="J771" i="6"/>
  <c r="J711" i="6"/>
  <c r="O999" i="6"/>
  <c r="O1311" i="6"/>
  <c r="J1550" i="6"/>
  <c r="J483" i="6"/>
  <c r="J519" i="6"/>
  <c r="O339" i="6"/>
  <c r="J639" i="6"/>
  <c r="J303" i="6"/>
  <c r="O159" i="6"/>
  <c r="J1011" i="6"/>
  <c r="O1335" i="6"/>
  <c r="J471" i="6"/>
  <c r="J747" i="6"/>
  <c r="J267" i="6"/>
  <c r="J687" i="6"/>
  <c r="J951" i="6"/>
  <c r="J1107" i="6"/>
  <c r="O1610" i="6"/>
  <c r="J1143" i="6"/>
  <c r="O1215" i="6"/>
  <c r="J1263" i="6"/>
  <c r="O219" i="6"/>
  <c r="J327" i="6"/>
  <c r="O255" i="6"/>
  <c r="J195" i="6"/>
  <c r="O1478" i="6"/>
  <c r="O1023" i="6"/>
  <c r="O1191" i="6"/>
  <c r="O231" i="6"/>
  <c r="O243" i="6"/>
  <c r="O1155" i="6"/>
  <c r="O591" i="6"/>
  <c r="O1383" i="6"/>
  <c r="J699" i="6"/>
  <c r="J783" i="6"/>
  <c r="J903" i="6"/>
  <c r="J1131" i="6"/>
  <c r="J819" i="6"/>
  <c r="J399" i="6"/>
  <c r="O579" i="6"/>
  <c r="Q579" i="6" s="1"/>
  <c r="U579" i="6" s="1"/>
  <c r="O1622" i="6"/>
  <c r="O543" i="6"/>
  <c r="O447" i="6"/>
  <c r="J423" i="6"/>
  <c r="O855" i="6"/>
  <c r="O963" i="6"/>
  <c r="J1227" i="6"/>
  <c r="O1418" i="6"/>
  <c r="O1562" i="6"/>
  <c r="J987" i="6"/>
  <c r="O1203" i="6"/>
  <c r="O507" i="6"/>
  <c r="O12" i="6"/>
  <c r="O567" i="6"/>
  <c r="J495" i="6"/>
  <c r="J351" i="6"/>
  <c r="J363" i="6"/>
  <c r="O147" i="6"/>
  <c r="Q147" i="6" s="1"/>
  <c r="U147" i="6" s="1"/>
  <c r="J915" i="6"/>
  <c r="J1059" i="6"/>
  <c r="J879" i="6"/>
  <c r="O207" i="6"/>
  <c r="J1430" i="6"/>
  <c r="O615" i="6"/>
  <c r="O375" i="6"/>
  <c r="O387" i="6"/>
  <c r="O831" i="6"/>
  <c r="O1442" i="6"/>
  <c r="J1167" i="6"/>
  <c r="J291" i="6"/>
  <c r="J555" i="6"/>
  <c r="R878" i="6"/>
  <c r="S878" i="6" s="1"/>
  <c r="T878" i="6" s="1"/>
  <c r="P878" i="6"/>
  <c r="P995" i="6"/>
  <c r="R995" i="6"/>
  <c r="S995" i="6" s="1"/>
  <c r="T995" i="6" s="1"/>
  <c r="E7" i="23"/>
  <c r="P1348" i="6"/>
  <c r="R1348" i="6"/>
  <c r="S1348" i="6" s="1"/>
  <c r="T1348" i="6" s="1"/>
  <c r="P1228" i="6"/>
  <c r="R1228" i="6"/>
  <c r="S1228" i="6" s="1"/>
  <c r="T1228" i="6" s="1"/>
  <c r="P1216" i="6"/>
  <c r="R1216" i="6"/>
  <c r="S1216" i="6" s="1"/>
  <c r="T1216" i="6" s="1"/>
  <c r="P1192" i="6"/>
  <c r="Q1192" i="6" s="1"/>
  <c r="U1192" i="6" s="1"/>
  <c r="R1192" i="6"/>
  <c r="S1192" i="6" s="1"/>
  <c r="T1192" i="6" s="1"/>
  <c r="P1180" i="6"/>
  <c r="R1180" i="6"/>
  <c r="S1180" i="6" s="1"/>
  <c r="T1180" i="6" s="1"/>
  <c r="O1636" i="6"/>
  <c r="J46" i="6"/>
  <c r="O46" i="6"/>
  <c r="P1345" i="6"/>
  <c r="P1153" i="6"/>
  <c r="R1153" i="6"/>
  <c r="S1153" i="6" s="1"/>
  <c r="T1153" i="6" s="1"/>
  <c r="R986" i="6"/>
  <c r="S986" i="6" s="1"/>
  <c r="T986" i="6" s="1"/>
  <c r="P986" i="6"/>
  <c r="R616" i="6"/>
  <c r="S616" i="6" s="1"/>
  <c r="T616" i="6" s="1"/>
  <c r="P616" i="6"/>
  <c r="R592" i="6"/>
  <c r="S592" i="6" s="1"/>
  <c r="T592" i="6" s="1"/>
  <c r="P556" i="6"/>
  <c r="R556" i="6"/>
  <c r="S556" i="6" s="1"/>
  <c r="T556" i="6" s="1"/>
  <c r="P532" i="6"/>
  <c r="Q532" i="6" s="1"/>
  <c r="U532" i="6" s="1"/>
  <c r="R532" i="6"/>
  <c r="S532" i="6" s="1"/>
  <c r="T532" i="6" s="1"/>
  <c r="P520" i="6"/>
  <c r="R520" i="6"/>
  <c r="S520" i="6" s="1"/>
  <c r="T520" i="6" s="1"/>
  <c r="R508" i="6"/>
  <c r="S508" i="6" s="1"/>
  <c r="T508" i="6" s="1"/>
  <c r="P508" i="6"/>
  <c r="P496" i="6"/>
  <c r="R496" i="6"/>
  <c r="S496" i="6" s="1"/>
  <c r="T496" i="6" s="1"/>
  <c r="P460" i="6"/>
  <c r="R460" i="6"/>
  <c r="S460" i="6" s="1"/>
  <c r="T460" i="6" s="1"/>
  <c r="R436" i="6"/>
  <c r="S436" i="6" s="1"/>
  <c r="T436" i="6" s="1"/>
  <c r="P436" i="6"/>
  <c r="R424" i="6"/>
  <c r="S424" i="6" s="1"/>
  <c r="T424" i="6" s="1"/>
  <c r="P424" i="6"/>
  <c r="P316" i="6"/>
  <c r="R184" i="6"/>
  <c r="S184" i="6" s="1"/>
  <c r="T184" i="6" s="1"/>
  <c r="P184" i="6"/>
  <c r="R160" i="6"/>
  <c r="S160" i="6" s="1"/>
  <c r="T160" i="6" s="1"/>
  <c r="P160" i="6"/>
  <c r="R136" i="6"/>
  <c r="S136" i="6" s="1"/>
  <c r="T136" i="6" s="1"/>
  <c r="P136" i="6"/>
  <c r="P124" i="6"/>
  <c r="H112" i="6"/>
  <c r="P112" i="6" s="1"/>
  <c r="P88" i="6"/>
  <c r="R88" i="6"/>
  <c r="H76" i="6"/>
  <c r="N76" i="6"/>
  <c r="P52" i="6"/>
  <c r="R52" i="6"/>
  <c r="H16" i="6"/>
  <c r="R16" i="6" s="1"/>
  <c r="O1624" i="6"/>
  <c r="J1624" i="6"/>
  <c r="J1612" i="6"/>
  <c r="O1612" i="6"/>
  <c r="O1552" i="6"/>
  <c r="J1552" i="6"/>
  <c r="J1528" i="6"/>
  <c r="O1528" i="6"/>
  <c r="J1516" i="6"/>
  <c r="O1516" i="6"/>
  <c r="J1492" i="6"/>
  <c r="O1492" i="6"/>
  <c r="O1480" i="6"/>
  <c r="J1480" i="6"/>
  <c r="O1456" i="6"/>
  <c r="J1456" i="6"/>
  <c r="O1432" i="6"/>
  <c r="Q1432" i="6" s="1"/>
  <c r="U1432" i="6" s="1"/>
  <c r="J1432" i="6"/>
  <c r="J1408" i="6"/>
  <c r="O1408" i="6"/>
  <c r="O1396" i="6"/>
  <c r="J1396" i="6"/>
  <c r="O1385" i="6"/>
  <c r="J1385" i="6"/>
  <c r="J1361" i="6"/>
  <c r="O1361" i="6"/>
  <c r="J1349" i="6"/>
  <c r="O1349" i="6"/>
  <c r="J1337" i="6"/>
  <c r="O1337" i="6"/>
  <c r="J1325" i="6"/>
  <c r="O1325" i="6"/>
  <c r="J1301" i="6"/>
  <c r="O1301" i="6"/>
  <c r="J1289" i="6"/>
  <c r="O1289" i="6"/>
  <c r="J1265" i="6"/>
  <c r="O1265" i="6"/>
  <c r="J1253" i="6"/>
  <c r="O1253" i="6"/>
  <c r="J1229" i="6"/>
  <c r="O1229" i="6"/>
  <c r="O1205" i="6"/>
  <c r="J1205" i="6"/>
  <c r="J1181" i="6"/>
  <c r="O1181" i="6"/>
  <c r="O1157" i="6"/>
  <c r="J1157" i="6"/>
  <c r="J1145" i="6"/>
  <c r="O1145" i="6"/>
  <c r="J1109" i="6"/>
  <c r="O1109" i="6"/>
  <c r="O1073" i="6"/>
  <c r="J1073" i="6"/>
  <c r="J1037" i="6"/>
  <c r="O1037" i="6"/>
  <c r="O1025" i="6"/>
  <c r="J1025" i="6"/>
  <c r="O1013" i="6"/>
  <c r="J1013" i="6"/>
  <c r="O1001" i="6"/>
  <c r="J1001" i="6"/>
  <c r="O965" i="6"/>
  <c r="J965" i="6"/>
  <c r="J929" i="6"/>
  <c r="O869" i="6"/>
  <c r="O821" i="6"/>
  <c r="J773" i="6"/>
  <c r="J677" i="6"/>
  <c r="J593" i="6"/>
  <c r="O593" i="6"/>
  <c r="Q593" i="6" s="1"/>
  <c r="U593" i="6" s="1"/>
  <c r="J557" i="6"/>
  <c r="O557" i="6"/>
  <c r="O1600" i="6"/>
  <c r="J1600" i="6"/>
  <c r="P1333" i="6"/>
  <c r="J1468" i="6"/>
  <c r="O1540" i="6"/>
  <c r="O1373" i="6"/>
  <c r="P1368" i="6"/>
  <c r="Q1368" i="6" s="1"/>
  <c r="U1368" i="6" s="1"/>
  <c r="R1368" i="6"/>
  <c r="S1368" i="6" s="1"/>
  <c r="T1368" i="6" s="1"/>
  <c r="R628" i="6"/>
  <c r="S628" i="6" s="1"/>
  <c r="T628" i="6" s="1"/>
  <c r="P628" i="6"/>
  <c r="P28" i="6"/>
  <c r="R950" i="6"/>
  <c r="S950" i="6" s="1"/>
  <c r="T950" i="6" s="1"/>
  <c r="P950" i="6"/>
  <c r="K45" i="23"/>
  <c r="N13" i="23"/>
  <c r="F36" i="23"/>
  <c r="R710" i="6"/>
  <c r="S710" i="6" s="1"/>
  <c r="T710" i="6" s="1"/>
  <c r="P710" i="6"/>
  <c r="R674" i="6"/>
  <c r="S674" i="6" s="1"/>
  <c r="T674" i="6" s="1"/>
  <c r="P674" i="6"/>
  <c r="R640" i="6"/>
  <c r="S640" i="6" s="1"/>
  <c r="T640" i="6" s="1"/>
  <c r="J1169" i="6"/>
  <c r="O1085" i="6"/>
  <c r="O977" i="6"/>
  <c r="R1402" i="6"/>
  <c r="S1402" i="6" s="1"/>
  <c r="T1402" i="6" s="1"/>
  <c r="P911" i="6"/>
  <c r="R911" i="6"/>
  <c r="S911" i="6" s="1"/>
  <c r="T911" i="6" s="1"/>
  <c r="P899" i="6"/>
  <c r="R899" i="6"/>
  <c r="S899" i="6" s="1"/>
  <c r="T899" i="6" s="1"/>
  <c r="R887" i="6"/>
  <c r="S887" i="6" s="1"/>
  <c r="T887" i="6" s="1"/>
  <c r="P887" i="6"/>
  <c r="P876" i="6"/>
  <c r="R876" i="6"/>
  <c r="S876" i="6" s="1"/>
  <c r="T876" i="6" s="1"/>
  <c r="P865" i="6"/>
  <c r="R865" i="6"/>
  <c r="S865" i="6" s="1"/>
  <c r="T865" i="6" s="1"/>
  <c r="P817" i="6"/>
  <c r="R817" i="6"/>
  <c r="S817" i="6" s="1"/>
  <c r="T817" i="6" s="1"/>
  <c r="R805" i="6"/>
  <c r="S805" i="6" s="1"/>
  <c r="T805" i="6" s="1"/>
  <c r="P805" i="6"/>
  <c r="P793" i="6"/>
  <c r="R793" i="6"/>
  <c r="S793" i="6" s="1"/>
  <c r="T793" i="6" s="1"/>
  <c r="R769" i="6"/>
  <c r="S769" i="6" s="1"/>
  <c r="T769" i="6" s="1"/>
  <c r="P769" i="6"/>
  <c r="R757" i="6"/>
  <c r="S757" i="6"/>
  <c r="T757" i="6" s="1"/>
  <c r="P757" i="6"/>
  <c r="D45" i="7"/>
  <c r="B4" i="7" s="1"/>
  <c r="R1473" i="6"/>
  <c r="S1473" i="6" s="1"/>
  <c r="T1473" i="6" s="1"/>
  <c r="P1473" i="6"/>
  <c r="Q1473" i="6" s="1"/>
  <c r="U1473" i="6" s="1"/>
  <c r="R1461" i="6"/>
  <c r="S1461" i="6" s="1"/>
  <c r="T1461" i="6" s="1"/>
  <c r="P1461" i="6"/>
  <c r="P1449" i="6"/>
  <c r="R1449" i="6"/>
  <c r="S1449" i="6" s="1"/>
  <c r="T1449" i="6" s="1"/>
  <c r="P970" i="6"/>
  <c r="R970" i="6"/>
  <c r="S970" i="6" s="1"/>
  <c r="T970" i="6" s="1"/>
  <c r="R946" i="6"/>
  <c r="S946" i="6" s="1"/>
  <c r="T946" i="6" s="1"/>
  <c r="P946" i="6"/>
  <c r="Q946" i="6" s="1"/>
  <c r="P922" i="6"/>
  <c r="R922" i="6"/>
  <c r="S922" i="6" s="1"/>
  <c r="T922" i="6" s="1"/>
  <c r="P148" i="6"/>
  <c r="P544" i="6"/>
  <c r="Q544" i="6" s="1"/>
  <c r="U544" i="6" s="1"/>
  <c r="O1193" i="6"/>
  <c r="P1579" i="6"/>
  <c r="Q1579" i="6" s="1"/>
  <c r="U1579" i="6" s="1"/>
  <c r="R1579" i="6"/>
  <c r="S1579" i="6"/>
  <c r="T1579" i="6" s="1"/>
  <c r="P1568" i="6"/>
  <c r="R1568" i="6"/>
  <c r="S1568" i="6" s="1"/>
  <c r="T1568" i="6" s="1"/>
  <c r="P1556" i="6"/>
  <c r="R1556" i="6"/>
  <c r="S1556" i="6" s="1"/>
  <c r="T1556" i="6" s="1"/>
  <c r="R1520" i="6"/>
  <c r="S1520" i="6" s="1"/>
  <c r="T1520" i="6" s="1"/>
  <c r="P1520" i="6"/>
  <c r="O124" i="6"/>
  <c r="R472" i="6"/>
  <c r="S472" i="6" s="1"/>
  <c r="T472" i="6" s="1"/>
  <c r="J1133" i="6"/>
  <c r="R448" i="6"/>
  <c r="S448" i="6" s="1"/>
  <c r="T448" i="6" s="1"/>
  <c r="P568" i="6"/>
  <c r="O1277" i="6"/>
  <c r="R1074" i="6"/>
  <c r="S1074" i="6" s="1"/>
  <c r="T1074" i="6" s="1"/>
  <c r="P1074" i="6"/>
  <c r="P1062" i="6"/>
  <c r="R1062" i="6"/>
  <c r="S1062" i="6" s="1"/>
  <c r="T1062" i="6" s="1"/>
  <c r="R1026" i="6"/>
  <c r="S1026" i="6" s="1"/>
  <c r="T1026" i="6" s="1"/>
  <c r="P1026" i="6"/>
  <c r="P1409" i="6"/>
  <c r="R1409" i="6"/>
  <c r="S1409" i="6" s="1"/>
  <c r="T1409" i="6" s="1"/>
  <c r="P1325" i="6"/>
  <c r="R1325" i="6"/>
  <c r="S1325" i="6" s="1"/>
  <c r="T1325" i="6" s="1"/>
  <c r="N1247" i="6"/>
  <c r="N1331" i="6"/>
  <c r="J353" i="6"/>
  <c r="J149" i="6"/>
  <c r="N731" i="6"/>
  <c r="O87" i="6"/>
  <c r="M575" i="6"/>
  <c r="N599" i="6"/>
  <c r="N384" i="6"/>
  <c r="M659" i="6"/>
  <c r="N372" i="6"/>
  <c r="N587" i="6"/>
  <c r="N611" i="6"/>
  <c r="N971" i="6"/>
  <c r="N1438" i="6"/>
  <c r="N863" i="6"/>
  <c r="O449" i="6"/>
  <c r="J485" i="6"/>
  <c r="N503" i="6"/>
  <c r="M431" i="6"/>
  <c r="M1355" i="6"/>
  <c r="N1462" i="6"/>
  <c r="M551" i="6"/>
  <c r="M1486" i="6"/>
  <c r="N827" i="6"/>
  <c r="M515" i="6"/>
  <c r="M683" i="6"/>
  <c r="M767" i="6"/>
  <c r="M707" i="6"/>
  <c r="N911" i="6"/>
  <c r="N1043" i="6"/>
  <c r="M875" i="6"/>
  <c r="N839" i="6"/>
  <c r="N1474" i="6"/>
  <c r="M959" i="6"/>
  <c r="M1295" i="6"/>
  <c r="N1223" i="6"/>
  <c r="N1426" i="6"/>
  <c r="J293" i="6"/>
  <c r="M635" i="6"/>
  <c r="M336" i="6"/>
  <c r="N719" i="6"/>
  <c r="M1568" i="6"/>
  <c r="N899" i="6"/>
  <c r="J305" i="6"/>
  <c r="N312" i="6"/>
  <c r="N947" i="6"/>
  <c r="M1379" i="6"/>
  <c r="M923" i="6"/>
  <c r="M527" i="6"/>
  <c r="N1271" i="6"/>
  <c r="N1343" i="6"/>
  <c r="M1557" i="6"/>
  <c r="M1235" i="6"/>
  <c r="N755" i="6"/>
  <c r="Q399" i="6"/>
  <c r="U399" i="6" s="1"/>
  <c r="M1283" i="6"/>
  <c r="P934" i="6"/>
  <c r="R934" i="6"/>
  <c r="S934" i="6" s="1"/>
  <c r="T934" i="6" s="1"/>
  <c r="R851" i="6"/>
  <c r="S851" i="6" s="1"/>
  <c r="T851" i="6" s="1"/>
  <c r="P851" i="6"/>
  <c r="R159" i="6"/>
  <c r="S159" i="6" s="1"/>
  <c r="T159" i="6" s="1"/>
  <c r="P159" i="6"/>
  <c r="R1505" i="6"/>
  <c r="S1505" i="6" s="1"/>
  <c r="T1505" i="6" s="1"/>
  <c r="P1272" i="6"/>
  <c r="Q1272" i="6" s="1"/>
  <c r="U1272" i="6" s="1"/>
  <c r="R1272" i="6"/>
  <c r="S1272" i="6" s="1"/>
  <c r="T1272" i="6" s="1"/>
  <c r="R313" i="6"/>
  <c r="S313" i="6" s="1"/>
  <c r="T313" i="6" s="1"/>
  <c r="P313" i="6"/>
  <c r="P431" i="6"/>
  <c r="R431" i="6"/>
  <c r="S431" i="6" s="1"/>
  <c r="T431" i="6" s="1"/>
  <c r="R608" i="6"/>
  <c r="S608" i="6" s="1"/>
  <c r="T608" i="6" s="1"/>
  <c r="P608" i="6"/>
  <c r="R631" i="6"/>
  <c r="S631" i="6" s="1"/>
  <c r="T631" i="6" s="1"/>
  <c r="P631" i="6"/>
  <c r="C10" i="23"/>
  <c r="J48" i="23"/>
  <c r="M51" i="23"/>
  <c r="H25" i="23"/>
  <c r="P1399" i="6"/>
  <c r="R1319" i="6"/>
  <c r="S1319" i="6" s="1"/>
  <c r="T1319" i="6" s="1"/>
  <c r="L28" i="23"/>
  <c r="M11" i="23"/>
  <c r="E46" i="23"/>
  <c r="R95" i="6"/>
  <c r="K33" i="23"/>
  <c r="I54" i="23"/>
  <c r="D35" i="23"/>
  <c r="R1564" i="6"/>
  <c r="S1564" i="6" s="1"/>
  <c r="T1564" i="6" s="1"/>
  <c r="C47" i="23"/>
  <c r="P1622" i="6"/>
  <c r="D38" i="23"/>
  <c r="K52" i="23"/>
  <c r="N26" i="23"/>
  <c r="L45" i="23"/>
  <c r="F32" i="23"/>
  <c r="I9" i="23"/>
  <c r="D13" i="23"/>
  <c r="P1634" i="6"/>
  <c r="Q50" i="6"/>
  <c r="U50" i="6" s="1"/>
  <c r="C48" i="23"/>
  <c r="C11" i="23"/>
  <c r="M45" i="23"/>
  <c r="G50" i="23"/>
  <c r="R1587" i="6"/>
  <c r="S1587" i="6" s="1"/>
  <c r="T1587" i="6" s="1"/>
  <c r="P1481" i="6"/>
  <c r="P1540" i="6"/>
  <c r="L9" i="23"/>
  <c r="L42" i="23"/>
  <c r="C37" i="23"/>
  <c r="G28" i="23"/>
  <c r="F50" i="23"/>
  <c r="K44" i="23"/>
  <c r="P1342" i="6"/>
  <c r="P1284" i="6"/>
  <c r="N21" i="23"/>
  <c r="L8" i="23"/>
  <c r="K18" i="23"/>
  <c r="I48" i="23"/>
  <c r="R1295" i="6"/>
  <c r="S1295" i="6" s="1"/>
  <c r="T1295" i="6" s="1"/>
  <c r="R1516" i="6"/>
  <c r="S1516" i="6" s="1"/>
  <c r="T1516" i="6" s="1"/>
  <c r="O136" i="6"/>
  <c r="L16" i="23"/>
  <c r="C14" i="23"/>
  <c r="P1458" i="6"/>
  <c r="Q1458" i="6" s="1"/>
  <c r="U1458" i="6" s="1"/>
  <c r="B13" i="22"/>
  <c r="G52" i="23"/>
  <c r="L7" i="23"/>
  <c r="C23" i="23"/>
  <c r="E45" i="23"/>
  <c r="K51" i="23"/>
  <c r="G49" i="23"/>
  <c r="G38" i="23"/>
  <c r="R1307" i="6"/>
  <c r="S1307" i="6" s="1"/>
  <c r="T1307" i="6" s="1"/>
  <c r="R1575" i="6"/>
  <c r="S1575" i="6" s="1"/>
  <c r="T1575" i="6" s="1"/>
  <c r="N50" i="23"/>
  <c r="J10" i="23"/>
  <c r="M7" i="23"/>
  <c r="H21" i="23"/>
  <c r="R1528" i="6"/>
  <c r="S1528" i="6" s="1"/>
  <c r="T1528" i="6" s="1"/>
  <c r="K32" i="23"/>
  <c r="K54" i="23"/>
  <c r="Q446" i="6"/>
  <c r="U446" i="6" s="1"/>
  <c r="G22" i="23"/>
  <c r="L31" i="23"/>
  <c r="L48" i="23"/>
  <c r="H42" i="23"/>
  <c r="I14" i="23"/>
  <c r="I45" i="23"/>
  <c r="I21" i="23"/>
  <c r="O19" i="6"/>
  <c r="M856" i="6"/>
  <c r="N856" i="6"/>
  <c r="M844" i="6"/>
  <c r="N844" i="6"/>
  <c r="M832" i="6"/>
  <c r="N832" i="6"/>
  <c r="N239" i="6"/>
  <c r="M239" i="6"/>
  <c r="N227" i="6"/>
  <c r="M227" i="6"/>
  <c r="M215" i="6"/>
  <c r="N215" i="6"/>
  <c r="N191" i="6"/>
  <c r="M191" i="6"/>
  <c r="N179" i="6"/>
  <c r="M179" i="6"/>
  <c r="M155" i="6"/>
  <c r="N155" i="6"/>
  <c r="Q155" i="6" s="1"/>
  <c r="U155" i="6" s="1"/>
  <c r="N143" i="6"/>
  <c r="R131" i="6"/>
  <c r="P131" i="6"/>
  <c r="R107" i="6"/>
  <c r="P962" i="6"/>
  <c r="M203" i="6"/>
  <c r="K43" i="23"/>
  <c r="H47" i="23"/>
  <c r="D55" i="23"/>
  <c r="L29" i="23"/>
  <c r="J32" i="23"/>
  <c r="J42" i="23"/>
  <c r="K20" i="23"/>
  <c r="M50" i="23"/>
  <c r="J12" i="23"/>
  <c r="J53" i="23"/>
  <c r="C57" i="23"/>
  <c r="N59" i="23"/>
  <c r="H58" i="23"/>
  <c r="M22" i="23"/>
  <c r="J46" i="23"/>
  <c r="K38" i="23"/>
  <c r="C31" i="23"/>
  <c r="M37" i="23"/>
  <c r="M44" i="23"/>
  <c r="D27" i="23"/>
  <c r="J30" i="23"/>
  <c r="L22" i="23"/>
  <c r="J58" i="23"/>
  <c r="B16" i="22"/>
  <c r="M54" i="23"/>
  <c r="C25" i="23"/>
  <c r="J15" i="23"/>
  <c r="C13" i="23"/>
  <c r="N17" i="23"/>
  <c r="F56" i="23"/>
  <c r="P1401" i="6"/>
  <c r="R1401" i="6"/>
  <c r="S1401" i="6" s="1"/>
  <c r="T1401" i="6" s="1"/>
  <c r="R64" i="6"/>
  <c r="P64" i="6"/>
  <c r="N167" i="6"/>
  <c r="Q167" i="6" s="1"/>
  <c r="U167" i="6" s="1"/>
  <c r="R1529" i="6"/>
  <c r="S1529" i="6" s="1"/>
  <c r="T1529" i="6" s="1"/>
  <c r="P1529" i="6"/>
  <c r="R1389" i="6"/>
  <c r="S1389" i="6" s="1"/>
  <c r="T1389" i="6" s="1"/>
  <c r="P1389" i="6"/>
  <c r="R1320" i="6"/>
  <c r="S1320" i="6" s="1"/>
  <c r="T1320" i="6" s="1"/>
  <c r="P1320" i="6"/>
  <c r="R1168" i="6"/>
  <c r="S1168" i="6" s="1"/>
  <c r="T1168" i="6" s="1"/>
  <c r="P1168" i="6"/>
  <c r="P1099" i="6"/>
  <c r="R1099" i="6"/>
  <c r="S1099" i="6" s="1"/>
  <c r="T1099" i="6" s="1"/>
  <c r="P122" i="6"/>
  <c r="R122" i="6"/>
  <c r="R74" i="6"/>
  <c r="P74" i="6"/>
  <c r="O1634" i="6"/>
  <c r="J1634" i="6"/>
  <c r="O1526" i="6"/>
  <c r="J1526" i="6"/>
  <c r="O1490" i="6"/>
  <c r="J1490" i="6"/>
  <c r="O1466" i="6"/>
  <c r="J1466" i="6"/>
  <c r="O1406" i="6"/>
  <c r="Q1406" i="6" s="1"/>
  <c r="U1406" i="6" s="1"/>
  <c r="J1406" i="6"/>
  <c r="O1359" i="6"/>
  <c r="Q1359" i="6" s="1"/>
  <c r="U1359" i="6" s="1"/>
  <c r="J1359" i="6"/>
  <c r="J1275" i="6"/>
  <c r="O1275" i="6"/>
  <c r="J1179" i="6"/>
  <c r="O1179" i="6"/>
  <c r="Q1179" i="6" s="1"/>
  <c r="U1179" i="6" s="1"/>
  <c r="O1119" i="6"/>
  <c r="J1119" i="6"/>
  <c r="O1071" i="6"/>
  <c r="J1071" i="6"/>
  <c r="J939" i="6"/>
  <c r="O939" i="6"/>
  <c r="O927" i="6"/>
  <c r="J927" i="6"/>
  <c r="J867" i="6"/>
  <c r="O867" i="6"/>
  <c r="J807" i="6"/>
  <c r="O807" i="6"/>
  <c r="Q759" i="6"/>
  <c r="U759" i="6" s="1"/>
  <c r="N785" i="6"/>
  <c r="J42" i="6"/>
  <c r="M42" i="6" s="1"/>
  <c r="N251" i="6"/>
  <c r="M797" i="6"/>
  <c r="R902" i="6"/>
  <c r="S902" i="6" s="1"/>
  <c r="T902" i="6" s="1"/>
  <c r="P902" i="6"/>
  <c r="O1360" i="6"/>
  <c r="J1360" i="6"/>
  <c r="J940" i="6"/>
  <c r="O940" i="6"/>
  <c r="Q940" i="6" s="1"/>
  <c r="U940" i="6" s="1"/>
  <c r="J928" i="6"/>
  <c r="O928" i="6"/>
  <c r="Q928" i="6" s="1"/>
  <c r="U928" i="6" s="1"/>
  <c r="J832" i="6"/>
  <c r="O832" i="6"/>
  <c r="J640" i="6"/>
  <c r="O640" i="6"/>
  <c r="J448" i="6"/>
  <c r="O448" i="6"/>
  <c r="O412" i="6"/>
  <c r="J412" i="6"/>
  <c r="O340" i="6"/>
  <c r="J340" i="6"/>
  <c r="J258" i="6"/>
  <c r="O258" i="6"/>
  <c r="O246" i="6"/>
  <c r="Q246" i="6" s="1"/>
  <c r="U246" i="6" s="1"/>
  <c r="J246" i="6"/>
  <c r="J234" i="6"/>
  <c r="O234" i="6"/>
  <c r="J222" i="6"/>
  <c r="O222" i="6"/>
  <c r="O199" i="6"/>
  <c r="J199" i="6"/>
  <c r="N763" i="6"/>
  <c r="M763" i="6"/>
  <c r="Q164" i="6"/>
  <c r="U164" i="6" s="1"/>
  <c r="J1276" i="6"/>
  <c r="R311" i="6"/>
  <c r="S311" i="6" s="1"/>
  <c r="T311" i="6" s="1"/>
  <c r="P311" i="6"/>
  <c r="R215" i="6"/>
  <c r="S215" i="6" s="1"/>
  <c r="T215" i="6" s="1"/>
  <c r="P215" i="6"/>
  <c r="P180" i="6"/>
  <c r="R180" i="6"/>
  <c r="S180" i="6" s="1"/>
  <c r="T180" i="6" s="1"/>
  <c r="P133" i="6"/>
  <c r="R133" i="6"/>
  <c r="J1621" i="6"/>
  <c r="O1621" i="6"/>
  <c r="O1585" i="6"/>
  <c r="Q1585" i="6" s="1"/>
  <c r="U1585" i="6" s="1"/>
  <c r="J1585" i="6"/>
  <c r="O1537" i="6"/>
  <c r="J1537" i="6"/>
  <c r="O1513" i="6"/>
  <c r="J1513" i="6"/>
  <c r="O1501" i="6"/>
  <c r="Q1501" i="6" s="1"/>
  <c r="U1501" i="6" s="1"/>
  <c r="J1501" i="6"/>
  <c r="O1465" i="6"/>
  <c r="J1465" i="6"/>
  <c r="O1453" i="6"/>
  <c r="J1453" i="6"/>
  <c r="N890" i="6"/>
  <c r="M890" i="6"/>
  <c r="M879" i="6"/>
  <c r="N879" i="6"/>
  <c r="N334" i="6"/>
  <c r="M334" i="6"/>
  <c r="N310" i="6"/>
  <c r="M310" i="6"/>
  <c r="N274" i="6"/>
  <c r="Q274" i="6" s="1"/>
  <c r="U274" i="6" s="1"/>
  <c r="M274" i="6"/>
  <c r="R1621" i="6"/>
  <c r="S1621" i="6" s="1"/>
  <c r="T1621" i="6" s="1"/>
  <c r="P1621" i="6"/>
  <c r="P214" i="6"/>
  <c r="Q214" i="6" s="1"/>
  <c r="U214" i="6" s="1"/>
  <c r="R214" i="6"/>
  <c r="S214" i="6" s="1"/>
  <c r="T214" i="6" s="1"/>
  <c r="R191" i="6"/>
  <c r="S191" i="6" s="1"/>
  <c r="T191" i="6" s="1"/>
  <c r="P191" i="6"/>
  <c r="N960" i="6"/>
  <c r="M960" i="6"/>
  <c r="N464" i="6"/>
  <c r="M464" i="6"/>
  <c r="R1147" i="6"/>
  <c r="S1147" i="6" s="1"/>
  <c r="T1147" i="6" s="1"/>
  <c r="P203" i="6"/>
  <c r="P1551" i="6"/>
  <c r="H59" i="23"/>
  <c r="R250" i="6"/>
  <c r="S250" i="6" s="1"/>
  <c r="T250" i="6" s="1"/>
  <c r="R1189" i="6"/>
  <c r="S1189" i="6" s="1"/>
  <c r="T1189" i="6" s="1"/>
  <c r="N1054" i="6"/>
  <c r="M1054" i="6"/>
  <c r="N1018" i="6"/>
  <c r="Q1018" i="6" s="1"/>
  <c r="U1018" i="6" s="1"/>
  <c r="M1018" i="6"/>
  <c r="M982" i="6"/>
  <c r="N982" i="6"/>
  <c r="R238" i="6"/>
  <c r="S238" i="6" s="1"/>
  <c r="T238" i="6" s="1"/>
  <c r="P993" i="6"/>
  <c r="P310" i="6"/>
  <c r="R1224" i="6"/>
  <c r="S1224" i="6" s="1"/>
  <c r="T1224" i="6" s="1"/>
  <c r="P1224" i="6"/>
  <c r="P546" i="6"/>
  <c r="R546" i="6"/>
  <c r="S546" i="6" s="1"/>
  <c r="T546" i="6" s="1"/>
  <c r="R510" i="6"/>
  <c r="S510" i="6" s="1"/>
  <c r="T510" i="6" s="1"/>
  <c r="P510" i="6"/>
  <c r="P498" i="6"/>
  <c r="R438" i="6"/>
  <c r="S438" i="6" s="1"/>
  <c r="T438" i="6" s="1"/>
  <c r="P438" i="6"/>
  <c r="R355" i="6"/>
  <c r="S355" i="6" s="1"/>
  <c r="T355" i="6" s="1"/>
  <c r="P355" i="6"/>
  <c r="Q355" i="6" s="1"/>
  <c r="U355" i="6" s="1"/>
  <c r="P319" i="6"/>
  <c r="R319" i="6"/>
  <c r="S319" i="6" s="1"/>
  <c r="T319" i="6" s="1"/>
  <c r="N1089" i="6"/>
  <c r="M1089" i="6"/>
  <c r="M485" i="6"/>
  <c r="N485" i="6"/>
  <c r="D46" i="23"/>
  <c r="I26" i="23"/>
  <c r="H13" i="23"/>
  <c r="M8" i="23"/>
  <c r="N37" i="23"/>
  <c r="C45" i="23"/>
  <c r="J29" i="23"/>
  <c r="C16" i="23"/>
  <c r="J23" i="23"/>
  <c r="N22" i="23"/>
  <c r="D15" i="23"/>
  <c r="D56" i="23"/>
  <c r="H37" i="23"/>
  <c r="H11" i="23"/>
  <c r="F21" i="23"/>
  <c r="L43" i="23"/>
  <c r="C12" i="23"/>
  <c r="J45" i="23"/>
  <c r="C17" i="23"/>
  <c r="J43" i="23"/>
  <c r="D42" i="23"/>
  <c r="D40" i="23"/>
  <c r="H26" i="23"/>
  <c r="H53" i="23"/>
  <c r="J13" i="23"/>
  <c r="J47" i="23"/>
  <c r="J59" i="23"/>
  <c r="C29" i="23"/>
  <c r="N40" i="23"/>
  <c r="J34" i="23"/>
  <c r="G24" i="23"/>
  <c r="D31" i="23"/>
  <c r="H45" i="23"/>
  <c r="H20" i="23"/>
  <c r="C33" i="23"/>
  <c r="G15" i="23"/>
  <c r="C50" i="23"/>
  <c r="J8" i="23"/>
  <c r="C35" i="22"/>
  <c r="L40" i="23"/>
  <c r="N14" i="23"/>
  <c r="J31" i="23"/>
  <c r="K34" i="23"/>
  <c r="K39" i="23"/>
  <c r="M9" i="23"/>
  <c r="I55" i="23"/>
  <c r="D22" i="23"/>
  <c r="I12" i="23"/>
  <c r="H18" i="23"/>
  <c r="M46" i="23"/>
  <c r="C27" i="22"/>
  <c r="N12" i="23"/>
  <c r="J26" i="23"/>
  <c r="N8" i="23"/>
  <c r="C44" i="23"/>
  <c r="L44" i="23"/>
  <c r="N48" i="23"/>
  <c r="C55" i="23"/>
  <c r="R707" i="6"/>
  <c r="S707" i="6" s="1"/>
  <c r="T707" i="6" s="1"/>
  <c r="P707" i="6"/>
  <c r="R683" i="6"/>
  <c r="S683" i="6" s="1"/>
  <c r="T683" i="6" s="1"/>
  <c r="P683" i="6"/>
  <c r="P615" i="6"/>
  <c r="R615" i="6"/>
  <c r="S615" i="6" s="1"/>
  <c r="T615" i="6" s="1"/>
  <c r="P604" i="6"/>
  <c r="R604" i="6"/>
  <c r="S604" i="6" s="1"/>
  <c r="T604" i="6" s="1"/>
  <c r="N578" i="6"/>
  <c r="M578" i="6"/>
  <c r="N555" i="6"/>
  <c r="M555" i="6"/>
  <c r="N519" i="6"/>
  <c r="Q519" i="6" s="1"/>
  <c r="U519" i="6" s="1"/>
  <c r="M519" i="6"/>
  <c r="P801" i="6"/>
  <c r="S801" i="6"/>
  <c r="T801" i="6" s="1"/>
  <c r="R682" i="6"/>
  <c r="S682" i="6" s="1"/>
  <c r="T682" i="6" s="1"/>
  <c r="P682" i="6"/>
  <c r="Q682" i="6" s="1"/>
  <c r="U682" i="6" s="1"/>
  <c r="R614" i="6"/>
  <c r="S614" i="6" s="1"/>
  <c r="T614" i="6" s="1"/>
  <c r="P614" i="6"/>
  <c r="N649" i="6"/>
  <c r="M649" i="6"/>
  <c r="N613" i="6"/>
  <c r="M613" i="6"/>
  <c r="R1289" i="6"/>
  <c r="S1289" i="6" s="1"/>
  <c r="T1289" i="6" s="1"/>
  <c r="P1289" i="6"/>
  <c r="N1550" i="6"/>
  <c r="M1550" i="6"/>
  <c r="N1538" i="6"/>
  <c r="M1538" i="6"/>
  <c r="N1514" i="6"/>
  <c r="M1514" i="6"/>
  <c r="N1491" i="6"/>
  <c r="M1491" i="6"/>
  <c r="M1443" i="6"/>
  <c r="N1443" i="6"/>
  <c r="N1407" i="6"/>
  <c r="Q1407" i="6" s="1"/>
  <c r="U1407" i="6" s="1"/>
  <c r="M1407" i="6"/>
  <c r="M1395" i="6"/>
  <c r="N1395" i="6"/>
  <c r="Q1395" i="6" s="1"/>
  <c r="U1395" i="6" s="1"/>
  <c r="M1348" i="6"/>
  <c r="N1348" i="6"/>
  <c r="N1288" i="6"/>
  <c r="M1288" i="6"/>
  <c r="N1276" i="6"/>
  <c r="M1276" i="6"/>
  <c r="M672" i="6"/>
  <c r="N672" i="6"/>
  <c r="Q672" i="6" s="1"/>
  <c r="U672" i="6" s="1"/>
  <c r="M695" i="6"/>
  <c r="N695" i="6"/>
  <c r="R574" i="6"/>
  <c r="S574" i="6" s="1"/>
  <c r="T574" i="6" s="1"/>
  <c r="R1065" i="6"/>
  <c r="S1065" i="6" s="1"/>
  <c r="T1065" i="6" s="1"/>
  <c r="P1065" i="6"/>
  <c r="Q1065" i="6" s="1"/>
  <c r="U1065" i="6" s="1"/>
  <c r="P1041" i="6"/>
  <c r="R1041" i="6"/>
  <c r="S1041" i="6" s="1"/>
  <c r="T1041" i="6" s="1"/>
  <c r="R973" i="6"/>
  <c r="S973" i="6" s="1"/>
  <c r="T973" i="6" s="1"/>
  <c r="P973" i="6"/>
  <c r="J701" i="6"/>
  <c r="O641" i="6"/>
  <c r="O617" i="6"/>
  <c r="J617" i="6"/>
  <c r="O497" i="6"/>
  <c r="Q497" i="6" s="1"/>
  <c r="U497" i="6" s="1"/>
  <c r="J497" i="6"/>
  <c r="O425" i="6"/>
  <c r="J425" i="6"/>
  <c r="J401" i="6"/>
  <c r="O401" i="6"/>
  <c r="N1631" i="6"/>
  <c r="Q1631" i="6" s="1"/>
  <c r="U1631" i="6" s="1"/>
  <c r="M1631" i="6"/>
  <c r="N1619" i="6"/>
  <c r="M1619" i="6"/>
  <c r="M1571" i="6"/>
  <c r="N1571" i="6"/>
  <c r="Q1571" i="6" s="1"/>
  <c r="U1571" i="6" s="1"/>
  <c r="M706" i="6"/>
  <c r="N706" i="6"/>
  <c r="Q706" i="6" s="1"/>
  <c r="U706" i="6" s="1"/>
  <c r="J153" i="6"/>
  <c r="Q294" i="6"/>
  <c r="U294" i="6" s="1"/>
  <c r="Q826" i="6"/>
  <c r="U826" i="6" s="1"/>
  <c r="P1417" i="6"/>
  <c r="R1417" i="6"/>
  <c r="S1417" i="6" s="1"/>
  <c r="T1417" i="6" s="1"/>
  <c r="P1500" i="6"/>
  <c r="R1500" i="6"/>
  <c r="S1500" i="6" s="1"/>
  <c r="T1500" i="6" s="1"/>
  <c r="P1620" i="6"/>
  <c r="R1620" i="6"/>
  <c r="S1620" i="6" s="1"/>
  <c r="T1620" i="6" s="1"/>
  <c r="P1134" i="6"/>
  <c r="Q1134" i="6" s="1"/>
  <c r="U1134" i="6" s="1"/>
  <c r="P1111" i="6"/>
  <c r="R1111" i="6"/>
  <c r="S1111" i="6" s="1"/>
  <c r="T1111" i="6" s="1"/>
  <c r="R1040" i="6"/>
  <c r="S1040" i="6" s="1"/>
  <c r="T1040" i="6" s="1"/>
  <c r="P1040" i="6"/>
  <c r="P925" i="6"/>
  <c r="R765" i="6"/>
  <c r="S765" i="6" s="1"/>
  <c r="T765" i="6" s="1"/>
  <c r="P765" i="6"/>
  <c r="P391" i="6"/>
  <c r="Q391" i="6" s="1"/>
  <c r="R391" i="6"/>
  <c r="S391" i="6" s="1"/>
  <c r="T391" i="6" s="1"/>
  <c r="R273" i="6"/>
  <c r="S273" i="6" s="1"/>
  <c r="T273" i="6" s="1"/>
  <c r="P273" i="6"/>
  <c r="P179" i="6"/>
  <c r="Q179" i="6" s="1"/>
  <c r="U179" i="6" s="1"/>
  <c r="R179" i="6"/>
  <c r="S179" i="6" s="1"/>
  <c r="T179" i="6" s="1"/>
  <c r="J748" i="6"/>
  <c r="O748" i="6"/>
  <c r="Q748" i="6" s="1"/>
  <c r="U748" i="6" s="1"/>
  <c r="N1253" i="6"/>
  <c r="M1253" i="6"/>
  <c r="R1123" i="6"/>
  <c r="S1123" i="6" s="1"/>
  <c r="T1123" i="6" s="1"/>
  <c r="J36" i="6"/>
  <c r="M36" i="6" s="1"/>
  <c r="O36" i="6"/>
  <c r="P379" i="6"/>
  <c r="Q379" i="6" s="1"/>
  <c r="U379" i="6" s="1"/>
  <c r="J118" i="6"/>
  <c r="M118" i="6" s="1"/>
  <c r="N55" i="6"/>
  <c r="M55" i="6"/>
  <c r="O736" i="6"/>
  <c r="R777" i="6"/>
  <c r="S777" i="6" s="1"/>
  <c r="T777" i="6" s="1"/>
  <c r="N1230" i="6"/>
  <c r="R403" i="6"/>
  <c r="S403" i="6" s="1"/>
  <c r="T403" i="6" s="1"/>
  <c r="J759" i="6"/>
  <c r="R1597" i="6"/>
  <c r="S1597" i="6" s="1"/>
  <c r="T1597" i="6" s="1"/>
  <c r="P1597" i="6"/>
  <c r="J725" i="6"/>
  <c r="O665" i="6"/>
  <c r="O605" i="6"/>
  <c r="J605" i="6"/>
  <c r="O365" i="6"/>
  <c r="J365" i="6"/>
  <c r="J329" i="6"/>
  <c r="O329" i="6"/>
  <c r="O247" i="6"/>
  <c r="J247" i="6"/>
  <c r="O235" i="6"/>
  <c r="J235" i="6"/>
  <c r="J223" i="6"/>
  <c r="O223" i="6"/>
  <c r="M1172" i="6"/>
  <c r="N1172" i="6"/>
  <c r="Q771" i="6"/>
  <c r="U771" i="6" s="1"/>
  <c r="M285" i="6"/>
  <c r="N285" i="6"/>
  <c r="Q285" i="6" s="1"/>
  <c r="U285" i="6" s="1"/>
  <c r="P110" i="6"/>
  <c r="R110" i="6"/>
  <c r="S110" i="6" s="1"/>
  <c r="T110" i="6" s="1"/>
  <c r="P495" i="6"/>
  <c r="Q495" i="6" s="1"/>
  <c r="U495" i="6" s="1"/>
  <c r="R495" i="6"/>
  <c r="S495" i="6" s="1"/>
  <c r="T495" i="6" s="1"/>
  <c r="R459" i="6"/>
  <c r="S459" i="6" s="1"/>
  <c r="T459" i="6" s="1"/>
  <c r="P459" i="6"/>
  <c r="O1057" i="6"/>
  <c r="J1057" i="6"/>
  <c r="O925" i="6"/>
  <c r="O889" i="6"/>
  <c r="O793" i="6"/>
  <c r="Q793" i="6" s="1"/>
  <c r="U793" i="6" s="1"/>
  <c r="N380" i="6"/>
  <c r="M380" i="6"/>
  <c r="B10" i="22"/>
  <c r="I22" i="23"/>
  <c r="E53" i="23"/>
  <c r="H32" i="23"/>
  <c r="M34" i="23"/>
  <c r="M12" i="23"/>
  <c r="G32" i="23"/>
  <c r="D48" i="23"/>
  <c r="K19" i="23"/>
  <c r="K16" i="23"/>
  <c r="H40" i="23"/>
  <c r="M36" i="23"/>
  <c r="D24" i="23"/>
  <c r="D19" i="23"/>
  <c r="K29" i="23"/>
  <c r="E18" i="23"/>
  <c r="H23" i="23"/>
  <c r="H14" i="23"/>
  <c r="M58" i="23"/>
  <c r="M52" i="23"/>
  <c r="L34" i="23"/>
  <c r="L32" i="23"/>
  <c r="C32" i="23"/>
  <c r="I16" i="23"/>
  <c r="N11" i="23"/>
  <c r="N23" i="23"/>
  <c r="D9" i="23"/>
  <c r="I24" i="23"/>
  <c r="C15" i="22"/>
  <c r="K58" i="23"/>
  <c r="E42" i="23"/>
  <c r="H33" i="23"/>
  <c r="H44" i="23"/>
  <c r="M24" i="23"/>
  <c r="M38" i="23"/>
  <c r="M10" i="23"/>
  <c r="G41" i="23"/>
  <c r="G12" i="23"/>
  <c r="K31" i="23"/>
  <c r="O1618" i="6"/>
  <c r="J1618" i="6"/>
  <c r="O1522" i="6"/>
  <c r="J1522" i="6"/>
  <c r="J1426" i="6"/>
  <c r="O1426" i="6"/>
  <c r="J1296" i="6"/>
  <c r="O1296" i="6"/>
  <c r="Q1296" i="6" s="1"/>
  <c r="U1296" i="6" s="1"/>
  <c r="N528" i="6"/>
  <c r="Q528" i="6" s="1"/>
  <c r="U528" i="6" s="1"/>
  <c r="M528" i="6"/>
  <c r="P1385" i="6"/>
  <c r="R1385" i="6"/>
  <c r="S1385" i="6" s="1"/>
  <c r="T1385" i="6" s="1"/>
  <c r="P1185" i="6"/>
  <c r="R1185" i="6"/>
  <c r="S1185" i="6" s="1"/>
  <c r="T1185" i="6" s="1"/>
  <c r="P761" i="6"/>
  <c r="R761" i="6"/>
  <c r="S761" i="6" s="1"/>
  <c r="T761" i="6" s="1"/>
  <c r="R69" i="6"/>
  <c r="P69" i="6"/>
  <c r="N1308" i="6"/>
  <c r="Q1308" i="6" s="1"/>
  <c r="U1308" i="6" s="1"/>
  <c r="M1308" i="6"/>
  <c r="N563" i="6"/>
  <c r="M563" i="6"/>
  <c r="R1263" i="6"/>
  <c r="S1263" i="6" s="1"/>
  <c r="T1263" i="6" s="1"/>
  <c r="P1263" i="6"/>
  <c r="Q1263" i="6" s="1"/>
  <c r="U1263" i="6" s="1"/>
  <c r="R598" i="6"/>
  <c r="S598" i="6" s="1"/>
  <c r="T598" i="6" s="1"/>
  <c r="P598" i="6"/>
  <c r="M1509" i="6"/>
  <c r="N1509" i="6"/>
  <c r="N1498" i="6"/>
  <c r="M1498" i="6"/>
  <c r="N1414" i="6"/>
  <c r="M1414" i="6"/>
  <c r="N620" i="6"/>
  <c r="M620" i="6"/>
  <c r="O55" i="6"/>
  <c r="P966" i="6"/>
  <c r="Q966" i="6" s="1"/>
  <c r="U966" i="6" s="1"/>
  <c r="R966" i="6"/>
  <c r="S966" i="6" s="1"/>
  <c r="T966" i="6" s="1"/>
  <c r="P527" i="6"/>
  <c r="N712" i="6"/>
  <c r="Q712" i="6" s="1"/>
  <c r="U712" i="6" s="1"/>
  <c r="M712" i="6"/>
  <c r="N700" i="6"/>
  <c r="M700" i="6"/>
  <c r="N654" i="6"/>
  <c r="M654" i="6"/>
  <c r="M643" i="6"/>
  <c r="N643" i="6"/>
  <c r="P965" i="6"/>
  <c r="Q965" i="6" s="1"/>
  <c r="U965" i="6" s="1"/>
  <c r="R965" i="6"/>
  <c r="S965" i="6" s="1"/>
  <c r="T965" i="6" s="1"/>
  <c r="P243" i="6"/>
  <c r="R243" i="6"/>
  <c r="S243" i="6" s="1"/>
  <c r="T243" i="6" s="1"/>
  <c r="M1612" i="6"/>
  <c r="N1612" i="6"/>
  <c r="N779" i="6"/>
  <c r="M779" i="6"/>
  <c r="N723" i="6"/>
  <c r="M723" i="6"/>
  <c r="R698" i="6"/>
  <c r="S698" i="6" s="1"/>
  <c r="T698" i="6" s="1"/>
  <c r="P698" i="6"/>
  <c r="M813" i="6"/>
  <c r="N813" i="6"/>
  <c r="I52" i="23"/>
  <c r="I37" i="23"/>
  <c r="D16" i="23"/>
  <c r="D30" i="23"/>
  <c r="G56" i="23"/>
  <c r="P1043" i="6"/>
  <c r="R1043" i="6"/>
  <c r="S1043" i="6" s="1"/>
  <c r="T1043" i="6" s="1"/>
  <c r="P895" i="6"/>
  <c r="R895" i="6"/>
  <c r="S895" i="6" s="1"/>
  <c r="T895" i="6" s="1"/>
  <c r="P721" i="6"/>
  <c r="R721" i="6"/>
  <c r="S721" i="6" s="1"/>
  <c r="T721" i="6" s="1"/>
  <c r="R651" i="6"/>
  <c r="S651" i="6" s="1"/>
  <c r="T651" i="6" s="1"/>
  <c r="P651" i="6"/>
  <c r="N905" i="6"/>
  <c r="M905" i="6"/>
  <c r="P1324" i="6"/>
  <c r="R1324" i="6"/>
  <c r="S1324" i="6" s="1"/>
  <c r="T1324" i="6" s="1"/>
  <c r="P639" i="6"/>
  <c r="R639" i="6"/>
  <c r="S639" i="6" s="1"/>
  <c r="T639" i="6" s="1"/>
  <c r="J178" i="6"/>
  <c r="O178" i="6"/>
  <c r="N1149" i="6"/>
  <c r="M1149" i="6"/>
  <c r="R1484" i="6"/>
  <c r="S1484" i="6" s="1"/>
  <c r="T1484" i="6" s="1"/>
  <c r="P1418" i="6"/>
  <c r="P1197" i="6"/>
  <c r="R1197" i="6"/>
  <c r="S1197" i="6" s="1"/>
  <c r="T1197" i="6" s="1"/>
  <c r="R1087" i="6"/>
  <c r="S1087" i="6" s="1"/>
  <c r="T1087" i="6" s="1"/>
  <c r="P1087" i="6"/>
  <c r="P663" i="6"/>
  <c r="R663" i="6"/>
  <c r="S663" i="6" s="1"/>
  <c r="T663" i="6" s="1"/>
  <c r="P25" i="6"/>
  <c r="P889" i="6"/>
  <c r="P1054" i="6"/>
  <c r="R1054" i="6"/>
  <c r="S1054" i="6" s="1"/>
  <c r="T1054" i="6" s="1"/>
  <c r="R942" i="6"/>
  <c r="S942" i="6" s="1"/>
  <c r="T942" i="6" s="1"/>
  <c r="P942" i="6"/>
  <c r="Q942" i="6" s="1"/>
  <c r="U942" i="6" s="1"/>
  <c r="R642" i="6"/>
  <c r="S642" i="6" s="1"/>
  <c r="T642" i="6" s="1"/>
  <c r="P642" i="6"/>
  <c r="Q642" i="6" s="1"/>
  <c r="U642" i="6" s="1"/>
  <c r="R565" i="6"/>
  <c r="S565" i="6" s="1"/>
  <c r="T565" i="6" s="1"/>
  <c r="P565" i="6"/>
  <c r="P1252" i="6"/>
  <c r="P553" i="6"/>
  <c r="Q553" i="6" s="1"/>
  <c r="U553" i="6" s="1"/>
  <c r="Q1367" i="6"/>
  <c r="U1367" i="6" s="1"/>
  <c r="R109" i="6"/>
  <c r="S109" i="6" s="1"/>
  <c r="T109" i="6" s="1"/>
  <c r="P996" i="6"/>
  <c r="R1550" i="6"/>
  <c r="S1550" i="6" s="1"/>
  <c r="T1550" i="6" s="1"/>
  <c r="Q1243" i="6"/>
  <c r="U1243" i="6" s="1"/>
  <c r="P1007" i="6"/>
  <c r="R1407" i="6"/>
  <c r="S1407" i="6" s="1"/>
  <c r="T1407" i="6" s="1"/>
  <c r="R1614" i="6"/>
  <c r="S1614" i="6" s="1"/>
  <c r="T1614" i="6" s="1"/>
  <c r="P151" i="6"/>
  <c r="Q151" i="6" s="1"/>
  <c r="U151" i="6" s="1"/>
  <c r="P1497" i="6"/>
  <c r="Q1497" i="6" s="1"/>
  <c r="U1497" i="6" s="1"/>
  <c r="R1497" i="6"/>
  <c r="S1497" i="6" s="1"/>
  <c r="T1497" i="6" s="1"/>
  <c r="P643" i="6"/>
  <c r="R643" i="6"/>
  <c r="S643" i="6" s="1"/>
  <c r="T643" i="6" s="1"/>
  <c r="R483" i="6"/>
  <c r="S483" i="6" s="1"/>
  <c r="T483" i="6" s="1"/>
  <c r="P483" i="6"/>
  <c r="Q483" i="6" s="1"/>
  <c r="U483" i="6" s="1"/>
  <c r="P471" i="6"/>
  <c r="Q471" i="6" s="1"/>
  <c r="U471" i="6" s="1"/>
  <c r="R471" i="6"/>
  <c r="S471" i="6" s="1"/>
  <c r="T471" i="6" s="1"/>
  <c r="Q257" i="6"/>
  <c r="U257" i="6" s="1"/>
  <c r="R246" i="6"/>
  <c r="S246" i="6" s="1"/>
  <c r="T246" i="6" s="1"/>
  <c r="P1428" i="6"/>
  <c r="R1428" i="6"/>
  <c r="S1428" i="6" s="1"/>
  <c r="T1428" i="6" s="1"/>
  <c r="R1230" i="6"/>
  <c r="S1230" i="6" s="1"/>
  <c r="T1230" i="6" s="1"/>
  <c r="R552" i="6"/>
  <c r="S552" i="6" s="1"/>
  <c r="T552" i="6" s="1"/>
  <c r="P552" i="6"/>
  <c r="Q552" i="6" s="1"/>
  <c r="U552" i="6" s="1"/>
  <c r="Q987" i="6"/>
  <c r="U987" i="6" s="1"/>
  <c r="J115" i="6"/>
  <c r="S115" i="6" s="1"/>
  <c r="T115" i="6" s="1"/>
  <c r="P667" i="6"/>
  <c r="J73" i="6"/>
  <c r="O111" i="6"/>
  <c r="R1605" i="6"/>
  <c r="S1605" i="6" s="1"/>
  <c r="T1605" i="6" s="1"/>
  <c r="P1605" i="6"/>
  <c r="P1593" i="6"/>
  <c r="R1593" i="6"/>
  <c r="S1593" i="6" s="1"/>
  <c r="T1593" i="6" s="1"/>
  <c r="P974" i="6"/>
  <c r="Q974" i="6" s="1"/>
  <c r="U974" i="6" s="1"/>
  <c r="R974" i="6"/>
  <c r="S974" i="6" s="1"/>
  <c r="T974" i="6" s="1"/>
  <c r="P432" i="6"/>
  <c r="Q432" i="6" s="1"/>
  <c r="U432" i="6" s="1"/>
  <c r="R432" i="6"/>
  <c r="S432" i="6" s="1"/>
  <c r="T432" i="6" s="1"/>
  <c r="P1514" i="6"/>
  <c r="R1050" i="6"/>
  <c r="S1050" i="6" s="1"/>
  <c r="T1050" i="6" s="1"/>
  <c r="P1050" i="6"/>
  <c r="R659" i="6"/>
  <c r="S659" i="6" s="1"/>
  <c r="T659" i="6" s="1"/>
  <c r="P659" i="6"/>
  <c r="Q659" i="6" s="1"/>
  <c r="U659" i="6" s="1"/>
  <c r="P386" i="6"/>
  <c r="Q386" i="6" s="1"/>
  <c r="U386" i="6" s="1"/>
  <c r="R386" i="6"/>
  <c r="S386" i="6" s="1"/>
  <c r="T386" i="6" s="1"/>
  <c r="P462" i="6"/>
  <c r="R938" i="6"/>
  <c r="S938" i="6" s="1"/>
  <c r="T938" i="6" s="1"/>
  <c r="P938" i="6"/>
  <c r="Q938" i="6" s="1"/>
  <c r="U938" i="6" s="1"/>
  <c r="P829" i="6"/>
  <c r="H38" i="23"/>
  <c r="H55" i="23"/>
  <c r="H54" i="23"/>
  <c r="H10" i="23"/>
  <c r="H52" i="23"/>
  <c r="H41" i="23"/>
  <c r="H39" i="23"/>
  <c r="P782" i="6"/>
  <c r="R782" i="6"/>
  <c r="S782" i="6" s="1"/>
  <c r="T782" i="6" s="1"/>
  <c r="P464" i="6"/>
  <c r="R464" i="6"/>
  <c r="S464" i="6" s="1"/>
  <c r="T464" i="6" s="1"/>
  <c r="G55" i="23"/>
  <c r="D57" i="23"/>
  <c r="D51" i="23"/>
  <c r="D20" i="23"/>
  <c r="D59" i="23"/>
  <c r="I46" i="23"/>
  <c r="I17" i="23"/>
  <c r="I41" i="23"/>
  <c r="K22" i="23"/>
  <c r="K27" i="23"/>
  <c r="K50" i="23"/>
  <c r="E36" i="23"/>
  <c r="G18" i="23"/>
  <c r="G43" i="23"/>
  <c r="D7" i="23"/>
  <c r="D23" i="23"/>
  <c r="D26" i="23"/>
  <c r="I39" i="23"/>
  <c r="I35" i="23"/>
  <c r="I20" i="23"/>
  <c r="I25" i="23"/>
  <c r="K55" i="23"/>
  <c r="B17" i="22"/>
  <c r="K36" i="23"/>
  <c r="E35" i="23"/>
  <c r="P882" i="6"/>
  <c r="Q882" i="6" s="1"/>
  <c r="U882" i="6" s="1"/>
  <c r="R882" i="6"/>
  <c r="S882" i="6" s="1"/>
  <c r="T882" i="6" s="1"/>
  <c r="P440" i="6"/>
  <c r="Q440" i="6" s="1"/>
  <c r="U440" i="6" s="1"/>
  <c r="R440" i="6"/>
  <c r="S440" i="6" s="1"/>
  <c r="T440" i="6" s="1"/>
  <c r="Q1091" i="6"/>
  <c r="U1091" i="6" s="1"/>
  <c r="N96" i="6"/>
  <c r="O96" i="6"/>
  <c r="R802" i="6"/>
  <c r="S802" i="6" s="1"/>
  <c r="T802" i="6" s="1"/>
  <c r="P802" i="6"/>
  <c r="P624" i="6"/>
  <c r="R624" i="6"/>
  <c r="S624" i="6" s="1"/>
  <c r="T624" i="6" s="1"/>
  <c r="P60" i="6"/>
  <c r="R60" i="6"/>
  <c r="R580" i="6"/>
  <c r="S580" i="6" s="1"/>
  <c r="T580" i="6" s="1"/>
  <c r="P837" i="6"/>
  <c r="R837" i="6"/>
  <c r="S837" i="6" s="1"/>
  <c r="T837" i="6" s="1"/>
  <c r="Q812" i="6"/>
  <c r="U812" i="6" s="1"/>
  <c r="P1508" i="6"/>
  <c r="Q1508" i="6" s="1"/>
  <c r="U1508" i="6" s="1"/>
  <c r="R1508" i="6"/>
  <c r="S1508" i="6" s="1"/>
  <c r="T1508" i="6" s="1"/>
  <c r="G36" i="23"/>
  <c r="J119" i="6"/>
  <c r="P1372" i="6"/>
  <c r="O1577" i="6"/>
  <c r="G48" i="23"/>
  <c r="F35" i="23"/>
  <c r="I1742" i="6"/>
  <c r="D1742" i="6"/>
  <c r="D1744" i="6" s="1"/>
  <c r="P1633" i="6"/>
  <c r="R1633" i="6"/>
  <c r="S1633" i="6" s="1"/>
  <c r="T1633" i="6" s="1"/>
  <c r="P1552" i="6"/>
  <c r="R1552" i="6"/>
  <c r="S1552" i="6" s="1"/>
  <c r="T1552" i="6" s="1"/>
  <c r="P1199" i="6"/>
  <c r="R1199" i="6"/>
  <c r="S1199" i="6" s="1"/>
  <c r="T1199" i="6" s="1"/>
  <c r="J78" i="6"/>
  <c r="M78" i="6" s="1"/>
  <c r="J21" i="6"/>
  <c r="M21" i="6" s="1"/>
  <c r="O88" i="6"/>
  <c r="J88" i="6"/>
  <c r="M88" i="6" s="1"/>
  <c r="O118" i="6"/>
  <c r="U815" i="6"/>
  <c r="Q525" i="6"/>
  <c r="U525" i="6" s="1"/>
  <c r="J82" i="6"/>
  <c r="M82" i="6" s="1"/>
  <c r="Q1051" i="6"/>
  <c r="U1051" i="6" s="1"/>
  <c r="P1400" i="6"/>
  <c r="R1400" i="6"/>
  <c r="S1400" i="6" s="1"/>
  <c r="T1400" i="6" s="1"/>
  <c r="P1237" i="6"/>
  <c r="R1237" i="6"/>
  <c r="S1237" i="6" s="1"/>
  <c r="T1237" i="6" s="1"/>
  <c r="P1492" i="6"/>
  <c r="Q1492" i="6" s="1"/>
  <c r="U1492" i="6" s="1"/>
  <c r="R1492" i="6"/>
  <c r="S1492" i="6" s="1"/>
  <c r="T1492" i="6" s="1"/>
  <c r="R915" i="6"/>
  <c r="S915" i="6" s="1"/>
  <c r="T915" i="6" s="1"/>
  <c r="P915" i="6"/>
  <c r="Q915" i="6" s="1"/>
  <c r="U915" i="6" s="1"/>
  <c r="R1638" i="6"/>
  <c r="S1638" i="6" s="1"/>
  <c r="T1638" i="6" s="1"/>
  <c r="P1537" i="6"/>
  <c r="R1537" i="6"/>
  <c r="S1537" i="6" s="1"/>
  <c r="T1537" i="6" s="1"/>
  <c r="P1357" i="6"/>
  <c r="R1357" i="6"/>
  <c r="S1357" i="6" s="1"/>
  <c r="T1357" i="6" s="1"/>
  <c r="P1396" i="6"/>
  <c r="R1396" i="6"/>
  <c r="S1396" i="6" s="1"/>
  <c r="T1396" i="6" s="1"/>
  <c r="R1288" i="6"/>
  <c r="S1288" i="6" s="1"/>
  <c r="T1288" i="6" s="1"/>
  <c r="P1288" i="6"/>
  <c r="R1617" i="6"/>
  <c r="S1617" i="6" s="1"/>
  <c r="T1617" i="6" s="1"/>
  <c r="P1617" i="6"/>
  <c r="Q1617" i="6" s="1"/>
  <c r="U1617" i="6" s="1"/>
  <c r="P1366" i="6"/>
  <c r="Q1366" i="6" s="1"/>
  <c r="U1366" i="6" s="1"/>
  <c r="P1422" i="6"/>
  <c r="P1365" i="6"/>
  <c r="R1365" i="6"/>
  <c r="S1365" i="6" s="1"/>
  <c r="T1365" i="6" s="1"/>
  <c r="R983" i="6"/>
  <c r="S983" i="6" s="1"/>
  <c r="T983" i="6" s="1"/>
  <c r="P983" i="6"/>
  <c r="Q983" i="6" s="1"/>
  <c r="U983" i="6" s="1"/>
  <c r="R1544" i="6"/>
  <c r="S1544" i="6" s="1"/>
  <c r="T1544" i="6" s="1"/>
  <c r="P1544" i="6"/>
  <c r="Q1544" i="6" s="1"/>
  <c r="U1544" i="6" s="1"/>
  <c r="P1393" i="6"/>
  <c r="R1393" i="6"/>
  <c r="S1393" i="6" s="1"/>
  <c r="T1393" i="6" s="1"/>
  <c r="R1533" i="6"/>
  <c r="S1533" i="6" s="1"/>
  <c r="T1533" i="6" s="1"/>
  <c r="P1533" i="6"/>
  <c r="P1421" i="6"/>
  <c r="P582" i="6"/>
  <c r="P1268" i="6"/>
  <c r="Q1268" i="6" s="1"/>
  <c r="U1268" i="6" s="1"/>
  <c r="R519" i="6"/>
  <c r="S519" i="6" s="1"/>
  <c r="T519" i="6" s="1"/>
  <c r="J1541" i="6"/>
  <c r="P658" i="6"/>
  <c r="R1637" i="6"/>
  <c r="S1637" i="6" s="1"/>
  <c r="T1637" i="6" s="1"/>
  <c r="R1517" i="6"/>
  <c r="S1517" i="6" s="1"/>
  <c r="T1517" i="6" s="1"/>
  <c r="G27" i="23"/>
  <c r="G8" i="23"/>
  <c r="C31" i="22"/>
  <c r="O1553" i="6"/>
  <c r="G7" i="23"/>
  <c r="G16" i="23"/>
  <c r="R1329" i="6"/>
  <c r="S1329" i="6" s="1"/>
  <c r="T1329" i="6" s="1"/>
  <c r="J1293" i="6"/>
  <c r="G37" i="23"/>
  <c r="G11" i="23"/>
  <c r="R977" i="6"/>
  <c r="S977" i="6" s="1"/>
  <c r="T977" i="6" s="1"/>
  <c r="R1465" i="6"/>
  <c r="S1465" i="6" s="1"/>
  <c r="T1465" i="6" s="1"/>
  <c r="P1565" i="6"/>
  <c r="R737" i="6"/>
  <c r="S737" i="6" s="1"/>
  <c r="T737" i="6" s="1"/>
  <c r="R1601" i="6"/>
  <c r="S1601" i="6" s="1"/>
  <c r="T1601" i="6" s="1"/>
  <c r="G46" i="23"/>
  <c r="G44" i="23"/>
  <c r="P1045" i="6"/>
  <c r="F22" i="23"/>
  <c r="G9" i="23"/>
  <c r="G17" i="23"/>
  <c r="P1209" i="6"/>
  <c r="Q1209" i="6" s="1"/>
  <c r="G39" i="23"/>
  <c r="R1429" i="6"/>
  <c r="S1429" i="6" s="1"/>
  <c r="T1429" i="6" s="1"/>
  <c r="R132" i="6"/>
  <c r="R108" i="6"/>
  <c r="J79" i="6"/>
  <c r="J93" i="6"/>
  <c r="S93" i="6" s="1"/>
  <c r="T93" i="6" s="1"/>
  <c r="O93" i="6"/>
  <c r="J29" i="6"/>
  <c r="M29" i="6" s="1"/>
  <c r="O29" i="6"/>
  <c r="I126" i="21"/>
  <c r="J126" i="21" s="1"/>
  <c r="I126" i="6" s="1"/>
  <c r="I194" i="21"/>
  <c r="J194" i="21" s="1"/>
  <c r="I482" i="21"/>
  <c r="J482" i="21" s="1"/>
  <c r="I750" i="21"/>
  <c r="J750" i="21"/>
  <c r="P958" i="6"/>
  <c r="R958" i="6"/>
  <c r="S958" i="6" s="1"/>
  <c r="T958" i="6" s="1"/>
  <c r="I803" i="21"/>
  <c r="J803" i="21" s="1"/>
  <c r="I841" i="21"/>
  <c r="J841" i="21"/>
  <c r="I1617" i="21"/>
  <c r="J1617" i="21" s="1"/>
  <c r="I1535" i="21"/>
  <c r="J1535" i="21"/>
  <c r="J24" i="6"/>
  <c r="O24" i="6"/>
  <c r="J94" i="6"/>
  <c r="N94" i="6" s="1"/>
  <c r="O94" i="6"/>
  <c r="O34" i="6"/>
  <c r="Q34" i="6" s="1"/>
  <c r="J34" i="6"/>
  <c r="M34" i="6" s="1"/>
  <c r="J104" i="6"/>
  <c r="N104" i="6" s="1"/>
  <c r="O100" i="6"/>
  <c r="J67" i="6"/>
  <c r="M67" i="6" s="1"/>
  <c r="O67" i="6"/>
  <c r="I200" i="21"/>
  <c r="J200" i="21" s="1"/>
  <c r="I211" i="21"/>
  <c r="J211" i="21" s="1"/>
  <c r="I220" i="21"/>
  <c r="J220" i="21"/>
  <c r="I463" i="21"/>
  <c r="J463" i="21" s="1"/>
  <c r="I467" i="21"/>
  <c r="J467" i="21"/>
  <c r="I613" i="21"/>
  <c r="J613" i="21" s="1"/>
  <c r="I829" i="21"/>
  <c r="J829" i="21"/>
  <c r="J74" i="6"/>
  <c r="J23" i="6"/>
  <c r="N23" i="6" s="1"/>
  <c r="O23" i="6"/>
  <c r="J7" i="6"/>
  <c r="M7" i="6" s="1"/>
  <c r="O7" i="6"/>
  <c r="O47" i="6"/>
  <c r="J47" i="6"/>
  <c r="N47" i="6" s="1"/>
  <c r="I336" i="21"/>
  <c r="J336" i="21" s="1"/>
  <c r="E57" i="23"/>
  <c r="E32" i="23"/>
  <c r="E40" i="23"/>
  <c r="E52" i="23"/>
  <c r="C11" i="22"/>
  <c r="E33" i="23"/>
  <c r="E11" i="23"/>
  <c r="E22" i="23"/>
  <c r="E43" i="23"/>
  <c r="E28" i="23"/>
  <c r="E58" i="23"/>
  <c r="E30" i="23"/>
  <c r="C29" i="22"/>
  <c r="E49" i="23"/>
  <c r="E14" i="23"/>
  <c r="E48" i="23"/>
  <c r="E23" i="23"/>
  <c r="E29" i="23"/>
  <c r="E50" i="23"/>
  <c r="E27" i="23"/>
  <c r="E34" i="23"/>
  <c r="E15" i="23"/>
  <c r="E9" i="23"/>
  <c r="E8" i="23"/>
  <c r="E13" i="23"/>
  <c r="E55" i="23"/>
  <c r="E12" i="23"/>
  <c r="E31" i="23"/>
  <c r="E25" i="23"/>
  <c r="E20" i="23"/>
  <c r="E47" i="23"/>
  <c r="E54" i="23"/>
  <c r="E37" i="23"/>
  <c r="E51" i="23"/>
  <c r="E44" i="23"/>
  <c r="E17" i="23"/>
  <c r="E24" i="23"/>
  <c r="E39" i="23"/>
  <c r="E26" i="23"/>
  <c r="E59" i="23"/>
  <c r="J25" i="6"/>
  <c r="S25" i="6" s="1"/>
  <c r="T25" i="6" s="1"/>
  <c r="O25" i="6"/>
  <c r="J45" i="6"/>
  <c r="M45" i="6" s="1"/>
  <c r="O45" i="6"/>
  <c r="I160" i="21"/>
  <c r="J160" i="21" s="1"/>
  <c r="I165" i="21"/>
  <c r="J165" i="21"/>
  <c r="I332" i="21"/>
  <c r="J332" i="21" s="1"/>
  <c r="O81" i="6"/>
  <c r="J37" i="6"/>
  <c r="N37" i="6" s="1"/>
  <c r="Q37" i="6" s="1"/>
  <c r="J38" i="21"/>
  <c r="I38" i="6" s="1"/>
  <c r="I183" i="21"/>
  <c r="J183" i="21" s="1"/>
  <c r="I9" i="21"/>
  <c r="J9" i="21" s="1"/>
  <c r="I9" i="6" s="1"/>
  <c r="J9" i="6" s="1"/>
  <c r="M9" i="6" s="1"/>
  <c r="F17" i="23"/>
  <c r="F15" i="23"/>
  <c r="F57" i="23"/>
  <c r="F49" i="23"/>
  <c r="F41" i="23"/>
  <c r="F45" i="23"/>
  <c r="F39" i="23"/>
  <c r="F34" i="23"/>
  <c r="F58" i="23"/>
  <c r="F59" i="23"/>
  <c r="F33" i="23"/>
  <c r="F51" i="23"/>
  <c r="C12" i="22"/>
  <c r="F7" i="23"/>
  <c r="F53" i="23"/>
  <c r="F37" i="23"/>
  <c r="F52" i="23"/>
  <c r="F18" i="23"/>
  <c r="F24" i="23"/>
  <c r="F54" i="23"/>
  <c r="F26" i="23"/>
  <c r="F11" i="23"/>
  <c r="B12" i="22"/>
  <c r="F16" i="23"/>
  <c r="F42" i="23"/>
  <c r="F43" i="23"/>
  <c r="F23" i="23"/>
  <c r="F46" i="23"/>
  <c r="F9" i="23"/>
  <c r="F28" i="23"/>
  <c r="F31" i="23"/>
  <c r="M56" i="6"/>
  <c r="I263" i="21"/>
  <c r="J263" i="21" s="1"/>
  <c r="J35" i="21"/>
  <c r="I35" i="6" s="1"/>
  <c r="I64" i="21"/>
  <c r="J64" i="21" s="1"/>
  <c r="I64" i="6" s="1"/>
  <c r="I10" i="21"/>
  <c r="J10" i="21"/>
  <c r="I10" i="6" s="1"/>
  <c r="O10" i="6" s="1"/>
  <c r="Q10" i="6" s="1"/>
  <c r="U10" i="6" s="1"/>
  <c r="I52" i="21"/>
  <c r="J52" i="21" s="1"/>
  <c r="I52" i="6" s="1"/>
  <c r="J26" i="6"/>
  <c r="M26" i="6" s="1"/>
  <c r="J40" i="21"/>
  <c r="I40" i="6" s="1"/>
  <c r="O40" i="6" s="1"/>
  <c r="J146" i="21"/>
  <c r="I314" i="21"/>
  <c r="J314" i="21"/>
  <c r="O91" i="6"/>
  <c r="J103" i="21"/>
  <c r="I103" i="6" s="1"/>
  <c r="O103" i="6" s="1"/>
  <c r="J178" i="21"/>
  <c r="I230" i="21"/>
  <c r="J230" i="21" s="1"/>
  <c r="I349" i="21"/>
  <c r="J349" i="21"/>
  <c r="I353" i="21"/>
  <c r="J353" i="21" s="1"/>
  <c r="J372" i="21"/>
  <c r="I384" i="21"/>
  <c r="J384" i="21" s="1"/>
  <c r="J442" i="21"/>
  <c r="J145" i="21"/>
  <c r="I161" i="21"/>
  <c r="J161" i="21" s="1"/>
  <c r="J289" i="21"/>
  <c r="J536" i="21"/>
  <c r="I268" i="21"/>
  <c r="J268" i="21" s="1"/>
  <c r="J475" i="21"/>
  <c r="I561" i="21"/>
  <c r="J561" i="21" s="1"/>
  <c r="J204" i="21"/>
  <c r="I386" i="21"/>
  <c r="J386" i="21"/>
  <c r="I566" i="21"/>
  <c r="J566" i="21" s="1"/>
  <c r="I105" i="21"/>
  <c r="J105" i="21" s="1"/>
  <c r="I105" i="6" s="1"/>
  <c r="I250" i="21"/>
  <c r="J250" i="21" s="1"/>
  <c r="I180" i="21"/>
  <c r="J180" i="21"/>
  <c r="I335" i="21"/>
  <c r="J335" i="21" s="1"/>
  <c r="J339" i="21"/>
  <c r="J428" i="21"/>
  <c r="J440" i="21"/>
  <c r="J510" i="21"/>
  <c r="I139" i="21"/>
  <c r="J139" i="21"/>
  <c r="I139" i="6" s="1"/>
  <c r="J139" i="6" s="1"/>
  <c r="M139" i="6" s="1"/>
  <c r="I209" i="21"/>
  <c r="J209" i="21" s="1"/>
  <c r="J212" i="21"/>
  <c r="I262" i="21"/>
  <c r="J262" i="21"/>
  <c r="I437" i="21"/>
  <c r="J437" i="21" s="1"/>
  <c r="J331" i="21"/>
  <c r="I507" i="21"/>
  <c r="J507" i="21" s="1"/>
  <c r="I519" i="21"/>
  <c r="J519" i="21" s="1"/>
  <c r="I429" i="21"/>
  <c r="J429" i="21" s="1"/>
  <c r="I726" i="21"/>
  <c r="J726" i="21"/>
  <c r="J290" i="21"/>
  <c r="J323" i="21"/>
  <c r="J340" i="21"/>
  <c r="J343" i="21"/>
  <c r="J364" i="21"/>
  <c r="J392" i="21"/>
  <c r="J448" i="21"/>
  <c r="J477" i="21"/>
  <c r="J581" i="21"/>
  <c r="I657" i="21"/>
  <c r="J657" i="21" s="1"/>
  <c r="I1572" i="21"/>
  <c r="J1572" i="21" s="1"/>
  <c r="J1549" i="21"/>
  <c r="J92" i="21"/>
  <c r="I92" i="6" s="1"/>
  <c r="O92" i="6" s="1"/>
  <c r="J113" i="21"/>
  <c r="I113" i="6"/>
  <c r="J138" i="21"/>
  <c r="I138" i="6" s="1"/>
  <c r="I747" i="21"/>
  <c r="J747" i="21"/>
  <c r="J575" i="21"/>
  <c r="I1620" i="21"/>
  <c r="J1620" i="21" s="1"/>
  <c r="J585" i="21"/>
  <c r="I622" i="21"/>
  <c r="J622" i="21" s="1"/>
  <c r="I756" i="21"/>
  <c r="J756" i="21"/>
  <c r="J800" i="21"/>
  <c r="I1307" i="21"/>
  <c r="J1307" i="21" s="1"/>
  <c r="J630" i="21"/>
  <c r="J721" i="21"/>
  <c r="J736" i="21"/>
  <c r="J555" i="21"/>
  <c r="J576" i="21"/>
  <c r="J797" i="21"/>
  <c r="I809" i="21"/>
  <c r="J809" i="21" s="1"/>
  <c r="J623" i="21"/>
  <c r="J848" i="21"/>
  <c r="I1521" i="21"/>
  <c r="J1521" i="21" s="1"/>
  <c r="I845" i="21"/>
  <c r="J845" i="21"/>
  <c r="I853" i="21"/>
  <c r="J853" i="21" s="1"/>
  <c r="I1569" i="21"/>
  <c r="J1569" i="21" s="1"/>
  <c r="I1505" i="21"/>
  <c r="J1505" i="21" s="1"/>
  <c r="I628" i="21"/>
  <c r="J628" i="21"/>
  <c r="I1524" i="21"/>
  <c r="J1524" i="21" s="1"/>
  <c r="I1481" i="21"/>
  <c r="J1481" i="21" s="1"/>
  <c r="I1370" i="21"/>
  <c r="J1370" i="21" s="1"/>
  <c r="I1351" i="21"/>
  <c r="J1351" i="21"/>
  <c r="I1009" i="21"/>
  <c r="J1009" i="21" s="1"/>
  <c r="J1427" i="21"/>
  <c r="I1409" i="21"/>
  <c r="J1409" i="21" s="1"/>
  <c r="J1334" i="21"/>
  <c r="I1330" i="21"/>
  <c r="J1330" i="21"/>
  <c r="J1212" i="21"/>
  <c r="I1133" i="21"/>
  <c r="J1133" i="21" s="1"/>
  <c r="J1485" i="21"/>
  <c r="J1473" i="21"/>
  <c r="I1462" i="21"/>
  <c r="J1462" i="21"/>
  <c r="J1451" i="21"/>
  <c r="J1438" i="21"/>
  <c r="J1355" i="21"/>
  <c r="J1251" i="21"/>
  <c r="J690" i="21"/>
  <c r="J712" i="21"/>
  <c r="J1509" i="21"/>
  <c r="I1484" i="21"/>
  <c r="J1484" i="21"/>
  <c r="J1466" i="21"/>
  <c r="I1450" i="21"/>
  <c r="J1450" i="21"/>
  <c r="I1354" i="21"/>
  <c r="J1354" i="21" s="1"/>
  <c r="I1274" i="21"/>
  <c r="J1274" i="21"/>
  <c r="I1229" i="21"/>
  <c r="J1229" i="21" s="1"/>
  <c r="I1181" i="21"/>
  <c r="J1181" i="21" s="1"/>
  <c r="I1094" i="21"/>
  <c r="J1094" i="21" s="1"/>
  <c r="J1488" i="21"/>
  <c r="J1457" i="21"/>
  <c r="J1422" i="21"/>
  <c r="J1405" i="21"/>
  <c r="J1395" i="21"/>
  <c r="J1358" i="21"/>
  <c r="I1306" i="21"/>
  <c r="J1306" i="21" s="1"/>
  <c r="I1299" i="21"/>
  <c r="J1299" i="21" s="1"/>
  <c r="I1136" i="21"/>
  <c r="J1136" i="21" s="1"/>
  <c r="J1102" i="21"/>
  <c r="I1508" i="21"/>
  <c r="J1508" i="21"/>
  <c r="I1465" i="21"/>
  <c r="J1465" i="21" s="1"/>
  <c r="J1310" i="21"/>
  <c r="J1260" i="21"/>
  <c r="I1394" i="21"/>
  <c r="J1394" i="21" s="1"/>
  <c r="J1161" i="21"/>
  <c r="I874" i="21"/>
  <c r="J874" i="21" s="1"/>
  <c r="J634" i="21"/>
  <c r="J637" i="21"/>
  <c r="J640" i="21"/>
  <c r="J710" i="21"/>
  <c r="J744" i="21"/>
  <c r="I865" i="21"/>
  <c r="J865" i="21" s="1"/>
  <c r="J1493" i="21"/>
  <c r="J1433" i="21"/>
  <c r="J1383" i="21"/>
  <c r="J1285" i="21"/>
  <c r="I1277" i="21"/>
  <c r="J1277" i="21" s="1"/>
  <c r="I1232" i="21"/>
  <c r="J1232" i="21"/>
  <c r="I1184" i="21"/>
  <c r="J1184" i="21" s="1"/>
  <c r="J662" i="21"/>
  <c r="J698" i="21"/>
  <c r="J753" i="21"/>
  <c r="J1604" i="21"/>
  <c r="J1601" i="21"/>
  <c r="J1556" i="21"/>
  <c r="J1553" i="21"/>
  <c r="J1471" i="21"/>
  <c r="J1425" i="21"/>
  <c r="I1327" i="21"/>
  <c r="J1327" i="21" s="1"/>
  <c r="J1632" i="21"/>
  <c r="J1629" i="21"/>
  <c r="J1584" i="21"/>
  <c r="J1581" i="21"/>
  <c r="J1536" i="21"/>
  <c r="J1533" i="21"/>
  <c r="J1496" i="21"/>
  <c r="I1382" i="21"/>
  <c r="J1382" i="21" s="1"/>
  <c r="J1371" i="21"/>
  <c r="J1209" i="21"/>
  <c r="J1164" i="21"/>
  <c r="I1470" i="21"/>
  <c r="J1470" i="21"/>
  <c r="I1455" i="21"/>
  <c r="J1455" i="21" s="1"/>
  <c r="I1435" i="21"/>
  <c r="J1435" i="21" s="1"/>
  <c r="J1417" i="21"/>
  <c r="J1410" i="21"/>
  <c r="J1265" i="21"/>
  <c r="I1044" i="21"/>
  <c r="J1044" i="21"/>
  <c r="I927" i="21"/>
  <c r="J927" i="21" s="1"/>
  <c r="J1103" i="21"/>
  <c r="J1099" i="21"/>
  <c r="J1001" i="21"/>
  <c r="I975" i="21"/>
  <c r="J975" i="21"/>
  <c r="J1095" i="21"/>
  <c r="J1090" i="21"/>
  <c r="J1072" i="21"/>
  <c r="I1004" i="21"/>
  <c r="J1004" i="21" s="1"/>
  <c r="I930" i="21"/>
  <c r="J930" i="21" s="1"/>
  <c r="I1056" i="21"/>
  <c r="J1056" i="21"/>
  <c r="J1264" i="21"/>
  <c r="J1208" i="21"/>
  <c r="J1205" i="21"/>
  <c r="J1160" i="21"/>
  <c r="J1157" i="21"/>
  <c r="J1088" i="21"/>
  <c r="I1018" i="21"/>
  <c r="J1018" i="21"/>
  <c r="J994" i="21"/>
  <c r="J1107" i="21"/>
  <c r="I1034" i="21"/>
  <c r="J1034" i="21"/>
  <c r="I1012" i="21"/>
  <c r="J1012" i="21" s="1"/>
  <c r="I1283" i="21"/>
  <c r="J1283" i="21" s="1"/>
  <c r="J1196" i="21"/>
  <c r="J1193" i="21"/>
  <c r="J1148" i="21"/>
  <c r="J1145" i="21"/>
  <c r="J1096" i="21"/>
  <c r="I984" i="21"/>
  <c r="J984" i="21"/>
  <c r="I871" i="21"/>
  <c r="J871" i="21" s="1"/>
  <c r="J1079" i="21"/>
  <c r="J1092" i="21"/>
  <c r="J1087" i="21"/>
  <c r="J1013" i="21"/>
  <c r="J1005" i="21"/>
  <c r="J988" i="21"/>
  <c r="J985" i="21"/>
  <c r="J971" i="21"/>
  <c r="J926" i="21"/>
  <c r="J923" i="21"/>
  <c r="J870" i="21"/>
  <c r="I1064" i="21"/>
  <c r="J1064" i="21" s="1"/>
  <c r="J1059" i="21"/>
  <c r="J1054" i="21"/>
  <c r="J1051" i="21"/>
  <c r="J1037" i="21"/>
  <c r="J1026" i="21"/>
  <c r="J1021" i="21"/>
  <c r="J973" i="21"/>
  <c r="J962" i="21"/>
  <c r="J959" i="21"/>
  <c r="J914" i="21"/>
  <c r="J911" i="21"/>
  <c r="J883" i="21"/>
  <c r="J970" i="21"/>
  <c r="J967" i="21"/>
  <c r="J922" i="21"/>
  <c r="J919" i="21"/>
  <c r="Q1248" i="6"/>
  <c r="U1248" i="6" s="1"/>
  <c r="P76" i="6"/>
  <c r="R76" i="6"/>
  <c r="S76" i="6" s="1"/>
  <c r="T76" i="6" s="1"/>
  <c r="D5" i="6"/>
  <c r="N88" i="6"/>
  <c r="H1683" i="6"/>
  <c r="F1683" i="6"/>
  <c r="Q730" i="6"/>
  <c r="U730" i="6" s="1"/>
  <c r="Q554" i="6"/>
  <c r="U554" i="6" s="1"/>
  <c r="M124" i="6"/>
  <c r="S124" i="6"/>
  <c r="T124" i="6" s="1"/>
  <c r="N124" i="6"/>
  <c r="Q1581" i="6"/>
  <c r="U1581" i="6" s="1"/>
  <c r="Q259" i="6"/>
  <c r="U259" i="6" s="1"/>
  <c r="Q720" i="6"/>
  <c r="U720" i="6" s="1"/>
  <c r="Q954" i="6"/>
  <c r="U954" i="6" s="1"/>
  <c r="Q1375" i="6"/>
  <c r="U1375" i="6" s="1"/>
  <c r="N112" i="6"/>
  <c r="Q479" i="6"/>
  <c r="U479" i="6" s="1"/>
  <c r="U206" i="6"/>
  <c r="O1588" i="6"/>
  <c r="J1629" i="6"/>
  <c r="O1455" i="6"/>
  <c r="O914" i="6"/>
  <c r="J1302" i="6"/>
  <c r="J648" i="6"/>
  <c r="O770" i="6"/>
  <c r="O1129" i="6"/>
  <c r="Q1129" i="6" s="1"/>
  <c r="U1129" i="6" s="1"/>
  <c r="J1251" i="6"/>
  <c r="O1608" i="6"/>
  <c r="J1544" i="6"/>
  <c r="O1619" i="6"/>
  <c r="J847" i="6"/>
  <c r="N85" i="6"/>
  <c r="O486" i="6"/>
  <c r="O216" i="6"/>
  <c r="Q216" i="6" s="1"/>
  <c r="U216" i="6" s="1"/>
  <c r="O594" i="6"/>
  <c r="Q594" i="6" s="1"/>
  <c r="U594" i="6" s="1"/>
  <c r="J1422" i="6"/>
  <c r="O250" i="6"/>
  <c r="Q250" i="6" s="1"/>
  <c r="U250" i="6" s="1"/>
  <c r="O1434" i="6"/>
  <c r="O1105" i="6"/>
  <c r="O803" i="6"/>
  <c r="J1499" i="6"/>
  <c r="J1219" i="6"/>
  <c r="J738" i="6"/>
  <c r="O626" i="6"/>
  <c r="J693" i="6"/>
  <c r="J319" i="6"/>
  <c r="J1313" i="6"/>
  <c r="J1380" i="6"/>
  <c r="J475" i="6"/>
  <c r="J205" i="6"/>
  <c r="O681" i="6"/>
  <c r="Q681" i="6" s="1"/>
  <c r="U681" i="6" s="1"/>
  <c r="O342" i="6"/>
  <c r="O958" i="6"/>
  <c r="O1048" i="6"/>
  <c r="J936" i="6"/>
  <c r="J815" i="6"/>
  <c r="O1231" i="6"/>
  <c r="O273" i="6"/>
  <c r="J296" i="6"/>
  <c r="O551" i="6"/>
  <c r="Q551" i="6" s="1"/>
  <c r="U551" i="6" s="1"/>
  <c r="O239" i="6"/>
  <c r="J1117" i="6"/>
  <c r="O1324" i="6"/>
  <c r="O1510" i="6"/>
  <c r="J637" i="6"/>
  <c r="J671" i="6"/>
  <c r="J1401" i="6"/>
  <c r="O1488" i="6"/>
  <c r="O1072" i="6"/>
  <c r="Q1072" i="6" s="1"/>
  <c r="O1280" i="6"/>
  <c r="O990" i="6"/>
  <c r="J979" i="6"/>
  <c r="O1413" i="6"/>
  <c r="Q1413" i="6" s="1"/>
  <c r="U1413" i="6" s="1"/>
  <c r="J1187" i="6"/>
  <c r="O498" i="6"/>
  <c r="Q498" i="6" s="1"/>
  <c r="U498" i="6" s="1"/>
  <c r="O750" i="6"/>
  <c r="J705" i="6"/>
  <c r="O1567" i="6"/>
  <c r="O1207" i="6"/>
  <c r="J1597" i="6"/>
  <c r="O893" i="6"/>
  <c r="J1477" i="6"/>
  <c r="J1175" i="6"/>
  <c r="J1347" i="6"/>
  <c r="J1371" i="6"/>
  <c r="J859" i="6"/>
  <c r="J826" i="6"/>
  <c r="P1362" i="6"/>
  <c r="Q1362" i="6" s="1"/>
  <c r="U1362" i="6" s="1"/>
  <c r="R1362" i="6"/>
  <c r="S1362" i="6" s="1"/>
  <c r="T1362" i="6" s="1"/>
  <c r="P841" i="6"/>
  <c r="R841" i="6"/>
  <c r="S841" i="6" s="1"/>
  <c r="T841" i="6" s="1"/>
  <c r="R762" i="6"/>
  <c r="S762" i="6" s="1"/>
  <c r="T762" i="6" s="1"/>
  <c r="P762" i="6"/>
  <c r="P650" i="6"/>
  <c r="Q650" i="6" s="1"/>
  <c r="U650" i="6" s="1"/>
  <c r="R650" i="6"/>
  <c r="S650" i="6" s="1"/>
  <c r="T650" i="6" s="1"/>
  <c r="P611" i="6"/>
  <c r="Q611" i="6" s="1"/>
  <c r="U611" i="6" s="1"/>
  <c r="R611" i="6"/>
  <c r="S611" i="6" s="1"/>
  <c r="T611" i="6" s="1"/>
  <c r="R839" i="6"/>
  <c r="S839" i="6" s="1"/>
  <c r="T839" i="6" s="1"/>
  <c r="P839" i="6"/>
  <c r="P718" i="6"/>
  <c r="R718" i="6"/>
  <c r="S718" i="6" s="1"/>
  <c r="T718" i="6" s="1"/>
  <c r="R1570" i="6"/>
  <c r="S1570" i="6" s="1"/>
  <c r="T1570" i="6" s="1"/>
  <c r="P626" i="6"/>
  <c r="R626" i="6"/>
  <c r="S626" i="6" s="1"/>
  <c r="T626" i="6" s="1"/>
  <c r="P1506" i="6"/>
  <c r="R1506" i="6"/>
  <c r="S1506" i="6" s="1"/>
  <c r="T1506" i="6" s="1"/>
  <c r="R516" i="6"/>
  <c r="S516" i="6" s="1"/>
  <c r="T516" i="6" s="1"/>
  <c r="P516" i="6"/>
  <c r="Q516" i="6" s="1"/>
  <c r="U516" i="6" s="1"/>
  <c r="R714" i="6"/>
  <c r="S714" i="6" s="1"/>
  <c r="T714" i="6" s="1"/>
  <c r="P714" i="6"/>
  <c r="P1504" i="6"/>
  <c r="R1504" i="6"/>
  <c r="S1504" i="6" s="1"/>
  <c r="T1504" i="6" s="1"/>
  <c r="P1478" i="6"/>
  <c r="R1478" i="6"/>
  <c r="S1478" i="6" s="1"/>
  <c r="T1478" i="6" s="1"/>
  <c r="M57" i="6"/>
  <c r="P1592" i="6"/>
  <c r="Q1592" i="6" s="1"/>
  <c r="U1592" i="6" s="1"/>
  <c r="R1592" i="6"/>
  <c r="S1592" i="6" s="1"/>
  <c r="T1592" i="6" s="1"/>
  <c r="R1509" i="6"/>
  <c r="S1509" i="6" s="1"/>
  <c r="T1509" i="6" s="1"/>
  <c r="P1509" i="6"/>
  <c r="R1454" i="6"/>
  <c r="S1454" i="6" s="1"/>
  <c r="T1454" i="6" s="1"/>
  <c r="P1454" i="6"/>
  <c r="P1521" i="6"/>
  <c r="R1521" i="6"/>
  <c r="S1521" i="6" s="1"/>
  <c r="T1521" i="6" s="1"/>
  <c r="R1460" i="6"/>
  <c r="S1460" i="6" s="1"/>
  <c r="T1460" i="6" s="1"/>
  <c r="P1460" i="6"/>
  <c r="P1576" i="6"/>
  <c r="Q1576" i="6" s="1"/>
  <c r="U1576" i="6" s="1"/>
  <c r="R1576" i="6"/>
  <c r="S1576" i="6" s="1"/>
  <c r="T1576" i="6" s="1"/>
  <c r="R1640" i="6"/>
  <c r="S1640" i="6" s="1"/>
  <c r="T1640" i="6" s="1"/>
  <c r="P1640" i="6"/>
  <c r="P1642" i="6"/>
  <c r="R1642" i="6"/>
  <c r="S1642" i="6" s="1"/>
  <c r="T1642" i="6" s="1"/>
  <c r="P1639" i="6"/>
  <c r="R1639" i="6"/>
  <c r="S1639" i="6" s="1"/>
  <c r="T1639" i="6" s="1"/>
  <c r="P1641" i="6"/>
  <c r="R1641" i="6"/>
  <c r="S1641" i="6" s="1"/>
  <c r="T1641" i="6" s="1"/>
  <c r="O1643" i="6"/>
  <c r="O1641" i="6"/>
  <c r="N1640" i="6"/>
  <c r="O1639" i="6"/>
  <c r="O1642" i="6"/>
  <c r="O1640" i="6"/>
  <c r="M1642" i="6"/>
  <c r="G1742" i="6"/>
  <c r="N118" i="6"/>
  <c r="S55" i="6"/>
  <c r="T55" i="6" s="1"/>
  <c r="Q631" i="6"/>
  <c r="U631" i="6" s="1"/>
  <c r="Q523" i="6"/>
  <c r="U523" i="6" s="1"/>
  <c r="Q878" i="6"/>
  <c r="U878" i="6" s="1"/>
  <c r="Q1036" i="6"/>
  <c r="U1036" i="6" s="1"/>
  <c r="Q192" i="6"/>
  <c r="U192" i="6" s="1"/>
  <c r="Q231" i="6"/>
  <c r="U231" i="6" s="1"/>
  <c r="Q111" i="6"/>
  <c r="O85" i="6"/>
  <c r="Q1329" i="6"/>
  <c r="U1329" i="6" s="1"/>
  <c r="Q449" i="6"/>
  <c r="U449" i="6" s="1"/>
  <c r="J33" i="6"/>
  <c r="M33" i="6" s="1"/>
  <c r="O112" i="6"/>
  <c r="Q1563" i="6"/>
  <c r="U1563" i="6" s="1"/>
  <c r="Q171" i="6"/>
  <c r="U171" i="6" s="1"/>
  <c r="S118" i="6"/>
  <c r="T118" i="6" s="1"/>
  <c r="Q1428" i="6"/>
  <c r="U1428" i="6" s="1"/>
  <c r="J95" i="6"/>
  <c r="O39" i="6"/>
  <c r="Q39" i="6" s="1"/>
  <c r="U39" i="6" s="1"/>
  <c r="B34" i="22" s="1"/>
  <c r="Q301" i="6"/>
  <c r="U301" i="6" s="1"/>
  <c r="Q326" i="6"/>
  <c r="U326" i="6" s="1"/>
  <c r="T140" i="6"/>
  <c r="U140" i="6" s="1"/>
  <c r="P1023" i="6"/>
  <c r="Q1023" i="6" s="1"/>
  <c r="U1023" i="6" s="1"/>
  <c r="R1023" i="6"/>
  <c r="S1023" i="6" s="1"/>
  <c r="T1023" i="6" s="1"/>
  <c r="O31" i="6"/>
  <c r="Q1265" i="6"/>
  <c r="U1265" i="6" s="1"/>
  <c r="Q1030" i="6"/>
  <c r="U1030" i="6" s="1"/>
  <c r="Q1005" i="6"/>
  <c r="U1005" i="6" s="1"/>
  <c r="J121" i="6"/>
  <c r="N121" i="6" s="1"/>
  <c r="O121" i="6"/>
  <c r="Q535" i="6"/>
  <c r="U535" i="6" s="1"/>
  <c r="Q916" i="6"/>
  <c r="U916" i="6" s="1"/>
  <c r="P1627" i="6"/>
  <c r="R1627" i="6"/>
  <c r="S1627" i="6" s="1"/>
  <c r="T1627" i="6" s="1"/>
  <c r="R1615" i="6"/>
  <c r="S1615" i="6" s="1"/>
  <c r="T1615" i="6" s="1"/>
  <c r="P1615" i="6"/>
  <c r="Q1615" i="6" s="1"/>
  <c r="U1615" i="6" s="1"/>
  <c r="R1603" i="6"/>
  <c r="S1603" i="6" s="1"/>
  <c r="T1603" i="6" s="1"/>
  <c r="P1603" i="6"/>
  <c r="P1591" i="6"/>
  <c r="R1591" i="6"/>
  <c r="S1591" i="6" s="1"/>
  <c r="T1591" i="6" s="1"/>
  <c r="P1555" i="6"/>
  <c r="Q1555" i="6" s="1"/>
  <c r="U1555" i="6" s="1"/>
  <c r="R1555" i="6"/>
  <c r="S1555" i="6" s="1"/>
  <c r="T1555" i="6" s="1"/>
  <c r="P1543" i="6"/>
  <c r="R1543" i="6"/>
  <c r="S1543" i="6" s="1"/>
  <c r="T1543" i="6" s="1"/>
  <c r="R1531" i="6"/>
  <c r="S1531" i="6" s="1"/>
  <c r="T1531" i="6" s="1"/>
  <c r="P1531" i="6"/>
  <c r="R1519" i="6"/>
  <c r="S1519" i="6" s="1"/>
  <c r="T1519" i="6" s="1"/>
  <c r="P1519" i="6"/>
  <c r="Q1519" i="6" s="1"/>
  <c r="U1519" i="6" s="1"/>
  <c r="R333" i="6"/>
  <c r="S333" i="6" s="1"/>
  <c r="T333" i="6" s="1"/>
  <c r="P333" i="6"/>
  <c r="Q333" i="6" s="1"/>
  <c r="U333" i="6" s="1"/>
  <c r="M13" i="23"/>
  <c r="F25" i="23"/>
  <c r="C30" i="22"/>
  <c r="G19" i="23"/>
  <c r="G34" i="23"/>
  <c r="M31" i="23"/>
  <c r="D29" i="23"/>
  <c r="K49" i="23"/>
  <c r="K21" i="23"/>
  <c r="L59" i="23"/>
  <c r="I29" i="23"/>
  <c r="B27" i="22"/>
  <c r="C8" i="23"/>
  <c r="B11" i="22"/>
  <c r="D36" i="23"/>
  <c r="H48" i="23"/>
  <c r="N24" i="23"/>
  <c r="M32" i="23"/>
  <c r="G42" i="23"/>
  <c r="L15" i="23"/>
  <c r="K35" i="23"/>
  <c r="C9" i="23"/>
  <c r="L51" i="23"/>
  <c r="M56" i="23"/>
  <c r="N7" i="23"/>
  <c r="I40" i="23"/>
  <c r="L10" i="23"/>
  <c r="N42" i="23"/>
  <c r="M19" i="23"/>
  <c r="N35" i="23"/>
  <c r="I47" i="23"/>
  <c r="M30" i="23"/>
  <c r="C49" i="23"/>
  <c r="H28" i="23"/>
  <c r="H17" i="23"/>
  <c r="N57" i="23"/>
  <c r="C16" i="22"/>
  <c r="I27" i="23"/>
  <c r="G47" i="23"/>
  <c r="C17" i="22"/>
  <c r="I15" i="23"/>
  <c r="O15" i="23" s="1"/>
  <c r="M23" i="23"/>
  <c r="N30" i="23"/>
  <c r="H7" i="23"/>
  <c r="N45" i="23"/>
  <c r="J35" i="23"/>
  <c r="G13" i="23"/>
  <c r="G51" i="23"/>
  <c r="E41" i="23"/>
  <c r="F38" i="23"/>
  <c r="C43" i="23"/>
  <c r="D49" i="23"/>
  <c r="K14" i="23"/>
  <c r="J36" i="23"/>
  <c r="B15" i="22"/>
  <c r="H49" i="23"/>
  <c r="L55" i="23"/>
  <c r="I49" i="23"/>
  <c r="N9" i="23"/>
  <c r="I28" i="23"/>
  <c r="D41" i="23"/>
  <c r="J24" i="23"/>
  <c r="J44" i="23"/>
  <c r="D53" i="23"/>
  <c r="N33" i="23"/>
  <c r="C50" i="22"/>
  <c r="M28" i="23"/>
  <c r="N19" i="23"/>
  <c r="K15" i="23"/>
  <c r="J39" i="23"/>
  <c r="F30" i="23"/>
  <c r="M16" i="23"/>
  <c r="L33" i="23"/>
  <c r="I42" i="23"/>
  <c r="J20" i="23"/>
  <c r="C18" i="23"/>
  <c r="H29" i="23"/>
  <c r="K57" i="23"/>
  <c r="N36" i="23"/>
  <c r="C46" i="23"/>
  <c r="I19" i="23"/>
  <c r="K13" i="23"/>
  <c r="I31" i="23"/>
  <c r="H35" i="23"/>
  <c r="I53" i="23"/>
  <c r="M49" i="23"/>
  <c r="G14" i="23"/>
  <c r="H36" i="23"/>
  <c r="N56" i="23"/>
  <c r="C24" i="23"/>
  <c r="F14" i="23"/>
  <c r="G54" i="23"/>
  <c r="G20" i="23"/>
  <c r="K23" i="23"/>
  <c r="J18" i="23"/>
  <c r="F40" i="23"/>
  <c r="B19" i="22"/>
  <c r="J40" i="23"/>
  <c r="D58" i="23"/>
  <c r="I57" i="23"/>
  <c r="L21" i="23"/>
  <c r="H22" i="23"/>
  <c r="G29" i="23"/>
  <c r="L35" i="23"/>
  <c r="N25" i="23"/>
  <c r="I59" i="23"/>
  <c r="C40" i="23"/>
  <c r="C15" i="23"/>
  <c r="K25" i="23"/>
  <c r="O25" i="23" s="1"/>
  <c r="N32" i="23"/>
  <c r="C36" i="22"/>
  <c r="J50" i="23"/>
  <c r="K10" i="23"/>
  <c r="N51" i="23"/>
  <c r="J38" i="23"/>
  <c r="J11" i="23"/>
  <c r="C34" i="22"/>
  <c r="K8" i="23"/>
  <c r="L37" i="23"/>
  <c r="C58" i="23"/>
  <c r="M57" i="23"/>
  <c r="E21" i="23"/>
  <c r="J17" i="23"/>
  <c r="L14" i="23"/>
  <c r="D28" i="23"/>
  <c r="K26" i="23"/>
  <c r="C37" i="22"/>
  <c r="H31" i="23"/>
  <c r="I33" i="23"/>
  <c r="D18" i="23"/>
  <c r="D52" i="23"/>
  <c r="F47" i="23"/>
  <c r="I38" i="23"/>
  <c r="F48" i="23"/>
  <c r="G25" i="23"/>
  <c r="K7" i="23"/>
  <c r="C22" i="23"/>
  <c r="D39" i="23"/>
  <c r="C35" i="23"/>
  <c r="G35" i="23"/>
  <c r="K37" i="23"/>
  <c r="L18" i="23"/>
  <c r="F29" i="23"/>
  <c r="K41" i="23"/>
  <c r="J9" i="23"/>
  <c r="N15" i="23"/>
  <c r="I56" i="23"/>
  <c r="I34" i="23"/>
  <c r="L26" i="23"/>
  <c r="J19" i="23"/>
  <c r="E56" i="23"/>
  <c r="J52" i="23"/>
  <c r="N27" i="23"/>
  <c r="E19" i="23"/>
  <c r="N52" i="23"/>
  <c r="D21" i="23"/>
  <c r="M15" i="23"/>
  <c r="L30" i="23"/>
  <c r="H57" i="23"/>
  <c r="L53" i="23"/>
  <c r="C59" i="23"/>
  <c r="G59" i="23"/>
  <c r="N55" i="23"/>
  <c r="K11" i="23"/>
  <c r="L19" i="23"/>
  <c r="L24" i="23"/>
  <c r="M20" i="23"/>
  <c r="H56" i="23"/>
  <c r="D12" i="23"/>
  <c r="L17" i="23"/>
  <c r="K56" i="23"/>
  <c r="N44" i="23"/>
  <c r="H19" i="23"/>
  <c r="K24" i="23"/>
  <c r="L12" i="23"/>
  <c r="D47" i="23"/>
  <c r="M33" i="23"/>
  <c r="C38" i="22"/>
  <c r="D33" i="23"/>
  <c r="L38" i="23"/>
  <c r="C26" i="23"/>
  <c r="D32" i="23"/>
  <c r="I11" i="23"/>
  <c r="J25" i="23"/>
  <c r="F20" i="23"/>
  <c r="J49" i="23"/>
  <c r="H15" i="23"/>
  <c r="N16" i="23"/>
  <c r="D43" i="23"/>
  <c r="B18" i="22"/>
  <c r="G53" i="23"/>
  <c r="I18" i="23"/>
  <c r="C20" i="23"/>
  <c r="I58" i="23"/>
  <c r="C9" i="22"/>
  <c r="D45" i="23"/>
  <c r="M42" i="23"/>
  <c r="J54" i="23"/>
  <c r="L58" i="23"/>
  <c r="G23" i="23"/>
  <c r="K53" i="23"/>
  <c r="L25" i="23"/>
  <c r="N43" i="23"/>
  <c r="H16" i="23"/>
  <c r="K9" i="23"/>
  <c r="C27" i="23"/>
  <c r="B20" i="22"/>
  <c r="M17" i="23"/>
  <c r="J28" i="23"/>
  <c r="I32" i="23"/>
  <c r="N53" i="23"/>
  <c r="J7" i="23"/>
  <c r="C14" i="22"/>
  <c r="C53" i="23"/>
  <c r="G40" i="23"/>
  <c r="M48" i="23"/>
  <c r="M14" i="23"/>
  <c r="N38" i="23"/>
  <c r="H50" i="23"/>
  <c r="D34" i="23"/>
  <c r="M35" i="23"/>
  <c r="H24" i="23"/>
  <c r="C20" i="22"/>
  <c r="I51" i="23"/>
  <c r="M25" i="23"/>
  <c r="D8" i="23"/>
  <c r="C7" i="23"/>
  <c r="B9" i="22"/>
  <c r="G26" i="23"/>
  <c r="J22" i="23"/>
  <c r="C10" i="22"/>
  <c r="L23" i="23"/>
  <c r="G30" i="23"/>
  <c r="L41" i="23"/>
  <c r="M26" i="23"/>
  <c r="C36" i="23"/>
  <c r="F55" i="23"/>
  <c r="H8" i="23"/>
  <c r="J56" i="23"/>
  <c r="D11" i="23"/>
  <c r="D54" i="23"/>
  <c r="D25" i="23"/>
  <c r="M59" i="23"/>
  <c r="M55" i="23"/>
  <c r="N29" i="23"/>
  <c r="C41" i="23"/>
  <c r="N31" i="23"/>
  <c r="D14" i="23"/>
  <c r="C56" i="23"/>
  <c r="N20" i="23"/>
  <c r="K59" i="23"/>
  <c r="L46" i="23"/>
  <c r="J14" i="23"/>
  <c r="M47" i="23"/>
  <c r="B38" i="22"/>
  <c r="K42" i="23"/>
  <c r="L13" i="23"/>
  <c r="L47" i="23"/>
  <c r="M53" i="23"/>
  <c r="C28" i="23"/>
  <c r="D10" i="23"/>
  <c r="C32" i="22"/>
  <c r="M39" i="23"/>
  <c r="C34" i="23"/>
  <c r="G10" i="23"/>
  <c r="H12" i="23"/>
  <c r="D50" i="23"/>
  <c r="M18" i="23"/>
  <c r="K47" i="23"/>
  <c r="L11" i="23"/>
  <c r="L52" i="23"/>
  <c r="C52" i="23"/>
  <c r="K28" i="23"/>
  <c r="N46" i="23"/>
  <c r="K12" i="23"/>
  <c r="C21" i="23"/>
  <c r="F27" i="23"/>
  <c r="L49" i="23"/>
  <c r="K17" i="23"/>
  <c r="N18" i="23"/>
  <c r="G57" i="23"/>
  <c r="M41" i="23"/>
  <c r="C39" i="23"/>
  <c r="F44" i="23"/>
  <c r="L39" i="23"/>
  <c r="F19" i="23"/>
  <c r="B14" i="22"/>
  <c r="E38" i="23"/>
  <c r="D17" i="23"/>
  <c r="C54" i="23"/>
  <c r="N34" i="23"/>
  <c r="I43" i="23"/>
  <c r="L54" i="23"/>
  <c r="C51" i="23"/>
  <c r="H30" i="23"/>
  <c r="J51" i="23"/>
  <c r="J41" i="23"/>
  <c r="E10" i="23"/>
  <c r="N39" i="23"/>
  <c r="K40" i="23"/>
  <c r="I50" i="23"/>
  <c r="C30" i="23"/>
  <c r="M27" i="23"/>
  <c r="M29" i="23"/>
  <c r="I23" i="23"/>
  <c r="J16" i="23"/>
  <c r="H34" i="23"/>
  <c r="J33" i="23"/>
  <c r="C28" i="22"/>
  <c r="M21" i="23"/>
  <c r="I10" i="23"/>
  <c r="M43" i="23"/>
  <c r="L36" i="23"/>
  <c r="I30" i="23"/>
  <c r="N47" i="23"/>
  <c r="G21" i="23"/>
  <c r="L57" i="23"/>
  <c r="N49" i="23"/>
  <c r="I44" i="23"/>
  <c r="N54" i="23"/>
  <c r="K30" i="23"/>
  <c r="L27" i="23"/>
  <c r="G33" i="23"/>
  <c r="D37" i="23"/>
  <c r="G45" i="23"/>
  <c r="H43" i="23"/>
  <c r="J21" i="23"/>
  <c r="C33" i="22"/>
  <c r="J27" i="23"/>
  <c r="L50" i="23"/>
  <c r="E16" i="23"/>
  <c r="J57" i="23"/>
  <c r="J37" i="23"/>
  <c r="H46" i="23"/>
  <c r="J55" i="23"/>
  <c r="L20" i="23"/>
  <c r="G31" i="23"/>
  <c r="C18" i="22"/>
  <c r="H9" i="23"/>
  <c r="N28" i="23"/>
  <c r="C19" i="23"/>
  <c r="O19" i="23" s="1"/>
  <c r="C13" i="22"/>
  <c r="N58" i="23"/>
  <c r="I36" i="23"/>
  <c r="F10" i="23"/>
  <c r="L56" i="23"/>
  <c r="N41" i="23"/>
  <c r="F13" i="23"/>
  <c r="D44" i="23"/>
  <c r="C19" i="22"/>
  <c r="I7" i="23"/>
  <c r="F12" i="23"/>
  <c r="H27" i="23"/>
  <c r="C42" i="23"/>
  <c r="K48" i="23"/>
  <c r="N10" i="23"/>
  <c r="Q157" i="6"/>
  <c r="U157" i="6" s="1"/>
  <c r="J122" i="6"/>
  <c r="O122" i="6"/>
  <c r="Q455" i="6"/>
  <c r="U455" i="6" s="1"/>
  <c r="Q1449" i="6"/>
  <c r="U1449" i="6" s="1"/>
  <c r="P1148" i="6"/>
  <c r="P1208" i="6"/>
  <c r="R873" i="6"/>
  <c r="S873" i="6" s="1"/>
  <c r="T873" i="6" s="1"/>
  <c r="R933" i="6"/>
  <c r="S933" i="6" s="1"/>
  <c r="T933" i="6" s="1"/>
  <c r="R741" i="6"/>
  <c r="S741" i="6" s="1"/>
  <c r="T741" i="6" s="1"/>
  <c r="R729" i="6"/>
  <c r="S729" i="6" s="1"/>
  <c r="T729" i="6" s="1"/>
  <c r="P717" i="6"/>
  <c r="Q1111" i="6"/>
  <c r="U1111" i="6" s="1"/>
  <c r="Q993" i="6"/>
  <c r="U993" i="6" s="1"/>
  <c r="Q608" i="6"/>
  <c r="U608" i="6" s="1"/>
  <c r="Q556" i="6"/>
  <c r="U556" i="6" s="1"/>
  <c r="Q1445" i="6"/>
  <c r="U1445" i="6" s="1"/>
  <c r="P1424" i="6"/>
  <c r="P1472" i="6"/>
  <c r="Q166" i="6"/>
  <c r="U166" i="6" s="1"/>
  <c r="Q1561" i="6"/>
  <c r="U1561" i="6" s="1"/>
  <c r="R1172" i="6"/>
  <c r="S1172" i="6" s="1"/>
  <c r="T1172" i="6" s="1"/>
  <c r="P573" i="6"/>
  <c r="Q573" i="6" s="1"/>
  <c r="U573" i="6" s="1"/>
  <c r="P849" i="6"/>
  <c r="Q143" i="6"/>
  <c r="U143" i="6" s="1"/>
  <c r="Q686" i="6"/>
  <c r="U686" i="6" s="1"/>
  <c r="R537" i="6"/>
  <c r="S537" i="6" s="1"/>
  <c r="T537" i="6" s="1"/>
  <c r="R693" i="6"/>
  <c r="S693" i="6" s="1"/>
  <c r="T693" i="6" s="1"/>
  <c r="Q467" i="6"/>
  <c r="U467" i="6" s="1"/>
  <c r="Q1147" i="6"/>
  <c r="U1147" i="6" s="1"/>
  <c r="O76" i="6"/>
  <c r="Q719" i="6"/>
  <c r="U719" i="6" s="1"/>
  <c r="R1448" i="6"/>
  <c r="S1448" i="6" s="1"/>
  <c r="T1448" i="6" s="1"/>
  <c r="P1232" i="6"/>
  <c r="R1244" i="6"/>
  <c r="S1244" i="6" s="1"/>
  <c r="T1244" i="6" s="1"/>
  <c r="Q403" i="6"/>
  <c r="U403" i="6" s="1"/>
  <c r="Q473" i="6"/>
  <c r="U473" i="6" s="1"/>
  <c r="Q1439" i="6"/>
  <c r="U1439" i="6" s="1"/>
  <c r="Q382" i="6"/>
  <c r="U382" i="6" s="1"/>
  <c r="Q1137" i="6"/>
  <c r="U1137" i="6" s="1"/>
  <c r="Q843" i="6"/>
  <c r="U843" i="6" s="1"/>
  <c r="Q644" i="6"/>
  <c r="U644" i="6" s="1"/>
  <c r="R645" i="6"/>
  <c r="S645" i="6" s="1"/>
  <c r="T645" i="6" s="1"/>
  <c r="P1256" i="6"/>
  <c r="Q1256" i="6" s="1"/>
  <c r="U1256" i="6" s="1"/>
  <c r="Q1569" i="6"/>
  <c r="U1569" i="6" s="1"/>
  <c r="Q453" i="6"/>
  <c r="U453" i="6" s="1"/>
  <c r="R585" i="6"/>
  <c r="S585" i="6" s="1"/>
  <c r="T585" i="6" s="1"/>
  <c r="P669" i="6"/>
  <c r="Q1312" i="6"/>
  <c r="U1312" i="6" s="1"/>
  <c r="Q735" i="6"/>
  <c r="U735" i="6" s="1"/>
  <c r="Q869" i="6"/>
  <c r="U869" i="6" s="1"/>
  <c r="R825" i="6"/>
  <c r="S825" i="6" s="1"/>
  <c r="T825" i="6" s="1"/>
  <c r="Q1529" i="6"/>
  <c r="U1529" i="6" s="1"/>
  <c r="R1376" i="6"/>
  <c r="S1376" i="6" s="1"/>
  <c r="T1376" i="6" s="1"/>
  <c r="P1388" i="6"/>
  <c r="Q1388" i="6" s="1"/>
  <c r="U1388" i="6" s="1"/>
  <c r="R1017" i="6"/>
  <c r="S1017" i="6" s="1"/>
  <c r="T1017" i="6" s="1"/>
  <c r="N128" i="6"/>
  <c r="P1076" i="6"/>
  <c r="P513" i="6"/>
  <c r="Q513" i="6" s="1"/>
  <c r="U513" i="6" s="1"/>
  <c r="P597" i="6"/>
  <c r="P1100" i="6"/>
  <c r="Q421" i="6"/>
  <c r="U421" i="6" s="1"/>
  <c r="R885" i="6"/>
  <c r="S885" i="6" s="1"/>
  <c r="T885" i="6" s="1"/>
  <c r="R657" i="6"/>
  <c r="S657" i="6" s="1"/>
  <c r="T657" i="6" s="1"/>
  <c r="M1639" i="6"/>
  <c r="Q785" i="6"/>
  <c r="U785" i="6" s="1"/>
  <c r="P969" i="6"/>
  <c r="Q969" i="6" s="1"/>
  <c r="U969" i="6" s="1"/>
  <c r="Q154" i="6"/>
  <c r="U154" i="6" s="1"/>
  <c r="Q313" i="6"/>
  <c r="U313" i="6" s="1"/>
  <c r="Q253" i="6"/>
  <c r="U253" i="6" s="1"/>
  <c r="Q496" i="6"/>
  <c r="U496" i="6" s="1"/>
  <c r="Q407" i="6"/>
  <c r="U407" i="6" s="1"/>
  <c r="Q1211" i="6"/>
  <c r="U1211" i="6" s="1"/>
  <c r="Q1587" i="6"/>
  <c r="U1587" i="6" s="1"/>
  <c r="P957" i="6"/>
  <c r="N142" i="6"/>
  <c r="Q142" i="6" s="1"/>
  <c r="T142" i="6"/>
  <c r="T141" i="6"/>
  <c r="P141" i="6"/>
  <c r="N99" i="6"/>
  <c r="M99" i="6"/>
  <c r="P1021" i="6"/>
  <c r="Q1021" i="6" s="1"/>
  <c r="U1021" i="6" s="1"/>
  <c r="R1021" i="6"/>
  <c r="S1021" i="6" s="1"/>
  <c r="T1021" i="6" s="1"/>
  <c r="Q1499" i="6"/>
  <c r="U1499" i="6" s="1"/>
  <c r="Q722" i="6"/>
  <c r="U722" i="6" s="1"/>
  <c r="Q346" i="6"/>
  <c r="U346" i="6" s="1"/>
  <c r="Q708" i="6"/>
  <c r="U708" i="6" s="1"/>
  <c r="Q541" i="6"/>
  <c r="U541" i="6" s="1"/>
  <c r="Q907" i="6"/>
  <c r="U907" i="6" s="1"/>
  <c r="Q823" i="6"/>
  <c r="U823" i="6" s="1"/>
  <c r="Q984" i="6"/>
  <c r="U984" i="6" s="1"/>
  <c r="Q739" i="6"/>
  <c r="U739" i="6" s="1"/>
  <c r="Q254" i="6"/>
  <c r="U254" i="6" s="1"/>
  <c r="S89" i="6"/>
  <c r="T89" i="6" s="1"/>
  <c r="O84" i="6"/>
  <c r="J131" i="6"/>
  <c r="M131" i="6" s="1"/>
  <c r="Q265" i="6"/>
  <c r="U265" i="6" s="1"/>
  <c r="Q522" i="6"/>
  <c r="U522" i="6" s="1"/>
  <c r="Q1167" i="6"/>
  <c r="U1167" i="6" s="1"/>
  <c r="Q488" i="6"/>
  <c r="U488" i="6" s="1"/>
  <c r="N89" i="6"/>
  <c r="Q779" i="6"/>
  <c r="U779" i="6" s="1"/>
  <c r="Q1425" i="6"/>
  <c r="U1425" i="6" s="1"/>
  <c r="Q524" i="6"/>
  <c r="U524" i="6" s="1"/>
  <c r="Q744" i="6"/>
  <c r="U744" i="6" s="1"/>
  <c r="Q434" i="6"/>
  <c r="U434" i="6" s="1"/>
  <c r="Q1421" i="6"/>
  <c r="U1421" i="6" s="1"/>
  <c r="M37" i="6"/>
  <c r="R112" i="6"/>
  <c r="S112" i="6" s="1"/>
  <c r="T112" i="6" s="1"/>
  <c r="N45" i="6"/>
  <c r="Q45" i="6" s="1"/>
  <c r="M73" i="6"/>
  <c r="S45" i="6"/>
  <c r="T45" i="6" s="1"/>
  <c r="J117" i="6"/>
  <c r="S117" i="6" s="1"/>
  <c r="T117" i="6" s="1"/>
  <c r="Q683" i="6"/>
  <c r="U683" i="6" s="1"/>
  <c r="Q734" i="6"/>
  <c r="U734" i="6" s="1"/>
  <c r="U1209" i="6"/>
  <c r="O11" i="6"/>
  <c r="Q931" i="6"/>
  <c r="U931" i="6" s="1"/>
  <c r="Q870" i="6"/>
  <c r="U870" i="6" s="1"/>
  <c r="Q458" i="6"/>
  <c r="U458" i="6" s="1"/>
  <c r="Q299" i="6"/>
  <c r="U299" i="6" s="1"/>
  <c r="Q275" i="6"/>
  <c r="U275" i="6"/>
  <c r="Q714" i="6"/>
  <c r="U714" i="6" s="1"/>
  <c r="Q1505" i="6"/>
  <c r="U1505" i="6" s="1"/>
  <c r="Q1228" i="6"/>
  <c r="U1228" i="6" s="1"/>
  <c r="Q724" i="6"/>
  <c r="U724" i="6" s="1"/>
  <c r="Q175" i="6"/>
  <c r="U175" i="6" s="1"/>
  <c r="S23" i="6"/>
  <c r="T23" i="6" s="1"/>
  <c r="N100" i="6"/>
  <c r="Q838" i="6"/>
  <c r="U838" i="6" s="1"/>
  <c r="Q537" i="6"/>
  <c r="U537" i="6" s="1"/>
  <c r="Q1029" i="6"/>
  <c r="U1029" i="6" s="1"/>
  <c r="Q472" i="6"/>
  <c r="U472" i="6" s="1"/>
  <c r="J18" i="6"/>
  <c r="M18" i="6" s="1"/>
  <c r="Q1017" i="6"/>
  <c r="U1017" i="6" s="1"/>
  <c r="Q539" i="6"/>
  <c r="U539" i="6" s="1"/>
  <c r="Q1239" i="6"/>
  <c r="U1239" i="6" s="1"/>
  <c r="Q658" i="6"/>
  <c r="U658" i="6" s="1"/>
  <c r="Q438" i="6"/>
  <c r="U438" i="6" s="1"/>
  <c r="Q899" i="6"/>
  <c r="U899" i="6" s="1"/>
  <c r="Q831" i="6"/>
  <c r="U831" i="6" s="1"/>
  <c r="N93" i="6"/>
  <c r="P634" i="6"/>
  <c r="Q634" i="6" s="1"/>
  <c r="U634" i="6" s="1"/>
  <c r="R634" i="6"/>
  <c r="S634" i="6" s="1"/>
  <c r="T634" i="6" s="1"/>
  <c r="P466" i="6"/>
  <c r="R466" i="6"/>
  <c r="S466" i="6" s="1"/>
  <c r="T466" i="6" s="1"/>
  <c r="R1204" i="6"/>
  <c r="S1204" i="6" s="1"/>
  <c r="T1204" i="6" s="1"/>
  <c r="P1204" i="6"/>
  <c r="Q1204" i="6" s="1"/>
  <c r="U1204" i="6" s="1"/>
  <c r="N79" i="6"/>
  <c r="Q79" i="6" s="1"/>
  <c r="M79" i="6"/>
  <c r="M25" i="6"/>
  <c r="M94" i="6"/>
  <c r="N91" i="6"/>
  <c r="M91" i="6"/>
  <c r="R853" i="6"/>
  <c r="S853" i="6" s="1"/>
  <c r="T853" i="6" s="1"/>
  <c r="P853" i="6"/>
  <c r="P1438" i="6"/>
  <c r="R1438" i="6"/>
  <c r="S1438" i="6" s="1"/>
  <c r="T1438" i="6" s="1"/>
  <c r="S123" i="6"/>
  <c r="T123" i="6" s="1"/>
  <c r="M123" i="6"/>
  <c r="R695" i="6"/>
  <c r="S695" i="6" s="1"/>
  <c r="T695" i="6" s="1"/>
  <c r="P695" i="6"/>
  <c r="Q762" i="6"/>
  <c r="U762" i="6" s="1"/>
  <c r="Q927" i="6"/>
  <c r="U927" i="6" s="1"/>
  <c r="Q1442" i="6"/>
  <c r="U1442" i="6" s="1"/>
  <c r="Q871" i="6"/>
  <c r="U871" i="6" s="1"/>
  <c r="S128" i="6"/>
  <c r="T128" i="6" s="1"/>
  <c r="Q985" i="6"/>
  <c r="U985" i="6" s="1"/>
  <c r="Q158" i="6"/>
  <c r="U158" i="6" s="1"/>
  <c r="Q740" i="6"/>
  <c r="U740" i="6" s="1"/>
  <c r="Q994" i="6"/>
  <c r="U994" i="6" s="1"/>
  <c r="Q963" i="6"/>
  <c r="U963" i="6" s="1"/>
  <c r="Q664" i="6"/>
  <c r="U664" i="6" s="1"/>
  <c r="S96" i="6"/>
  <c r="T96" i="6" s="1"/>
  <c r="Q178" i="6"/>
  <c r="U178" i="6" s="1"/>
  <c r="Q879" i="6"/>
  <c r="U879" i="6" s="1"/>
  <c r="Q1310" i="6"/>
  <c r="U1310" i="6" s="1"/>
  <c r="Q1327" i="6"/>
  <c r="U1327" i="6" s="1"/>
  <c r="Q291" i="6"/>
  <c r="U291" i="6" s="1"/>
  <c r="Q210" i="6"/>
  <c r="U210" i="6" s="1"/>
  <c r="Q278" i="6"/>
  <c r="U278" i="6" s="1"/>
  <c r="Q549" i="6"/>
  <c r="U549" i="6" s="1"/>
  <c r="Q1612" i="6"/>
  <c r="U1612" i="6" s="1"/>
  <c r="O133" i="6"/>
  <c r="O123" i="6"/>
  <c r="Q1062" i="6"/>
  <c r="U1062" i="6" s="1"/>
  <c r="Q162" i="6"/>
  <c r="U162" i="6" s="1"/>
  <c r="Q545" i="6"/>
  <c r="U545" i="6" s="1"/>
  <c r="Q1535" i="6"/>
  <c r="U1535" i="6" s="1"/>
  <c r="S37" i="6"/>
  <c r="T37" i="6" s="1"/>
  <c r="M23" i="6"/>
  <c r="J133" i="6"/>
  <c r="M133" i="6" s="1"/>
  <c r="N123" i="6"/>
  <c r="Q1399" i="6"/>
  <c r="U1399" i="6" s="1"/>
  <c r="Q148" i="6"/>
  <c r="U148" i="6" s="1"/>
  <c r="Q238" i="6"/>
  <c r="U238" i="6" s="1"/>
  <c r="Q439" i="6"/>
  <c r="U439" i="6" s="1"/>
  <c r="S47" i="6"/>
  <c r="T47" i="6" s="1"/>
  <c r="U1072" i="6"/>
  <c r="Q557" i="6"/>
  <c r="U557" i="6" s="1"/>
  <c r="Q1516" i="6"/>
  <c r="U1516" i="6" s="1"/>
  <c r="Q1337" i="6"/>
  <c r="U1337" i="6" s="1"/>
  <c r="Q445" i="6"/>
  <c r="U445" i="6" s="1"/>
  <c r="Q1564" i="6"/>
  <c r="U1564" i="6" s="1"/>
  <c r="Q1539" i="6"/>
  <c r="U1539" i="6" s="1"/>
  <c r="Q295" i="6"/>
  <c r="U295" i="6" s="1"/>
  <c r="Q242" i="6"/>
  <c r="U242" i="6" s="1"/>
  <c r="M47" i="6"/>
  <c r="U946" i="6"/>
  <c r="U391" i="6"/>
  <c r="J27" i="6"/>
  <c r="M27" i="6" s="1"/>
  <c r="Q577" i="6"/>
  <c r="U577" i="6" s="1"/>
  <c r="Q163" i="6"/>
  <c r="U163" i="6" s="1"/>
  <c r="N97" i="6"/>
  <c r="Q1460" i="6"/>
  <c r="U1460" i="6" s="1"/>
  <c r="Q1288" i="6"/>
  <c r="U1288" i="6" s="1"/>
  <c r="Q651" i="6"/>
  <c r="U651" i="6" s="1"/>
  <c r="Q564" i="6"/>
  <c r="U564" i="6" s="1"/>
  <c r="Q1127" i="6"/>
  <c r="U1127" i="6" s="1"/>
  <c r="Q652" i="6"/>
  <c r="U652" i="6" s="1"/>
  <c r="M54" i="6"/>
  <c r="N54" i="6"/>
  <c r="S81" i="6"/>
  <c r="T81" i="6" s="1"/>
  <c r="N78" i="6"/>
  <c r="Q78" i="6" s="1"/>
  <c r="Q480" i="6"/>
  <c r="U480" i="6" s="1"/>
  <c r="Q1470" i="6"/>
  <c r="U1470" i="6" s="1"/>
  <c r="Q410" i="6"/>
  <c r="U410" i="6" s="1"/>
  <c r="M24" i="6"/>
  <c r="M104" i="6"/>
  <c r="S26" i="6"/>
  <c r="T26" i="6" s="1"/>
  <c r="M74" i="6"/>
  <c r="S82" i="6"/>
  <c r="T82" i="6" s="1"/>
  <c r="Q688" i="6"/>
  <c r="U688" i="6" s="1"/>
  <c r="O54" i="6"/>
  <c r="N74" i="6"/>
  <c r="Q74" i="6" s="1"/>
  <c r="Q169" i="6"/>
  <c r="U169" i="6" s="1"/>
  <c r="Q1633" i="6"/>
  <c r="U1633" i="6" s="1"/>
  <c r="Q1498" i="6"/>
  <c r="U1498" i="6" s="1"/>
  <c r="Q1244" i="6"/>
  <c r="U1244" i="6" s="1"/>
  <c r="S121" i="6"/>
  <c r="T121" i="6" s="1"/>
  <c r="Q277" i="6"/>
  <c r="U277" i="6" s="1"/>
  <c r="Q1632" i="6"/>
  <c r="U1632" i="6" s="1"/>
  <c r="S79" i="6"/>
  <c r="T79" i="6" s="1"/>
  <c r="N29" i="6"/>
  <c r="Q1025" i="6"/>
  <c r="U1025" i="6" s="1"/>
  <c r="Q887" i="6"/>
  <c r="U887" i="6" s="1"/>
  <c r="Q635" i="6"/>
  <c r="U635" i="6" s="1"/>
  <c r="Q423" i="6"/>
  <c r="U423" i="6" s="1"/>
  <c r="M93" i="6"/>
  <c r="O97" i="6"/>
  <c r="Q958" i="6"/>
  <c r="U958" i="6" s="1"/>
  <c r="N25" i="6"/>
  <c r="S78" i="6"/>
  <c r="T78" i="6" s="1"/>
  <c r="N82" i="6"/>
  <c r="Q82" i="6" s="1"/>
  <c r="Q996" i="6"/>
  <c r="U996" i="6" s="1"/>
  <c r="Q674" i="6"/>
  <c r="U674" i="6" s="1"/>
  <c r="Q101" i="6"/>
  <c r="Q1044" i="6"/>
  <c r="U1044" i="6" s="1"/>
  <c r="R662" i="6"/>
  <c r="S662" i="6" s="1"/>
  <c r="T662" i="6" s="1"/>
  <c r="P662" i="6"/>
  <c r="Q662" i="6" s="1"/>
  <c r="U662" i="6" s="1"/>
  <c r="Q226" i="6"/>
  <c r="U226" i="6" s="1"/>
  <c r="Q18" i="6"/>
  <c r="U18" i="6" s="1"/>
  <c r="Q1203" i="6"/>
  <c r="U1203" i="6" s="1"/>
  <c r="Q1212" i="6"/>
  <c r="U1212" i="6" s="1"/>
  <c r="Q1371" i="6"/>
  <c r="U1371" i="6" s="1"/>
  <c r="Q1591" i="6"/>
  <c r="U1591" i="6" s="1"/>
  <c r="Q1471" i="6"/>
  <c r="U1471" i="6" s="1"/>
  <c r="Q1397" i="6"/>
  <c r="U1397" i="6" s="1"/>
  <c r="Q1599" i="6"/>
  <c r="U1599" i="6" s="1"/>
  <c r="Q1344" i="6"/>
  <c r="U1344" i="6" s="1"/>
  <c r="Q859" i="6"/>
  <c r="U859" i="6" s="1"/>
  <c r="Q1059" i="6"/>
  <c r="U1059" i="6" s="1"/>
  <c r="Q1234" i="6"/>
  <c r="U1234" i="6" s="1"/>
  <c r="Q847" i="6"/>
  <c r="U847" i="6" s="1"/>
  <c r="Q746" i="6"/>
  <c r="U746" i="6" s="1"/>
  <c r="J103" i="6"/>
  <c r="M103" i="6" s="1"/>
  <c r="J40" i="6"/>
  <c r="M40" i="6" s="1"/>
  <c r="Q925" i="6"/>
  <c r="U925" i="6" s="1"/>
  <c r="R1278" i="6"/>
  <c r="S1278" i="6" s="1"/>
  <c r="T1278" i="6" s="1"/>
  <c r="P1278" i="6"/>
  <c r="R660" i="6"/>
  <c r="S660" i="6" s="1"/>
  <c r="T660" i="6" s="1"/>
  <c r="P660" i="6"/>
  <c r="R893" i="6"/>
  <c r="S893" i="6" s="1"/>
  <c r="T893" i="6" s="1"/>
  <c r="P893" i="6"/>
  <c r="Q883" i="6"/>
  <c r="U883" i="6" s="1"/>
  <c r="R1595" i="6"/>
  <c r="S1595" i="6" s="1"/>
  <c r="T1595" i="6" s="1"/>
  <c r="P1595" i="6"/>
  <c r="Q1595" i="6" s="1"/>
  <c r="U1595" i="6" s="1"/>
  <c r="P1240" i="6"/>
  <c r="Q1240" i="6" s="1"/>
  <c r="U1240" i="6" s="1"/>
  <c r="R1240" i="6"/>
  <c r="S1240" i="6" s="1"/>
  <c r="T1240" i="6" s="1"/>
  <c r="N26" i="6"/>
  <c r="Q26" i="6" s="1"/>
  <c r="P623" i="6"/>
  <c r="Q623" i="6" s="1"/>
  <c r="U623" i="6" s="1"/>
  <c r="R623" i="6"/>
  <c r="S623" i="6" s="1"/>
  <c r="T623" i="6" s="1"/>
  <c r="Q1061" i="6"/>
  <c r="U1061" i="6" s="1"/>
  <c r="R1488" i="6"/>
  <c r="S1488" i="6" s="1"/>
  <c r="T1488" i="6" s="1"/>
  <c r="P1488" i="6"/>
  <c r="P820" i="6"/>
  <c r="Q820" i="6" s="1"/>
  <c r="U820" i="6" s="1"/>
  <c r="R820" i="6"/>
  <c r="S820" i="6" s="1"/>
  <c r="T820" i="6" s="1"/>
  <c r="R587" i="6"/>
  <c r="S587" i="6" s="1"/>
  <c r="T587" i="6" s="1"/>
  <c r="P587" i="6"/>
  <c r="Q587" i="6" s="1"/>
  <c r="U587" i="6" s="1"/>
  <c r="M20" i="6"/>
  <c r="N20" i="6"/>
  <c r="N136" i="6"/>
  <c r="Q136" i="6" s="1"/>
  <c r="U136" i="6" s="1"/>
  <c r="M136" i="6"/>
  <c r="R526" i="6"/>
  <c r="S526" i="6" s="1"/>
  <c r="T526" i="6" s="1"/>
  <c r="P526" i="6"/>
  <c r="S120" i="6"/>
  <c r="T120" i="6" s="1"/>
  <c r="M120" i="6"/>
  <c r="N120" i="6"/>
  <c r="Q120" i="6" s="1"/>
  <c r="P1071" i="6"/>
  <c r="Q1071" i="6" s="1"/>
  <c r="U1071" i="6" s="1"/>
  <c r="R1071" i="6"/>
  <c r="S1071" i="6" s="1"/>
  <c r="T1071" i="6" s="1"/>
  <c r="P1003" i="6"/>
  <c r="Q1003" i="6" s="1"/>
  <c r="U1003" i="6" s="1"/>
  <c r="R1003" i="6"/>
  <c r="S1003" i="6" s="1"/>
  <c r="T1003" i="6" s="1"/>
  <c r="P1462" i="6"/>
  <c r="Q1462" i="6" s="1"/>
  <c r="U1462" i="6" s="1"/>
  <c r="R1462" i="6"/>
  <c r="S1462" i="6" s="1"/>
  <c r="T1462" i="6" s="1"/>
  <c r="P1070" i="6"/>
  <c r="R1070" i="6"/>
  <c r="S1070" i="6" s="1"/>
  <c r="T1070" i="6" s="1"/>
  <c r="Q1514" i="6"/>
  <c r="U1514" i="6" s="1"/>
  <c r="P697" i="6"/>
  <c r="Q697" i="6" s="1"/>
  <c r="U697" i="6" s="1"/>
  <c r="R697" i="6"/>
  <c r="S697" i="6" s="1"/>
  <c r="T697" i="6" s="1"/>
  <c r="R1542" i="6"/>
  <c r="S1542" i="6" s="1"/>
  <c r="T1542" i="6" s="1"/>
  <c r="P1542" i="6"/>
  <c r="Q1542" i="6" s="1"/>
  <c r="U1542" i="6" s="1"/>
  <c r="R1245" i="6"/>
  <c r="S1245" i="6" s="1"/>
  <c r="T1245" i="6" s="1"/>
  <c r="P1245" i="6"/>
  <c r="R1104" i="6"/>
  <c r="S1104" i="6" s="1"/>
  <c r="T1104" i="6" s="1"/>
  <c r="P1104" i="6"/>
  <c r="P803" i="6"/>
  <c r="R803" i="6"/>
  <c r="S803" i="6" s="1"/>
  <c r="T803" i="6" s="1"/>
  <c r="N109" i="6"/>
  <c r="Q109" i="6" s="1"/>
  <c r="M109" i="6"/>
  <c r="R975" i="6"/>
  <c r="S975" i="6" s="1"/>
  <c r="T975" i="6" s="1"/>
  <c r="P975" i="6"/>
  <c r="Q975" i="6" s="1"/>
  <c r="U975" i="6" s="1"/>
  <c r="P533" i="6"/>
  <c r="R533" i="6"/>
  <c r="S533" i="6" s="1"/>
  <c r="T533" i="6" s="1"/>
  <c r="P1160" i="6"/>
  <c r="R1160" i="6"/>
  <c r="S1160" i="6" s="1"/>
  <c r="T1160" i="6" s="1"/>
  <c r="R998" i="6"/>
  <c r="S998" i="6" s="1"/>
  <c r="T998" i="6" s="1"/>
  <c r="P998" i="6"/>
  <c r="Q998" i="6" s="1"/>
  <c r="U998" i="6" s="1"/>
  <c r="P368" i="6"/>
  <c r="Q368" i="6" s="1"/>
  <c r="U368" i="6" s="1"/>
  <c r="R368" i="6"/>
  <c r="S368" i="6" s="1"/>
  <c r="T368" i="6" s="1"/>
  <c r="Q1133" i="6"/>
  <c r="U1133" i="6" s="1"/>
  <c r="Q1435" i="6"/>
  <c r="U1435" i="6" s="1"/>
  <c r="Q1457" i="6"/>
  <c r="U1457" i="6" s="1"/>
  <c r="Q1493" i="6"/>
  <c r="U1493" i="6" s="1"/>
  <c r="Q1042" i="6"/>
  <c r="U1042" i="6" s="1"/>
  <c r="Q435" i="6"/>
  <c r="U435" i="6" s="1"/>
  <c r="Q1313" i="6"/>
  <c r="U1313" i="6" s="1"/>
  <c r="Q572" i="6"/>
  <c r="U572" i="6" s="1"/>
  <c r="Q560" i="6"/>
  <c r="U560" i="6" s="1"/>
  <c r="Q1346" i="6"/>
  <c r="U1346" i="6" s="1"/>
  <c r="Q1077" i="6"/>
  <c r="U1077" i="6" s="1"/>
  <c r="Q1550" i="6"/>
  <c r="U1550" i="6" s="1"/>
  <c r="Q87" i="6"/>
  <c r="U87" i="6" s="1"/>
  <c r="Q848" i="6"/>
  <c r="U848" i="6" s="1"/>
  <c r="Q1436" i="6"/>
  <c r="U1436" i="6" s="1"/>
  <c r="Q1528" i="6"/>
  <c r="U1528" i="6" s="1"/>
  <c r="S95" i="6"/>
  <c r="T95" i="6" s="1"/>
  <c r="J134" i="6"/>
  <c r="Q886" i="6"/>
  <c r="U886" i="6" s="1"/>
  <c r="Q792" i="6"/>
  <c r="U792" i="6" s="1"/>
  <c r="Q795" i="6"/>
  <c r="U795" i="6" s="1"/>
  <c r="Q656" i="6"/>
  <c r="U656" i="6" s="1"/>
  <c r="Q1401" i="6"/>
  <c r="U1401" i="6" s="1"/>
  <c r="Q1075" i="6"/>
  <c r="U1075" i="6" s="1"/>
  <c r="Q194" i="6"/>
  <c r="U194" i="6" s="1"/>
  <c r="Q1627" i="6"/>
  <c r="U1627" i="6" s="1"/>
  <c r="Q934" i="6"/>
  <c r="U934" i="6" s="1"/>
  <c r="S88" i="6"/>
  <c r="T88" i="6" s="1"/>
  <c r="S101" i="6"/>
  <c r="T101" i="6" s="1"/>
  <c r="Q1545" i="6"/>
  <c r="U1545" i="6" s="1"/>
  <c r="Q1279" i="6"/>
  <c r="U1279" i="6" s="1"/>
  <c r="Q802" i="6"/>
  <c r="U802" i="6" s="1"/>
  <c r="Q1276" i="6"/>
  <c r="U1276" i="6" s="1"/>
  <c r="Q1513" i="6"/>
  <c r="U1513" i="6" s="1"/>
  <c r="Q1284" i="6"/>
  <c r="U1284" i="6" s="1"/>
  <c r="Q912" i="6"/>
  <c r="U912" i="6" s="1"/>
  <c r="Q989" i="6"/>
  <c r="U989" i="6" s="1"/>
  <c r="Q1531" i="6"/>
  <c r="U1531" i="6" s="1"/>
  <c r="Q892" i="6"/>
  <c r="U892" i="6" s="1"/>
  <c r="Q1487" i="6"/>
  <c r="U1487" i="6" s="1"/>
  <c r="Q536" i="6"/>
  <c r="U536" i="6" s="1"/>
  <c r="Q924" i="6"/>
  <c r="U924" i="6" s="1"/>
  <c r="Q1637" i="6"/>
  <c r="U1637" i="6" s="1"/>
  <c r="Q1304" i="6"/>
  <c r="U1304" i="6" s="1"/>
  <c r="M1643" i="6"/>
  <c r="M1641" i="6"/>
  <c r="R114" i="6"/>
  <c r="P114" i="6"/>
  <c r="R1340" i="6"/>
  <c r="S1340" i="6" s="1"/>
  <c r="T1340" i="6" s="1"/>
  <c r="P1340" i="6"/>
  <c r="Q1340" i="6" s="1"/>
  <c r="U1340" i="6" s="1"/>
  <c r="R1316" i="6"/>
  <c r="S1316" i="6" s="1"/>
  <c r="T1316" i="6" s="1"/>
  <c r="P1316" i="6"/>
  <c r="Q1316" i="6" s="1"/>
  <c r="U1316" i="6" s="1"/>
  <c r="P1292" i="6"/>
  <c r="Q1292" i="6" s="1"/>
  <c r="U1292" i="6" s="1"/>
  <c r="R1292" i="6"/>
  <c r="S1292" i="6" s="1"/>
  <c r="T1292" i="6" s="1"/>
  <c r="P1280" i="6"/>
  <c r="R1280" i="6"/>
  <c r="S1280" i="6" s="1"/>
  <c r="T1280" i="6" s="1"/>
  <c r="R1157" i="6"/>
  <c r="S1157" i="6" s="1"/>
  <c r="T1157" i="6" s="1"/>
  <c r="P1157" i="6"/>
  <c r="Q1157" i="6" s="1"/>
  <c r="U1157" i="6" s="1"/>
  <c r="R1136" i="6"/>
  <c r="S1136" i="6" s="1"/>
  <c r="T1136" i="6" s="1"/>
  <c r="P1136" i="6"/>
  <c r="R1124" i="6"/>
  <c r="S1124" i="6" s="1"/>
  <c r="T1124" i="6" s="1"/>
  <c r="P1124" i="6"/>
  <c r="P822" i="6"/>
  <c r="Q822" i="6" s="1"/>
  <c r="U822" i="6" s="1"/>
  <c r="R822" i="6"/>
  <c r="S822" i="6" s="1"/>
  <c r="T822" i="6" s="1"/>
  <c r="P632" i="6"/>
  <c r="Q632" i="6" s="1"/>
  <c r="U632" i="6" s="1"/>
  <c r="R632" i="6"/>
  <c r="S632" i="6" s="1"/>
  <c r="T632" i="6" s="1"/>
  <c r="P517" i="6"/>
  <c r="Q517" i="6" s="1"/>
  <c r="U517" i="6" s="1"/>
  <c r="R517" i="6"/>
  <c r="S517" i="6" s="1"/>
  <c r="T517" i="6" s="1"/>
  <c r="R1363" i="6"/>
  <c r="S1363" i="6" s="1"/>
  <c r="T1363" i="6" s="1"/>
  <c r="P1363" i="6"/>
  <c r="Q1363" i="6" s="1"/>
  <c r="U1363" i="6" s="1"/>
  <c r="P867" i="6"/>
  <c r="Q867" i="6" s="1"/>
  <c r="U867" i="6" s="1"/>
  <c r="R867" i="6"/>
  <c r="S867" i="6" s="1"/>
  <c r="T867" i="6" s="1"/>
  <c r="R855" i="6"/>
  <c r="S855" i="6" s="1"/>
  <c r="T855" i="6" s="1"/>
  <c r="P855" i="6"/>
  <c r="Q855" i="6" s="1"/>
  <c r="U855" i="6" s="1"/>
  <c r="R752" i="6"/>
  <c r="S752" i="6" s="1"/>
  <c r="T752" i="6" s="1"/>
  <c r="P752" i="6"/>
  <c r="Q752" i="6" s="1"/>
  <c r="U752" i="6" s="1"/>
  <c r="R641" i="6"/>
  <c r="S641" i="6" s="1"/>
  <c r="T641" i="6" s="1"/>
  <c r="P641" i="6"/>
  <c r="Q641" i="6" s="1"/>
  <c r="U641" i="6" s="1"/>
  <c r="R365" i="6"/>
  <c r="S365" i="6" s="1"/>
  <c r="T365" i="6" s="1"/>
  <c r="P365" i="6"/>
  <c r="Q365" i="6" s="1"/>
  <c r="U365" i="6" s="1"/>
  <c r="P354" i="6"/>
  <c r="Q354" i="6" s="1"/>
  <c r="U354" i="6" s="1"/>
  <c r="R354" i="6"/>
  <c r="S354" i="6" s="1"/>
  <c r="T354" i="6" s="1"/>
  <c r="R342" i="6"/>
  <c r="S342" i="6" s="1"/>
  <c r="T342" i="6" s="1"/>
  <c r="P342" i="6"/>
  <c r="Q342" i="6" s="1"/>
  <c r="U342" i="6" s="1"/>
  <c r="R331" i="6"/>
  <c r="S331" i="6" s="1"/>
  <c r="T331" i="6" s="1"/>
  <c r="P331" i="6"/>
  <c r="Q331" i="6" s="1"/>
  <c r="U331" i="6" s="1"/>
  <c r="P188" i="6"/>
  <c r="Q188" i="6" s="1"/>
  <c r="U188" i="6" s="1"/>
  <c r="R188" i="6"/>
  <c r="S188" i="6" s="1"/>
  <c r="T188" i="6" s="1"/>
  <c r="R1304" i="6"/>
  <c r="S1304" i="6" s="1"/>
  <c r="T1304" i="6" s="1"/>
  <c r="P1247" i="6"/>
  <c r="Q1247" i="6" s="1"/>
  <c r="U1247" i="6" s="1"/>
  <c r="Q215" i="6"/>
  <c r="U215" i="6" s="1"/>
  <c r="R1590" i="6"/>
  <c r="S1590" i="6" s="1"/>
  <c r="T1590" i="6" s="1"/>
  <c r="P1590" i="6"/>
  <c r="Q1590" i="6" s="1"/>
  <c r="U1590" i="6" s="1"/>
  <c r="R1512" i="6"/>
  <c r="S1512" i="6" s="1"/>
  <c r="T1512" i="6" s="1"/>
  <c r="P1512" i="6"/>
  <c r="P1466" i="6"/>
  <c r="Q1466" i="6" s="1"/>
  <c r="U1466" i="6" s="1"/>
  <c r="R1466" i="6"/>
  <c r="S1466" i="6" s="1"/>
  <c r="T1466" i="6" s="1"/>
  <c r="P1455" i="6"/>
  <c r="Q1455" i="6" s="1"/>
  <c r="U1455" i="6" s="1"/>
  <c r="R1455" i="6"/>
  <c r="S1455" i="6" s="1"/>
  <c r="T1455" i="6" s="1"/>
  <c r="R1443" i="6"/>
  <c r="S1443" i="6" s="1"/>
  <c r="T1443" i="6" s="1"/>
  <c r="P1443" i="6"/>
  <c r="Q1443" i="6" s="1"/>
  <c r="U1443" i="6" s="1"/>
  <c r="P1408" i="6"/>
  <c r="R1408" i="6"/>
  <c r="S1408" i="6" s="1"/>
  <c r="T1408" i="6" s="1"/>
  <c r="P1384" i="6"/>
  <c r="Q1384" i="6" s="1"/>
  <c r="U1384" i="6" s="1"/>
  <c r="R1384" i="6"/>
  <c r="S1384" i="6" s="1"/>
  <c r="T1384" i="6" s="1"/>
  <c r="P1374" i="6"/>
  <c r="R1374" i="6"/>
  <c r="S1374" i="6" s="1"/>
  <c r="T1374" i="6" s="1"/>
  <c r="R877" i="6"/>
  <c r="S877" i="6" s="1"/>
  <c r="T877" i="6" s="1"/>
  <c r="P877" i="6"/>
  <c r="Q877" i="6" s="1"/>
  <c r="U877" i="6" s="1"/>
  <c r="P561" i="6"/>
  <c r="Q561" i="6" s="1"/>
  <c r="U561" i="6" s="1"/>
  <c r="R561" i="6"/>
  <c r="S561" i="6" s="1"/>
  <c r="T561" i="6" s="1"/>
  <c r="R364" i="6"/>
  <c r="S364" i="6" s="1"/>
  <c r="T364" i="6" s="1"/>
  <c r="P364" i="6"/>
  <c r="Q364" i="6" s="1"/>
  <c r="U364" i="6" s="1"/>
  <c r="R271" i="6"/>
  <c r="S271" i="6" s="1"/>
  <c r="T271" i="6" s="1"/>
  <c r="P271" i="6"/>
  <c r="Q271" i="6" s="1"/>
  <c r="U271" i="6" s="1"/>
  <c r="R211" i="6"/>
  <c r="S211" i="6" s="1"/>
  <c r="T211" i="6" s="1"/>
  <c r="P211" i="6"/>
  <c r="Q211" i="6" s="1"/>
  <c r="U211" i="6" s="1"/>
  <c r="Q667" i="6"/>
  <c r="U667" i="6" s="1"/>
  <c r="P1532" i="6"/>
  <c r="Q1532" i="6" s="1"/>
  <c r="U1532" i="6" s="1"/>
  <c r="R1532" i="6"/>
  <c r="S1532" i="6" s="1"/>
  <c r="T1532" i="6" s="1"/>
  <c r="P1200" i="6"/>
  <c r="Q1200" i="6" s="1"/>
  <c r="U1200" i="6" s="1"/>
  <c r="R1200" i="6"/>
  <c r="S1200" i="6" s="1"/>
  <c r="T1200" i="6" s="1"/>
  <c r="P888" i="6"/>
  <c r="R888" i="6"/>
  <c r="S888" i="6" s="1"/>
  <c r="T888" i="6" s="1"/>
  <c r="R671" i="6"/>
  <c r="S671" i="6" s="1"/>
  <c r="T671" i="6" s="1"/>
  <c r="P671" i="6"/>
  <c r="Q671" i="6" s="1"/>
  <c r="U671" i="6" s="1"/>
  <c r="P548" i="6"/>
  <c r="Q548" i="6" s="1"/>
  <c r="U548" i="6" s="1"/>
  <c r="R548" i="6"/>
  <c r="S548" i="6" s="1"/>
  <c r="T548" i="6" s="1"/>
  <c r="R422" i="6"/>
  <c r="S422" i="6" s="1"/>
  <c r="T422" i="6" s="1"/>
  <c r="P422" i="6"/>
  <c r="Q422" i="6" s="1"/>
  <c r="U422" i="6" s="1"/>
  <c r="P374" i="6"/>
  <c r="Q374" i="6" s="1"/>
  <c r="U374" i="6" s="1"/>
  <c r="R374" i="6"/>
  <c r="S374" i="6" s="1"/>
  <c r="T374" i="6" s="1"/>
  <c r="P234" i="6"/>
  <c r="Q234" i="6" s="1"/>
  <c r="U234" i="6" s="1"/>
  <c r="R234" i="6"/>
  <c r="S234" i="6" s="1"/>
  <c r="T234" i="6" s="1"/>
  <c r="Q1565" i="6"/>
  <c r="U1565" i="6" s="1"/>
  <c r="P1146" i="6"/>
  <c r="Q1146" i="6" s="1"/>
  <c r="U1146" i="6" s="1"/>
  <c r="R99" i="6"/>
  <c r="S99" i="6" s="1"/>
  <c r="T99" i="6" s="1"/>
  <c r="R1625" i="6"/>
  <c r="S1625" i="6" s="1"/>
  <c r="T1625" i="6" s="1"/>
  <c r="P1163" i="6"/>
  <c r="Q1163" i="6" s="1"/>
  <c r="U1163" i="6" s="1"/>
  <c r="R1163" i="6"/>
  <c r="S1163" i="6" s="1"/>
  <c r="T1163" i="6" s="1"/>
  <c r="P898" i="6"/>
  <c r="Q898" i="6" s="1"/>
  <c r="U898" i="6" s="1"/>
  <c r="R898" i="6"/>
  <c r="S898" i="6" s="1"/>
  <c r="T898" i="6" s="1"/>
  <c r="R830" i="6"/>
  <c r="S830" i="6" s="1"/>
  <c r="T830" i="6" s="1"/>
  <c r="P830" i="6"/>
  <c r="Q830" i="6" s="1"/>
  <c r="U830" i="6" s="1"/>
  <c r="R670" i="6"/>
  <c r="S670" i="6" s="1"/>
  <c r="T670" i="6" s="1"/>
  <c r="P670" i="6"/>
  <c r="Q670" i="6" s="1"/>
  <c r="U670" i="6" s="1"/>
  <c r="R397" i="6"/>
  <c r="S397" i="6" s="1"/>
  <c r="T397" i="6" s="1"/>
  <c r="P397" i="6"/>
  <c r="Q397" i="6" s="1"/>
  <c r="U397" i="6" s="1"/>
  <c r="P385" i="6"/>
  <c r="Q385" i="6" s="1"/>
  <c r="U385" i="6" s="1"/>
  <c r="R385" i="6"/>
  <c r="S385" i="6" s="1"/>
  <c r="T385" i="6" s="1"/>
  <c r="P293" i="6"/>
  <c r="Q293" i="6" s="1"/>
  <c r="U293" i="6" s="1"/>
  <c r="R293" i="6"/>
  <c r="S293" i="6" s="1"/>
  <c r="T293" i="6" s="1"/>
  <c r="P621" i="6"/>
  <c r="R621" i="6"/>
  <c r="S621" i="6" s="1"/>
  <c r="T621" i="6" s="1"/>
  <c r="Q1041" i="6"/>
  <c r="U1041" i="6" s="1"/>
  <c r="P1352" i="6"/>
  <c r="Q1352" i="6" s="1"/>
  <c r="U1352" i="6" s="1"/>
  <c r="P610" i="6"/>
  <c r="R920" i="6"/>
  <c r="S920" i="6" s="1"/>
  <c r="T920" i="6" s="1"/>
  <c r="P920" i="6"/>
  <c r="Q920" i="6" s="1"/>
  <c r="U920" i="6" s="1"/>
  <c r="R909" i="6"/>
  <c r="S909" i="6" s="1"/>
  <c r="T909" i="6" s="1"/>
  <c r="P909" i="6"/>
  <c r="R736" i="6"/>
  <c r="S736" i="6" s="1"/>
  <c r="T736" i="6" s="1"/>
  <c r="P736" i="6"/>
  <c r="Q736" i="6" s="1"/>
  <c r="U736" i="6" s="1"/>
  <c r="P713" i="6"/>
  <c r="Q713" i="6" s="1"/>
  <c r="U713" i="6" s="1"/>
  <c r="R713" i="6"/>
  <c r="S713" i="6" s="1"/>
  <c r="T713" i="6" s="1"/>
  <c r="P501" i="6"/>
  <c r="Q501" i="6" s="1"/>
  <c r="U501" i="6" s="1"/>
  <c r="R501" i="6"/>
  <c r="S501" i="6" s="1"/>
  <c r="T501" i="6" s="1"/>
  <c r="P100" i="6"/>
  <c r="R100" i="6"/>
  <c r="S100" i="6" s="1"/>
  <c r="T100" i="6" s="1"/>
  <c r="P1112" i="6"/>
  <c r="Q249" i="6"/>
  <c r="U249" i="6" s="1"/>
  <c r="R1242" i="6"/>
  <c r="S1242" i="6" s="1"/>
  <c r="T1242" i="6" s="1"/>
  <c r="P1242" i="6"/>
  <c r="Q1242" i="6" s="1"/>
  <c r="U1242" i="6" s="1"/>
  <c r="R1220" i="6"/>
  <c r="S1220" i="6" s="1"/>
  <c r="T1220" i="6" s="1"/>
  <c r="P1220" i="6"/>
  <c r="Q1220" i="6" s="1"/>
  <c r="U1220" i="6" s="1"/>
  <c r="R747" i="6"/>
  <c r="S747" i="6" s="1"/>
  <c r="T747" i="6" s="1"/>
  <c r="P747" i="6"/>
  <c r="Q747" i="6" s="1"/>
  <c r="U747" i="6" s="1"/>
  <c r="R569" i="6"/>
  <c r="S569" i="6" s="1"/>
  <c r="T569" i="6" s="1"/>
  <c r="P569" i="6"/>
  <c r="Q569" i="6" s="1"/>
  <c r="U569" i="6" s="1"/>
  <c r="P267" i="6"/>
  <c r="Q267" i="6" s="1"/>
  <c r="U267" i="6" s="1"/>
  <c r="R267" i="6"/>
  <c r="S267" i="6" s="1"/>
  <c r="T267" i="6" s="1"/>
  <c r="R255" i="6"/>
  <c r="S255" i="6" s="1"/>
  <c r="T255" i="6" s="1"/>
  <c r="P255" i="6"/>
  <c r="R961" i="6"/>
  <c r="S961" i="6" s="1"/>
  <c r="T961" i="6" s="1"/>
  <c r="P961" i="6"/>
  <c r="Q961" i="6" s="1"/>
  <c r="U961" i="6" s="1"/>
  <c r="P951" i="6"/>
  <c r="R951" i="6"/>
  <c r="S951" i="6" s="1"/>
  <c r="T951" i="6" s="1"/>
  <c r="R794" i="6"/>
  <c r="S794" i="6" s="1"/>
  <c r="T794" i="6" s="1"/>
  <c r="P794" i="6"/>
  <c r="Q794" i="6" s="1"/>
  <c r="U794" i="6" s="1"/>
  <c r="P770" i="6"/>
  <c r="Q770" i="6" s="1"/>
  <c r="U770" i="6" s="1"/>
  <c r="R770" i="6"/>
  <c r="S770" i="6" s="1"/>
  <c r="T770" i="6" s="1"/>
  <c r="P758" i="6"/>
  <c r="Q758" i="6" s="1"/>
  <c r="U758" i="6" s="1"/>
  <c r="R758" i="6"/>
  <c r="S758" i="6" s="1"/>
  <c r="T758" i="6" s="1"/>
  <c r="R591" i="6"/>
  <c r="S591" i="6" s="1"/>
  <c r="T591" i="6" s="1"/>
  <c r="P591" i="6"/>
  <c r="P499" i="6"/>
  <c r="Q499" i="6" s="1"/>
  <c r="U499" i="6" s="1"/>
  <c r="R499" i="6"/>
  <c r="S499" i="6" s="1"/>
  <c r="T499" i="6" s="1"/>
  <c r="R266" i="6"/>
  <c r="S266" i="6" s="1"/>
  <c r="T266" i="6" s="1"/>
  <c r="P266" i="6"/>
  <c r="Q266" i="6" s="1"/>
  <c r="U266" i="6" s="1"/>
  <c r="Q47" i="6"/>
  <c r="Q1043" i="6"/>
  <c r="U1043" i="6" s="1"/>
  <c r="Q1097" i="6"/>
  <c r="U1097" i="6" s="1"/>
  <c r="R297" i="6"/>
  <c r="S297" i="6" s="1"/>
  <c r="T297" i="6" s="1"/>
  <c r="R1607" i="6"/>
  <c r="S1607" i="6" s="1"/>
  <c r="T1607" i="6" s="1"/>
  <c r="P1607" i="6"/>
  <c r="Q1607" i="6" s="1"/>
  <c r="U1607" i="6" s="1"/>
  <c r="P1251" i="6"/>
  <c r="Q1251" i="6" s="1"/>
  <c r="U1251" i="6" s="1"/>
  <c r="R1251" i="6"/>
  <c r="S1251" i="6" s="1"/>
  <c r="T1251" i="6" s="1"/>
  <c r="R1206" i="6"/>
  <c r="S1206" i="6" s="1"/>
  <c r="T1206" i="6" s="1"/>
  <c r="P1206" i="6"/>
  <c r="Q1206" i="6" s="1"/>
  <c r="U1206" i="6" s="1"/>
  <c r="R1015" i="6"/>
  <c r="S1015" i="6" s="1"/>
  <c r="T1015" i="6" s="1"/>
  <c r="P1015" i="6"/>
  <c r="Q1015" i="6" s="1"/>
  <c r="U1015" i="6" s="1"/>
  <c r="P567" i="6"/>
  <c r="Q567" i="6" s="1"/>
  <c r="U567" i="6" s="1"/>
  <c r="R567" i="6"/>
  <c r="S567" i="6" s="1"/>
  <c r="T567" i="6" s="1"/>
  <c r="R474" i="6"/>
  <c r="S474" i="6" s="1"/>
  <c r="T474" i="6" s="1"/>
  <c r="P474" i="6"/>
  <c r="P451" i="6"/>
  <c r="Q451" i="6" s="1"/>
  <c r="U451" i="6" s="1"/>
  <c r="R451" i="6"/>
  <c r="S451" i="6" s="1"/>
  <c r="T451" i="6" s="1"/>
  <c r="P16" i="6"/>
  <c r="Q1109" i="6"/>
  <c r="U1109" i="6" s="1"/>
  <c r="Q221" i="6"/>
  <c r="U221" i="6" s="1"/>
  <c r="P1205" i="6"/>
  <c r="Q1205" i="6" s="1"/>
  <c r="U1205" i="6" s="1"/>
  <c r="R1205" i="6"/>
  <c r="S1205" i="6" s="1"/>
  <c r="T1205" i="6" s="1"/>
  <c r="R358" i="6"/>
  <c r="S358" i="6" s="1"/>
  <c r="T358" i="6" s="1"/>
  <c r="P358" i="6"/>
  <c r="P252" i="6"/>
  <c r="Q252" i="6" s="1"/>
  <c r="U252" i="6" s="1"/>
  <c r="R252" i="6"/>
  <c r="S252" i="6" s="1"/>
  <c r="T252" i="6" s="1"/>
  <c r="Q701" i="6"/>
  <c r="U701" i="6" s="1"/>
  <c r="P1328" i="6"/>
  <c r="Q1328" i="6" s="1"/>
  <c r="U1328" i="6" s="1"/>
  <c r="Q165" i="6"/>
  <c r="U165" i="6" s="1"/>
  <c r="Q161" i="6"/>
  <c r="U161" i="6" s="1"/>
  <c r="R1103" i="6"/>
  <c r="S1103" i="6" s="1"/>
  <c r="T1103" i="6" s="1"/>
  <c r="P1103" i="6"/>
  <c r="Q1103" i="6" s="1"/>
  <c r="U1103" i="6" s="1"/>
  <c r="R1046" i="6"/>
  <c r="S1046" i="6" s="1"/>
  <c r="T1046" i="6" s="1"/>
  <c r="P1046" i="6"/>
  <c r="Q1046" i="6" s="1"/>
  <c r="U1046" i="6" s="1"/>
  <c r="R1034" i="6"/>
  <c r="S1034" i="6" s="1"/>
  <c r="T1034" i="6" s="1"/>
  <c r="P1034" i="6"/>
  <c r="R600" i="6"/>
  <c r="S600" i="6" s="1"/>
  <c r="T600" i="6" s="1"/>
  <c r="P600" i="6"/>
  <c r="Q600" i="6" s="1"/>
  <c r="U600" i="6" s="1"/>
  <c r="P530" i="6"/>
  <c r="R530" i="6"/>
  <c r="S530" i="6" s="1"/>
  <c r="T530" i="6" s="1"/>
  <c r="R507" i="6"/>
  <c r="S507" i="6" s="1"/>
  <c r="T507" i="6" s="1"/>
  <c r="P507" i="6"/>
  <c r="Q507" i="6" s="1"/>
  <c r="U507" i="6" s="1"/>
  <c r="R287" i="6"/>
  <c r="S287" i="6" s="1"/>
  <c r="T287" i="6" s="1"/>
  <c r="P287" i="6"/>
  <c r="Q287" i="6" s="1"/>
  <c r="U287" i="6" s="1"/>
  <c r="R811" i="6"/>
  <c r="S811" i="6" s="1"/>
  <c r="T811" i="6" s="1"/>
  <c r="R285" i="6"/>
  <c r="S285" i="6" s="1"/>
  <c r="T285" i="6" s="1"/>
  <c r="R1604" i="6"/>
  <c r="S1604" i="6" s="1"/>
  <c r="T1604" i="6" s="1"/>
  <c r="P1604" i="6"/>
  <c r="Q1604" i="6" s="1"/>
  <c r="U1604" i="6" s="1"/>
  <c r="P1270" i="6"/>
  <c r="Q1270" i="6" s="1"/>
  <c r="U1270" i="6" s="1"/>
  <c r="R1270" i="6"/>
  <c r="S1270" i="6" s="1"/>
  <c r="T1270" i="6" s="1"/>
  <c r="P1258" i="6"/>
  <c r="R1258" i="6"/>
  <c r="S1258" i="6" s="1"/>
  <c r="T1258" i="6" s="1"/>
  <c r="R1102" i="6"/>
  <c r="S1102" i="6" s="1"/>
  <c r="T1102" i="6" s="1"/>
  <c r="P1102" i="6"/>
  <c r="Q1102" i="6" s="1"/>
  <c r="U1102" i="6" s="1"/>
  <c r="P1078" i="6"/>
  <c r="Q1078" i="6" s="1"/>
  <c r="U1078" i="6" s="1"/>
  <c r="R1078" i="6"/>
  <c r="S1078" i="6" s="1"/>
  <c r="T1078" i="6" s="1"/>
  <c r="P1057" i="6"/>
  <c r="R1057" i="6"/>
  <c r="S1057" i="6" s="1"/>
  <c r="T1057" i="6" s="1"/>
  <c r="P426" i="6"/>
  <c r="Q426" i="6" s="1"/>
  <c r="U426" i="6" s="1"/>
  <c r="R426" i="6"/>
  <c r="S426" i="6" s="1"/>
  <c r="T426" i="6" s="1"/>
  <c r="P378" i="6"/>
  <c r="Q378" i="6" s="1"/>
  <c r="U378" i="6" s="1"/>
  <c r="R378" i="6"/>
  <c r="S378" i="6" s="1"/>
  <c r="T378" i="6" s="1"/>
  <c r="Q1628" i="6"/>
  <c r="U1628" i="6" s="1"/>
  <c r="Q628" i="6"/>
  <c r="U628" i="6" s="1"/>
  <c r="Q1142" i="6"/>
  <c r="U1142" i="6" s="1"/>
  <c r="Q1073" i="6"/>
  <c r="U1073" i="6" s="1"/>
  <c r="Q1527" i="6"/>
  <c r="U1527" i="6" s="1"/>
  <c r="Q1410" i="6"/>
  <c r="U1410" i="6" s="1"/>
  <c r="Q1356" i="6"/>
  <c r="U1356" i="6" s="1"/>
  <c r="Q1347" i="6"/>
  <c r="U1347" i="6" s="1"/>
  <c r="Q1169" i="6"/>
  <c r="U1169" i="6" s="1"/>
  <c r="Q1039" i="6"/>
  <c r="U1039" i="6" s="1"/>
  <c r="Q742" i="6"/>
  <c r="U742" i="6" s="1"/>
  <c r="Q647" i="6"/>
  <c r="U647" i="6" s="1"/>
  <c r="Q515" i="6"/>
  <c r="U515" i="6" s="1"/>
  <c r="Q302" i="6"/>
  <c r="U302" i="6" s="1"/>
  <c r="Q244" i="6"/>
  <c r="U244" i="6" s="1"/>
  <c r="Q186" i="6"/>
  <c r="U186" i="6" s="1"/>
  <c r="Q1165" i="6"/>
  <c r="U1165" i="6" s="1"/>
  <c r="Q588" i="6"/>
  <c r="U588" i="6" s="1"/>
  <c r="Q543" i="6"/>
  <c r="U543" i="6" s="1"/>
  <c r="Q500" i="6"/>
  <c r="U500" i="6" s="1"/>
  <c r="Q156" i="6"/>
  <c r="U156" i="6" s="1"/>
  <c r="Q1625" i="6"/>
  <c r="U1625" i="6" s="1"/>
  <c r="Q595" i="6"/>
  <c r="U595" i="6" s="1"/>
  <c r="Q1113" i="6"/>
  <c r="U1113" i="6" s="1"/>
  <c r="Q694" i="6"/>
  <c r="U694" i="6" s="1"/>
  <c r="Q482" i="6"/>
  <c r="U482" i="6" s="1"/>
  <c r="Q1317" i="6"/>
  <c r="U1317" i="6" s="1"/>
  <c r="Q1190" i="6"/>
  <c r="U1190" i="6" s="1"/>
  <c r="Q1090" i="6"/>
  <c r="U1090" i="6" s="1"/>
  <c r="Q181" i="6"/>
  <c r="U181" i="6" s="1"/>
  <c r="Q1614" i="6"/>
  <c r="U1614" i="6" s="1"/>
  <c r="Q297" i="6"/>
  <c r="U297" i="6" s="1"/>
  <c r="Q409" i="6"/>
  <c r="U409" i="6" s="1"/>
  <c r="Q198" i="6"/>
  <c r="U198" i="6" s="1"/>
  <c r="Q311" i="6"/>
  <c r="U311" i="6" s="1"/>
  <c r="Q1119" i="6"/>
  <c r="U1119" i="6" s="1"/>
  <c r="Q19" i="6"/>
  <c r="U19" i="6" s="1"/>
  <c r="Q441" i="6"/>
  <c r="U441" i="6" s="1"/>
  <c r="Q825" i="6"/>
  <c r="U825" i="6" s="1"/>
  <c r="Q710" i="6"/>
  <c r="U710" i="6" s="1"/>
  <c r="Q630" i="6"/>
  <c r="U630" i="6" s="1"/>
  <c r="Q851" i="6"/>
  <c r="U851" i="6" s="1"/>
  <c r="Q911" i="6"/>
  <c r="U911" i="6" s="1"/>
  <c r="Q219" i="6"/>
  <c r="U219" i="6" s="1"/>
  <c r="Q337" i="6"/>
  <c r="U337" i="6" s="1"/>
  <c r="Q908" i="6"/>
  <c r="U908" i="6" s="1"/>
  <c r="Q1484" i="6"/>
  <c r="U1484" i="6" s="1"/>
  <c r="Q352" i="6"/>
  <c r="U352" i="6" s="1"/>
  <c r="R1108" i="6"/>
  <c r="S1108" i="6" s="1"/>
  <c r="T1108" i="6" s="1"/>
  <c r="P1108" i="6"/>
  <c r="P1064" i="6"/>
  <c r="P1507" i="6"/>
  <c r="R1507" i="6"/>
  <c r="S1507" i="6" s="1"/>
  <c r="T1507" i="6" s="1"/>
  <c r="P1311" i="6"/>
  <c r="Q1311" i="6" s="1"/>
  <c r="U1311" i="6" s="1"/>
  <c r="R1311" i="6"/>
  <c r="S1311" i="6" s="1"/>
  <c r="T1311" i="6" s="1"/>
  <c r="P1287" i="6"/>
  <c r="Q1287" i="6" s="1"/>
  <c r="U1287" i="6" s="1"/>
  <c r="R1287" i="6"/>
  <c r="S1287" i="6" s="1"/>
  <c r="T1287" i="6" s="1"/>
  <c r="R1195" i="6"/>
  <c r="S1195" i="6" s="1"/>
  <c r="T1195" i="6" s="1"/>
  <c r="P1195" i="6"/>
  <c r="Q1195" i="6" s="1"/>
  <c r="U1195" i="6" s="1"/>
  <c r="P1162" i="6"/>
  <c r="Q1162" i="6" s="1"/>
  <c r="U1162" i="6" s="1"/>
  <c r="R1162" i="6"/>
  <c r="S1162" i="6" s="1"/>
  <c r="T1162" i="6" s="1"/>
  <c r="R1107" i="6"/>
  <c r="S1107" i="6" s="1"/>
  <c r="T1107" i="6" s="1"/>
  <c r="P1107" i="6"/>
  <c r="R1001" i="6"/>
  <c r="S1001" i="6" s="1"/>
  <c r="T1001" i="6" s="1"/>
  <c r="P1001" i="6"/>
  <c r="Q1001" i="6" s="1"/>
  <c r="U1001" i="6" s="1"/>
  <c r="P968" i="6"/>
  <c r="Q968" i="6" s="1"/>
  <c r="U968" i="6" s="1"/>
  <c r="R968" i="6"/>
  <c r="S968" i="6" s="1"/>
  <c r="T968" i="6" s="1"/>
  <c r="P862" i="6"/>
  <c r="Q862" i="6" s="1"/>
  <c r="U862" i="6" s="1"/>
  <c r="R862" i="6"/>
  <c r="S862" i="6" s="1"/>
  <c r="T862" i="6" s="1"/>
  <c r="P850" i="6"/>
  <c r="Q850" i="6" s="1"/>
  <c r="U850" i="6" s="1"/>
  <c r="R850" i="6"/>
  <c r="S850" i="6" s="1"/>
  <c r="T850" i="6" s="1"/>
  <c r="R797" i="6"/>
  <c r="S797" i="6" s="1"/>
  <c r="T797" i="6" s="1"/>
  <c r="P797" i="6"/>
  <c r="P753" i="6"/>
  <c r="R753" i="6"/>
  <c r="S753" i="6" s="1"/>
  <c r="T753" i="6" s="1"/>
  <c r="R665" i="6"/>
  <c r="S665" i="6" s="1"/>
  <c r="T665" i="6" s="1"/>
  <c r="P665" i="6"/>
  <c r="P627" i="6"/>
  <c r="Q627" i="6" s="1"/>
  <c r="U627" i="6" s="1"/>
  <c r="R627" i="6"/>
  <c r="S627" i="6" s="1"/>
  <c r="T627" i="6" s="1"/>
  <c r="R512" i="6"/>
  <c r="S512" i="6" s="1"/>
  <c r="T512" i="6" s="1"/>
  <c r="P512" i="6"/>
  <c r="Q512" i="6" s="1"/>
  <c r="U512" i="6" s="1"/>
  <c r="P392" i="6"/>
  <c r="Q392" i="6" s="1"/>
  <c r="U392" i="6" s="1"/>
  <c r="R392" i="6"/>
  <c r="S392" i="6" s="1"/>
  <c r="T392" i="6" s="1"/>
  <c r="P380" i="6"/>
  <c r="Q380" i="6" s="1"/>
  <c r="U380" i="6" s="1"/>
  <c r="R380" i="6"/>
  <c r="S380" i="6" s="1"/>
  <c r="T380" i="6" s="1"/>
  <c r="R369" i="6"/>
  <c r="S369" i="6" s="1"/>
  <c r="T369" i="6" s="1"/>
  <c r="P369" i="6"/>
  <c r="Q369" i="6" s="1"/>
  <c r="U369" i="6" s="1"/>
  <c r="R262" i="6"/>
  <c r="S262" i="6" s="1"/>
  <c r="T262" i="6" s="1"/>
  <c r="P262" i="6"/>
  <c r="Q262" i="6" s="1"/>
  <c r="U262" i="6" s="1"/>
  <c r="H21" i="6"/>
  <c r="R21" i="6" s="1"/>
  <c r="S21" i="6" s="1"/>
  <c r="T21" i="6" s="1"/>
  <c r="O21" i="6"/>
  <c r="R9" i="6"/>
  <c r="S9" i="6" s="1"/>
  <c r="T9" i="6" s="1"/>
  <c r="P9" i="6"/>
  <c r="Q884" i="6"/>
  <c r="U884" i="6" s="1"/>
  <c r="Q1468" i="6"/>
  <c r="U1468" i="6" s="1"/>
  <c r="Q203" i="6"/>
  <c r="U203" i="6" s="1"/>
  <c r="Q1391" i="6"/>
  <c r="U1391" i="6" s="1"/>
  <c r="N21" i="6"/>
  <c r="R470" i="6"/>
  <c r="S470" i="6" s="1"/>
  <c r="T470" i="6" s="1"/>
  <c r="R1391" i="6"/>
  <c r="S1391" i="6" s="1"/>
  <c r="T1391" i="6" s="1"/>
  <c r="Q782" i="6"/>
  <c r="U782" i="6" s="1"/>
  <c r="P1450" i="6"/>
  <c r="Q1450" i="6" s="1"/>
  <c r="U1450" i="6" s="1"/>
  <c r="Q808" i="6"/>
  <c r="U808" i="6" s="1"/>
  <c r="Q1419" i="6"/>
  <c r="U1419" i="6" s="1"/>
  <c r="R1277" i="6"/>
  <c r="S1277" i="6" s="1"/>
  <c r="T1277" i="6" s="1"/>
  <c r="P1277" i="6"/>
  <c r="Q1277" i="6" s="1"/>
  <c r="U1277" i="6" s="1"/>
  <c r="R840" i="6"/>
  <c r="S840" i="6" s="1"/>
  <c r="T840" i="6" s="1"/>
  <c r="P840" i="6"/>
  <c r="Q840" i="6" s="1"/>
  <c r="U840" i="6"/>
  <c r="R766" i="6"/>
  <c r="S766" i="6" s="1"/>
  <c r="T766" i="6" s="1"/>
  <c r="P766" i="6"/>
  <c r="Q766" i="6" s="1"/>
  <c r="U766" i="6" s="1"/>
  <c r="P666" i="6"/>
  <c r="Q666" i="6"/>
  <c r="U666" i="6" s="1"/>
  <c r="R666" i="6"/>
  <c r="S666" i="6" s="1"/>
  <c r="T666" i="6" s="1"/>
  <c r="P393" i="6"/>
  <c r="Q393" i="6" s="1"/>
  <c r="U393" i="6" s="1"/>
  <c r="R393" i="6"/>
  <c r="S393" i="6"/>
  <c r="T393" i="6" s="1"/>
  <c r="P68" i="6"/>
  <c r="R68" i="6"/>
  <c r="P38" i="6"/>
  <c r="R1583" i="6"/>
  <c r="S1583" i="6" s="1"/>
  <c r="T1583" i="6" s="1"/>
  <c r="P1496" i="6"/>
  <c r="Q1496" i="6" s="1"/>
  <c r="U1496" i="6" s="1"/>
  <c r="R1496" i="6"/>
  <c r="S1496" i="6" s="1"/>
  <c r="T1496" i="6" s="1"/>
  <c r="P1392" i="6"/>
  <c r="Q1392" i="6" s="1"/>
  <c r="U1392" i="6" s="1"/>
  <c r="R1392" i="6"/>
  <c r="S1392" i="6" s="1"/>
  <c r="T1392" i="6" s="1"/>
  <c r="R91" i="6"/>
  <c r="S91" i="6" s="1"/>
  <c r="T91" i="6" s="1"/>
  <c r="P91" i="6"/>
  <c r="Q91" i="6" s="1"/>
  <c r="P1643" i="6"/>
  <c r="R1073" i="6"/>
  <c r="S1073" i="6" s="1"/>
  <c r="T1073" i="6" s="1"/>
  <c r="Q1622" i="6"/>
  <c r="U1622" i="6" s="1"/>
  <c r="R1142" i="6"/>
  <c r="S1142" i="6" s="1"/>
  <c r="T1142" i="6" s="1"/>
  <c r="R618" i="6"/>
  <c r="S618" i="6" s="1"/>
  <c r="T618" i="6" s="1"/>
  <c r="Q986" i="6"/>
  <c r="U986" i="6" s="1"/>
  <c r="Q1283" i="6"/>
  <c r="U1283" i="6"/>
  <c r="R1381" i="6"/>
  <c r="S1381" i="6" s="1"/>
  <c r="T1381" i="6" s="1"/>
  <c r="P1381" i="6"/>
  <c r="Q1381" i="6" s="1"/>
  <c r="U1381" i="6" s="1"/>
  <c r="R743" i="6"/>
  <c r="S743" i="6" s="1"/>
  <c r="T743" i="6" s="1"/>
  <c r="P743" i="6"/>
  <c r="Q743" i="6" s="1"/>
  <c r="U743" i="6" s="1"/>
  <c r="P638" i="6"/>
  <c r="Q638" i="6" s="1"/>
  <c r="U638" i="6" s="1"/>
  <c r="R638" i="6"/>
  <c r="S638" i="6" s="1"/>
  <c r="T638" i="6" s="1"/>
  <c r="P504" i="6"/>
  <c r="Q504" i="6" s="1"/>
  <c r="U504" i="6" s="1"/>
  <c r="R504" i="6"/>
  <c r="S504" i="6" s="1"/>
  <c r="T504" i="6" s="1"/>
  <c r="P361" i="6"/>
  <c r="R361" i="6"/>
  <c r="S361" i="6" s="1"/>
  <c r="T361" i="6" s="1"/>
  <c r="R284" i="6"/>
  <c r="S284" i="6" s="1"/>
  <c r="T284" i="6" s="1"/>
  <c r="P284" i="6"/>
  <c r="Q284" i="6" s="1"/>
  <c r="U284" i="6" s="1"/>
  <c r="P22" i="6"/>
  <c r="R22" i="6"/>
  <c r="P1299" i="6"/>
  <c r="Q1299" i="6" s="1"/>
  <c r="U1299" i="6" s="1"/>
  <c r="Q1372" i="6"/>
  <c r="U1372" i="6" s="1"/>
  <c r="Q1007" i="6"/>
  <c r="U1007" i="6" s="1"/>
  <c r="Q640" i="6"/>
  <c r="U640" i="6" s="1"/>
  <c r="Q520" i="6"/>
  <c r="U520" i="6" s="1"/>
  <c r="Q1027" i="6"/>
  <c r="U1027" i="6" s="1"/>
  <c r="R1379" i="6"/>
  <c r="S1379" i="6" s="1"/>
  <c r="T1379" i="6" s="1"/>
  <c r="P1379" i="6"/>
  <c r="Q1379" i="6" s="1"/>
  <c r="U1379" i="6" s="1"/>
  <c r="R1161" i="6"/>
  <c r="S1161" i="6" s="1"/>
  <c r="T1161" i="6" s="1"/>
  <c r="P1161" i="6"/>
  <c r="Q1161" i="6" s="1"/>
  <c r="U1161" i="6" s="1"/>
  <c r="R1151" i="6"/>
  <c r="S1151" i="6" s="1"/>
  <c r="T1151" i="6" s="1"/>
  <c r="P1151" i="6"/>
  <c r="Q1151" i="6" s="1"/>
  <c r="U1151" i="6" s="1"/>
  <c r="R1084" i="6"/>
  <c r="S1084" i="6" s="1"/>
  <c r="T1084" i="6" s="1"/>
  <c r="P1084" i="6"/>
  <c r="R945" i="6"/>
  <c r="S945" i="6" s="1"/>
  <c r="T945" i="6" s="1"/>
  <c r="P945" i="6"/>
  <c r="Q945" i="6" s="1"/>
  <c r="U945" i="6" s="1"/>
  <c r="R861" i="6"/>
  <c r="S861" i="6" s="1"/>
  <c r="T861" i="6" s="1"/>
  <c r="P861" i="6"/>
  <c r="Q861" i="6" s="1"/>
  <c r="U861" i="6" s="1"/>
  <c r="P675" i="6"/>
  <c r="R675" i="6"/>
  <c r="S675" i="6" s="1"/>
  <c r="T675" i="6" s="1"/>
  <c r="P637" i="6"/>
  <c r="Q637" i="6" s="1"/>
  <c r="U637" i="6" s="1"/>
  <c r="R637" i="6"/>
  <c r="S637" i="6" s="1"/>
  <c r="T637" i="6" s="1"/>
  <c r="P414" i="6"/>
  <c r="Q414" i="6" s="1"/>
  <c r="U414" i="6" s="1"/>
  <c r="R414" i="6"/>
  <c r="S414" i="6" s="1"/>
  <c r="T414" i="6" s="1"/>
  <c r="P402" i="6"/>
  <c r="Q402" i="6" s="1"/>
  <c r="U402" i="6" s="1"/>
  <c r="R402" i="6"/>
  <c r="S402" i="6" s="1"/>
  <c r="T402" i="6" s="1"/>
  <c r="P217" i="6"/>
  <c r="R217" i="6"/>
  <c r="S217" i="6" s="1"/>
  <c r="T217" i="6" s="1"/>
  <c r="H66" i="6"/>
  <c r="R66" i="6" s="1"/>
  <c r="O66" i="6"/>
  <c r="R54" i="6"/>
  <c r="S54" i="6" s="1"/>
  <c r="T54" i="6" s="1"/>
  <c r="P54" i="6"/>
  <c r="R44" i="6"/>
  <c r="P44" i="6"/>
  <c r="P32" i="6"/>
  <c r="R32" i="6"/>
  <c r="S32" i="6" s="1"/>
  <c r="T32" i="6" s="1"/>
  <c r="Q707" i="6"/>
  <c r="U707" i="6" s="1"/>
  <c r="Q1523" i="6"/>
  <c r="U1523" i="6" s="1"/>
  <c r="P1309" i="6"/>
  <c r="Q1309" i="6" s="1"/>
  <c r="U1309" i="6" s="1"/>
  <c r="R1309" i="6"/>
  <c r="S1309" i="6" s="1"/>
  <c r="T1309" i="6" s="1"/>
  <c r="R1182" i="6"/>
  <c r="S1182" i="6" s="1"/>
  <c r="T1182" i="6" s="1"/>
  <c r="P1182" i="6"/>
  <c r="Q1182" i="6" s="1"/>
  <c r="U1182" i="6" s="1"/>
  <c r="P1117" i="6"/>
  <c r="Q1117" i="6" s="1"/>
  <c r="U1117" i="6" s="1"/>
  <c r="R1117" i="6"/>
  <c r="S1117" i="6" s="1"/>
  <c r="T1117" i="6" s="1"/>
  <c r="P1105" i="6"/>
  <c r="Q1105" i="6" s="1"/>
  <c r="U1105" i="6" s="1"/>
  <c r="R1105" i="6"/>
  <c r="S1105" i="6" s="1"/>
  <c r="T1105" i="6" s="1"/>
  <c r="P999" i="6"/>
  <c r="Q999" i="6" s="1"/>
  <c r="U999" i="6" s="1"/>
  <c r="R999" i="6"/>
  <c r="S999" i="6" s="1"/>
  <c r="T999" i="6" s="1"/>
  <c r="R531" i="6"/>
  <c r="S531" i="6" s="1"/>
  <c r="T531" i="6" s="1"/>
  <c r="P531" i="6"/>
  <c r="Q531" i="6" s="1"/>
  <c r="U531" i="6" s="1"/>
  <c r="R491" i="6"/>
  <c r="S491" i="6" s="1"/>
  <c r="T491" i="6" s="1"/>
  <c r="P491" i="6"/>
  <c r="Q491" i="6" s="1"/>
  <c r="U491" i="6" s="1"/>
  <c r="P1412" i="6"/>
  <c r="Q1412" i="6" s="1"/>
  <c r="U1412" i="6" s="1"/>
  <c r="R1412" i="6"/>
  <c r="S1412" i="6" s="1"/>
  <c r="T1412" i="6" s="1"/>
  <c r="R1235" i="6"/>
  <c r="S1235" i="6" s="1"/>
  <c r="T1235" i="6" s="1"/>
  <c r="P1235" i="6"/>
  <c r="Q1235" i="6" s="1"/>
  <c r="U1235" i="6" s="1"/>
  <c r="P1094" i="6"/>
  <c r="R1094" i="6"/>
  <c r="S1094" i="6" s="1"/>
  <c r="T1094" i="6" s="1"/>
  <c r="R891" i="6"/>
  <c r="S891" i="6" s="1"/>
  <c r="T891" i="6" s="1"/>
  <c r="P891" i="6"/>
  <c r="Q891" i="6" s="1"/>
  <c r="U891" i="6" s="1"/>
  <c r="R880" i="6"/>
  <c r="S880" i="6" s="1"/>
  <c r="T880" i="6" s="1"/>
  <c r="P880" i="6"/>
  <c r="Q880" i="6" s="1"/>
  <c r="U880" i="6" s="1"/>
  <c r="R836" i="6"/>
  <c r="S836" i="6" s="1"/>
  <c r="T836" i="6" s="1"/>
  <c r="P836" i="6"/>
  <c r="P563" i="6"/>
  <c r="Q563" i="6" s="1"/>
  <c r="U563" i="6" s="1"/>
  <c r="R563" i="6"/>
  <c r="S563" i="6" s="1"/>
  <c r="T563" i="6" s="1"/>
  <c r="R433" i="6"/>
  <c r="S433" i="6" s="1"/>
  <c r="T433" i="6" s="1"/>
  <c r="P433" i="6"/>
  <c r="Q433" i="6" s="1"/>
  <c r="U433" i="6" s="1"/>
  <c r="R269" i="6"/>
  <c r="S269" i="6" s="1"/>
  <c r="T269" i="6" s="1"/>
  <c r="P269" i="6"/>
  <c r="Q269" i="6" s="1"/>
  <c r="U269" i="6" s="1"/>
  <c r="P75" i="6"/>
  <c r="R75" i="6"/>
  <c r="Q319" i="6"/>
  <c r="U319" i="6" s="1"/>
  <c r="Q436" i="6"/>
  <c r="U436" i="6" s="1"/>
  <c r="Q1249" i="6"/>
  <c r="U1249" i="6" s="1"/>
  <c r="Q521" i="6"/>
  <c r="U521" i="6" s="1"/>
  <c r="Q345" i="6"/>
  <c r="U345" i="6" s="1"/>
  <c r="R1491" i="6"/>
  <c r="S1491" i="6" s="1"/>
  <c r="T1491" i="6" s="1"/>
  <c r="P1491" i="6"/>
  <c r="Q1491" i="6" s="1"/>
  <c r="U1491" i="6" s="1"/>
  <c r="P1037" i="6"/>
  <c r="Q1037" i="6" s="1"/>
  <c r="U1037" i="6" s="1"/>
  <c r="R1037" i="6"/>
  <c r="S1037" i="6" s="1"/>
  <c r="T1037" i="6" s="1"/>
  <c r="R613" i="6"/>
  <c r="S613" i="6" s="1"/>
  <c r="T613" i="6" s="1"/>
  <c r="P613" i="6"/>
  <c r="R465" i="6"/>
  <c r="S465" i="6" s="1"/>
  <c r="T465" i="6" s="1"/>
  <c r="P465" i="6"/>
  <c r="Q465" i="6" s="1"/>
  <c r="U465" i="6" s="1"/>
  <c r="R454" i="6"/>
  <c r="S454" i="6" s="1"/>
  <c r="T454" i="6" s="1"/>
  <c r="P454" i="6"/>
  <c r="R443" i="6"/>
  <c r="S443" i="6" s="1"/>
  <c r="T443" i="6" s="1"/>
  <c r="P443" i="6"/>
  <c r="Q443" i="6" s="1"/>
  <c r="U443" i="6" s="1"/>
  <c r="P366" i="6"/>
  <c r="Q366" i="6" s="1"/>
  <c r="U366" i="6" s="1"/>
  <c r="R366" i="6"/>
  <c r="S366" i="6" s="1"/>
  <c r="T366" i="6" s="1"/>
  <c r="P279" i="6"/>
  <c r="Q279" i="6" s="1"/>
  <c r="U279" i="6" s="1"/>
  <c r="R279" i="6"/>
  <c r="S279" i="6" s="1"/>
  <c r="T279" i="6" s="1"/>
  <c r="R86" i="6"/>
  <c r="P86" i="6"/>
  <c r="Q1624" i="6"/>
  <c r="U1624" i="6" s="1"/>
  <c r="Q684" i="6"/>
  <c r="U684" i="6" s="1"/>
  <c r="Q394" i="6"/>
  <c r="U394" i="6" s="1"/>
  <c r="Q767" i="6"/>
  <c r="U767" i="6" s="1"/>
  <c r="R1629" i="6"/>
  <c r="S1629" i="6" s="1"/>
  <c r="T1629" i="6" s="1"/>
  <c r="P1629" i="6"/>
  <c r="Q1629" i="6" s="1"/>
  <c r="U1629" i="6" s="1"/>
  <c r="R1566" i="6"/>
  <c r="S1566" i="6" s="1"/>
  <c r="T1566" i="6" s="1"/>
  <c r="P1566" i="6"/>
  <c r="Q1566" i="6" s="1"/>
  <c r="U1566" i="6" s="1"/>
  <c r="R1233" i="6"/>
  <c r="S1233" i="6" s="1"/>
  <c r="T1233" i="6" s="1"/>
  <c r="P1233" i="6"/>
  <c r="Q1233" i="6" s="1"/>
  <c r="U1233" i="6" s="1"/>
  <c r="R846" i="6"/>
  <c r="S846" i="6" s="1"/>
  <c r="T846" i="6" s="1"/>
  <c r="P846" i="6"/>
  <c r="R97" i="6"/>
  <c r="S97" i="6" s="1"/>
  <c r="T97" i="6" s="1"/>
  <c r="P97" i="6"/>
  <c r="Q36" i="6"/>
  <c r="U36" i="6" s="1"/>
  <c r="Q334" i="6"/>
  <c r="U334" i="6" s="1"/>
  <c r="Q763" i="6"/>
  <c r="U763" i="6" s="1"/>
  <c r="P1644" i="6"/>
  <c r="Q1644" i="6" s="1"/>
  <c r="U1644" i="6" s="1"/>
  <c r="R1644" i="6"/>
  <c r="S1644" i="6" s="1"/>
  <c r="T1644" i="6" s="1"/>
  <c r="R1577" i="6"/>
  <c r="S1577" i="6" s="1"/>
  <c r="T1577" i="6" s="1"/>
  <c r="P1577" i="6"/>
  <c r="Q1577" i="6" s="1"/>
  <c r="U1577" i="6" s="1"/>
  <c r="R1341" i="6"/>
  <c r="S1341" i="6" s="1"/>
  <c r="T1341" i="6" s="1"/>
  <c r="P1341" i="6"/>
  <c r="Q1341" i="6" s="1"/>
  <c r="U1341" i="6" s="1"/>
  <c r="P1221" i="6"/>
  <c r="Q1221" i="6" s="1"/>
  <c r="U1221" i="6" s="1"/>
  <c r="R1221" i="6"/>
  <c r="S1221" i="6" s="1"/>
  <c r="T1221" i="6" s="1"/>
  <c r="P1079" i="6"/>
  <c r="R1079" i="6"/>
  <c r="S1079" i="6" s="1"/>
  <c r="T1079" i="6" s="1"/>
  <c r="R1035" i="6"/>
  <c r="S1035" i="6" s="1"/>
  <c r="T1035" i="6" s="1"/>
  <c r="P1035" i="6"/>
  <c r="Q1035" i="6" s="1"/>
  <c r="U1035" i="6" s="1"/>
  <c r="P952" i="6"/>
  <c r="Q952" i="6" s="1"/>
  <c r="U952" i="6" s="1"/>
  <c r="R952" i="6"/>
  <c r="S952" i="6" s="1"/>
  <c r="T952" i="6" s="1"/>
  <c r="P622" i="6"/>
  <c r="R622" i="6"/>
  <c r="S622" i="6" s="1"/>
  <c r="T622" i="6" s="1"/>
  <c r="P298" i="6"/>
  <c r="Q298" i="6" s="1"/>
  <c r="U298" i="6" s="1"/>
  <c r="R298" i="6"/>
  <c r="S298" i="6" s="1"/>
  <c r="T298" i="6" s="1"/>
  <c r="P288" i="6"/>
  <c r="Q288" i="6" s="1"/>
  <c r="U288" i="6" s="1"/>
  <c r="R288" i="6"/>
  <c r="S288" i="6" s="1"/>
  <c r="T288" i="6" s="1"/>
  <c r="R235" i="6"/>
  <c r="S235" i="6" s="1"/>
  <c r="T235" i="6" s="1"/>
  <c r="P235" i="6"/>
  <c r="Q235" i="6" s="1"/>
  <c r="U235" i="6" s="1"/>
  <c r="R153" i="6"/>
  <c r="S153" i="6" s="1"/>
  <c r="T153" i="6" s="1"/>
  <c r="P153" i="6"/>
  <c r="Q153" i="6" s="1"/>
  <c r="U153" i="6" s="1"/>
  <c r="H119" i="6"/>
  <c r="R119" i="6" s="1"/>
  <c r="S119" i="6" s="1"/>
  <c r="T119" i="6" s="1"/>
  <c r="O119" i="6"/>
  <c r="Q1589" i="6"/>
  <c r="U1589" i="6" s="1"/>
  <c r="P1250" i="6"/>
  <c r="Q1250" i="6" s="1"/>
  <c r="U1250" i="6" s="1"/>
  <c r="R1250" i="6"/>
  <c r="S1250" i="6" s="1"/>
  <c r="T1250" i="6" s="1"/>
  <c r="R692" i="6"/>
  <c r="S692" i="6" s="1"/>
  <c r="T692" i="6" s="1"/>
  <c r="P692" i="6"/>
  <c r="Q692" i="6" s="1"/>
  <c r="U692" i="6" s="1"/>
  <c r="P486" i="6"/>
  <c r="Q486" i="6" s="1"/>
  <c r="U486" i="6" s="1"/>
  <c r="R486" i="6"/>
  <c r="S486" i="6" s="1"/>
  <c r="T486" i="6" s="1"/>
  <c r="R309" i="6"/>
  <c r="S309" i="6" s="1"/>
  <c r="T309" i="6" s="1"/>
  <c r="P309" i="6"/>
  <c r="Q309" i="6" s="1"/>
  <c r="U309" i="6" s="1"/>
  <c r="Q1551" i="6"/>
  <c r="U1551" i="6" s="1"/>
  <c r="Q592" i="6"/>
  <c r="U592" i="6" s="1"/>
  <c r="Q286" i="6"/>
  <c r="U286" i="6" s="1"/>
  <c r="R1373" i="6"/>
  <c r="S1373" i="6" s="1"/>
  <c r="T1373" i="6" s="1"/>
  <c r="P1373" i="6"/>
  <c r="P1351" i="6"/>
  <c r="Q1351" i="6" s="1"/>
  <c r="U1351" i="6" s="1"/>
  <c r="R1351" i="6"/>
  <c r="S1351" i="6" s="1"/>
  <c r="T1351" i="6" s="1"/>
  <c r="R700" i="6"/>
  <c r="S700" i="6" s="1"/>
  <c r="T700" i="6" s="1"/>
  <c r="P700" i="6"/>
  <c r="Q700" i="6" s="1"/>
  <c r="U700" i="6" s="1"/>
  <c r="P609" i="6"/>
  <c r="R609" i="6"/>
  <c r="S609" i="6" s="1"/>
  <c r="T609" i="6" s="1"/>
  <c r="P559" i="6"/>
  <c r="Q559" i="6" s="1"/>
  <c r="U559" i="6" s="1"/>
  <c r="R559" i="6"/>
  <c r="S559" i="6" s="1"/>
  <c r="T559" i="6" s="1"/>
  <c r="P485" i="6"/>
  <c r="Q485" i="6" s="1"/>
  <c r="U485" i="6" s="1"/>
  <c r="R485" i="6"/>
  <c r="S485" i="6" s="1"/>
  <c r="T485" i="6" s="1"/>
  <c r="R341" i="6"/>
  <c r="S341" i="6" s="1"/>
  <c r="T341" i="6" s="1"/>
  <c r="P341" i="6"/>
  <c r="Q341" i="6" s="1"/>
  <c r="U341" i="6" s="1"/>
  <c r="R330" i="6"/>
  <c r="S330" i="6" s="1"/>
  <c r="T330" i="6" s="1"/>
  <c r="P330" i="6"/>
  <c r="Q330" i="6" s="1"/>
  <c r="U330" i="6" s="1"/>
  <c r="H139" i="6"/>
  <c r="R139" i="6" s="1"/>
  <c r="O139" i="6"/>
  <c r="U34" i="6"/>
  <c r="Q223" i="6"/>
  <c r="U223" i="6" s="1"/>
  <c r="Q1634" i="6"/>
  <c r="U1634" i="6" s="1"/>
  <c r="Q431" i="6"/>
  <c r="U431" i="6" s="1"/>
  <c r="Q616" i="6"/>
  <c r="U616" i="6" s="1"/>
  <c r="P1616" i="6"/>
  <c r="Q1616" i="6" s="1"/>
  <c r="U1616" i="6" s="1"/>
  <c r="R1616" i="6"/>
  <c r="S1616" i="6" s="1"/>
  <c r="T1616" i="6" s="1"/>
  <c r="R1475" i="6"/>
  <c r="S1475" i="6" s="1"/>
  <c r="T1475" i="6" s="1"/>
  <c r="P1475" i="6"/>
  <c r="R1453" i="6"/>
  <c r="S1453" i="6" s="1"/>
  <c r="T1453" i="6" s="1"/>
  <c r="P1453" i="6"/>
  <c r="Q1453" i="6" s="1"/>
  <c r="U1453" i="6" s="1"/>
  <c r="R1257" i="6"/>
  <c r="S1257" i="6" s="1"/>
  <c r="T1257" i="6" s="1"/>
  <c r="P1257" i="6"/>
  <c r="Q1257" i="6" s="1"/>
  <c r="U1257" i="6" s="1"/>
  <c r="R1122" i="6"/>
  <c r="S1122" i="6" s="1"/>
  <c r="T1122" i="6" s="1"/>
  <c r="P1122" i="6"/>
  <c r="Q1122" i="6" s="1"/>
  <c r="U1122" i="6" s="1"/>
  <c r="R1066" i="6"/>
  <c r="S1066" i="6" s="1"/>
  <c r="T1066" i="6" s="1"/>
  <c r="P1066" i="6"/>
  <c r="Q1066" i="6" s="1"/>
  <c r="U1066" i="6" s="1"/>
  <c r="P1055" i="6"/>
  <c r="Q1055" i="6" s="1"/>
  <c r="U1055" i="6" s="1"/>
  <c r="R1055" i="6"/>
  <c r="S1055" i="6" s="1"/>
  <c r="T1055" i="6" s="1"/>
  <c r="R981" i="6"/>
  <c r="S981" i="6" s="1"/>
  <c r="T981" i="6" s="1"/>
  <c r="P981" i="6"/>
  <c r="Q981" i="6" s="1"/>
  <c r="U981" i="6" s="1"/>
  <c r="P971" i="6"/>
  <c r="Q971" i="6" s="1"/>
  <c r="U971" i="6" s="1"/>
  <c r="R971" i="6"/>
  <c r="S971" i="6" s="1"/>
  <c r="T971" i="6" s="1"/>
  <c r="P723" i="6"/>
  <c r="Q723" i="6" s="1"/>
  <c r="U723" i="6" s="1"/>
  <c r="R723" i="6"/>
  <c r="S723" i="6" s="1"/>
  <c r="T723" i="6" s="1"/>
  <c r="R711" i="6"/>
  <c r="S711" i="6" s="1"/>
  <c r="T711" i="6" s="1"/>
  <c r="P711" i="6"/>
  <c r="Q711" i="6" s="1"/>
  <c r="U711" i="6" s="1"/>
  <c r="P104" i="6"/>
  <c r="R104" i="6"/>
  <c r="S104" i="6" s="1"/>
  <c r="T104" i="6" s="1"/>
  <c r="P70" i="6"/>
  <c r="R70" i="6"/>
  <c r="Q693" i="6"/>
  <c r="U693" i="6" s="1"/>
  <c r="Q370" i="6"/>
  <c r="U370" i="6" s="1"/>
  <c r="P1144" i="6"/>
  <c r="Q1144" i="6" s="1"/>
  <c r="U1144" i="6" s="1"/>
  <c r="R1144" i="6"/>
  <c r="S1144" i="6" s="1"/>
  <c r="T1144" i="6" s="1"/>
  <c r="R629" i="6"/>
  <c r="S629" i="6" s="1"/>
  <c r="T629" i="6" s="1"/>
  <c r="P629" i="6"/>
  <c r="Q629" i="6" s="1"/>
  <c r="U629" i="6" s="1"/>
  <c r="P208" i="6"/>
  <c r="Q208" i="6" s="1"/>
  <c r="U208" i="6" s="1"/>
  <c r="R208" i="6"/>
  <c r="S208" i="6" s="1"/>
  <c r="T208" i="6" s="1"/>
  <c r="Q51" i="6"/>
  <c r="U51" i="6" s="1"/>
  <c r="Q318" i="6"/>
  <c r="U318" i="6" s="1"/>
  <c r="Q691" i="6"/>
  <c r="U691" i="6" s="1"/>
  <c r="Q772" i="6"/>
  <c r="U772" i="6" s="1"/>
  <c r="Q1336" i="6"/>
  <c r="U1336" i="6" s="1"/>
  <c r="Q643" i="6"/>
  <c r="U643" i="6" s="1"/>
  <c r="Q1345" i="6"/>
  <c r="U1345" i="6" s="1"/>
  <c r="Q1424" i="6"/>
  <c r="U1424" i="6" s="1"/>
  <c r="Q281" i="6"/>
  <c r="U281" i="6" s="1"/>
  <c r="Q1613" i="6"/>
  <c r="U1613" i="6" s="1"/>
  <c r="R1600" i="6"/>
  <c r="S1600" i="6" s="1"/>
  <c r="T1600" i="6" s="1"/>
  <c r="P1600" i="6"/>
  <c r="Q1600" i="6" s="1"/>
  <c r="U1600" i="6" s="1"/>
  <c r="P1441" i="6"/>
  <c r="Q1441" i="6" s="1"/>
  <c r="U1441" i="6" s="1"/>
  <c r="R1441" i="6"/>
  <c r="S1441" i="6" s="1"/>
  <c r="T1441" i="6" s="1"/>
  <c r="Q760" i="6"/>
  <c r="U760" i="6" s="1"/>
  <c r="P1636" i="6"/>
  <c r="Q1636" i="6" s="1"/>
  <c r="U1636" i="6" s="1"/>
  <c r="R1636" i="6"/>
  <c r="S1636" i="6" s="1"/>
  <c r="T1636" i="6" s="1"/>
  <c r="R1606" i="6"/>
  <c r="S1606" i="6" s="1"/>
  <c r="T1606" i="6" s="1"/>
  <c r="P1606" i="6"/>
  <c r="Q1606" i="6" s="1"/>
  <c r="U1606" i="6" s="1"/>
  <c r="R1559" i="6"/>
  <c r="S1559" i="6" s="1"/>
  <c r="T1559" i="6" s="1"/>
  <c r="P1559" i="6"/>
  <c r="Q1559" i="6" s="1"/>
  <c r="U1559" i="6" s="1"/>
  <c r="Q680" i="6"/>
  <c r="U680" i="6" s="1"/>
  <c r="Q816" i="6"/>
  <c r="U816" i="6" s="1"/>
  <c r="Q427" i="6"/>
  <c r="U427" i="6" s="1"/>
  <c r="Q228" i="6"/>
  <c r="U228" i="6" s="1"/>
  <c r="Q728" i="6"/>
  <c r="U728" i="6" s="1"/>
  <c r="Q1339" i="6"/>
  <c r="U1339" i="6" s="1"/>
  <c r="Q1315" i="6"/>
  <c r="U1315" i="6" s="1"/>
  <c r="Q1583" i="6"/>
  <c r="U1583" i="6" s="1"/>
  <c r="Q655" i="6"/>
  <c r="U655" i="6" s="1"/>
  <c r="Q1524" i="6"/>
  <c r="U1524" i="6" s="1"/>
  <c r="Q184" i="6"/>
  <c r="U184" i="6" s="1"/>
  <c r="Q305" i="6"/>
  <c r="U305" i="6" s="1"/>
  <c r="Q1601" i="6"/>
  <c r="U1601" i="6" s="1"/>
  <c r="Q172" i="6"/>
  <c r="U172" i="6" s="1"/>
  <c r="Q727" i="6"/>
  <c r="U727" i="6" s="1"/>
  <c r="Q584" i="6"/>
  <c r="U584" i="6" s="1"/>
  <c r="Q566" i="6"/>
  <c r="U566" i="6" s="1"/>
  <c r="R1490" i="6"/>
  <c r="S1490" i="6" s="1"/>
  <c r="T1490" i="6" s="1"/>
  <c r="P1490" i="6"/>
  <c r="Q1490" i="6" s="1"/>
  <c r="U1490" i="6" s="1"/>
  <c r="Q562" i="6"/>
  <c r="U562" i="6" s="1"/>
  <c r="Q395" i="6"/>
  <c r="U395" i="6" s="1"/>
  <c r="Q1175" i="6"/>
  <c r="U1175" i="6" s="1"/>
  <c r="Q1060" i="6"/>
  <c r="U1060" i="6" s="1"/>
  <c r="Q1236" i="6"/>
  <c r="U1236" i="6" s="1"/>
  <c r="Q726" i="6"/>
  <c r="U726" i="6" s="1"/>
  <c r="Q1241" i="6"/>
  <c r="U1241" i="6" s="1"/>
  <c r="O14" i="23"/>
  <c r="O32" i="23"/>
  <c r="B45" i="7"/>
  <c r="N95" i="6"/>
  <c r="M95" i="6"/>
  <c r="N122" i="6"/>
  <c r="Q122" i="6" s="1"/>
  <c r="P66" i="6"/>
  <c r="M134" i="6" l="1"/>
  <c r="N134" i="6"/>
  <c r="Q123" i="6"/>
  <c r="O42" i="23"/>
  <c r="O24" i="23"/>
  <c r="R1562" i="6"/>
  <c r="S1562" i="6" s="1"/>
  <c r="T1562" i="6" s="1"/>
  <c r="P1562" i="6"/>
  <c r="Q1562" i="6" s="1"/>
  <c r="U1562" i="6" s="1"/>
  <c r="R1538" i="6"/>
  <c r="S1538" i="6" s="1"/>
  <c r="T1538" i="6" s="1"/>
  <c r="P1538" i="6"/>
  <c r="R1522" i="6"/>
  <c r="S1522" i="6" s="1"/>
  <c r="T1522" i="6" s="1"/>
  <c r="P1522" i="6"/>
  <c r="Q1522" i="6" s="1"/>
  <c r="U1522" i="6" s="1"/>
  <c r="R1518" i="6"/>
  <c r="S1518" i="6" s="1"/>
  <c r="T1518" i="6" s="1"/>
  <c r="P1518" i="6"/>
  <c r="Q1518" i="6" s="1"/>
  <c r="U1518" i="6" s="1"/>
  <c r="P1486" i="6"/>
  <c r="Q1486" i="6" s="1"/>
  <c r="U1486" i="6" s="1"/>
  <c r="R1486" i="6"/>
  <c r="S1486" i="6" s="1"/>
  <c r="T1486" i="6" s="1"/>
  <c r="P1426" i="6"/>
  <c r="R1426" i="6"/>
  <c r="S1426" i="6" s="1"/>
  <c r="T1426" i="6" s="1"/>
  <c r="P1414" i="6"/>
  <c r="Q1414" i="6" s="1"/>
  <c r="U1414" i="6" s="1"/>
  <c r="R1414" i="6"/>
  <c r="S1414" i="6" s="1"/>
  <c r="T1414" i="6" s="1"/>
  <c r="R1370" i="6"/>
  <c r="S1370" i="6" s="1"/>
  <c r="T1370" i="6" s="1"/>
  <c r="P1370" i="6"/>
  <c r="P1354" i="6"/>
  <c r="Q1354" i="6" s="1"/>
  <c r="U1354" i="6" s="1"/>
  <c r="R1354" i="6"/>
  <c r="S1354" i="6" s="1"/>
  <c r="T1354" i="6" s="1"/>
  <c r="P1350" i="6"/>
  <c r="Q1350" i="6" s="1"/>
  <c r="U1350" i="6" s="1"/>
  <c r="R1350" i="6"/>
  <c r="S1350" i="6" s="1"/>
  <c r="T1350" i="6" s="1"/>
  <c r="P1322" i="6"/>
  <c r="R1322" i="6"/>
  <c r="S1322" i="6" s="1"/>
  <c r="T1322" i="6" s="1"/>
  <c r="P1298" i="6"/>
  <c r="Q1298" i="6" s="1"/>
  <c r="U1298" i="6" s="1"/>
  <c r="R1298" i="6"/>
  <c r="S1298" i="6" s="1"/>
  <c r="T1298" i="6" s="1"/>
  <c r="R1286" i="6"/>
  <c r="S1286" i="6" s="1"/>
  <c r="T1286" i="6" s="1"/>
  <c r="P1286" i="6"/>
  <c r="Q1286" i="6" s="1"/>
  <c r="U1286" i="6" s="1"/>
  <c r="P1282" i="6"/>
  <c r="R1282" i="6"/>
  <c r="S1282" i="6" s="1"/>
  <c r="T1282" i="6" s="1"/>
  <c r="R1274" i="6"/>
  <c r="S1274" i="6" s="1"/>
  <c r="T1274" i="6" s="1"/>
  <c r="P1274" i="6"/>
  <c r="P1238" i="6"/>
  <c r="R1238" i="6"/>
  <c r="S1238" i="6" s="1"/>
  <c r="T1238" i="6" s="1"/>
  <c r="P1218" i="6"/>
  <c r="Q1218" i="6" s="1"/>
  <c r="U1218" i="6" s="1"/>
  <c r="R1218" i="6"/>
  <c r="S1218" i="6" s="1"/>
  <c r="T1218" i="6" s="1"/>
  <c r="R1210" i="6"/>
  <c r="S1210" i="6" s="1"/>
  <c r="T1210" i="6" s="1"/>
  <c r="P1210" i="6"/>
  <c r="R1186" i="6"/>
  <c r="S1186" i="6" s="1"/>
  <c r="T1186" i="6" s="1"/>
  <c r="P1186" i="6"/>
  <c r="Q1186" i="6" s="1"/>
  <c r="U1186" i="6" s="1"/>
  <c r="P1178" i="6"/>
  <c r="Q1178" i="6" s="1"/>
  <c r="U1178" i="6" s="1"/>
  <c r="R1178" i="6"/>
  <c r="S1178" i="6" s="1"/>
  <c r="T1178" i="6" s="1"/>
  <c r="R1174" i="6"/>
  <c r="S1174" i="6" s="1"/>
  <c r="T1174" i="6" s="1"/>
  <c r="P1174" i="6"/>
  <c r="Q1174" i="6" s="1"/>
  <c r="U1174" i="6" s="1"/>
  <c r="R1170" i="6"/>
  <c r="S1170" i="6" s="1"/>
  <c r="T1170" i="6" s="1"/>
  <c r="P1170" i="6"/>
  <c r="Q1170" i="6" s="1"/>
  <c r="U1170" i="6" s="1"/>
  <c r="P1166" i="6"/>
  <c r="R1166" i="6"/>
  <c r="S1166" i="6" s="1"/>
  <c r="T1166" i="6" s="1"/>
  <c r="R1158" i="6"/>
  <c r="S1158" i="6" s="1"/>
  <c r="T1158" i="6" s="1"/>
  <c r="P1158" i="6"/>
  <c r="Q1158" i="6" s="1"/>
  <c r="U1158" i="6" s="1"/>
  <c r="P1138" i="6"/>
  <c r="Q1138" i="6" s="1"/>
  <c r="U1138" i="6" s="1"/>
  <c r="R1138" i="6"/>
  <c r="S1138" i="6" s="1"/>
  <c r="T1138" i="6" s="1"/>
  <c r="P1106" i="6"/>
  <c r="R1106" i="6"/>
  <c r="S1106" i="6" s="1"/>
  <c r="T1106" i="6" s="1"/>
  <c r="R416" i="6"/>
  <c r="S416" i="6" s="1"/>
  <c r="T416" i="6" s="1"/>
  <c r="P416" i="6"/>
  <c r="Q416" i="6" s="1"/>
  <c r="U416" i="6" s="1"/>
  <c r="P412" i="6"/>
  <c r="R412" i="6"/>
  <c r="S412" i="6" s="1"/>
  <c r="T412" i="6" s="1"/>
  <c r="R408" i="6"/>
  <c r="S408" i="6" s="1"/>
  <c r="T408" i="6" s="1"/>
  <c r="P408" i="6"/>
  <c r="Q408" i="6" s="1"/>
  <c r="U408" i="6" s="1"/>
  <c r="P404" i="6"/>
  <c r="R404" i="6"/>
  <c r="S404" i="6" s="1"/>
  <c r="T404" i="6" s="1"/>
  <c r="R396" i="6"/>
  <c r="S396" i="6" s="1"/>
  <c r="T396" i="6" s="1"/>
  <c r="P396" i="6"/>
  <c r="Q396" i="6" s="1"/>
  <c r="U396" i="6" s="1"/>
  <c r="R384" i="6"/>
  <c r="S384" i="6" s="1"/>
  <c r="T384" i="6" s="1"/>
  <c r="P384" i="6"/>
  <c r="Q384" i="6" s="1"/>
  <c r="U384" i="6" s="1"/>
  <c r="R376" i="6"/>
  <c r="S376" i="6" s="1"/>
  <c r="T376" i="6" s="1"/>
  <c r="P376" i="6"/>
  <c r="Q376" i="6" s="1"/>
  <c r="U376" i="6" s="1"/>
  <c r="R372" i="6"/>
  <c r="S372" i="6" s="1"/>
  <c r="T372" i="6" s="1"/>
  <c r="P372" i="6"/>
  <c r="P348" i="6"/>
  <c r="R348" i="6"/>
  <c r="S348" i="6" s="1"/>
  <c r="T348" i="6" s="1"/>
  <c r="P344" i="6"/>
  <c r="R344" i="6"/>
  <c r="S344" i="6" s="1"/>
  <c r="T344" i="6" s="1"/>
  <c r="R340" i="6"/>
  <c r="S340" i="6" s="1"/>
  <c r="T340" i="6" s="1"/>
  <c r="P340" i="6"/>
  <c r="P336" i="6"/>
  <c r="Q336" i="6" s="1"/>
  <c r="U336" i="6" s="1"/>
  <c r="R336" i="6"/>
  <c r="S336" i="6" s="1"/>
  <c r="T336" i="6" s="1"/>
  <c r="P332" i="6"/>
  <c r="Q332" i="6" s="1"/>
  <c r="U332" i="6" s="1"/>
  <c r="R332" i="6"/>
  <c r="S332" i="6" s="1"/>
  <c r="T332" i="6" s="1"/>
  <c r="R328" i="6"/>
  <c r="S328" i="6" s="1"/>
  <c r="T328" i="6" s="1"/>
  <c r="P328" i="6"/>
  <c r="Q328" i="6" s="1"/>
  <c r="U328" i="6" s="1"/>
  <c r="P324" i="6"/>
  <c r="Q324" i="6" s="1"/>
  <c r="U324" i="6" s="1"/>
  <c r="R324" i="6"/>
  <c r="S324" i="6" s="1"/>
  <c r="T324" i="6" s="1"/>
  <c r="R320" i="6"/>
  <c r="S320" i="6" s="1"/>
  <c r="T320" i="6" s="1"/>
  <c r="P320" i="6"/>
  <c r="Q320" i="6" s="1"/>
  <c r="U320" i="6" s="1"/>
  <c r="R312" i="6"/>
  <c r="S312" i="6" s="1"/>
  <c r="T312" i="6" s="1"/>
  <c r="P312" i="6"/>
  <c r="Q312" i="6" s="1"/>
  <c r="U312" i="6" s="1"/>
  <c r="P300" i="6"/>
  <c r="Q300" i="6" s="1"/>
  <c r="U300" i="6" s="1"/>
  <c r="R300" i="6"/>
  <c r="S300" i="6" s="1"/>
  <c r="T300" i="6" s="1"/>
  <c r="P296" i="6"/>
  <c r="R296" i="6"/>
  <c r="S296" i="6" s="1"/>
  <c r="T296" i="6" s="1"/>
  <c r="R292" i="6"/>
  <c r="S292" i="6" s="1"/>
  <c r="T292" i="6" s="1"/>
  <c r="P292" i="6"/>
  <c r="Q292" i="6" s="1"/>
  <c r="U292" i="6" s="1"/>
  <c r="P280" i="6"/>
  <c r="R280" i="6"/>
  <c r="S280" i="6" s="1"/>
  <c r="T280" i="6" s="1"/>
  <c r="P276" i="6"/>
  <c r="Q276" i="6" s="1"/>
  <c r="U276" i="6" s="1"/>
  <c r="R276" i="6"/>
  <c r="S276" i="6" s="1"/>
  <c r="T276" i="6" s="1"/>
  <c r="P272" i="6"/>
  <c r="R272" i="6"/>
  <c r="S272" i="6" s="1"/>
  <c r="T272" i="6" s="1"/>
  <c r="R264" i="6"/>
  <c r="S264" i="6" s="1"/>
  <c r="T264" i="6" s="1"/>
  <c r="P264" i="6"/>
  <c r="Q264" i="6" s="1"/>
  <c r="U264" i="6" s="1"/>
  <c r="P260" i="6"/>
  <c r="Q260" i="6" s="1"/>
  <c r="U260" i="6" s="1"/>
  <c r="R260" i="6"/>
  <c r="S260" i="6" s="1"/>
  <c r="T260" i="6" s="1"/>
  <c r="R256" i="6"/>
  <c r="S256" i="6" s="1"/>
  <c r="T256" i="6" s="1"/>
  <c r="P256" i="6"/>
  <c r="Q256" i="6" s="1"/>
  <c r="U256" i="6" s="1"/>
  <c r="P240" i="6"/>
  <c r="R240" i="6"/>
  <c r="S240" i="6" s="1"/>
  <c r="T240" i="6" s="1"/>
  <c r="R232" i="6"/>
  <c r="S232" i="6" s="1"/>
  <c r="T232" i="6" s="1"/>
  <c r="P232" i="6"/>
  <c r="Q232" i="6" s="1"/>
  <c r="U232" i="6" s="1"/>
  <c r="R224" i="6"/>
  <c r="S224" i="6" s="1"/>
  <c r="T224" i="6" s="1"/>
  <c r="P224" i="6"/>
  <c r="R220" i="6"/>
  <c r="S220" i="6" s="1"/>
  <c r="T220" i="6" s="1"/>
  <c r="P220" i="6"/>
  <c r="Q220" i="6" s="1"/>
  <c r="U220" i="6" s="1"/>
  <c r="R212" i="6"/>
  <c r="S212" i="6" s="1"/>
  <c r="T212" i="6" s="1"/>
  <c r="P212" i="6"/>
  <c r="Q212" i="6" s="1"/>
  <c r="U212" i="6" s="1"/>
  <c r="R200" i="6"/>
  <c r="S200" i="6" s="1"/>
  <c r="T200" i="6" s="1"/>
  <c r="P200" i="6"/>
  <c r="Q200" i="6" s="1"/>
  <c r="U200" i="6" s="1"/>
  <c r="P196" i="6"/>
  <c r="Q196" i="6" s="1"/>
  <c r="U196" i="6" s="1"/>
  <c r="R196" i="6"/>
  <c r="S196" i="6" s="1"/>
  <c r="T196" i="6" s="1"/>
  <c r="J1184" i="6"/>
  <c r="O1184" i="6"/>
  <c r="Q1184" i="6" s="1"/>
  <c r="U1184" i="6" s="1"/>
  <c r="J1180" i="6"/>
  <c r="O1180" i="6"/>
  <c r="Q1180" i="6" s="1"/>
  <c r="U1180" i="6" s="1"/>
  <c r="J1172" i="6"/>
  <c r="O1172" i="6"/>
  <c r="Q1172" i="6" s="1"/>
  <c r="U1172" i="6" s="1"/>
  <c r="O1168" i="6"/>
  <c r="J1168" i="6"/>
  <c r="J1160" i="6"/>
  <c r="O1160" i="6"/>
  <c r="Q1160" i="6" s="1"/>
  <c r="U1160" i="6" s="1"/>
  <c r="J1148" i="6"/>
  <c r="O1148" i="6"/>
  <c r="J1140" i="6"/>
  <c r="O1140" i="6"/>
  <c r="Q1140" i="6" s="1"/>
  <c r="U1140" i="6" s="1"/>
  <c r="O1128" i="6"/>
  <c r="Q1128" i="6" s="1"/>
  <c r="U1128" i="6" s="1"/>
  <c r="J1128" i="6"/>
  <c r="J1120" i="6"/>
  <c r="O1120" i="6"/>
  <c r="J1116" i="6"/>
  <c r="O1116" i="6"/>
  <c r="Q1116" i="6" s="1"/>
  <c r="U1116" i="6" s="1"/>
  <c r="O1104" i="6"/>
  <c r="Q1104" i="6" s="1"/>
  <c r="U1104" i="6" s="1"/>
  <c r="J1104" i="6"/>
  <c r="O1100" i="6"/>
  <c r="Q1100" i="6" s="1"/>
  <c r="U1100" i="6" s="1"/>
  <c r="J1100" i="6"/>
  <c r="O1096" i="6"/>
  <c r="Q1096" i="6" s="1"/>
  <c r="U1096" i="6" s="1"/>
  <c r="J1096" i="6"/>
  <c r="J1092" i="6"/>
  <c r="O1092" i="6"/>
  <c r="Q1092" i="6" s="1"/>
  <c r="U1092" i="6" s="1"/>
  <c r="J1084" i="6"/>
  <c r="O1084" i="6"/>
  <c r="Q1084" i="6" s="1"/>
  <c r="U1084" i="6" s="1"/>
  <c r="O1080" i="6"/>
  <c r="Q1080" i="6" s="1"/>
  <c r="U1080" i="6" s="1"/>
  <c r="J1080" i="6"/>
  <c r="J1076" i="6"/>
  <c r="O1076" i="6"/>
  <c r="J1068" i="6"/>
  <c r="O1068" i="6"/>
  <c r="Q1068" i="6" s="1"/>
  <c r="U1068" i="6" s="1"/>
  <c r="J1056" i="6"/>
  <c r="O1056" i="6"/>
  <c r="O1052" i="6"/>
  <c r="Q1052" i="6" s="1"/>
  <c r="U1052" i="6" s="1"/>
  <c r="J1052" i="6"/>
  <c r="O1040" i="6"/>
  <c r="Q1040" i="6" s="1"/>
  <c r="U1040" i="6" s="1"/>
  <c r="J1040" i="6"/>
  <c r="J1032" i="6"/>
  <c r="O1032" i="6"/>
  <c r="J1028" i="6"/>
  <c r="O1028" i="6"/>
  <c r="Q1028" i="6" s="1"/>
  <c r="U1028" i="6" s="1"/>
  <c r="J1016" i="6"/>
  <c r="O1016" i="6"/>
  <c r="O1012" i="6"/>
  <c r="J1012" i="6"/>
  <c r="J1008" i="6"/>
  <c r="O1008" i="6"/>
  <c r="Q1008" i="6" s="1"/>
  <c r="U1008" i="6" s="1"/>
  <c r="O1004" i="6"/>
  <c r="J1004" i="6"/>
  <c r="O992" i="6"/>
  <c r="Q992" i="6" s="1"/>
  <c r="U992" i="6" s="1"/>
  <c r="J992" i="6"/>
  <c r="J980" i="6"/>
  <c r="O980" i="6"/>
  <c r="O972" i="6"/>
  <c r="J972" i="6"/>
  <c r="J960" i="6"/>
  <c r="O960" i="6"/>
  <c r="J957" i="6"/>
  <c r="O957" i="6"/>
  <c r="J937" i="6"/>
  <c r="O937" i="6"/>
  <c r="Q937" i="6" s="1"/>
  <c r="U937" i="6" s="1"/>
  <c r="O933" i="6"/>
  <c r="Q933" i="6" s="1"/>
  <c r="U933" i="6" s="1"/>
  <c r="J933" i="6"/>
  <c r="O921" i="6"/>
  <c r="Q921" i="6" s="1"/>
  <c r="U921" i="6" s="1"/>
  <c r="J921" i="6"/>
  <c r="O909" i="6"/>
  <c r="Q909" i="6" s="1"/>
  <c r="U909" i="6" s="1"/>
  <c r="J909" i="6"/>
  <c r="J885" i="6"/>
  <c r="O885" i="6"/>
  <c r="Q885" i="6" s="1"/>
  <c r="U885" i="6" s="1"/>
  <c r="J873" i="6"/>
  <c r="O873" i="6"/>
  <c r="Q873" i="6" s="1"/>
  <c r="U873" i="6" s="1"/>
  <c r="O865" i="6"/>
  <c r="Q865" i="6" s="1"/>
  <c r="U865" i="6" s="1"/>
  <c r="J865" i="6"/>
  <c r="J853" i="6"/>
  <c r="O853" i="6"/>
  <c r="J849" i="6"/>
  <c r="O849" i="6"/>
  <c r="O829" i="6"/>
  <c r="Q829" i="6" s="1"/>
  <c r="U829" i="6" s="1"/>
  <c r="J829" i="6"/>
  <c r="O817" i="6"/>
  <c r="Q817" i="6" s="1"/>
  <c r="U817" i="6" s="1"/>
  <c r="J817" i="6"/>
  <c r="J813" i="6"/>
  <c r="O813" i="6"/>
  <c r="O801" i="6"/>
  <c r="Q801" i="6" s="1"/>
  <c r="U801" i="6" s="1"/>
  <c r="J801" i="6"/>
  <c r="O789" i="6"/>
  <c r="J789" i="6"/>
  <c r="J781" i="6"/>
  <c r="O781" i="6"/>
  <c r="O777" i="6"/>
  <c r="Q777" i="6" s="1"/>
  <c r="U777" i="6" s="1"/>
  <c r="J777" i="6"/>
  <c r="O769" i="6"/>
  <c r="Q769" i="6" s="1"/>
  <c r="U769" i="6" s="1"/>
  <c r="J769" i="6"/>
  <c r="J757" i="6"/>
  <c r="O757" i="6"/>
  <c r="Q757" i="6" s="1"/>
  <c r="U757" i="6" s="1"/>
  <c r="O741" i="6"/>
  <c r="Q741" i="6" s="1"/>
  <c r="U741" i="6" s="1"/>
  <c r="J741" i="6"/>
  <c r="J733" i="6"/>
  <c r="O733" i="6"/>
  <c r="Q733" i="6" s="1"/>
  <c r="U733" i="6" s="1"/>
  <c r="O729" i="6"/>
  <c r="J729" i="6"/>
  <c r="J721" i="6"/>
  <c r="O721" i="6"/>
  <c r="O709" i="6"/>
  <c r="Q709" i="6" s="1"/>
  <c r="U709" i="6" s="1"/>
  <c r="J709" i="6"/>
  <c r="J685" i="6"/>
  <c r="O685" i="6"/>
  <c r="J673" i="6"/>
  <c r="O673" i="6"/>
  <c r="Q673" i="6" s="1"/>
  <c r="U673" i="6" s="1"/>
  <c r="O669" i="6"/>
  <c r="Q669" i="6" s="1"/>
  <c r="U669" i="6" s="1"/>
  <c r="J669" i="6"/>
  <c r="J661" i="6"/>
  <c r="O661" i="6"/>
  <c r="Q661" i="6" s="1"/>
  <c r="U661" i="6" s="1"/>
  <c r="J657" i="6"/>
  <c r="O657" i="6"/>
  <c r="Q657" i="6" s="1"/>
  <c r="U657" i="6" s="1"/>
  <c r="O649" i="6"/>
  <c r="Q649" i="6" s="1"/>
  <c r="U649" i="6" s="1"/>
  <c r="J649" i="6"/>
  <c r="O645" i="6"/>
  <c r="Q645" i="6" s="1"/>
  <c r="U645" i="6" s="1"/>
  <c r="J645" i="6"/>
  <c r="O633" i="6"/>
  <c r="J633" i="6"/>
  <c r="J625" i="6"/>
  <c r="O625" i="6"/>
  <c r="J622" i="6"/>
  <c r="O622" i="6"/>
  <c r="Q622" i="6" s="1"/>
  <c r="U622" i="6" s="1"/>
  <c r="O618" i="6"/>
  <c r="Q618" i="6" s="1"/>
  <c r="U618" i="6" s="1"/>
  <c r="J618" i="6"/>
  <c r="J610" i="6"/>
  <c r="O610" i="6"/>
  <c r="Q610" i="6" s="1"/>
  <c r="U610" i="6" s="1"/>
  <c r="O606" i="6"/>
  <c r="J606" i="6"/>
  <c r="O602" i="6"/>
  <c r="Q602" i="6" s="1"/>
  <c r="U602" i="6" s="1"/>
  <c r="J602" i="6"/>
  <c r="J590" i="6"/>
  <c r="O590" i="6"/>
  <c r="O582" i="6"/>
  <c r="Q582" i="6" s="1"/>
  <c r="U582" i="6" s="1"/>
  <c r="J582" i="6"/>
  <c r="O578" i="6"/>
  <c r="J578" i="6"/>
  <c r="J574" i="6"/>
  <c r="O574" i="6"/>
  <c r="Q574" i="6" s="1"/>
  <c r="U574" i="6" s="1"/>
  <c r="J570" i="6"/>
  <c r="O570" i="6"/>
  <c r="O558" i="6"/>
  <c r="Q558" i="6" s="1"/>
  <c r="U558" i="6" s="1"/>
  <c r="J558" i="6"/>
  <c r="J550" i="6"/>
  <c r="O550" i="6"/>
  <c r="J542" i="6"/>
  <c r="O542" i="6"/>
  <c r="Q542" i="6" s="1"/>
  <c r="U542" i="6" s="1"/>
  <c r="O538" i="6"/>
  <c r="Q538" i="6" s="1"/>
  <c r="U538" i="6" s="1"/>
  <c r="J538" i="6"/>
  <c r="O530" i="6"/>
  <c r="Q530" i="6" s="1"/>
  <c r="U530" i="6" s="1"/>
  <c r="J530" i="6"/>
  <c r="O526" i="6"/>
  <c r="Q526" i="6" s="1"/>
  <c r="U526" i="6" s="1"/>
  <c r="J526" i="6"/>
  <c r="J518" i="6"/>
  <c r="O518" i="6"/>
  <c r="Q518" i="6" s="1"/>
  <c r="U518" i="6" s="1"/>
  <c r="J514" i="6"/>
  <c r="O514" i="6"/>
  <c r="Q514" i="6" s="1"/>
  <c r="U514" i="6" s="1"/>
  <c r="J510" i="6"/>
  <c r="O510" i="6"/>
  <c r="Q510" i="6" s="1"/>
  <c r="U510" i="6" s="1"/>
  <c r="J506" i="6"/>
  <c r="O506" i="6"/>
  <c r="Q506" i="6" s="1"/>
  <c r="U506" i="6" s="1"/>
  <c r="J494" i="6"/>
  <c r="O494" i="6"/>
  <c r="Q494" i="6" s="1"/>
  <c r="U494" i="6" s="1"/>
  <c r="O490" i="6"/>
  <c r="J490" i="6"/>
  <c r="J478" i="6"/>
  <c r="O478" i="6"/>
  <c r="J474" i="6"/>
  <c r="O474" i="6"/>
  <c r="Q474" i="6" s="1"/>
  <c r="U474" i="6" s="1"/>
  <c r="J470" i="6"/>
  <c r="O470" i="6"/>
  <c r="Q470" i="6" s="1"/>
  <c r="U470" i="6" s="1"/>
  <c r="Q1488" i="6"/>
  <c r="U1488" i="6" s="1"/>
  <c r="Q849" i="6"/>
  <c r="U849" i="6" s="1"/>
  <c r="O43" i="23"/>
  <c r="O29" i="23"/>
  <c r="R1534" i="6"/>
  <c r="S1534" i="6" s="1"/>
  <c r="T1534" i="6" s="1"/>
  <c r="R1610" i="6"/>
  <c r="S1610" i="6" s="1"/>
  <c r="T1610" i="6" s="1"/>
  <c r="P1546" i="6"/>
  <c r="Q1546" i="6" s="1"/>
  <c r="U1546" i="6" s="1"/>
  <c r="P1530" i="6"/>
  <c r="Q1530" i="6" s="1"/>
  <c r="U1530" i="6" s="1"/>
  <c r="P1526" i="6"/>
  <c r="J1060" i="6"/>
  <c r="R1338" i="6"/>
  <c r="S1338" i="6" s="1"/>
  <c r="T1338" i="6" s="1"/>
  <c r="R1594" i="6"/>
  <c r="S1594" i="6" s="1"/>
  <c r="T1594" i="6" s="1"/>
  <c r="Q721" i="6"/>
  <c r="U721" i="6" s="1"/>
  <c r="P1378" i="6"/>
  <c r="P1318" i="6"/>
  <c r="R1190" i="6"/>
  <c r="S1190" i="6" s="1"/>
  <c r="T1190" i="6" s="1"/>
  <c r="P1202" i="6"/>
  <c r="J1132" i="6"/>
  <c r="R1482" i="6"/>
  <c r="S1482" i="6" s="1"/>
  <c r="T1482" i="6" s="1"/>
  <c r="R1470" i="6"/>
  <c r="S1470" i="6" s="1"/>
  <c r="T1470" i="6" s="1"/>
  <c r="R1130" i="6"/>
  <c r="S1130" i="6" s="1"/>
  <c r="T1130" i="6" s="1"/>
  <c r="P1222" i="6"/>
  <c r="Q1222" i="6" s="1"/>
  <c r="U1222" i="6" s="1"/>
  <c r="J713" i="6"/>
  <c r="J785" i="6"/>
  <c r="J833" i="6"/>
  <c r="J881" i="6"/>
  <c r="O941" i="6"/>
  <c r="R352" i="6"/>
  <c r="S352" i="6" s="1"/>
  <c r="T352" i="6" s="1"/>
  <c r="P360" i="6"/>
  <c r="Q360" i="6" s="1"/>
  <c r="U360" i="6" s="1"/>
  <c r="R1442" i="6"/>
  <c r="S1442" i="6" s="1"/>
  <c r="T1442" i="6" s="1"/>
  <c r="O1000" i="6"/>
  <c r="Q1000" i="6" s="1"/>
  <c r="U1000" i="6" s="1"/>
  <c r="O1136" i="6"/>
  <c r="Q1136" i="6" s="1"/>
  <c r="U1136" i="6" s="1"/>
  <c r="J1144" i="6"/>
  <c r="P1586" i="6"/>
  <c r="Q1586" i="6" s="1"/>
  <c r="U1586" i="6" s="1"/>
  <c r="Q400" i="6"/>
  <c r="U400" i="6" s="1"/>
  <c r="J968" i="6"/>
  <c r="J1036" i="6"/>
  <c r="O1108" i="6"/>
  <c r="Q1108" i="6" s="1"/>
  <c r="U1108" i="6" s="1"/>
  <c r="R236" i="6"/>
  <c r="S236" i="6" s="1"/>
  <c r="T236" i="6" s="1"/>
  <c r="R308" i="6"/>
  <c r="S308" i="6" s="1"/>
  <c r="T308" i="6" s="1"/>
  <c r="P1306" i="6"/>
  <c r="O897" i="6"/>
  <c r="Q897" i="6" s="1"/>
  <c r="U897" i="6" s="1"/>
  <c r="O841" i="6"/>
  <c r="Q841" i="6" s="1"/>
  <c r="U841" i="6" s="1"/>
  <c r="J562" i="6"/>
  <c r="J586" i="6"/>
  <c r="Q957" i="6"/>
  <c r="U957" i="6" s="1"/>
  <c r="Q626" i="6"/>
  <c r="U626" i="6" s="1"/>
  <c r="P1126" i="6"/>
  <c r="Q1126" i="6" s="1"/>
  <c r="U1126" i="6" s="1"/>
  <c r="R1150" i="6"/>
  <c r="S1150" i="6" s="1"/>
  <c r="T1150" i="6" s="1"/>
  <c r="P1262" i="6"/>
  <c r="P1626" i="6"/>
  <c r="Q1626" i="6" s="1"/>
  <c r="U1626" i="6" s="1"/>
  <c r="R1326" i="6"/>
  <c r="S1326" i="6" s="1"/>
  <c r="T1326" i="6" s="1"/>
  <c r="P1118" i="6"/>
  <c r="Q1118" i="6" s="1"/>
  <c r="U1118" i="6" s="1"/>
  <c r="P1110" i="6"/>
  <c r="Q1110" i="6" s="1"/>
  <c r="U1110" i="6" s="1"/>
  <c r="R1390" i="6"/>
  <c r="S1390" i="6" s="1"/>
  <c r="T1390" i="6" s="1"/>
  <c r="P1582" i="6"/>
  <c r="Q1582" i="6" s="1"/>
  <c r="U1582" i="6" s="1"/>
  <c r="R1334" i="6"/>
  <c r="S1334" i="6" s="1"/>
  <c r="T1334" i="6" s="1"/>
  <c r="O805" i="6"/>
  <c r="Q805" i="6" s="1"/>
  <c r="U805" i="6" s="1"/>
  <c r="J913" i="6"/>
  <c r="J949" i="6"/>
  <c r="J629" i="6"/>
  <c r="O689" i="6"/>
  <c r="Q689" i="6" s="1"/>
  <c r="U689" i="6" s="1"/>
  <c r="R1574" i="6"/>
  <c r="S1574" i="6" s="1"/>
  <c r="T1574" i="6" s="1"/>
  <c r="O653" i="6"/>
  <c r="J749" i="6"/>
  <c r="Q578" i="6"/>
  <c r="U578" i="6" s="1"/>
  <c r="Q412" i="6"/>
  <c r="U412" i="6" s="1"/>
  <c r="R1410" i="6"/>
  <c r="S1410" i="6" s="1"/>
  <c r="T1410" i="6" s="1"/>
  <c r="R388" i="6"/>
  <c r="S388" i="6" s="1"/>
  <c r="T388" i="6" s="1"/>
  <c r="J737" i="6"/>
  <c r="O797" i="6"/>
  <c r="Q797" i="6" s="1"/>
  <c r="U797" i="6" s="1"/>
  <c r="J845" i="6"/>
  <c r="J905" i="6"/>
  <c r="O953" i="6"/>
  <c r="Q953" i="6" s="1"/>
  <c r="U953" i="6" s="1"/>
  <c r="R244" i="6"/>
  <c r="S244" i="6" s="1"/>
  <c r="T244" i="6" s="1"/>
  <c r="R1310" i="6"/>
  <c r="S1310" i="6" s="1"/>
  <c r="T1310" i="6" s="1"/>
  <c r="R216" i="6"/>
  <c r="S216" i="6" s="1"/>
  <c r="T216" i="6" s="1"/>
  <c r="R228" i="6"/>
  <c r="S228" i="6" s="1"/>
  <c r="T228" i="6" s="1"/>
  <c r="O1112" i="6"/>
  <c r="Q1112" i="6" s="1"/>
  <c r="U1112" i="6" s="1"/>
  <c r="R1578" i="6"/>
  <c r="S1578" i="6" s="1"/>
  <c r="T1578" i="6" s="1"/>
  <c r="R1618" i="6"/>
  <c r="S1618" i="6" s="1"/>
  <c r="T1618" i="6" s="1"/>
  <c r="P356" i="6"/>
  <c r="Q356" i="6" s="1"/>
  <c r="U356" i="6" s="1"/>
  <c r="O1020" i="6"/>
  <c r="O1024" i="6"/>
  <c r="Q1024" i="6" s="1"/>
  <c r="U1024" i="6" s="1"/>
  <c r="O1156" i="6"/>
  <c r="Q1156" i="6" s="1"/>
  <c r="U1156" i="6" s="1"/>
  <c r="O976" i="6"/>
  <c r="Q976" i="6" s="1"/>
  <c r="U976" i="6" s="1"/>
  <c r="J1044" i="6"/>
  <c r="O1124" i="6"/>
  <c r="Q1124" i="6" s="1"/>
  <c r="U1124" i="6" s="1"/>
  <c r="R248" i="6"/>
  <c r="S248" i="6" s="1"/>
  <c r="T248" i="6" s="1"/>
  <c r="R1406" i="6"/>
  <c r="S1406" i="6" s="1"/>
  <c r="T1406" i="6" s="1"/>
  <c r="J554" i="6"/>
  <c r="Q344" i="6"/>
  <c r="U344" i="6" s="1"/>
  <c r="J522" i="6"/>
  <c r="O534" i="6"/>
  <c r="Q534" i="6" s="1"/>
  <c r="U534" i="6" s="1"/>
  <c r="O46" i="23"/>
  <c r="P1630" i="6"/>
  <c r="Q1630" i="6" s="1"/>
  <c r="U1630" i="6" s="1"/>
  <c r="R1554" i="6"/>
  <c r="S1554" i="6" s="1"/>
  <c r="T1554" i="6" s="1"/>
  <c r="Q614" i="6"/>
  <c r="U614" i="6" s="1"/>
  <c r="Q546" i="6"/>
  <c r="U546" i="6" s="1"/>
  <c r="O988" i="6"/>
  <c r="Q988" i="6" s="1"/>
  <c r="U988" i="6" s="1"/>
  <c r="Q222" i="6"/>
  <c r="U222" i="6" s="1"/>
  <c r="Q448" i="6"/>
  <c r="U448" i="6" s="1"/>
  <c r="R1330" i="6"/>
  <c r="S1330" i="6" s="1"/>
  <c r="T1330" i="6" s="1"/>
  <c r="P1446" i="6"/>
  <c r="Q1446" i="6" s="1"/>
  <c r="U1446" i="6" s="1"/>
  <c r="R1598" i="6"/>
  <c r="S1598" i="6" s="1"/>
  <c r="T1598" i="6" s="1"/>
  <c r="P1434" i="6"/>
  <c r="Q1434" i="6" s="1"/>
  <c r="U1434" i="6" s="1"/>
  <c r="R400" i="6"/>
  <c r="S400" i="6" s="1"/>
  <c r="T400" i="6" s="1"/>
  <c r="P304" i="6"/>
  <c r="J761" i="6"/>
  <c r="J809" i="6"/>
  <c r="J857" i="6"/>
  <c r="O917" i="6"/>
  <c r="P268" i="6"/>
  <c r="Q268" i="6" s="1"/>
  <c r="U268" i="6" s="1"/>
  <c r="O1164" i="6"/>
  <c r="J1176" i="6"/>
  <c r="R1346" i="6"/>
  <c r="S1346" i="6" s="1"/>
  <c r="T1346" i="6" s="1"/>
  <c r="P1266" i="6"/>
  <c r="J984" i="6"/>
  <c r="O1064" i="6"/>
  <c r="Q1064" i="6" s="1"/>
  <c r="U1064" i="6" s="1"/>
  <c r="Q280" i="6"/>
  <c r="U280" i="6" s="1"/>
  <c r="O901" i="6"/>
  <c r="Q901" i="6" s="1"/>
  <c r="U901" i="6" s="1"/>
  <c r="J877" i="6"/>
  <c r="O717" i="6"/>
  <c r="Q717" i="6" s="1"/>
  <c r="U717" i="6" s="1"/>
  <c r="O964" i="6"/>
  <c r="Q964" i="6" s="1"/>
  <c r="U964" i="6" s="1"/>
  <c r="O753" i="6"/>
  <c r="Q753" i="6" s="1"/>
  <c r="U753" i="6" s="1"/>
  <c r="J837" i="6"/>
  <c r="J566" i="6"/>
  <c r="J546" i="6"/>
  <c r="J502" i="6"/>
  <c r="J945" i="6"/>
  <c r="J482" i="6"/>
  <c r="O466" i="6"/>
  <c r="Q466" i="6" s="1"/>
  <c r="U466" i="6" s="1"/>
  <c r="O462" i="6"/>
  <c r="Q462" i="6" s="1"/>
  <c r="U462" i="6" s="1"/>
  <c r="Q1176" i="6"/>
  <c r="U1176" i="6" s="1"/>
  <c r="Q1152" i="6"/>
  <c r="U1152" i="6" s="1"/>
  <c r="Q1166" i="6"/>
  <c r="U1166" i="6" s="1"/>
  <c r="Q240" i="6"/>
  <c r="U240" i="6" s="1"/>
  <c r="Q696" i="6"/>
  <c r="U696" i="6" s="1"/>
  <c r="Q404" i="6"/>
  <c r="U404" i="6" s="1"/>
  <c r="Q296" i="6"/>
  <c r="U296" i="6" s="1"/>
  <c r="R1101" i="6"/>
  <c r="S1101" i="6" s="1"/>
  <c r="T1101" i="6" s="1"/>
  <c r="P1101" i="6"/>
  <c r="Q1101" i="6" s="1"/>
  <c r="U1101" i="6" s="1"/>
  <c r="P903" i="6"/>
  <c r="Q903" i="6" s="1"/>
  <c r="U903" i="6" s="1"/>
  <c r="R903" i="6"/>
  <c r="S903" i="6" s="1"/>
  <c r="T903" i="6" s="1"/>
  <c r="R419" i="6"/>
  <c r="S419" i="6" s="1"/>
  <c r="T419" i="6" s="1"/>
  <c r="P419" i="6"/>
  <c r="Q419" i="6" s="1"/>
  <c r="U419" i="6" s="1"/>
  <c r="O1475" i="6"/>
  <c r="Q1475" i="6" s="1"/>
  <c r="U1475" i="6" s="1"/>
  <c r="J1475" i="6"/>
  <c r="O1459" i="6"/>
  <c r="Q1459" i="6" s="1"/>
  <c r="U1459" i="6" s="1"/>
  <c r="J1459" i="6"/>
  <c r="O1411" i="6"/>
  <c r="Q1411" i="6" s="1"/>
  <c r="U1411" i="6" s="1"/>
  <c r="J1411" i="6"/>
  <c r="J1307" i="6"/>
  <c r="O1307" i="6"/>
  <c r="Q1307" i="6" s="1"/>
  <c r="U1307" i="6" s="1"/>
  <c r="Q1056" i="6"/>
  <c r="U1056" i="6" s="1"/>
  <c r="Q570" i="6"/>
  <c r="U570" i="6" s="1"/>
  <c r="Q502" i="6"/>
  <c r="U502" i="6" s="1"/>
  <c r="Q1214" i="6"/>
  <c r="U1214" i="6" s="1"/>
  <c r="Q1238" i="6"/>
  <c r="U1238" i="6" s="1"/>
  <c r="Q317" i="6"/>
  <c r="U317" i="6" s="1"/>
  <c r="Q437" i="6"/>
  <c r="U437" i="6" s="1"/>
  <c r="P918" i="6"/>
  <c r="R918" i="6"/>
  <c r="S918" i="6" s="1"/>
  <c r="T918" i="6" s="1"/>
  <c r="P493" i="6"/>
  <c r="R493" i="6"/>
  <c r="S493" i="6" s="1"/>
  <c r="T493" i="6" s="1"/>
  <c r="P457" i="6"/>
  <c r="Q457" i="6" s="1"/>
  <c r="U457" i="6" s="1"/>
  <c r="R457" i="6"/>
  <c r="S457" i="6" s="1"/>
  <c r="T457" i="6" s="1"/>
  <c r="P430" i="6"/>
  <c r="Q430" i="6" s="1"/>
  <c r="U430" i="6" s="1"/>
  <c r="R430" i="6"/>
  <c r="S430" i="6" s="1"/>
  <c r="T430" i="6" s="1"/>
  <c r="Q1416" i="6"/>
  <c r="U1416" i="6" s="1"/>
  <c r="Q646" i="6"/>
  <c r="U646" i="6" s="1"/>
  <c r="Q461" i="6"/>
  <c r="U461" i="6" s="1"/>
  <c r="Q943" i="6"/>
  <c r="U943" i="6" s="1"/>
  <c r="Q1387" i="6"/>
  <c r="U1387" i="6" s="1"/>
  <c r="Q272" i="6"/>
  <c r="U272" i="6" s="1"/>
  <c r="Q229" i="6"/>
  <c r="U229" i="6" s="1"/>
  <c r="Q1012" i="6"/>
  <c r="U1012" i="6" s="1"/>
  <c r="Q1558" i="6"/>
  <c r="U1558" i="6" s="1"/>
  <c r="Q1004" i="6"/>
  <c r="U1004" i="6" s="1"/>
  <c r="S85" i="6"/>
  <c r="T85" i="6" s="1"/>
  <c r="Q406" i="6"/>
  <c r="U406" i="6" s="1"/>
  <c r="R939" i="6"/>
  <c r="S939" i="6" s="1"/>
  <c r="T939" i="6" s="1"/>
  <c r="P939" i="6"/>
  <c r="Q939" i="6" s="1"/>
  <c r="U939" i="6" s="1"/>
  <c r="R935" i="6"/>
  <c r="S935" i="6" s="1"/>
  <c r="T935" i="6" s="1"/>
  <c r="P935" i="6"/>
  <c r="Q935" i="6" s="1"/>
  <c r="U935" i="6" s="1"/>
  <c r="P789" i="6"/>
  <c r="R789" i="6"/>
  <c r="S789" i="6" s="1"/>
  <c r="T789" i="6" s="1"/>
  <c r="P586" i="6"/>
  <c r="R586" i="6"/>
  <c r="S586" i="6" s="1"/>
  <c r="T586" i="6" s="1"/>
  <c r="R177" i="6"/>
  <c r="S177" i="6" s="1"/>
  <c r="T177" i="6" s="1"/>
  <c r="P177" i="6"/>
  <c r="Q177" i="6" s="1"/>
  <c r="U177" i="6" s="1"/>
  <c r="Q339" i="6"/>
  <c r="U339" i="6" s="1"/>
  <c r="Q1198" i="6"/>
  <c r="U1198" i="6" s="1"/>
  <c r="Q789" i="6"/>
  <c r="U789" i="6" s="1"/>
  <c r="Q1219" i="6"/>
  <c r="U1219" i="6" s="1"/>
  <c r="Q468" i="6"/>
  <c r="U468" i="6" s="1"/>
  <c r="Q1217" i="6"/>
  <c r="U1217" i="6" s="1"/>
  <c r="Q1420" i="6"/>
  <c r="U1420" i="6" s="1"/>
  <c r="Q1525" i="6"/>
  <c r="U1525" i="6" s="1"/>
  <c r="Q1319" i="6"/>
  <c r="U1319" i="6" s="1"/>
  <c r="N133" i="6"/>
  <c r="Q133" i="6" s="1"/>
  <c r="O11" i="23"/>
  <c r="Q950" i="6"/>
  <c r="U950" i="6" s="1"/>
  <c r="R913" i="6"/>
  <c r="S913" i="6" s="1"/>
  <c r="T913" i="6" s="1"/>
  <c r="P913" i="6"/>
  <c r="Q913" i="6" s="1"/>
  <c r="U913" i="6" s="1"/>
  <c r="P890" i="6"/>
  <c r="R890" i="6"/>
  <c r="S890" i="6" s="1"/>
  <c r="T890" i="6" s="1"/>
  <c r="R864" i="6"/>
  <c r="S864" i="6" s="1"/>
  <c r="T864" i="6" s="1"/>
  <c r="P864" i="6"/>
  <c r="R852" i="6"/>
  <c r="S852" i="6" s="1"/>
  <c r="T852" i="6" s="1"/>
  <c r="P852" i="6"/>
  <c r="R832" i="6"/>
  <c r="S832" i="6" s="1"/>
  <c r="T832" i="6" s="1"/>
  <c r="P832" i="6"/>
  <c r="Q832" i="6" s="1"/>
  <c r="U832" i="6" s="1"/>
  <c r="R804" i="6"/>
  <c r="S804" i="6" s="1"/>
  <c r="T804" i="6" s="1"/>
  <c r="P804" i="6"/>
  <c r="P788" i="6"/>
  <c r="R788" i="6"/>
  <c r="S788" i="6" s="1"/>
  <c r="T788" i="6" s="1"/>
  <c r="P780" i="6"/>
  <c r="R780" i="6"/>
  <c r="S780" i="6" s="1"/>
  <c r="T780" i="6" s="1"/>
  <c r="R732" i="6"/>
  <c r="S732" i="6" s="1"/>
  <c r="T732" i="6" s="1"/>
  <c r="P732" i="6"/>
  <c r="Q732" i="6" s="1"/>
  <c r="U732" i="6" s="1"/>
  <c r="P351" i="6"/>
  <c r="R351" i="6"/>
  <c r="S351" i="6" s="1"/>
  <c r="T351" i="6" s="1"/>
  <c r="P335" i="6"/>
  <c r="Q335" i="6" s="1"/>
  <c r="U335" i="6" s="1"/>
  <c r="R335" i="6"/>
  <c r="S335" i="6" s="1"/>
  <c r="T335" i="6" s="1"/>
  <c r="P315" i="6"/>
  <c r="Q315" i="6" s="1"/>
  <c r="U315" i="6" s="1"/>
  <c r="R315" i="6"/>
  <c r="S315" i="6" s="1"/>
  <c r="T315" i="6" s="1"/>
  <c r="P307" i="6"/>
  <c r="R307" i="6"/>
  <c r="S307" i="6" s="1"/>
  <c r="T307" i="6" s="1"/>
  <c r="P303" i="6"/>
  <c r="Q303" i="6" s="1"/>
  <c r="U303" i="6" s="1"/>
  <c r="R303" i="6"/>
  <c r="S303" i="6" s="1"/>
  <c r="T303" i="6" s="1"/>
  <c r="P56" i="6"/>
  <c r="R56" i="6"/>
  <c r="S56" i="6" s="1"/>
  <c r="T56" i="6" s="1"/>
  <c r="R40" i="6"/>
  <c r="P40" i="6"/>
  <c r="R17" i="6"/>
  <c r="P17" i="6"/>
  <c r="R13" i="6"/>
  <c r="P13" i="6"/>
  <c r="J1382" i="6"/>
  <c r="O1382" i="6"/>
  <c r="O1378" i="6"/>
  <c r="Q1378" i="6" s="1"/>
  <c r="U1378" i="6" s="1"/>
  <c r="J1378" i="6"/>
  <c r="O1374" i="6"/>
  <c r="Q1374" i="6" s="1"/>
  <c r="U1374" i="6" s="1"/>
  <c r="J1374" i="6"/>
  <c r="O1370" i="6"/>
  <c r="Q1370" i="6" s="1"/>
  <c r="U1370" i="6" s="1"/>
  <c r="J1370" i="6"/>
  <c r="O1342" i="6"/>
  <c r="Q1342" i="6" s="1"/>
  <c r="U1342" i="6" s="1"/>
  <c r="J1342" i="6"/>
  <c r="O1334" i="6"/>
  <c r="Q1334" i="6" s="1"/>
  <c r="U1334" i="6" s="1"/>
  <c r="J1334" i="6"/>
  <c r="O1330" i="6"/>
  <c r="Q1330" i="6" s="1"/>
  <c r="U1330" i="6" s="1"/>
  <c r="J1330" i="6"/>
  <c r="O1322" i="6"/>
  <c r="Q1322" i="6" s="1"/>
  <c r="U1322" i="6" s="1"/>
  <c r="J1322" i="6"/>
  <c r="O1318" i="6"/>
  <c r="Q1318" i="6" s="1"/>
  <c r="U1318" i="6" s="1"/>
  <c r="J1318" i="6"/>
  <c r="J1314" i="6"/>
  <c r="O1314" i="6"/>
  <c r="J1282" i="6"/>
  <c r="O1282" i="6"/>
  <c r="Q1282" i="6" s="1"/>
  <c r="U1282" i="6" s="1"/>
  <c r="O1266" i="6"/>
  <c r="Q1266" i="6" s="1"/>
  <c r="U1266" i="6" s="1"/>
  <c r="J1266" i="6"/>
  <c r="O1258" i="6"/>
  <c r="J1258" i="6"/>
  <c r="O1210" i="6"/>
  <c r="J1210" i="6"/>
  <c r="J1183" i="6"/>
  <c r="O1183" i="6"/>
  <c r="O1171" i="6"/>
  <c r="Q1171" i="6" s="1"/>
  <c r="U1171" i="6" s="1"/>
  <c r="J1171" i="6"/>
  <c r="O1159" i="6"/>
  <c r="J1159" i="6"/>
  <c r="Q890" i="6"/>
  <c r="U890" i="6" s="1"/>
  <c r="G58" i="23"/>
  <c r="I13" i="23"/>
  <c r="F8" i="23"/>
  <c r="C38" i="23"/>
  <c r="O38" i="23" s="1"/>
  <c r="I8" i="23"/>
  <c r="M40" i="23"/>
  <c r="H51" i="23"/>
  <c r="Q104" i="6"/>
  <c r="Q361" i="6"/>
  <c r="U361" i="6" s="1"/>
  <c r="Q1258" i="6"/>
  <c r="U1258" i="6" s="1"/>
  <c r="Q160" i="6"/>
  <c r="U160" i="6" s="1"/>
  <c r="R812" i="6"/>
  <c r="S812" i="6" s="1"/>
  <c r="T812" i="6" s="1"/>
  <c r="R1502" i="6"/>
  <c r="S1502" i="6" s="1"/>
  <c r="T1502" i="6" s="1"/>
  <c r="P1502" i="6"/>
  <c r="Q1502" i="6" s="1"/>
  <c r="U1502" i="6" s="1"/>
  <c r="R1302" i="6"/>
  <c r="S1302" i="6" s="1"/>
  <c r="T1302" i="6" s="1"/>
  <c r="P1302" i="6"/>
  <c r="Q1302" i="6" s="1"/>
  <c r="U1302" i="6" s="1"/>
  <c r="R1011" i="6"/>
  <c r="S1011" i="6" s="1"/>
  <c r="T1011" i="6" s="1"/>
  <c r="P1011" i="6"/>
  <c r="Q1011" i="6" s="1"/>
  <c r="U1011" i="6" s="1"/>
  <c r="P959" i="6"/>
  <c r="Q959" i="6" s="1"/>
  <c r="U959" i="6" s="1"/>
  <c r="R959" i="6"/>
  <c r="S959" i="6" s="1"/>
  <c r="T959" i="6" s="1"/>
  <c r="R678" i="6"/>
  <c r="S678" i="6" s="1"/>
  <c r="T678" i="6" s="1"/>
  <c r="P678" i="6"/>
  <c r="Q678" i="6" s="1"/>
  <c r="U678" i="6" s="1"/>
  <c r="R654" i="6"/>
  <c r="S654" i="6" s="1"/>
  <c r="T654" i="6" s="1"/>
  <c r="P654" i="6"/>
  <c r="Q654" i="6" s="1"/>
  <c r="U654" i="6" s="1"/>
  <c r="R606" i="6"/>
  <c r="S606" i="6" s="1"/>
  <c r="T606" i="6" s="1"/>
  <c r="P606" i="6"/>
  <c r="Q606" i="6" s="1"/>
  <c r="U606" i="6" s="1"/>
  <c r="J150" i="6"/>
  <c r="O150" i="6"/>
  <c r="J146" i="6"/>
  <c r="O146" i="6"/>
  <c r="Q146" i="6" s="1"/>
  <c r="U146" i="6" s="1"/>
  <c r="J70" i="6"/>
  <c r="O70" i="6"/>
  <c r="Q70" i="6" s="1"/>
  <c r="U70" i="6" s="1"/>
  <c r="N1620" i="6"/>
  <c r="M1620" i="6"/>
  <c r="M1608" i="6"/>
  <c r="N1608" i="6"/>
  <c r="Q1608" i="6" s="1"/>
  <c r="U1608" i="6" s="1"/>
  <c r="N1540" i="6"/>
  <c r="M1540" i="6"/>
  <c r="N1536" i="6"/>
  <c r="Q1536" i="6" s="1"/>
  <c r="U1536" i="6" s="1"/>
  <c r="M1536" i="6"/>
  <c r="M1512" i="6"/>
  <c r="N1512" i="6"/>
  <c r="Q1512" i="6" s="1"/>
  <c r="U1512" i="6" s="1"/>
  <c r="N1500" i="6"/>
  <c r="Q1500" i="6" s="1"/>
  <c r="U1500" i="6" s="1"/>
  <c r="M1500" i="6"/>
  <c r="M1408" i="6"/>
  <c r="N1408" i="6"/>
  <c r="Q1408" i="6" s="1"/>
  <c r="U1408" i="6" s="1"/>
  <c r="N1404" i="6"/>
  <c r="M1404" i="6"/>
  <c r="N1400" i="6"/>
  <c r="Q1400" i="6" s="1"/>
  <c r="U1400" i="6" s="1"/>
  <c r="M1400" i="6"/>
  <c r="M1377" i="6"/>
  <c r="N1377" i="6"/>
  <c r="Q1377" i="6" s="1"/>
  <c r="U1377" i="6" s="1"/>
  <c r="M1361" i="6"/>
  <c r="N1361" i="6"/>
  <c r="N1357" i="6"/>
  <c r="Q1357" i="6" s="1"/>
  <c r="U1357" i="6" s="1"/>
  <c r="M1357" i="6"/>
  <c r="N1333" i="6"/>
  <c r="Q1333" i="6" s="1"/>
  <c r="U1333" i="6" s="1"/>
  <c r="M1333" i="6"/>
  <c r="M1301" i="6"/>
  <c r="N1301" i="6"/>
  <c r="N1273" i="6"/>
  <c r="Q1273" i="6" s="1"/>
  <c r="U1273" i="6" s="1"/>
  <c r="M1273" i="6"/>
  <c r="N1237" i="6"/>
  <c r="M1237" i="6"/>
  <c r="N1229" i="6"/>
  <c r="Q1229" i="6" s="1"/>
  <c r="U1229" i="6" s="1"/>
  <c r="M1229" i="6"/>
  <c r="M1193" i="6"/>
  <c r="N1193" i="6"/>
  <c r="Q1193" i="6" s="1"/>
  <c r="U1193" i="6" s="1"/>
  <c r="M1189" i="6"/>
  <c r="N1189" i="6"/>
  <c r="N1185" i="6"/>
  <c r="M1185" i="6"/>
  <c r="J1087" i="6"/>
  <c r="O1087" i="6"/>
  <c r="Q1087" i="6" s="1"/>
  <c r="U1087" i="6" s="1"/>
  <c r="J836" i="6"/>
  <c r="O836" i="6"/>
  <c r="Q836" i="6" s="1"/>
  <c r="U836" i="6" s="1"/>
  <c r="O804" i="6"/>
  <c r="Q804" i="6" s="1"/>
  <c r="U804" i="6" s="1"/>
  <c r="J804" i="6"/>
  <c r="J788" i="6"/>
  <c r="O788" i="6"/>
  <c r="Q788" i="6" s="1"/>
  <c r="U788" i="6" s="1"/>
  <c r="O660" i="6"/>
  <c r="Q660" i="6" s="1"/>
  <c r="U660" i="6" s="1"/>
  <c r="J660" i="6"/>
  <c r="J621" i="6"/>
  <c r="O621" i="6"/>
  <c r="Q621" i="6" s="1"/>
  <c r="U621" i="6" s="1"/>
  <c r="J613" i="6"/>
  <c r="O613" i="6"/>
  <c r="Q613" i="6" s="1"/>
  <c r="U613" i="6" s="1"/>
  <c r="O585" i="6"/>
  <c r="Q585" i="6" s="1"/>
  <c r="U585" i="6" s="1"/>
  <c r="J585" i="6"/>
  <c r="J381" i="6"/>
  <c r="O381" i="6"/>
  <c r="Q381" i="6" s="1"/>
  <c r="U381" i="6" s="1"/>
  <c r="O361" i="6"/>
  <c r="J361" i="6"/>
  <c r="J237" i="6"/>
  <c r="O237" i="6"/>
  <c r="Q237" i="6" s="1"/>
  <c r="U237" i="6" s="1"/>
  <c r="O217" i="6"/>
  <c r="Q217" i="6" s="1"/>
  <c r="U217" i="6" s="1"/>
  <c r="J217" i="6"/>
  <c r="J213" i="6"/>
  <c r="O213" i="6"/>
  <c r="Q503" i="6"/>
  <c r="U503" i="6" s="1"/>
  <c r="Q917" i="6"/>
  <c r="U917" i="6" s="1"/>
  <c r="Q941" i="6"/>
  <c r="U941" i="6" s="1"/>
  <c r="Q424" i="6"/>
  <c r="U424" i="6" s="1"/>
  <c r="O1083" i="6"/>
  <c r="Q1560" i="6"/>
  <c r="U1560" i="6" s="1"/>
  <c r="Q835" i="6"/>
  <c r="U835" i="6" s="1"/>
  <c r="Q1088" i="6"/>
  <c r="U1088" i="6" s="1"/>
  <c r="Q1485" i="6"/>
  <c r="U1485" i="6" s="1"/>
  <c r="Q1210" i="6"/>
  <c r="U1210" i="6" s="1"/>
  <c r="Q780" i="6"/>
  <c r="U780" i="6" s="1"/>
  <c r="Q860" i="6"/>
  <c r="U860" i="6" s="1"/>
  <c r="R1382" i="6"/>
  <c r="S1382" i="6" s="1"/>
  <c r="T1382" i="6" s="1"/>
  <c r="O1019" i="6"/>
  <c r="R1558" i="6"/>
  <c r="S1558" i="6" s="1"/>
  <c r="T1558" i="6" s="1"/>
  <c r="P1294" i="6"/>
  <c r="Q1294" i="6" s="1"/>
  <c r="U1294" i="6" s="1"/>
  <c r="R1198" i="6"/>
  <c r="S1198" i="6" s="1"/>
  <c r="T1198" i="6" s="1"/>
  <c r="R1214" i="6"/>
  <c r="S1214" i="6" s="1"/>
  <c r="T1214" i="6" s="1"/>
  <c r="Q926" i="6"/>
  <c r="U926" i="6" s="1"/>
  <c r="R1234" i="6"/>
  <c r="S1234" i="6" s="1"/>
  <c r="T1234" i="6" s="1"/>
  <c r="J848" i="6"/>
  <c r="O868" i="6"/>
  <c r="Q868" i="6" s="1"/>
  <c r="U868" i="6" s="1"/>
  <c r="O609" i="6"/>
  <c r="Q609" i="6" s="1"/>
  <c r="U609" i="6" s="1"/>
  <c r="Q59" i="6"/>
  <c r="U59" i="6" s="1"/>
  <c r="R1498" i="6"/>
  <c r="S1498" i="6" s="1"/>
  <c r="T1498" i="6" s="1"/>
  <c r="O589" i="6"/>
  <c r="Q589" i="6" s="1"/>
  <c r="U589" i="6" s="1"/>
  <c r="R362" i="6"/>
  <c r="S362" i="6" s="1"/>
  <c r="T362" i="6" s="1"/>
  <c r="P362" i="6"/>
  <c r="Q362" i="6" s="1"/>
  <c r="U362" i="6" s="1"/>
  <c r="J1417" i="6"/>
  <c r="O1417" i="6"/>
  <c r="Q1417" i="6" s="1"/>
  <c r="U1417" i="6" s="1"/>
  <c r="O1405" i="6"/>
  <c r="Q1405" i="6" s="1"/>
  <c r="U1405" i="6" s="1"/>
  <c r="J1405" i="6"/>
  <c r="O1393" i="6"/>
  <c r="Q1393" i="6" s="1"/>
  <c r="U1393" i="6" s="1"/>
  <c r="J1393" i="6"/>
  <c r="Q776" i="6"/>
  <c r="U776" i="6" s="1"/>
  <c r="O1079" i="6"/>
  <c r="Q1079" i="6" s="1"/>
  <c r="U1079" i="6" s="1"/>
  <c r="J1115" i="6"/>
  <c r="Q1067" i="6"/>
  <c r="U1067" i="6" s="1"/>
  <c r="P1510" i="6"/>
  <c r="Q1510" i="6" s="1"/>
  <c r="U1510" i="6" s="1"/>
  <c r="P106" i="6"/>
  <c r="O888" i="6"/>
  <c r="Q888" i="6" s="1"/>
  <c r="U888" i="6" s="1"/>
  <c r="P490" i="6"/>
  <c r="Q490" i="6" s="1"/>
  <c r="U490" i="6" s="1"/>
  <c r="R490" i="6"/>
  <c r="S490" i="6" s="1"/>
  <c r="T490" i="6" s="1"/>
  <c r="P447" i="6"/>
  <c r="Q447" i="6" s="1"/>
  <c r="U447" i="6" s="1"/>
  <c r="R447" i="6"/>
  <c r="S447" i="6" s="1"/>
  <c r="T447" i="6" s="1"/>
  <c r="M1133" i="6"/>
  <c r="Q800" i="6"/>
  <c r="U800" i="6" s="1"/>
  <c r="P12" i="6"/>
  <c r="Q729" i="6"/>
  <c r="U729" i="6" s="1"/>
  <c r="Q586" i="6"/>
  <c r="U586" i="6" s="1"/>
  <c r="Q353" i="6"/>
  <c r="U353" i="6" s="1"/>
  <c r="O68" i="6"/>
  <c r="N918" i="6"/>
  <c r="M814" i="6"/>
  <c r="M1165" i="6"/>
  <c r="M1137" i="6"/>
  <c r="M1129" i="6"/>
  <c r="N1045" i="6"/>
  <c r="Q1045" i="6" s="1"/>
  <c r="U1045" i="6" s="1"/>
  <c r="M1021" i="6"/>
  <c r="N1049" i="6"/>
  <c r="Q1049" i="6" s="1"/>
  <c r="U1049" i="6" s="1"/>
  <c r="M762" i="6"/>
  <c r="M766" i="6"/>
  <c r="Q1081" i="6"/>
  <c r="U1081" i="6" s="1"/>
  <c r="M830" i="6"/>
  <c r="N894" i="6"/>
  <c r="Q894" i="6" s="1"/>
  <c r="U894" i="6" s="1"/>
  <c r="N842" i="6"/>
  <c r="Q842" i="6" s="1"/>
  <c r="U842" i="6" s="1"/>
  <c r="M774" i="6"/>
  <c r="N703" i="6"/>
  <c r="O106" i="6"/>
  <c r="O83" i="6"/>
  <c r="P115" i="6"/>
  <c r="Q236" i="6"/>
  <c r="U236" i="6" s="1"/>
  <c r="Q745" i="6"/>
  <c r="U745" i="6" s="1"/>
  <c r="N902" i="6"/>
  <c r="Q902" i="6" s="1"/>
  <c r="U902" i="6" s="1"/>
  <c r="M926" i="6"/>
  <c r="N846" i="6"/>
  <c r="Q846" i="6" s="1"/>
  <c r="U846" i="6" s="1"/>
  <c r="M930" i="6"/>
  <c r="M750" i="6"/>
  <c r="N639" i="6"/>
  <c r="Q639" i="6" s="1"/>
  <c r="U639" i="6" s="1"/>
  <c r="N1153" i="6"/>
  <c r="N1121" i="6"/>
  <c r="Q1121" i="6" s="1"/>
  <c r="U1121" i="6" s="1"/>
  <c r="Q1189" i="6"/>
  <c r="U1189" i="6" s="1"/>
  <c r="N977" i="6"/>
  <c r="Q977" i="6" s="1"/>
  <c r="U977" i="6" s="1"/>
  <c r="M965" i="6"/>
  <c r="N997" i="6"/>
  <c r="M973" i="6"/>
  <c r="Q1429" i="6"/>
  <c r="U1429" i="6" s="1"/>
  <c r="M866" i="6"/>
  <c r="N906" i="6"/>
  <c r="N679" i="6"/>
  <c r="Q679" i="6" s="1"/>
  <c r="U679" i="6" s="1"/>
  <c r="M571" i="6"/>
  <c r="N511" i="6"/>
  <c r="Q511" i="6" s="1"/>
  <c r="U511" i="6" s="1"/>
  <c r="M559" i="6"/>
  <c r="R57" i="6"/>
  <c r="S57" i="6" s="1"/>
  <c r="T57" i="6" s="1"/>
  <c r="P947" i="6"/>
  <c r="Q947" i="6" s="1"/>
  <c r="U947" i="6" s="1"/>
  <c r="R947" i="6"/>
  <c r="S947" i="6" s="1"/>
  <c r="T947" i="6" s="1"/>
  <c r="R204" i="6"/>
  <c r="S204" i="6" s="1"/>
  <c r="T204" i="6" s="1"/>
  <c r="P204" i="6"/>
  <c r="P193" i="6"/>
  <c r="Q193" i="6" s="1"/>
  <c r="U193" i="6" s="1"/>
  <c r="R193" i="6"/>
  <c r="S193" i="6" s="1"/>
  <c r="T193" i="6" s="1"/>
  <c r="P190" i="6"/>
  <c r="R190" i="6"/>
  <c r="S190" i="6" s="1"/>
  <c r="T190" i="6" s="1"/>
  <c r="R138" i="6"/>
  <c r="P138" i="6"/>
  <c r="R134" i="6"/>
  <c r="P134" i="6"/>
  <c r="Q134" i="6" s="1"/>
  <c r="J1547" i="6"/>
  <c r="O1547" i="6"/>
  <c r="Q1547" i="6" s="1"/>
  <c r="U1547" i="6" s="1"/>
  <c r="J1507" i="6"/>
  <c r="O1507" i="6"/>
  <c r="Q1507" i="6" s="1"/>
  <c r="U1507" i="6" s="1"/>
  <c r="C83" i="23"/>
  <c r="O40" i="23"/>
  <c r="Q1181" i="6"/>
  <c r="U1181" i="6" s="1"/>
  <c r="Q1153" i="6"/>
  <c r="U1153" i="6" s="1"/>
  <c r="Q12" i="6"/>
  <c r="U12" i="6" s="1"/>
  <c r="Q209" i="6"/>
  <c r="U209" i="6" s="1"/>
  <c r="Q463" i="6"/>
  <c r="U463" i="6" s="1"/>
  <c r="Q1554" i="6"/>
  <c r="U1554" i="6" s="1"/>
  <c r="Q493" i="6"/>
  <c r="U493" i="6" s="1"/>
  <c r="P1349" i="6"/>
  <c r="Q1349" i="6" s="1"/>
  <c r="U1349" i="6" s="1"/>
  <c r="R1349" i="6"/>
  <c r="S1349" i="6" s="1"/>
  <c r="T1349" i="6" s="1"/>
  <c r="R1125" i="6"/>
  <c r="S1125" i="6" s="1"/>
  <c r="T1125" i="6" s="1"/>
  <c r="P1125" i="6"/>
  <c r="Q1125" i="6" s="1"/>
  <c r="U1125" i="6" s="1"/>
  <c r="P1086" i="6"/>
  <c r="R1086" i="6"/>
  <c r="S1086" i="6" s="1"/>
  <c r="T1086" i="6" s="1"/>
  <c r="R1082" i="6"/>
  <c r="S1082" i="6" s="1"/>
  <c r="T1082" i="6" s="1"/>
  <c r="P1082" i="6"/>
  <c r="Q1082" i="6" s="1"/>
  <c r="U1082" i="6" s="1"/>
  <c r="P1014" i="6"/>
  <c r="R1014" i="6"/>
  <c r="S1014" i="6" s="1"/>
  <c r="T1014" i="6" s="1"/>
  <c r="R1006" i="6"/>
  <c r="S1006" i="6" s="1"/>
  <c r="T1006" i="6" s="1"/>
  <c r="P1006" i="6"/>
  <c r="R489" i="6"/>
  <c r="S489" i="6" s="1"/>
  <c r="T489" i="6" s="1"/>
  <c r="P489" i="6"/>
  <c r="Q489" i="6" s="1"/>
  <c r="U489" i="6" s="1"/>
  <c r="P477" i="6"/>
  <c r="Q477" i="6" s="1"/>
  <c r="U477" i="6" s="1"/>
  <c r="R477" i="6"/>
  <c r="S477" i="6" s="1"/>
  <c r="T477" i="6" s="1"/>
  <c r="P251" i="6"/>
  <c r="Q251" i="6" s="1"/>
  <c r="U251" i="6" s="1"/>
  <c r="R251" i="6"/>
  <c r="S251" i="6" s="1"/>
  <c r="T251" i="6" s="1"/>
  <c r="J1245" i="6"/>
  <c r="O1245" i="6"/>
  <c r="Q1245" i="6" s="1"/>
  <c r="U1245" i="6" s="1"/>
  <c r="J1225" i="6"/>
  <c r="O1225" i="6"/>
  <c r="Q1225" i="6" s="1"/>
  <c r="U1225" i="6" s="1"/>
  <c r="J1197" i="6"/>
  <c r="O1197" i="6"/>
  <c r="Q1197" i="6" s="1"/>
  <c r="U1197" i="6" s="1"/>
  <c r="O1114" i="6"/>
  <c r="Q1114" i="6" s="1"/>
  <c r="U1114" i="6" s="1"/>
  <c r="J1114" i="6"/>
  <c r="J1106" i="6"/>
  <c r="O1106" i="6"/>
  <c r="Q1106" i="6" s="1"/>
  <c r="U1106" i="6" s="1"/>
  <c r="J1094" i="6"/>
  <c r="O1094" i="6"/>
  <c r="O1074" i="6"/>
  <c r="Q1074" i="6" s="1"/>
  <c r="U1074" i="6" s="1"/>
  <c r="J1074" i="6"/>
  <c r="J1070" i="6"/>
  <c r="O1070" i="6"/>
  <c r="Q1070" i="6" s="1"/>
  <c r="U1070" i="6" s="1"/>
  <c r="O1034" i="6"/>
  <c r="Q1034" i="6" s="1"/>
  <c r="U1034" i="6" s="1"/>
  <c r="J1034" i="6"/>
  <c r="O1002" i="6"/>
  <c r="Q1002" i="6" s="1"/>
  <c r="U1002" i="6" s="1"/>
  <c r="J1002" i="6"/>
  <c r="Q97" i="6"/>
  <c r="P21" i="6"/>
  <c r="N103" i="6"/>
  <c r="Q103" i="6" s="1"/>
  <c r="O33" i="23"/>
  <c r="Q1095" i="6"/>
  <c r="U1095" i="6" s="1"/>
  <c r="Q583" i="6"/>
  <c r="U583" i="6" s="1"/>
  <c r="Q603" i="6"/>
  <c r="U603" i="6" s="1"/>
  <c r="Q248" i="6"/>
  <c r="U248" i="6" s="1"/>
  <c r="Q768" i="6"/>
  <c r="U768" i="6" s="1"/>
  <c r="Q1086" i="6"/>
  <c r="U1086" i="6" s="1"/>
  <c r="P1588" i="6"/>
  <c r="Q1588" i="6" s="1"/>
  <c r="U1588" i="6" s="1"/>
  <c r="R1588" i="6"/>
  <c r="S1588" i="6" s="1"/>
  <c r="T1588" i="6" s="1"/>
  <c r="P1456" i="6"/>
  <c r="Q1456" i="6" s="1"/>
  <c r="U1456" i="6" s="1"/>
  <c r="R1456" i="6"/>
  <c r="S1456" i="6" s="1"/>
  <c r="T1456" i="6" s="1"/>
  <c r="R1444" i="6"/>
  <c r="S1444" i="6" s="1"/>
  <c r="T1444" i="6" s="1"/>
  <c r="P1444" i="6"/>
  <c r="Q1444" i="6" s="1"/>
  <c r="U1444" i="6" s="1"/>
  <c r="R810" i="6"/>
  <c r="S810" i="6" s="1"/>
  <c r="T810" i="6" s="1"/>
  <c r="P810" i="6"/>
  <c r="Q810" i="6" s="1"/>
  <c r="U810" i="6" s="1"/>
  <c r="R806" i="6"/>
  <c r="S806" i="6" s="1"/>
  <c r="T806" i="6" s="1"/>
  <c r="P806" i="6"/>
  <c r="Q806" i="6" s="1"/>
  <c r="U806" i="6" s="1"/>
  <c r="R786" i="6"/>
  <c r="S786" i="6" s="1"/>
  <c r="T786" i="6" s="1"/>
  <c r="P786" i="6"/>
  <c r="Q786" i="6" s="1"/>
  <c r="U786" i="6" s="1"/>
  <c r="P687" i="6"/>
  <c r="Q687" i="6" s="1"/>
  <c r="U687" i="6" s="1"/>
  <c r="R687" i="6"/>
  <c r="S687" i="6" s="1"/>
  <c r="T687" i="6" s="1"/>
  <c r="P258" i="6"/>
  <c r="Q258" i="6" s="1"/>
  <c r="U258" i="6" s="1"/>
  <c r="R258" i="6"/>
  <c r="S258" i="6" s="1"/>
  <c r="T258" i="6" s="1"/>
  <c r="J1482" i="6"/>
  <c r="O1482" i="6"/>
  <c r="O1474" i="6"/>
  <c r="J1474" i="6"/>
  <c r="O1348" i="6"/>
  <c r="Q1348" i="6" s="1"/>
  <c r="U1348" i="6" s="1"/>
  <c r="J1348" i="6"/>
  <c r="O1252" i="6"/>
  <c r="Q1252" i="6" s="1"/>
  <c r="U1252" i="6" s="1"/>
  <c r="J1252" i="6"/>
  <c r="Q99" i="6"/>
  <c r="Q1094" i="6"/>
  <c r="U1094" i="6" s="1"/>
  <c r="P119" i="6"/>
  <c r="N27" i="6"/>
  <c r="Q27" i="6" s="1"/>
  <c r="O51" i="23"/>
  <c r="Q1216" i="6"/>
  <c r="U1216" i="6" s="1"/>
  <c r="Q1083" i="6"/>
  <c r="U1083" i="6" s="1"/>
  <c r="O99" i="6"/>
  <c r="Q1183" i="6"/>
  <c r="U1183" i="6" s="1"/>
  <c r="Q190" i="6"/>
  <c r="U190" i="6" s="1"/>
  <c r="Q314" i="6"/>
  <c r="U314" i="6" s="1"/>
  <c r="U63" i="6"/>
  <c r="Q308" i="6"/>
  <c r="U308" i="6" s="1"/>
  <c r="Q388" i="6"/>
  <c r="U388" i="6" s="1"/>
  <c r="Q225" i="6"/>
  <c r="U225" i="6" s="1"/>
  <c r="Q1511" i="6"/>
  <c r="U1511" i="6" s="1"/>
  <c r="Q1177" i="6"/>
  <c r="U1177" i="6" s="1"/>
  <c r="Q1150" i="6"/>
  <c r="U1150" i="6" s="1"/>
  <c r="Q978" i="6"/>
  <c r="U978" i="6" s="1"/>
  <c r="Q910" i="6"/>
  <c r="U910" i="6" s="1"/>
  <c r="Q778" i="6"/>
  <c r="U778" i="6" s="1"/>
  <c r="P818" i="6"/>
  <c r="Q818" i="6" s="1"/>
  <c r="U818" i="6" s="1"/>
  <c r="O1213" i="6"/>
  <c r="Q1213" i="6" s="1"/>
  <c r="U1213" i="6" s="1"/>
  <c r="R1191" i="6"/>
  <c r="S1191" i="6" s="1"/>
  <c r="T1191" i="6" s="1"/>
  <c r="P1191" i="6"/>
  <c r="Q1191" i="6" s="1"/>
  <c r="U1191" i="6" s="1"/>
  <c r="P363" i="6"/>
  <c r="Q363" i="6" s="1"/>
  <c r="U363" i="6" s="1"/>
  <c r="R363" i="6"/>
  <c r="S363" i="6" s="1"/>
  <c r="T363" i="6" s="1"/>
  <c r="P7" i="6"/>
  <c r="Q7" i="6" s="1"/>
  <c r="U7" i="6" s="1"/>
  <c r="Q350" i="6"/>
  <c r="U350" i="6" s="1"/>
  <c r="J465" i="6"/>
  <c r="O469" i="6"/>
  <c r="Q469" i="6" s="1"/>
  <c r="U469" i="6" s="1"/>
  <c r="O95" i="6"/>
  <c r="Q95" i="6" s="1"/>
  <c r="U95" i="6" s="1"/>
  <c r="Q183" i="6"/>
  <c r="U183" i="6" s="1"/>
  <c r="Q754" i="6"/>
  <c r="U754" i="6" s="1"/>
  <c r="O52" i="6"/>
  <c r="J52" i="6"/>
  <c r="N52" i="6" s="1"/>
  <c r="J90" i="6"/>
  <c r="N90" i="6" s="1"/>
  <c r="O90" i="6"/>
  <c r="J17" i="6"/>
  <c r="M17" i="6" s="1"/>
  <c r="O17" i="6"/>
  <c r="Q17" i="6" s="1"/>
  <c r="U17" i="6" s="1"/>
  <c r="J77" i="6"/>
  <c r="N77" i="6" s="1"/>
  <c r="O77" i="6"/>
  <c r="J8" i="6"/>
  <c r="M8" i="6" s="1"/>
  <c r="O8" i="6"/>
  <c r="Q8" i="6" s="1"/>
  <c r="U8" i="6" s="1"/>
  <c r="O137" i="6"/>
  <c r="J137" i="6"/>
  <c r="J53" i="6"/>
  <c r="O53" i="6"/>
  <c r="J13" i="6"/>
  <c r="M13" i="6" s="1"/>
  <c r="O13" i="6"/>
  <c r="Q13" i="6" s="1"/>
  <c r="U13" i="6" s="1"/>
  <c r="J105" i="6"/>
  <c r="S105" i="6" s="1"/>
  <c r="T105" i="6" s="1"/>
  <c r="O108" i="6"/>
  <c r="J108" i="6"/>
  <c r="J135" i="6"/>
  <c r="S135" i="6" s="1"/>
  <c r="T135" i="6" s="1"/>
  <c r="O135" i="6"/>
  <c r="J75" i="6"/>
  <c r="M75" i="6" s="1"/>
  <c r="O75" i="6"/>
  <c r="O43" i="6"/>
  <c r="J43" i="6"/>
  <c r="S27" i="6"/>
  <c r="T27" i="6" s="1"/>
  <c r="Q1255" i="6"/>
  <c r="U1255" i="6" s="1"/>
  <c r="Q1123" i="6"/>
  <c r="U1123" i="6" s="1"/>
  <c r="Q590" i="6"/>
  <c r="U590" i="6" s="1"/>
  <c r="P139" i="6"/>
  <c r="M117" i="6"/>
  <c r="U101" i="6"/>
  <c r="Q1324" i="6"/>
  <c r="U1324" i="6" s="1"/>
  <c r="Q889" i="6"/>
  <c r="U889" i="6" s="1"/>
  <c r="Q1418" i="6"/>
  <c r="U1418" i="6" s="1"/>
  <c r="Q255" i="6"/>
  <c r="U255" i="6" s="1"/>
  <c r="Q367" i="6"/>
  <c r="U367" i="6" s="1"/>
  <c r="U26" i="6"/>
  <c r="Q1481" i="6"/>
  <c r="U1481" i="6" s="1"/>
  <c r="Q612" i="6"/>
  <c r="U612" i="6" s="1"/>
  <c r="Q261" i="6"/>
  <c r="U261" i="6" s="1"/>
  <c r="Q481" i="6"/>
  <c r="U481" i="6" s="1"/>
  <c r="Q1548" i="6"/>
  <c r="U1548" i="6" s="1"/>
  <c r="N117" i="6"/>
  <c r="Q117" i="6" s="1"/>
  <c r="S134" i="6"/>
  <c r="T134" i="6" s="1"/>
  <c r="U123" i="6"/>
  <c r="O58" i="23"/>
  <c r="E83" i="23"/>
  <c r="Q118" i="6"/>
  <c r="U118" i="6" s="1"/>
  <c r="Q568" i="6"/>
  <c r="U568" i="6" s="1"/>
  <c r="Q633" i="6"/>
  <c r="U633" i="6" s="1"/>
  <c r="Q834" i="6"/>
  <c r="U834" i="6" s="1"/>
  <c r="Q307" i="6"/>
  <c r="U307" i="6" s="1"/>
  <c r="Q508" i="6"/>
  <c r="U508" i="6" s="1"/>
  <c r="Q1448" i="6"/>
  <c r="U1448" i="6" s="1"/>
  <c r="Q755" i="6"/>
  <c r="U755" i="6" s="1"/>
  <c r="Q1014" i="6"/>
  <c r="U1014" i="6" s="1"/>
  <c r="Q1164" i="6"/>
  <c r="U1164" i="6" s="1"/>
  <c r="Q417" i="6"/>
  <c r="U417" i="6" s="1"/>
  <c r="U142" i="6"/>
  <c r="Q1271" i="6"/>
  <c r="U1271" i="6" s="1"/>
  <c r="Q1573" i="6"/>
  <c r="U1573" i="6" s="1"/>
  <c r="J1419" i="21"/>
  <c r="I1419" i="21"/>
  <c r="J86" i="21"/>
  <c r="I86" i="6" s="1"/>
  <c r="J1520" i="21"/>
  <c r="I1520" i="21"/>
  <c r="I1423" i="21"/>
  <c r="J1423" i="21"/>
  <c r="J1343" i="21"/>
  <c r="J1339" i="21"/>
  <c r="J1319" i="21"/>
  <c r="I1319" i="21"/>
  <c r="J1233" i="21"/>
  <c r="I1168" i="21"/>
  <c r="J1168" i="21"/>
  <c r="J886" i="21"/>
  <c r="J56" i="21"/>
  <c r="I56" i="6" s="1"/>
  <c r="J1561" i="21"/>
  <c r="I1561" i="21"/>
  <c r="J1552" i="21"/>
  <c r="I1125" i="21"/>
  <c r="J1125" i="21" s="1"/>
  <c r="J1305" i="21"/>
  <c r="I1028" i="21"/>
  <c r="J1028" i="21" s="1"/>
  <c r="Q390" i="6"/>
  <c r="U390" i="6" s="1"/>
  <c r="I1621" i="21"/>
  <c r="J1621" i="21" s="1"/>
  <c r="I1185" i="21"/>
  <c r="J1185" i="21"/>
  <c r="I966" i="21"/>
  <c r="J966" i="21" s="1"/>
  <c r="J951" i="21"/>
  <c r="J149" i="21"/>
  <c r="I1407" i="21"/>
  <c r="J1407" i="21" s="1"/>
  <c r="J1374" i="21"/>
  <c r="I1083" i="21"/>
  <c r="J1083" i="21"/>
  <c r="I942" i="21"/>
  <c r="J942" i="21" s="1"/>
  <c r="J49" i="21"/>
  <c r="I49" i="6" s="1"/>
  <c r="J65" i="21"/>
  <c r="I65" i="6" s="1"/>
  <c r="J1378" i="21"/>
  <c r="J1180" i="21"/>
  <c r="I409" i="21"/>
  <c r="J409" i="21" s="1"/>
  <c r="J531" i="21"/>
  <c r="J1637" i="21"/>
  <c r="J1247" i="21"/>
  <c r="J1216" i="21"/>
  <c r="I1137" i="21"/>
  <c r="J1137" i="21" s="1"/>
  <c r="J1132" i="21"/>
  <c r="J1036" i="21"/>
  <c r="I1036" i="21"/>
  <c r="J950" i="21"/>
  <c r="J107" i="21"/>
  <c r="I107" i="6" s="1"/>
  <c r="J1593" i="21"/>
  <c r="J1434" i="21"/>
  <c r="J1060" i="21"/>
  <c r="I974" i="21"/>
  <c r="J974" i="21" s="1"/>
  <c r="I1363" i="21"/>
  <c r="J1363" i="21" s="1"/>
  <c r="I1188" i="21"/>
  <c r="J1188" i="21"/>
  <c r="J98" i="21"/>
  <c r="I98" i="6" s="1"/>
  <c r="I496" i="21"/>
  <c r="J496" i="21" s="1"/>
  <c r="J782" i="21"/>
  <c r="J1278" i="21"/>
  <c r="I1278" i="21"/>
  <c r="J1144" i="21"/>
  <c r="I1140" i="21"/>
  <c r="J1140" i="21" s="1"/>
  <c r="I1040" i="21"/>
  <c r="J1040" i="21"/>
  <c r="J963" i="21"/>
  <c r="I878" i="21"/>
  <c r="J878" i="21" s="1"/>
  <c r="J125" i="21"/>
  <c r="I125" i="6" s="1"/>
  <c r="J773" i="21"/>
  <c r="I1156" i="21"/>
  <c r="J1156" i="21" s="1"/>
  <c r="I939" i="21"/>
  <c r="J939" i="21" s="1"/>
  <c r="J1596" i="21"/>
  <c r="J1517" i="21"/>
  <c r="J1390" i="21"/>
  <c r="J884" i="21"/>
  <c r="R41" i="6"/>
  <c r="J1367" i="21"/>
  <c r="J1298" i="21"/>
  <c r="J1213" i="21"/>
  <c r="J1086" i="21"/>
  <c r="J1078" i="21"/>
  <c r="J977" i="21"/>
  <c r="J1322" i="21"/>
  <c r="J1302" i="21"/>
  <c r="J1281" i="21"/>
  <c r="P29" i="6"/>
  <c r="J1342" i="21"/>
  <c r="P53" i="6"/>
  <c r="Q29" i="6"/>
  <c r="Q695" i="6"/>
  <c r="U695" i="6" s="1"/>
  <c r="Q591" i="6"/>
  <c r="U591" i="6" s="1"/>
  <c r="U120" i="6"/>
  <c r="U82" i="6"/>
  <c r="U91" i="6"/>
  <c r="Q665" i="6"/>
  <c r="U665" i="6" s="1"/>
  <c r="Q85" i="6"/>
  <c r="U85" i="6" s="1"/>
  <c r="Q1610" i="6"/>
  <c r="U1610" i="6" s="1"/>
  <c r="Q25" i="6"/>
  <c r="Q89" i="6"/>
  <c r="U89" i="6" s="1"/>
  <c r="Q1478" i="6"/>
  <c r="U1478" i="6" s="1"/>
  <c r="Q895" i="6"/>
  <c r="U895" i="6" s="1"/>
  <c r="Q243" i="6"/>
  <c r="U243" i="6" s="1"/>
  <c r="Q765" i="6"/>
  <c r="U765" i="6" s="1"/>
  <c r="Q340" i="6"/>
  <c r="U340" i="6" s="1"/>
  <c r="Q1168" i="6"/>
  <c r="U1168" i="6" s="1"/>
  <c r="Q227" i="6"/>
  <c r="U227" i="6" s="1"/>
  <c r="Q207" i="6"/>
  <c r="U207" i="6" s="1"/>
  <c r="Q955" i="6"/>
  <c r="U955" i="6" s="1"/>
  <c r="Q1063" i="6"/>
  <c r="U1063" i="6" s="1"/>
  <c r="Q1305" i="6"/>
  <c r="U1305" i="6" s="1"/>
  <c r="Q442" i="6"/>
  <c r="U442" i="6" s="1"/>
  <c r="Q1382" i="6"/>
  <c r="U1382" i="6" s="1"/>
  <c r="Q919" i="6"/>
  <c r="U919" i="6" s="1"/>
  <c r="Q676" i="6"/>
  <c r="U676" i="6" s="1"/>
  <c r="Q704" i="6"/>
  <c r="U704" i="6" s="1"/>
  <c r="Q944" i="6"/>
  <c r="U944" i="6" s="1"/>
  <c r="Q980" i="6"/>
  <c r="U980" i="6" s="1"/>
  <c r="Q1503" i="6"/>
  <c r="U1503" i="6" s="1"/>
  <c r="Q576" i="6"/>
  <c r="U576" i="6" s="1"/>
  <c r="Q991" i="6"/>
  <c r="U991" i="6" s="1"/>
  <c r="Q1139" i="6"/>
  <c r="U1139" i="6" s="1"/>
  <c r="P282" i="6"/>
  <c r="Q282" i="6" s="1"/>
  <c r="U282" i="6" s="1"/>
  <c r="R282" i="6"/>
  <c r="S282" i="6" s="1"/>
  <c r="T282" i="6" s="1"/>
  <c r="P263" i="6"/>
  <c r="R263" i="6"/>
  <c r="S263" i="6" s="1"/>
  <c r="T263" i="6" s="1"/>
  <c r="Q923" i="6"/>
  <c r="U923" i="6" s="1"/>
  <c r="P819" i="6"/>
  <c r="Q819" i="6" s="1"/>
  <c r="U819" i="6" s="1"/>
  <c r="R819" i="6"/>
  <c r="S819" i="6" s="1"/>
  <c r="T819" i="6" s="1"/>
  <c r="P429" i="6"/>
  <c r="Q429" i="6" s="1"/>
  <c r="U429" i="6" s="1"/>
  <c r="R429" i="6"/>
  <c r="S429" i="6" s="1"/>
  <c r="T429" i="6" s="1"/>
  <c r="R189" i="6"/>
  <c r="S189" i="6" s="1"/>
  <c r="T189" i="6" s="1"/>
  <c r="P189" i="6"/>
  <c r="Q189" i="6" s="1"/>
  <c r="U189" i="6" s="1"/>
  <c r="Q182" i="6"/>
  <c r="U182" i="6" s="1"/>
  <c r="Q1054" i="6"/>
  <c r="U1054" i="6" s="1"/>
  <c r="Q372" i="6"/>
  <c r="U372" i="6" s="1"/>
  <c r="Q1325" i="6"/>
  <c r="U1325" i="6" s="1"/>
  <c r="Q1480" i="6"/>
  <c r="U1480" i="6" s="1"/>
  <c r="Q1260" i="6"/>
  <c r="U1260" i="6" s="1"/>
  <c r="Q864" i="6"/>
  <c r="U864" i="6" s="1"/>
  <c r="Q1022" i="6"/>
  <c r="U1022" i="6" s="1"/>
  <c r="Q389" i="6"/>
  <c r="U389" i="6" s="1"/>
  <c r="Q1469" i="6"/>
  <c r="U1469" i="6" s="1"/>
  <c r="Q450" i="6"/>
  <c r="U450" i="6" s="1"/>
  <c r="Q636" i="6"/>
  <c r="U636" i="6" s="1"/>
  <c r="Q176" i="6"/>
  <c r="U176" i="6" s="1"/>
  <c r="P1479" i="6"/>
  <c r="R1479" i="6"/>
  <c r="S1479" i="6" s="1"/>
  <c r="T1479" i="6" s="1"/>
  <c r="P1398" i="6"/>
  <c r="R1398" i="6"/>
  <c r="S1398" i="6" s="1"/>
  <c r="T1398" i="6" s="1"/>
  <c r="R1069" i="6"/>
  <c r="S1069" i="6" s="1"/>
  <c r="T1069" i="6" s="1"/>
  <c r="P1069" i="6"/>
  <c r="Q1069" i="6" s="1"/>
  <c r="U1069" i="6" s="1"/>
  <c r="R72" i="6"/>
  <c r="P72" i="6"/>
  <c r="Q72" i="6" s="1"/>
  <c r="U72" i="6" s="1"/>
  <c r="R61" i="6"/>
  <c r="P61" i="6"/>
  <c r="Q61" i="6" s="1"/>
  <c r="U61" i="6" s="1"/>
  <c r="Q1640" i="6"/>
  <c r="U1640" i="6" s="1"/>
  <c r="Q1641" i="6"/>
  <c r="U1641" i="6" s="1"/>
  <c r="Q803" i="6"/>
  <c r="U803" i="6" s="1"/>
  <c r="Q124" i="6"/>
  <c r="U124" i="6" s="1"/>
  <c r="M108" i="6"/>
  <c r="N108" i="6"/>
  <c r="R1609" i="6"/>
  <c r="S1609" i="6" s="1"/>
  <c r="T1609" i="6" s="1"/>
  <c r="P1609" i="6"/>
  <c r="Q1609" i="6" s="1"/>
  <c r="U1609" i="6" s="1"/>
  <c r="R1477" i="6"/>
  <c r="S1477" i="6" s="1"/>
  <c r="T1477" i="6" s="1"/>
  <c r="P1477" i="6"/>
  <c r="Q1477" i="6" s="1"/>
  <c r="U1477" i="6" s="1"/>
  <c r="R1415" i="6"/>
  <c r="S1415" i="6" s="1"/>
  <c r="T1415" i="6" s="1"/>
  <c r="P1415" i="6"/>
  <c r="Q1415" i="6" s="1"/>
  <c r="U1415" i="6" s="1"/>
  <c r="R1154" i="6"/>
  <c r="S1154" i="6" s="1"/>
  <c r="T1154" i="6" s="1"/>
  <c r="P1154" i="6"/>
  <c r="Q1154" i="6" s="1"/>
  <c r="U1154" i="6" s="1"/>
  <c r="R1572" i="6"/>
  <c r="S1572" i="6" s="1"/>
  <c r="T1572" i="6" s="1"/>
  <c r="P1572" i="6"/>
  <c r="Q1572" i="6" s="1"/>
  <c r="U1572" i="6" s="1"/>
  <c r="R1549" i="6"/>
  <c r="S1549" i="6" s="1"/>
  <c r="T1549" i="6" s="1"/>
  <c r="P1549" i="6"/>
  <c r="Q1549" i="6" s="1"/>
  <c r="U1549" i="6" s="1"/>
  <c r="P1314" i="6"/>
  <c r="Q1314" i="6" s="1"/>
  <c r="U1314" i="6" s="1"/>
  <c r="R1314" i="6"/>
  <c r="S1314" i="6" s="1"/>
  <c r="T1314" i="6" s="1"/>
  <c r="R1291" i="6"/>
  <c r="S1291" i="6" s="1"/>
  <c r="T1291" i="6" s="1"/>
  <c r="P1291" i="6"/>
  <c r="Q1291" i="6" s="1"/>
  <c r="U1291" i="6" s="1"/>
  <c r="R1196" i="6"/>
  <c r="S1196" i="6" s="1"/>
  <c r="T1196" i="6" s="1"/>
  <c r="P1196" i="6"/>
  <c r="Q1196" i="6" s="1"/>
  <c r="U1196" i="6" s="1"/>
  <c r="P1135" i="6"/>
  <c r="Q1135" i="6" s="1"/>
  <c r="U1135" i="6" s="1"/>
  <c r="R1135" i="6"/>
  <c r="S1135" i="6" s="1"/>
  <c r="T1135" i="6" s="1"/>
  <c r="R1093" i="6"/>
  <c r="S1093" i="6" s="1"/>
  <c r="T1093" i="6" s="1"/>
  <c r="P1093" i="6"/>
  <c r="Q1093" i="6" s="1"/>
  <c r="U1093" i="6" s="1"/>
  <c r="R791" i="6"/>
  <c r="S791" i="6" s="1"/>
  <c r="T791" i="6" s="1"/>
  <c r="P791" i="6"/>
  <c r="Q791" i="6" s="1"/>
  <c r="U791" i="6" s="1"/>
  <c r="P703" i="6"/>
  <c r="Q703" i="6" s="1"/>
  <c r="U703" i="6" s="1"/>
  <c r="R703" i="6"/>
  <c r="S703" i="6" s="1"/>
  <c r="T703" i="6" s="1"/>
  <c r="Q21" i="6"/>
  <c r="U117" i="6"/>
  <c r="Q1057" i="6"/>
  <c r="U1057" i="6" s="1"/>
  <c r="P1515" i="6"/>
  <c r="Q1515" i="6" s="1"/>
  <c r="U1515" i="6" s="1"/>
  <c r="R1515" i="6"/>
  <c r="S1515" i="6" s="1"/>
  <c r="T1515" i="6" s="1"/>
  <c r="R1335" i="6"/>
  <c r="S1335" i="6" s="1"/>
  <c r="T1335" i="6" s="1"/>
  <c r="P1335" i="6"/>
  <c r="Q1335" i="6" s="1"/>
  <c r="U1335" i="6" s="1"/>
  <c r="R1323" i="6"/>
  <c r="S1323" i="6" s="1"/>
  <c r="T1323" i="6" s="1"/>
  <c r="P1323" i="6"/>
  <c r="P1290" i="6"/>
  <c r="Q1290" i="6" s="1"/>
  <c r="U1290" i="6" s="1"/>
  <c r="R1290" i="6"/>
  <c r="S1290" i="6" s="1"/>
  <c r="T1290" i="6" s="1"/>
  <c r="R1254" i="6"/>
  <c r="S1254" i="6" s="1"/>
  <c r="T1254" i="6" s="1"/>
  <c r="P1254" i="6"/>
  <c r="Q1254" i="6" s="1"/>
  <c r="U1254" i="6" s="1"/>
  <c r="R1159" i="6"/>
  <c r="S1159" i="6" s="1"/>
  <c r="T1159" i="6" s="1"/>
  <c r="P1159" i="6"/>
  <c r="Q1159" i="6" s="1"/>
  <c r="U1159" i="6" s="1"/>
  <c r="P1145" i="6"/>
  <c r="Q1145" i="6" s="1"/>
  <c r="U1145" i="6" s="1"/>
  <c r="R1145" i="6"/>
  <c r="S1145" i="6" s="1"/>
  <c r="T1145" i="6" s="1"/>
  <c r="P904" i="6"/>
  <c r="R904" i="6"/>
  <c r="S904" i="6" s="1"/>
  <c r="T904" i="6" s="1"/>
  <c r="U37" i="6"/>
  <c r="F1687" i="6" s="1"/>
  <c r="C15" i="7" s="1"/>
  <c r="Q55" i="6"/>
  <c r="U55" i="6" s="1"/>
  <c r="Q1619" i="6"/>
  <c r="U1619" i="6" s="1"/>
  <c r="Q1396" i="6"/>
  <c r="U1396" i="6" s="1"/>
  <c r="R1602" i="6"/>
  <c r="S1602" i="6" s="1"/>
  <c r="T1602" i="6" s="1"/>
  <c r="P1602" i="6"/>
  <c r="Q1602" i="6" s="1"/>
  <c r="U1602" i="6" s="1"/>
  <c r="R1474" i="6"/>
  <c r="S1474" i="6" s="1"/>
  <c r="T1474" i="6" s="1"/>
  <c r="P1474" i="6"/>
  <c r="Q1474" i="6" s="1"/>
  <c r="U1474" i="6" s="1"/>
  <c r="P1285" i="6"/>
  <c r="Q1285" i="6" s="1"/>
  <c r="U1285" i="6" s="1"/>
  <c r="R1285" i="6"/>
  <c r="S1285" i="6" s="1"/>
  <c r="T1285" i="6" s="1"/>
  <c r="P1226" i="6"/>
  <c r="Q1226" i="6" s="1"/>
  <c r="U1226" i="6" s="1"/>
  <c r="R1226" i="6"/>
  <c r="S1226" i="6" s="1"/>
  <c r="T1226" i="6" s="1"/>
  <c r="R906" i="6"/>
  <c r="S906" i="6" s="1"/>
  <c r="T906" i="6" s="1"/>
  <c r="P906" i="6"/>
  <c r="Q906" i="6" s="1"/>
  <c r="U906" i="6" s="1"/>
  <c r="P872" i="6"/>
  <c r="Q872" i="6" s="1"/>
  <c r="U872" i="6" s="1"/>
  <c r="R872" i="6"/>
  <c r="S872" i="6" s="1"/>
  <c r="T872" i="6" s="1"/>
  <c r="P750" i="6"/>
  <c r="Q750" i="6" s="1"/>
  <c r="U750" i="6" s="1"/>
  <c r="R750" i="6"/>
  <c r="S750" i="6" s="1"/>
  <c r="T750" i="6" s="1"/>
  <c r="R731" i="6"/>
  <c r="S731" i="6" s="1"/>
  <c r="T731" i="6" s="1"/>
  <c r="P731" i="6"/>
  <c r="Q731" i="6" s="1"/>
  <c r="U731" i="6" s="1"/>
  <c r="S29" i="6"/>
  <c r="T29" i="6" s="1"/>
  <c r="U29" i="6" s="1"/>
  <c r="Q247" i="6"/>
  <c r="U247" i="6" s="1"/>
  <c r="Q241" i="6"/>
  <c r="U241" i="6" s="1"/>
  <c r="Q180" i="6"/>
  <c r="U180" i="6" s="1"/>
  <c r="Q1398" i="6"/>
  <c r="U1398" i="6" s="1"/>
  <c r="Q152" i="6"/>
  <c r="U152" i="6" s="1"/>
  <c r="Q1465" i="6"/>
  <c r="U1465" i="6" s="1"/>
  <c r="Q202" i="6"/>
  <c r="U202" i="6" s="1"/>
  <c r="Q1611" i="6"/>
  <c r="U1611" i="6" s="1"/>
  <c r="Q150" i="6"/>
  <c r="U150" i="6" s="1"/>
  <c r="Q1440" i="6"/>
  <c r="U1440" i="6" s="1"/>
  <c r="Q509" i="6"/>
  <c r="U509" i="6" s="1"/>
  <c r="Q756" i="6"/>
  <c r="U756" i="6" s="1"/>
  <c r="Q304" i="6"/>
  <c r="U304" i="6" s="1"/>
  <c r="Q1058" i="6"/>
  <c r="U1058" i="6" s="1"/>
  <c r="Q347" i="6"/>
  <c r="U347" i="6" s="1"/>
  <c r="Q1013" i="6"/>
  <c r="U1013" i="6" s="1"/>
  <c r="Q905" i="6"/>
  <c r="U905" i="6" s="1"/>
  <c r="Q1231" i="6"/>
  <c r="U1231" i="6" s="1"/>
  <c r="Q199" i="6"/>
  <c r="U199" i="6" s="1"/>
  <c r="Q949" i="6"/>
  <c r="U949" i="6" s="1"/>
  <c r="Q620" i="6"/>
  <c r="U620" i="6" s="1"/>
  <c r="Q1578" i="6"/>
  <c r="U1578" i="6" s="1"/>
  <c r="Q982" i="6"/>
  <c r="U982" i="6" s="1"/>
  <c r="Q1262" i="6"/>
  <c r="U1262" i="6" s="1"/>
  <c r="Q1402" i="6"/>
  <c r="U1402" i="6" s="1"/>
  <c r="Q625" i="6"/>
  <c r="U625" i="6" s="1"/>
  <c r="Q1269" i="6"/>
  <c r="U1269" i="6" s="1"/>
  <c r="Q1289" i="6"/>
  <c r="U1289" i="6" s="1"/>
  <c r="Q62" i="6"/>
  <c r="U62" i="6" s="1"/>
  <c r="Q290" i="6"/>
  <c r="U290" i="6" s="1"/>
  <c r="Q973" i="6"/>
  <c r="U973" i="6" s="1"/>
  <c r="Q60" i="6"/>
  <c r="U60" i="6" s="1"/>
  <c r="Q1580" i="6"/>
  <c r="U1580" i="6" s="1"/>
  <c r="Q316" i="6"/>
  <c r="U316" i="6" s="1"/>
  <c r="Q599" i="6"/>
  <c r="U599" i="6" s="1"/>
  <c r="Q827" i="6"/>
  <c r="U827" i="6" s="1"/>
  <c r="Q321" i="6"/>
  <c r="U321" i="6" s="1"/>
  <c r="Q1593" i="6"/>
  <c r="U1593" i="6" s="1"/>
  <c r="Q1605" i="6"/>
  <c r="U1605" i="6" s="1"/>
  <c r="Q904" i="6"/>
  <c r="U904" i="6" s="1"/>
  <c r="Q69" i="6"/>
  <c r="U69" i="6" s="1"/>
  <c r="Q173" i="6"/>
  <c r="U173" i="6" s="1"/>
  <c r="Q233" i="6"/>
  <c r="U233" i="6" s="1"/>
  <c r="Q289" i="6"/>
  <c r="U289" i="6" s="1"/>
  <c r="Q529" i="6"/>
  <c r="U529" i="6" s="1"/>
  <c r="Q796" i="6"/>
  <c r="U796" i="6" s="1"/>
  <c r="Q1331" i="6"/>
  <c r="U1331" i="6" s="1"/>
  <c r="Q1355" i="6"/>
  <c r="U1355" i="6" s="1"/>
  <c r="Q1016" i="6"/>
  <c r="U1016" i="6" s="1"/>
  <c r="Q1482" i="6"/>
  <c r="U1482" i="6" s="1"/>
  <c r="Q411" i="6"/>
  <c r="U411" i="6" s="1"/>
  <c r="Q478" i="6"/>
  <c r="U478" i="6" s="1"/>
  <c r="Q1623" i="6"/>
  <c r="U1623" i="6" s="1"/>
  <c r="Q668" i="6"/>
  <c r="U668" i="6" s="1"/>
  <c r="Q1143" i="6"/>
  <c r="U1143" i="6" s="1"/>
  <c r="Q1403" i="6"/>
  <c r="U1403" i="6" s="1"/>
  <c r="Q1301" i="6"/>
  <c r="U1301" i="6" s="1"/>
  <c r="Q790" i="6"/>
  <c r="U790" i="6" s="1"/>
  <c r="Q1132" i="6"/>
  <c r="U1132" i="6" s="1"/>
  <c r="Q141" i="6"/>
  <c r="U141" i="6" s="1"/>
  <c r="Q932" i="6"/>
  <c r="U932" i="6" s="1"/>
  <c r="Q814" i="6"/>
  <c r="U814" i="6" s="1"/>
  <c r="Q170" i="6"/>
  <c r="U170" i="6" s="1"/>
  <c r="Q858" i="6"/>
  <c r="U858" i="6" s="1"/>
  <c r="Q811" i="6"/>
  <c r="U811" i="6" s="1"/>
  <c r="Q343" i="6"/>
  <c r="U343" i="6" s="1"/>
  <c r="Q263" i="6"/>
  <c r="U263" i="6" s="1"/>
  <c r="Q351" i="6"/>
  <c r="U351" i="6" s="1"/>
  <c r="Q33" i="6"/>
  <c r="U33" i="6" s="1"/>
  <c r="Q401" i="6"/>
  <c r="U401" i="6" s="1"/>
  <c r="Q845" i="6"/>
  <c r="U845" i="6" s="1"/>
  <c r="Q1433" i="6"/>
  <c r="U1433" i="6" s="1"/>
  <c r="Q856" i="6"/>
  <c r="U856" i="6" s="1"/>
  <c r="Q1338" i="6"/>
  <c r="U1338" i="6" s="1"/>
  <c r="Q1621" i="6"/>
  <c r="U1621" i="6" s="1"/>
  <c r="Q1538" i="6"/>
  <c r="U1538" i="6" s="1"/>
  <c r="Q168" i="6"/>
  <c r="U168" i="6" s="1"/>
  <c r="Q456" i="6"/>
  <c r="U456" i="6" s="1"/>
  <c r="Q428" i="6"/>
  <c r="U428" i="6" s="1"/>
  <c r="Q230" i="6"/>
  <c r="U230" i="6" s="1"/>
  <c r="Q1006" i="6"/>
  <c r="U1006" i="6" s="1"/>
  <c r="Q774" i="6"/>
  <c r="U774" i="6" s="1"/>
  <c r="Q218" i="6"/>
  <c r="U218" i="6" s="1"/>
  <c r="Q970" i="6"/>
  <c r="U970" i="6" s="1"/>
  <c r="Q187" i="6"/>
  <c r="U187" i="6" s="1"/>
  <c r="R24" i="6"/>
  <c r="S24" i="6" s="1"/>
  <c r="T24" i="6" s="1"/>
  <c r="N131" i="6"/>
  <c r="Q131" i="6" s="1"/>
  <c r="Q893" i="6"/>
  <c r="U893" i="6" s="1"/>
  <c r="Q273" i="6"/>
  <c r="U273" i="6" s="1"/>
  <c r="S131" i="6"/>
  <c r="T131" i="6" s="1"/>
  <c r="Q358" i="6"/>
  <c r="U358" i="6" s="1"/>
  <c r="Q1261" i="6"/>
  <c r="U1261" i="6" s="1"/>
  <c r="Q951" i="6"/>
  <c r="U951" i="6" s="1"/>
  <c r="U21" i="6"/>
  <c r="U27" i="6"/>
  <c r="Q1454" i="6"/>
  <c r="U1454" i="6" s="1"/>
  <c r="Q1533" i="6"/>
  <c r="U1533" i="6" s="1"/>
  <c r="Q459" i="6"/>
  <c r="U459" i="6" s="1"/>
  <c r="Q1323" i="6"/>
  <c r="U1323" i="6" s="1"/>
  <c r="Q1202" i="6"/>
  <c r="U1202" i="6" s="1"/>
  <c r="Q1107" i="6"/>
  <c r="U1107" i="6" s="1"/>
  <c r="U47" i="6"/>
  <c r="Q20" i="6"/>
  <c r="U20" i="6" s="1"/>
  <c r="O35" i="6"/>
  <c r="Q35" i="6" s="1"/>
  <c r="U35" i="6" s="1"/>
  <c r="J35" i="6"/>
  <c r="M35" i="6" s="1"/>
  <c r="Q784" i="6"/>
  <c r="U784" i="6" s="1"/>
  <c r="Q824" i="6"/>
  <c r="U824" i="6" s="1"/>
  <c r="Q1032" i="6"/>
  <c r="U1032" i="6" s="1"/>
  <c r="M119" i="6"/>
  <c r="N119" i="6"/>
  <c r="Q1020" i="6"/>
  <c r="U1020" i="6" s="1"/>
  <c r="Q224" i="6"/>
  <c r="U224" i="6" s="1"/>
  <c r="Q1597" i="6"/>
  <c r="U1597" i="6" s="1"/>
  <c r="J41" i="6"/>
  <c r="M41" i="6" s="1"/>
  <c r="O41" i="6"/>
  <c r="Q41" i="6" s="1"/>
  <c r="U41" i="6" s="1"/>
  <c r="J129" i="6"/>
  <c r="O44" i="6"/>
  <c r="J44" i="6"/>
  <c r="M44" i="6" s="1"/>
  <c r="O30" i="6"/>
  <c r="J30" i="6"/>
  <c r="Q1306" i="6"/>
  <c r="U1306" i="6" s="1"/>
  <c r="S94" i="6"/>
  <c r="T94" i="6" s="1"/>
  <c r="Q853" i="6"/>
  <c r="U853" i="6" s="1"/>
  <c r="Q1224" i="6"/>
  <c r="U1224" i="6" s="1"/>
  <c r="Q1085" i="6"/>
  <c r="U1085" i="6" s="1"/>
  <c r="Q1185" i="6"/>
  <c r="U1185" i="6" s="1"/>
  <c r="M83" i="6"/>
  <c r="N83" i="6"/>
  <c r="Q83" i="6" s="1"/>
  <c r="O116" i="6"/>
  <c r="J116" i="6"/>
  <c r="N116" i="6" s="1"/>
  <c r="Q1280" i="6"/>
  <c r="U1280" i="6" s="1"/>
  <c r="Q997" i="6"/>
  <c r="U997" i="6" s="1"/>
  <c r="Q1033" i="6"/>
  <c r="U1033" i="6" s="1"/>
  <c r="Q1076" i="6"/>
  <c r="U1076" i="6" s="1"/>
  <c r="Q1010" i="6"/>
  <c r="U1010" i="6" s="1"/>
  <c r="Q1131" i="6"/>
  <c r="U1131" i="6" s="1"/>
  <c r="Q597" i="6"/>
  <c r="U597" i="6" s="1"/>
  <c r="Q418" i="6"/>
  <c r="U418" i="6" s="1"/>
  <c r="Q54" i="6"/>
  <c r="Q1438" i="6"/>
  <c r="U1438" i="6" s="1"/>
  <c r="U45" i="6"/>
  <c r="Q1472" i="6"/>
  <c r="U1472" i="6" s="1"/>
  <c r="Q1208" i="6"/>
  <c r="U1208" i="6" s="1"/>
  <c r="Q121" i="6"/>
  <c r="U121" i="6" s="1"/>
  <c r="Q31" i="6"/>
  <c r="U31" i="6" s="1"/>
  <c r="Q1504" i="6"/>
  <c r="U1504" i="6" s="1"/>
  <c r="S108" i="6"/>
  <c r="T108" i="6" s="1"/>
  <c r="Q960" i="6"/>
  <c r="U960" i="6" s="1"/>
  <c r="Q1389" i="6"/>
  <c r="U1389" i="6" s="1"/>
  <c r="J132" i="6"/>
  <c r="M132" i="6" s="1"/>
  <c r="Q809" i="6"/>
  <c r="U809" i="6" s="1"/>
  <c r="Q1452" i="6"/>
  <c r="U1452" i="6" s="1"/>
  <c r="Q852" i="6"/>
  <c r="U852" i="6" s="1"/>
  <c r="Q1526" i="6"/>
  <c r="U1526" i="6" s="1"/>
  <c r="Q1543" i="6"/>
  <c r="U1543" i="6" s="1"/>
  <c r="J102" i="6"/>
  <c r="S102" i="6" s="1"/>
  <c r="T102" i="6" s="1"/>
  <c r="O102" i="6"/>
  <c r="O48" i="6"/>
  <c r="J48" i="6"/>
  <c r="Q387" i="6"/>
  <c r="U387" i="6" s="1"/>
  <c r="Q357" i="6"/>
  <c r="U357" i="6" s="1"/>
  <c r="Q1461" i="6"/>
  <c r="U1461" i="6" s="1"/>
  <c r="Q1120" i="6"/>
  <c r="U1120" i="6" s="1"/>
  <c r="Q1026" i="6"/>
  <c r="U1026" i="6" s="1"/>
  <c r="Q329" i="6"/>
  <c r="U329" i="6" s="1"/>
  <c r="Q1201" i="6"/>
  <c r="U1201" i="6" s="1"/>
  <c r="Q773" i="6"/>
  <c r="U773" i="6" s="1"/>
  <c r="Q607" i="6"/>
  <c r="U607" i="6" s="1"/>
  <c r="Q761" i="6"/>
  <c r="U761" i="6" s="1"/>
  <c r="Q239" i="6"/>
  <c r="U239" i="6" s="1"/>
  <c r="Q533" i="6"/>
  <c r="U533" i="6" s="1"/>
  <c r="Q1278" i="6"/>
  <c r="U1278" i="6" s="1"/>
  <c r="U78" i="6"/>
  <c r="Q11" i="6"/>
  <c r="U11" i="6" s="1"/>
  <c r="O128" i="6"/>
  <c r="Q128" i="6" s="1"/>
  <c r="U128" i="6" s="1"/>
  <c r="Q1232" i="6"/>
  <c r="U1232" i="6" s="1"/>
  <c r="Q1148" i="6"/>
  <c r="U1148" i="6" s="1"/>
  <c r="U111" i="6"/>
  <c r="Q1642" i="6"/>
  <c r="U1642" i="6" s="1"/>
  <c r="Q1639" i="6"/>
  <c r="U1639" i="6" s="1"/>
  <c r="Q94" i="6"/>
  <c r="Q88" i="6"/>
  <c r="U88" i="6" s="1"/>
  <c r="Q624" i="6"/>
  <c r="U624" i="6" s="1"/>
  <c r="Q96" i="6"/>
  <c r="U96" i="6" s="1"/>
  <c r="H1658" i="6" s="1"/>
  <c r="Q1509" i="6"/>
  <c r="U1509" i="6" s="1"/>
  <c r="Q1253" i="6"/>
  <c r="U1253" i="6" s="1"/>
  <c r="Q1620" i="6"/>
  <c r="U1620" i="6" s="1"/>
  <c r="Q555" i="6"/>
  <c r="U555" i="6" s="1"/>
  <c r="Q191" i="6"/>
  <c r="U191" i="6" s="1"/>
  <c r="Q863" i="6"/>
  <c r="U863" i="6" s="1"/>
  <c r="Q1409" i="6"/>
  <c r="U1409" i="6" s="1"/>
  <c r="Q821" i="6"/>
  <c r="U821" i="6" s="1"/>
  <c r="Q1618" i="6"/>
  <c r="U1618" i="6" s="1"/>
  <c r="Q876" i="6"/>
  <c r="U876" i="6" s="1"/>
  <c r="Q948" i="6"/>
  <c r="U948" i="6" s="1"/>
  <c r="Q956" i="6"/>
  <c r="U956" i="6" s="1"/>
  <c r="Q1383" i="6"/>
  <c r="U1383" i="6" s="1"/>
  <c r="Q420" i="6"/>
  <c r="U420" i="6" s="1"/>
  <c r="Q936" i="6"/>
  <c r="U936" i="6" s="1"/>
  <c r="Q1364" i="6"/>
  <c r="U1364" i="6" s="1"/>
  <c r="Q1031" i="6"/>
  <c r="U1031" i="6" s="1"/>
  <c r="Q322" i="6"/>
  <c r="U322" i="6" s="1"/>
  <c r="Q145" i="6"/>
  <c r="U145" i="6" s="1"/>
  <c r="J127" i="6"/>
  <c r="M127" i="6" s="1"/>
  <c r="O127" i="6"/>
  <c r="Q127" i="6" s="1"/>
  <c r="U127" i="6" s="1"/>
  <c r="Q547" i="6"/>
  <c r="U547" i="6" s="1"/>
  <c r="Q174" i="6"/>
  <c r="U174" i="6" s="1"/>
  <c r="Q685" i="6"/>
  <c r="U685" i="6" s="1"/>
  <c r="Q918" i="6"/>
  <c r="U918" i="6" s="1"/>
  <c r="Q1506" i="6"/>
  <c r="U1506" i="6" s="1"/>
  <c r="Q598" i="6"/>
  <c r="U598" i="6" s="1"/>
  <c r="Q1274" i="6"/>
  <c r="U1274" i="6" s="1"/>
  <c r="Q1353" i="6"/>
  <c r="U1353" i="6" s="1"/>
  <c r="Q452" i="6"/>
  <c r="U452" i="6" s="1"/>
  <c r="Q460" i="6"/>
  <c r="U460" i="6" s="1"/>
  <c r="Q715" i="6"/>
  <c r="U715" i="6" s="1"/>
  <c r="Q1321" i="6"/>
  <c r="U1321" i="6" s="1"/>
  <c r="Q1568" i="6"/>
  <c r="U1568" i="6" s="1"/>
  <c r="Q201" i="6"/>
  <c r="U201" i="6" s="1"/>
  <c r="Q405" i="6"/>
  <c r="U405" i="6" s="1"/>
  <c r="Q972" i="6"/>
  <c r="U972" i="6" s="1"/>
  <c r="Q348" i="6"/>
  <c r="U348" i="6" s="1"/>
  <c r="Q492" i="6"/>
  <c r="U492" i="6" s="1"/>
  <c r="Q1479" i="6"/>
  <c r="U1479" i="6" s="1"/>
  <c r="Q383" i="6"/>
  <c r="U383" i="6" s="1"/>
  <c r="S83" i="6"/>
  <c r="T83" i="6" s="1"/>
  <c r="Q371" i="6"/>
  <c r="U371" i="6" s="1"/>
  <c r="Q1521" i="6"/>
  <c r="U1521" i="6" s="1"/>
  <c r="Q718" i="6"/>
  <c r="U718" i="6" s="1"/>
  <c r="Q990" i="6"/>
  <c r="U990" i="6" s="1"/>
  <c r="Q914" i="6"/>
  <c r="U914" i="6" s="1"/>
  <c r="Q40" i="6"/>
  <c r="U40" i="6" s="1"/>
  <c r="Q1553" i="6"/>
  <c r="U1553" i="6" s="1"/>
  <c r="Q1237" i="6"/>
  <c r="U1237" i="6" s="1"/>
  <c r="Q1199" i="6"/>
  <c r="U1199" i="6" s="1"/>
  <c r="Q837" i="6"/>
  <c r="U837" i="6" s="1"/>
  <c r="Q527" i="6"/>
  <c r="U527" i="6" s="1"/>
  <c r="Q1385" i="6"/>
  <c r="U1385" i="6" s="1"/>
  <c r="Q425" i="6"/>
  <c r="U425" i="6" s="1"/>
  <c r="Q615" i="6"/>
  <c r="U615" i="6" s="1"/>
  <c r="Q464" i="6"/>
  <c r="U464" i="6" s="1"/>
  <c r="Q310" i="6"/>
  <c r="U310" i="6" s="1"/>
  <c r="Q1537" i="6"/>
  <c r="U1537" i="6" s="1"/>
  <c r="Q1099" i="6"/>
  <c r="U1099" i="6" s="1"/>
  <c r="Q844" i="6"/>
  <c r="U844" i="6" s="1"/>
  <c r="Q1540" i="6"/>
  <c r="U1540" i="6" s="1"/>
  <c r="Q1130" i="6"/>
  <c r="U1130" i="6" s="1"/>
  <c r="Q159" i="6"/>
  <c r="U159" i="6" s="1"/>
  <c r="Q1223" i="6"/>
  <c r="U1223" i="6" s="1"/>
  <c r="Q1520" i="6"/>
  <c r="U1520" i="6" s="1"/>
  <c r="Q1556" i="6"/>
  <c r="U1556" i="6" s="1"/>
  <c r="Q995" i="6"/>
  <c r="U995" i="6" s="1"/>
  <c r="Q375" i="6"/>
  <c r="U375" i="6" s="1"/>
  <c r="Q1155" i="6"/>
  <c r="U1155" i="6" s="1"/>
  <c r="Q1584" i="6"/>
  <c r="U1584" i="6" s="1"/>
  <c r="Q197" i="6"/>
  <c r="U197" i="6" s="1"/>
  <c r="Q1447" i="6"/>
  <c r="U1447" i="6" s="1"/>
  <c r="Q781" i="6"/>
  <c r="U781" i="6" s="1"/>
  <c r="Q962" i="6"/>
  <c r="U962" i="6" s="1"/>
  <c r="Q1422" i="6"/>
  <c r="U1422" i="6" s="1"/>
  <c r="Q1570" i="6"/>
  <c r="U1570" i="6" s="1"/>
  <c r="Q1098" i="6"/>
  <c r="U1098" i="6" s="1"/>
  <c r="Q204" i="6"/>
  <c r="U204" i="6" s="1"/>
  <c r="Q1141" i="6"/>
  <c r="U1141" i="6" s="1"/>
  <c r="Q1019" i="6"/>
  <c r="U1019" i="6" s="1"/>
  <c r="Q854" i="6"/>
  <c r="U854" i="6" s="1"/>
  <c r="Q866" i="6"/>
  <c r="U866" i="6" s="1"/>
  <c r="Q1047" i="6"/>
  <c r="U1047" i="6" s="1"/>
  <c r="Q896" i="6"/>
  <c r="U896" i="6" s="1"/>
  <c r="Q1476" i="6"/>
  <c r="U1476" i="6" s="1"/>
  <c r="H1718" i="6"/>
  <c r="J113" i="6"/>
  <c r="Q1048" i="6"/>
  <c r="U1048" i="6" s="1"/>
  <c r="J114" i="6"/>
  <c r="O114" i="6"/>
  <c r="Q454" i="6"/>
  <c r="U454" i="6" s="1"/>
  <c r="J66" i="6"/>
  <c r="M66" i="6" s="1"/>
  <c r="Q119" i="6"/>
  <c r="U119" i="6" s="1"/>
  <c r="S103" i="6"/>
  <c r="T103" i="6" s="1"/>
  <c r="U103" i="6" s="1"/>
  <c r="U104" i="6"/>
  <c r="O113" i="6"/>
  <c r="Q100" i="6"/>
  <c r="U100" i="6" s="1"/>
  <c r="N73" i="6"/>
  <c r="Q73" i="6" s="1"/>
  <c r="S73" i="6"/>
  <c r="T73" i="6" s="1"/>
  <c r="Q1373" i="6"/>
  <c r="U1373" i="6" s="1"/>
  <c r="M46" i="6"/>
  <c r="S46" i="6"/>
  <c r="T46" i="6" s="1"/>
  <c r="N46" i="6"/>
  <c r="Q46" i="6" s="1"/>
  <c r="S133" i="6"/>
  <c r="T133" i="6" s="1"/>
  <c r="U133" i="6" s="1"/>
  <c r="U99" i="6"/>
  <c r="Q93" i="6"/>
  <c r="U93" i="6" s="1"/>
  <c r="B21" i="22"/>
  <c r="J64" i="6"/>
  <c r="O64" i="6"/>
  <c r="J38" i="6"/>
  <c r="M38" i="6" s="1"/>
  <c r="O38" i="6"/>
  <c r="Q38" i="6" s="1"/>
  <c r="U38" i="6" s="1"/>
  <c r="M81" i="6"/>
  <c r="N81" i="6"/>
  <c r="Q81" i="6" s="1"/>
  <c r="U81" i="6" s="1"/>
  <c r="M135" i="6"/>
  <c r="N135" i="6"/>
  <c r="Q135" i="6" s="1"/>
  <c r="U135" i="6" s="1"/>
  <c r="Q1089" i="6"/>
  <c r="U1089" i="6" s="1"/>
  <c r="N43" i="6"/>
  <c r="Q43" i="6" s="1"/>
  <c r="U109" i="6"/>
  <c r="N67" i="6"/>
  <c r="Q67" i="6" s="1"/>
  <c r="M121" i="6"/>
  <c r="U97" i="6"/>
  <c r="S67" i="6"/>
  <c r="T67" i="6" s="1"/>
  <c r="O105" i="6"/>
  <c r="N48" i="6"/>
  <c r="S53" i="6"/>
  <c r="T53" i="6" s="1"/>
  <c r="N53" i="6"/>
  <c r="Q53" i="6" s="1"/>
  <c r="M53" i="6"/>
  <c r="N115" i="6"/>
  <c r="Q115" i="6" s="1"/>
  <c r="U115" i="6" s="1"/>
  <c r="M115" i="6"/>
  <c r="S139" i="6"/>
  <c r="T139" i="6" s="1"/>
  <c r="Q675" i="6"/>
  <c r="U675" i="6" s="1"/>
  <c r="Q1643" i="6"/>
  <c r="U1643" i="6" s="1"/>
  <c r="N44" i="6"/>
  <c r="Q44" i="6" s="1"/>
  <c r="Q565" i="6"/>
  <c r="U565" i="6" s="1"/>
  <c r="Q617" i="6"/>
  <c r="U617" i="6" s="1"/>
  <c r="Q604" i="6"/>
  <c r="U604" i="6" s="1"/>
  <c r="Q1215" i="6"/>
  <c r="U1215" i="6" s="1"/>
  <c r="Q1404" i="6"/>
  <c r="U1404" i="6" s="1"/>
  <c r="Q1365" i="6"/>
  <c r="U1365" i="6" s="1"/>
  <c r="O58" i="6"/>
  <c r="J58" i="6"/>
  <c r="Q1463" i="6"/>
  <c r="U1463" i="6" s="1"/>
  <c r="Q42" i="6"/>
  <c r="U42" i="6" s="1"/>
  <c r="Q1320" i="6"/>
  <c r="U1320" i="6" s="1"/>
  <c r="Q839" i="6"/>
  <c r="U839" i="6" s="1"/>
  <c r="N24" i="6"/>
  <c r="Q24" i="6" s="1"/>
  <c r="Q76" i="6"/>
  <c r="U76" i="6" s="1"/>
  <c r="Q112" i="6"/>
  <c r="U112" i="6" s="1"/>
  <c r="Q1483" i="6"/>
  <c r="U1483" i="6" s="1"/>
  <c r="Q1517" i="6"/>
  <c r="U1517" i="6" s="1"/>
  <c r="Q605" i="6"/>
  <c r="U605" i="6" s="1"/>
  <c r="Q1603" i="6"/>
  <c r="U1603" i="6" s="1"/>
  <c r="P1386" i="6"/>
  <c r="Q1386" i="6" s="1"/>
  <c r="U1386" i="6" s="1"/>
  <c r="R1386" i="6"/>
  <c r="S1386" i="6" s="1"/>
  <c r="T1386" i="6" s="1"/>
  <c r="R1275" i="6"/>
  <c r="S1275" i="6" s="1"/>
  <c r="T1275" i="6" s="1"/>
  <c r="P1275" i="6"/>
  <c r="Q1275" i="6" s="1"/>
  <c r="U1275" i="6" s="1"/>
  <c r="R1267" i="6"/>
  <c r="S1267" i="6" s="1"/>
  <c r="T1267" i="6" s="1"/>
  <c r="P1267" i="6"/>
  <c r="Q1267" i="6" s="1"/>
  <c r="U1267" i="6" s="1"/>
  <c r="U25" i="6"/>
  <c r="Q1567" i="6"/>
  <c r="U1567" i="6" s="1"/>
  <c r="S74" i="6"/>
  <c r="T74" i="6" s="1"/>
  <c r="U74" i="6" s="1"/>
  <c r="O15" i="6"/>
  <c r="Q15" i="6" s="1"/>
  <c r="U15" i="6" s="1"/>
  <c r="O110" i="6"/>
  <c r="Q110" i="6" s="1"/>
  <c r="U110" i="6" s="1"/>
  <c r="Q1552" i="6"/>
  <c r="U1552" i="6" s="1"/>
  <c r="Q1050" i="6"/>
  <c r="U1050" i="6" s="1"/>
  <c r="Q698" i="6"/>
  <c r="U698" i="6" s="1"/>
  <c r="Q1426" i="6"/>
  <c r="U1426" i="6" s="1"/>
  <c r="Q653" i="6"/>
  <c r="U653" i="6" s="1"/>
  <c r="Q1361" i="6"/>
  <c r="U1361" i="6" s="1"/>
  <c r="R1476" i="6"/>
  <c r="S1476" i="6" s="1"/>
  <c r="T1476" i="6" s="1"/>
  <c r="P1541" i="6"/>
  <c r="Q1541" i="6" s="1"/>
  <c r="U1541" i="6" s="1"/>
  <c r="R1297" i="6"/>
  <c r="S1297" i="6" s="1"/>
  <c r="T1297" i="6" s="1"/>
  <c r="P1464" i="6"/>
  <c r="Q1464" i="6" s="1"/>
  <c r="U1464" i="6" s="1"/>
  <c r="R1259" i="6"/>
  <c r="S1259" i="6" s="1"/>
  <c r="T1259" i="6" s="1"/>
  <c r="Q1635" i="6"/>
  <c r="U1635" i="6" s="1"/>
  <c r="Q1431" i="6"/>
  <c r="U1431" i="6" s="1"/>
  <c r="P1430" i="6"/>
  <c r="Q1430" i="6" s="1"/>
  <c r="U1430" i="6" s="1"/>
  <c r="R1430" i="6"/>
  <c r="S1430" i="6" s="1"/>
  <c r="T1430" i="6" s="1"/>
  <c r="R1358" i="6"/>
  <c r="S1358" i="6" s="1"/>
  <c r="T1358" i="6" s="1"/>
  <c r="P1358" i="6"/>
  <c r="Q1358" i="6" s="1"/>
  <c r="U1358" i="6" s="1"/>
  <c r="P1246" i="6"/>
  <c r="Q1246" i="6" s="1"/>
  <c r="U1246" i="6" s="1"/>
  <c r="R1246" i="6"/>
  <c r="S1246" i="6" s="1"/>
  <c r="T1246" i="6" s="1"/>
  <c r="R1494" i="6"/>
  <c r="S1494" i="6" s="1"/>
  <c r="T1494" i="6" s="1"/>
  <c r="P1494" i="6"/>
  <c r="Q1494" i="6" s="1"/>
  <c r="U1494" i="6" s="1"/>
  <c r="R1281" i="6"/>
  <c r="S1281" i="6" s="1"/>
  <c r="T1281" i="6" s="1"/>
  <c r="P1281" i="6"/>
  <c r="Q1281" i="6" s="1"/>
  <c r="U1281" i="6" s="1"/>
  <c r="P1149" i="6"/>
  <c r="Q1149" i="6" s="1"/>
  <c r="U1149" i="6" s="1"/>
  <c r="R1149" i="6"/>
  <c r="S1149" i="6" s="1"/>
  <c r="T1149" i="6" s="1"/>
  <c r="Q23" i="6"/>
  <c r="U23" i="6" s="1"/>
  <c r="Q663" i="6"/>
  <c r="U663" i="6" s="1"/>
  <c r="Q813" i="6"/>
  <c r="U813" i="6" s="1"/>
  <c r="Q1360" i="6"/>
  <c r="U1360" i="6" s="1"/>
  <c r="Q807" i="6"/>
  <c r="U807" i="6" s="1"/>
  <c r="Q1343" i="6"/>
  <c r="U1343" i="6" s="1"/>
  <c r="Q922" i="6"/>
  <c r="U922" i="6" s="1"/>
  <c r="Q881" i="6"/>
  <c r="U881" i="6" s="1"/>
  <c r="P1451" i="6"/>
  <c r="Q1451" i="6" s="1"/>
  <c r="U1451" i="6" s="1"/>
  <c r="R1394" i="6"/>
  <c r="S1394" i="6" s="1"/>
  <c r="T1394" i="6" s="1"/>
  <c r="R1264" i="6"/>
  <c r="S1264" i="6" s="1"/>
  <c r="T1264" i="6" s="1"/>
  <c r="P1264" i="6"/>
  <c r="Q1264" i="6" s="1"/>
  <c r="U1264" i="6" s="1"/>
  <c r="P1207" i="6"/>
  <c r="Q1207" i="6" s="1"/>
  <c r="U1207" i="6" s="1"/>
  <c r="R1207" i="6"/>
  <c r="S1207" i="6" s="1"/>
  <c r="T1207" i="6" s="1"/>
  <c r="R1194" i="6"/>
  <c r="S1194" i="6" s="1"/>
  <c r="T1194" i="6" s="1"/>
  <c r="P1194" i="6"/>
  <c r="Q1194" i="6" s="1"/>
  <c r="U1194" i="6" s="1"/>
  <c r="P1187" i="6"/>
  <c r="Q1187" i="6" s="1"/>
  <c r="U1187" i="6" s="1"/>
  <c r="R1187" i="6"/>
  <c r="S1187" i="6" s="1"/>
  <c r="T1187" i="6" s="1"/>
  <c r="Q213" i="6"/>
  <c r="U213" i="6" s="1"/>
  <c r="Q325" i="6"/>
  <c r="U325" i="6" s="1"/>
  <c r="Q71" i="6"/>
  <c r="U71" i="6" s="1"/>
  <c r="Q580" i="6"/>
  <c r="U580" i="6" s="1"/>
  <c r="Q195" i="6"/>
  <c r="U195" i="6" s="1"/>
  <c r="Q245" i="6"/>
  <c r="U245" i="6" s="1"/>
  <c r="Q1427" i="6"/>
  <c r="U1427" i="6" s="1"/>
  <c r="Q550" i="6"/>
  <c r="U550" i="6" s="1"/>
  <c r="O10" i="23"/>
  <c r="O9" i="23"/>
  <c r="O44" i="23"/>
  <c r="O31" i="23"/>
  <c r="I83" i="23"/>
  <c r="O41" i="23"/>
  <c r="O21" i="23"/>
  <c r="O13" i="23"/>
  <c r="O54" i="23"/>
  <c r="D83" i="23"/>
  <c r="M83" i="23"/>
  <c r="H83" i="23"/>
  <c r="O23" i="23"/>
  <c r="O35" i="23"/>
  <c r="O55" i="23"/>
  <c r="O16" i="23"/>
  <c r="O52" i="23"/>
  <c r="O50" i="23"/>
  <c r="O56" i="23"/>
  <c r="C21" i="22"/>
  <c r="O7" i="23"/>
  <c r="O49" i="23"/>
  <c r="O12" i="23"/>
  <c r="N83" i="23"/>
  <c r="L83" i="23"/>
  <c r="O27" i="23"/>
  <c r="O45" i="23"/>
  <c r="K83" i="23"/>
  <c r="C39" i="22"/>
  <c r="O39" i="23"/>
  <c r="O37" i="23"/>
  <c r="O17" i="23"/>
  <c r="O47" i="23"/>
  <c r="O53" i="23"/>
  <c r="O26" i="23"/>
  <c r="O59" i="23"/>
  <c r="O22" i="23"/>
  <c r="U54" i="6"/>
  <c r="U79" i="6"/>
  <c r="M122" i="6"/>
  <c r="S122" i="6"/>
  <c r="T122" i="6" s="1"/>
  <c r="U122" i="6" s="1"/>
  <c r="J83" i="23"/>
  <c r="O57" i="23"/>
  <c r="O48" i="23"/>
  <c r="O30" i="23"/>
  <c r="G83" i="23"/>
  <c r="O9" i="6"/>
  <c r="Q9" i="6" s="1"/>
  <c r="F83" i="23"/>
  <c r="O18" i="23"/>
  <c r="O34" i="23"/>
  <c r="O28" i="23"/>
  <c r="O36" i="23"/>
  <c r="O20" i="23"/>
  <c r="J126" i="6"/>
  <c r="M126" i="6" s="1"/>
  <c r="O126" i="6"/>
  <c r="Q126" i="6" s="1"/>
  <c r="U126" i="6" s="1"/>
  <c r="J92" i="6"/>
  <c r="N139" i="6"/>
  <c r="Q139" i="6" s="1"/>
  <c r="J138" i="6"/>
  <c r="N138" i="6" s="1"/>
  <c r="O138" i="6"/>
  <c r="J10" i="6"/>
  <c r="M10" i="6" s="1"/>
  <c r="J106" i="6"/>
  <c r="N106" i="6" s="1"/>
  <c r="Q106" i="6" s="1"/>
  <c r="O130" i="6"/>
  <c r="J130" i="6"/>
  <c r="S130" i="6" s="1"/>
  <c r="T130" i="6" s="1"/>
  <c r="O32" i="6"/>
  <c r="Q32" i="6" s="1"/>
  <c r="U32" i="6" s="1"/>
  <c r="J32" i="6"/>
  <c r="M32" i="6" s="1"/>
  <c r="J68" i="6"/>
  <c r="N68" i="6" s="1"/>
  <c r="Q68" i="6" s="1"/>
  <c r="J84" i="6"/>
  <c r="N84" i="6" s="1"/>
  <c r="Q84" i="6" s="1"/>
  <c r="J14" i="21"/>
  <c r="I14" i="6" s="1"/>
  <c r="J16" i="21"/>
  <c r="I16" i="6" s="1"/>
  <c r="J22" i="21"/>
  <c r="I22" i="6" s="1"/>
  <c r="I28" i="21"/>
  <c r="J28" i="21" s="1"/>
  <c r="I28" i="6" s="1"/>
  <c r="I57" i="21"/>
  <c r="J57" i="21"/>
  <c r="I57" i="6" s="1"/>
  <c r="I80" i="21"/>
  <c r="J80" i="21"/>
  <c r="I80" i="6" s="1"/>
  <c r="Q505" i="6"/>
  <c r="U505" i="6" s="1"/>
  <c r="J159" i="21"/>
  <c r="J166" i="21"/>
  <c r="J171" i="21"/>
  <c r="J193" i="21"/>
  <c r="J210" i="21"/>
  <c r="J213" i="21"/>
  <c r="J236" i="21"/>
  <c r="J256" i="21"/>
  <c r="I261" i="21"/>
  <c r="J261" i="21" s="1"/>
  <c r="J272" i="21"/>
  <c r="J286" i="21"/>
  <c r="J309" i="21"/>
  <c r="J325" i="21"/>
  <c r="J330" i="21"/>
  <c r="J380" i="21"/>
  <c r="J393" i="21"/>
  <c r="J459" i="21"/>
  <c r="J494" i="21"/>
  <c r="I506" i="21"/>
  <c r="J506" i="21" s="1"/>
  <c r="J512" i="21"/>
  <c r="J538" i="21"/>
  <c r="J586" i="21"/>
  <c r="J607" i="21"/>
  <c r="J679" i="21"/>
  <c r="J700" i="21"/>
  <c r="J739" i="21"/>
  <c r="J172" i="21"/>
  <c r="J175" i="21"/>
  <c r="J179" i="21"/>
  <c r="J238" i="21"/>
  <c r="J354" i="21"/>
  <c r="J366" i="21"/>
  <c r="J368" i="21"/>
  <c r="J374" i="21"/>
  <c r="J405" i="21"/>
  <c r="J408" i="21"/>
  <c r="J438" i="21"/>
  <c r="J474" i="21"/>
  <c r="J495" i="21"/>
  <c r="I518" i="21"/>
  <c r="J518" i="21" s="1"/>
  <c r="I521" i="21"/>
  <c r="J521" i="21" s="1"/>
  <c r="J551" i="21"/>
  <c r="J621" i="21"/>
  <c r="J658" i="21"/>
  <c r="J727" i="21"/>
  <c r="J730" i="21"/>
  <c r="J746" i="21"/>
  <c r="J815" i="21"/>
  <c r="I815" i="21"/>
  <c r="I854" i="21"/>
  <c r="J854" i="21" s="1"/>
  <c r="I6" i="21"/>
  <c r="J6" i="21" s="1"/>
  <c r="I1600" i="21"/>
  <c r="J1600" i="21" s="1"/>
  <c r="I1597" i="21"/>
  <c r="J1597" i="21" s="1"/>
  <c r="J1576" i="21"/>
  <c r="J1573" i="21"/>
  <c r="J1557" i="21"/>
  <c r="J1545" i="21"/>
  <c r="J1403" i="21"/>
  <c r="J1149" i="21"/>
  <c r="J1117" i="21"/>
  <c r="J1116" i="21"/>
  <c r="J1055" i="21"/>
  <c r="J1045" i="21"/>
  <c r="J1020" i="21"/>
  <c r="J1006" i="21"/>
  <c r="J1002" i="21"/>
  <c r="I997" i="21"/>
  <c r="J997" i="21"/>
  <c r="J982" i="21"/>
  <c r="I946" i="21"/>
  <c r="J946" i="21" s="1"/>
  <c r="J1500" i="21"/>
  <c r="J1497" i="21"/>
  <c r="J1492" i="21"/>
  <c r="J1489" i="21"/>
  <c r="I1453" i="21"/>
  <c r="J1453" i="21" s="1"/>
  <c r="J1449" i="21"/>
  <c r="J1446" i="21"/>
  <c r="J1442" i="21"/>
  <c r="J1421" i="21"/>
  <c r="J1402" i="21"/>
  <c r="J1366" i="21"/>
  <c r="J1362" i="21"/>
  <c r="J1359" i="21"/>
  <c r="J1338" i="21"/>
  <c r="J1335" i="21"/>
  <c r="I1331" i="21"/>
  <c r="J1331" i="21" s="1"/>
  <c r="J1318" i="21"/>
  <c r="J1315" i="21"/>
  <c r="I1301" i="21"/>
  <c r="J1301" i="21" s="1"/>
  <c r="J1297" i="21"/>
  <c r="J1294" i="21"/>
  <c r="J1273" i="21"/>
  <c r="J1263" i="21"/>
  <c r="J1252" i="21"/>
  <c r="J1245" i="21"/>
  <c r="J1236" i="21"/>
  <c r="J1228" i="21"/>
  <c r="J1225" i="21"/>
  <c r="J1197" i="21"/>
  <c r="J1173" i="21"/>
  <c r="J1141" i="21"/>
  <c r="J1128" i="21"/>
  <c r="J989" i="21"/>
  <c r="I989" i="21"/>
  <c r="I943" i="21"/>
  <c r="J943" i="21" s="1"/>
  <c r="J1516" i="21"/>
  <c r="J1513" i="21"/>
  <c r="J1480" i="21"/>
  <c r="J1477" i="21"/>
  <c r="J1469" i="21"/>
  <c r="J1441" i="21"/>
  <c r="J1200" i="21"/>
  <c r="J1192" i="21"/>
  <c r="J1176" i="21"/>
  <c r="J1172" i="21"/>
  <c r="J1169" i="21"/>
  <c r="J1153" i="21"/>
  <c r="J1152" i="21"/>
  <c r="J1129" i="21"/>
  <c r="J1111" i="21"/>
  <c r="J1110" i="21"/>
  <c r="J1108" i="21"/>
  <c r="J1104" i="21"/>
  <c r="J1091" i="21"/>
  <c r="J1080" i="21"/>
  <c r="J1074" i="21"/>
  <c r="J1063" i="21"/>
  <c r="J1062" i="21"/>
  <c r="J1042" i="21"/>
  <c r="J1025" i="21"/>
  <c r="J978" i="21"/>
  <c r="J958" i="21"/>
  <c r="J955" i="21"/>
  <c r="J954" i="21"/>
  <c r="I906" i="21"/>
  <c r="J906" i="21" s="1"/>
  <c r="J1075" i="21"/>
  <c r="I1038" i="21"/>
  <c r="J1038" i="21" s="1"/>
  <c r="I1029" i="21"/>
  <c r="J1029" i="21" s="1"/>
  <c r="J1022" i="21"/>
  <c r="J1008" i="21"/>
  <c r="J903" i="21"/>
  <c r="I890" i="21"/>
  <c r="J890" i="21" s="1"/>
  <c r="I887" i="21"/>
  <c r="J887" i="21" s="1"/>
  <c r="I875" i="21"/>
  <c r="J875" i="21" s="1"/>
  <c r="U139" i="6" l="1"/>
  <c r="F1658" i="6"/>
  <c r="Q77" i="6"/>
  <c r="Q90" i="6"/>
  <c r="Q52" i="6"/>
  <c r="F1718" i="6"/>
  <c r="C21" i="7" s="1"/>
  <c r="Q108" i="6"/>
  <c r="S75" i="6"/>
  <c r="T75" i="6" s="1"/>
  <c r="O8" i="23"/>
  <c r="U131" i="6"/>
  <c r="U134" i="6"/>
  <c r="B35" i="22"/>
  <c r="C47" i="22"/>
  <c r="C52" i="22" s="1"/>
  <c r="C46" i="22" s="1"/>
  <c r="U67" i="6"/>
  <c r="N132" i="6"/>
  <c r="Q132" i="6" s="1"/>
  <c r="N75" i="6"/>
  <c r="Q75" i="6" s="1"/>
  <c r="U75" i="6" s="1"/>
  <c r="J125" i="6"/>
  <c r="M125" i="6" s="1"/>
  <c r="O125" i="6"/>
  <c r="Q125" i="6" s="1"/>
  <c r="U125" i="6" s="1"/>
  <c r="B37" i="22" s="1"/>
  <c r="U108" i="6"/>
  <c r="J107" i="6"/>
  <c r="N107" i="6" s="1"/>
  <c r="Q107" i="6" s="1"/>
  <c r="O107" i="6"/>
  <c r="J98" i="6"/>
  <c r="N98" i="6" s="1"/>
  <c r="Q98" i="6" s="1"/>
  <c r="O98" i="6"/>
  <c r="J65" i="6"/>
  <c r="N65" i="6" s="1"/>
  <c r="O65" i="6"/>
  <c r="N105" i="6"/>
  <c r="Q105" i="6" s="1"/>
  <c r="U105" i="6" s="1"/>
  <c r="M105" i="6"/>
  <c r="J86" i="6"/>
  <c r="O86" i="6"/>
  <c r="N86" i="6"/>
  <c r="M43" i="6"/>
  <c r="S43" i="6"/>
  <c r="T43" i="6" s="1"/>
  <c r="U43" i="6" s="1"/>
  <c r="F1663" i="6" s="1"/>
  <c r="C11" i="7" s="1"/>
  <c r="O56" i="6"/>
  <c r="N56" i="6"/>
  <c r="M137" i="6"/>
  <c r="S137" i="6"/>
  <c r="T137" i="6" s="1"/>
  <c r="S90" i="6"/>
  <c r="T90" i="6" s="1"/>
  <c r="U90" i="6" s="1"/>
  <c r="M90" i="6"/>
  <c r="O49" i="6"/>
  <c r="J49" i="6"/>
  <c r="N49" i="6" s="1"/>
  <c r="Q49" i="6" s="1"/>
  <c r="N137" i="6"/>
  <c r="Q137" i="6" s="1"/>
  <c r="S52" i="6"/>
  <c r="T52" i="6" s="1"/>
  <c r="U52" i="6" s="1"/>
  <c r="M52" i="6"/>
  <c r="S77" i="6"/>
  <c r="T77" i="6" s="1"/>
  <c r="U77" i="6" s="1"/>
  <c r="M77" i="6"/>
  <c r="F1673" i="6"/>
  <c r="Q48" i="6"/>
  <c r="S132" i="6"/>
  <c r="T132" i="6" s="1"/>
  <c r="U132" i="6" s="1"/>
  <c r="U46" i="6"/>
  <c r="U94" i="6"/>
  <c r="U53" i="6"/>
  <c r="M102" i="6"/>
  <c r="N102" i="6"/>
  <c r="Q102" i="6" s="1"/>
  <c r="U102" i="6" s="1"/>
  <c r="F1660" i="6" s="1"/>
  <c r="U83" i="6"/>
  <c r="F1711" i="6" s="1"/>
  <c r="N30" i="6"/>
  <c r="Q30" i="6" s="1"/>
  <c r="M30" i="6"/>
  <c r="S30" i="6"/>
  <c r="T30" i="6" s="1"/>
  <c r="M129" i="6"/>
  <c r="S129" i="6"/>
  <c r="T129" i="6" s="1"/>
  <c r="Q116" i="6"/>
  <c r="M48" i="6"/>
  <c r="S48" i="6"/>
  <c r="T48" i="6" s="1"/>
  <c r="N129" i="6"/>
  <c r="Q129" i="6" s="1"/>
  <c r="Q138" i="6"/>
  <c r="S116" i="6"/>
  <c r="T116" i="6" s="1"/>
  <c r="M116" i="6"/>
  <c r="S44" i="6"/>
  <c r="T44" i="6" s="1"/>
  <c r="U44" i="6" s="1"/>
  <c r="S66" i="6"/>
  <c r="T66" i="6" s="1"/>
  <c r="S113" i="6"/>
  <c r="T113" i="6" s="1"/>
  <c r="M113" i="6"/>
  <c r="U24" i="6"/>
  <c r="N66" i="6"/>
  <c r="Q66" i="6" s="1"/>
  <c r="M114" i="6"/>
  <c r="S114" i="6"/>
  <c r="T114" i="6" s="1"/>
  <c r="N114" i="6"/>
  <c r="Q114" i="6" s="1"/>
  <c r="M58" i="6"/>
  <c r="N58" i="6"/>
  <c r="Q58" i="6" s="1"/>
  <c r="S58" i="6"/>
  <c r="T58" i="6" s="1"/>
  <c r="S64" i="6"/>
  <c r="T64" i="6" s="1"/>
  <c r="M64" i="6"/>
  <c r="N64" i="6"/>
  <c r="Q64" i="6" s="1"/>
  <c r="U73" i="6"/>
  <c r="N113" i="6"/>
  <c r="Q113" i="6" s="1"/>
  <c r="Q83" i="23"/>
  <c r="O83" i="23"/>
  <c r="O87" i="23" s="1"/>
  <c r="O5" i="23"/>
  <c r="O22" i="6"/>
  <c r="J22" i="6"/>
  <c r="N22" i="6" s="1"/>
  <c r="Q22" i="6" s="1"/>
  <c r="O80" i="6"/>
  <c r="J80" i="6"/>
  <c r="N80" i="6" s="1"/>
  <c r="J16" i="6"/>
  <c r="M16" i="6" s="1"/>
  <c r="O16" i="6"/>
  <c r="Q16" i="6" s="1"/>
  <c r="U16" i="6" s="1"/>
  <c r="B36" i="22" s="1"/>
  <c r="M68" i="6"/>
  <c r="S68" i="6"/>
  <c r="T68" i="6" s="1"/>
  <c r="U68" i="6" s="1"/>
  <c r="F1717" i="6" s="1"/>
  <c r="M138" i="6"/>
  <c r="S138" i="6"/>
  <c r="T138" i="6" s="1"/>
  <c r="U138" i="6" s="1"/>
  <c r="U9" i="6"/>
  <c r="J14" i="6"/>
  <c r="M14" i="6" s="1"/>
  <c r="O14" i="6"/>
  <c r="Q14" i="6" s="1"/>
  <c r="U14" i="6" s="1"/>
  <c r="S84" i="6"/>
  <c r="T84" i="6" s="1"/>
  <c r="U84" i="6" s="1"/>
  <c r="M84" i="6"/>
  <c r="M106" i="6"/>
  <c r="S106" i="6"/>
  <c r="T106" i="6" s="1"/>
  <c r="U106" i="6" s="1"/>
  <c r="S92" i="6"/>
  <c r="T92" i="6" s="1"/>
  <c r="M92" i="6"/>
  <c r="N92" i="6"/>
  <c r="Q92" i="6" s="1"/>
  <c r="O57" i="6"/>
  <c r="N57" i="6"/>
  <c r="O28" i="6"/>
  <c r="J28" i="6"/>
  <c r="N28" i="6" s="1"/>
  <c r="M130" i="6"/>
  <c r="N130" i="6"/>
  <c r="Q130" i="6" s="1"/>
  <c r="U130" i="6" s="1"/>
  <c r="H1708" i="6" l="1"/>
  <c r="H1677" i="6"/>
  <c r="F1677" i="6"/>
  <c r="B33" i="22"/>
  <c r="U137" i="6"/>
  <c r="P83" i="23"/>
  <c r="M49" i="6"/>
  <c r="S49" i="6"/>
  <c r="T49" i="6" s="1"/>
  <c r="U49" i="6" s="1"/>
  <c r="Q86" i="6"/>
  <c r="U48" i="6"/>
  <c r="M86" i="6"/>
  <c r="S86" i="6"/>
  <c r="T86" i="6" s="1"/>
  <c r="M107" i="6"/>
  <c r="S107" i="6"/>
  <c r="T107" i="6" s="1"/>
  <c r="U107" i="6" s="1"/>
  <c r="F1672" i="6" s="1"/>
  <c r="U66" i="6"/>
  <c r="Q65" i="6"/>
  <c r="S65" i="6"/>
  <c r="T65" i="6" s="1"/>
  <c r="M65" i="6"/>
  <c r="Q56" i="6"/>
  <c r="U56" i="6" s="1"/>
  <c r="H1667" i="6" s="1"/>
  <c r="S98" i="6"/>
  <c r="T98" i="6" s="1"/>
  <c r="U98" i="6" s="1"/>
  <c r="F1695" i="6" s="1"/>
  <c r="M98" i="6"/>
  <c r="Q57" i="6"/>
  <c r="U57" i="6" s="1"/>
  <c r="U113" i="6"/>
  <c r="Q28" i="6"/>
  <c r="U92" i="6"/>
  <c r="H1695" i="6"/>
  <c r="U116" i="6"/>
  <c r="W5" i="6"/>
  <c r="U64" i="6"/>
  <c r="B29" i="22" s="1"/>
  <c r="U129" i="6"/>
  <c r="F1662" i="6" s="1"/>
  <c r="U30" i="6"/>
  <c r="B28" i="22" s="1"/>
  <c r="U58" i="6"/>
  <c r="U114" i="6"/>
  <c r="Q80" i="6"/>
  <c r="M28" i="6"/>
  <c r="S28" i="6"/>
  <c r="T28" i="6" s="1"/>
  <c r="U28" i="6" s="1"/>
  <c r="F1656" i="6"/>
  <c r="M80" i="6"/>
  <c r="S80" i="6"/>
  <c r="T80" i="6" s="1"/>
  <c r="M22" i="6"/>
  <c r="S22" i="6"/>
  <c r="T22" i="6" s="1"/>
  <c r="U22" i="6" s="1"/>
  <c r="H1655" i="6" l="1"/>
  <c r="Q1645" i="6"/>
  <c r="U86" i="6"/>
  <c r="F1667" i="6" s="1"/>
  <c r="U65" i="6"/>
  <c r="F1708" i="6" s="1"/>
  <c r="C18" i="7" s="1"/>
  <c r="F1703" i="6"/>
  <c r="H1703" i="6"/>
  <c r="H1742" i="6" s="1"/>
  <c r="H1744" i="6" s="1"/>
  <c r="B31" i="22"/>
  <c r="B32" i="22"/>
  <c r="F1682" i="6"/>
  <c r="C13" i="7" s="1"/>
  <c r="B50" i="22"/>
  <c r="U80" i="6"/>
  <c r="B30" i="22" s="1"/>
  <c r="B39" i="22" l="1"/>
  <c r="B47" i="22" s="1"/>
  <c r="C45" i="7"/>
  <c r="A4" i="7" s="1"/>
  <c r="C4" i="7" s="1"/>
  <c r="D4" i="7" s="1"/>
  <c r="E4" i="7" s="1"/>
  <c r="F1655" i="6"/>
  <c r="F1742" i="6" s="1"/>
  <c r="U1645" i="6"/>
  <c r="B52" i="22" l="1"/>
  <c r="B46" i="22" s="1"/>
  <c r="M4" i="7"/>
  <c r="N4" i="7"/>
  <c r="C3" i="7"/>
</calcChain>
</file>

<file path=xl/comments1.xml><?xml version="1.0" encoding="utf-8"?>
<comments xmlns="http://schemas.openxmlformats.org/spreadsheetml/2006/main">
  <authors>
    <author>Lenovo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NUOVE FORMULE 10/04/2026 La cella da considerare è stata spostata da A6 ad A7
--colonna G
=INDICE('calcolo base'!$B:$B; CONFRONTA($A7; 'calcolo base'!$A:$A; 0))
--colonna I
=SE(  O(      INDICE('calcolo base'!$D:$D; CONFRONTA($A7; 'calcolo base'!$A:$A; 0)) = 0;
      INDICE('calcolo base'!$D:$D; CONFRONTA($A7; 'calcolo base'!$A:$A; 0)) = ""   );
   INDICE('calcolo base'!$K:$K; CONFRONTA($A7; 'calcolo base'!$A:$A; 0));
   INDICE('calcolo base'!$J:$J; CONFRONTA($A7; 'calcolo base'!$A:$A; 0))
) / 1000
--colonna L
=INDICE('calcolo base'!$H:$H; CONFRONTA($A7; 'calcolo base'!$A:$A; 0))
COLONNA S
=SE(R7="si";0;SE(E7="si";0;SE(J7&gt;K7;0;K7-J7))) + SE(INDICE('calcolo base'!$P:$P; CONFRONTA($A7; 'calcolo base'!$A:$A; 0))="SI"; ('Commissioni De Angeli'!K7-'Commissioni De Angeli'!J7); 0)
--colonna U
=SE(Q7=0;'calcolo base'!L2606;(T7+Q7))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<sst xmlns="http://schemas.openxmlformats.org/spreadsheetml/2006/main" count="603" uniqueCount="217">
  <si>
    <t>Lav</t>
  </si>
  <si>
    <t>1,5% fissa</t>
  </si>
  <si>
    <t>delta</t>
  </si>
  <si>
    <t>Kg</t>
  </si>
  <si>
    <t>Totale provv variabile</t>
  </si>
  <si>
    <t>Fatt. n°/Vs. Orc</t>
  </si>
  <si>
    <t>CLIENTE</t>
  </si>
  <si>
    <t>KG</t>
  </si>
  <si>
    <t>EURO</t>
  </si>
  <si>
    <t>SCONTI</t>
  </si>
  <si>
    <t>FATTURATO</t>
  </si>
  <si>
    <t>SCONTO</t>
  </si>
  <si>
    <t>IVA</t>
  </si>
  <si>
    <t>TOTALE</t>
  </si>
  <si>
    <t>RA 23%</t>
  </si>
  <si>
    <t>TOTALE AVERE</t>
  </si>
  <si>
    <t>Cliente</t>
  </si>
  <si>
    <t>Euro</t>
  </si>
  <si>
    <t>Sconti</t>
  </si>
  <si>
    <t>Kg Prosp</t>
  </si>
  <si>
    <t>€ prosp</t>
  </si>
  <si>
    <t>Sconto prosp</t>
  </si>
  <si>
    <t>Differenza KG</t>
  </si>
  <si>
    <t>Differenza €</t>
  </si>
  <si>
    <t>Differenza Sconti</t>
  </si>
  <si>
    <t>Eventuali detrazioni</t>
  </si>
  <si>
    <t>Rame</t>
  </si>
  <si>
    <t>Rame Smaltato</t>
  </si>
  <si>
    <t>Alluminio</t>
  </si>
  <si>
    <t>Alluminio Smaltato</t>
  </si>
  <si>
    <t>Materiale+Lav con commissione</t>
  </si>
  <si>
    <t>Tipologia Materiale</t>
  </si>
  <si>
    <t>Tesar</t>
  </si>
  <si>
    <t>Eletrafo</t>
  </si>
  <si>
    <t>Five</t>
  </si>
  <si>
    <t>Labor</t>
  </si>
  <si>
    <t>Eltex</t>
  </si>
  <si>
    <t>Elca</t>
  </si>
  <si>
    <t>Col Giovanni</t>
  </si>
  <si>
    <t>Totale Fisso</t>
  </si>
  <si>
    <t>Materiale Euro di riferimento</t>
  </si>
  <si>
    <t>LME</t>
  </si>
  <si>
    <t>CAMBIO</t>
  </si>
  <si>
    <t>MATERIALE</t>
  </si>
  <si>
    <t>CALCOLO PREZZO BASE METALLO</t>
  </si>
  <si>
    <t>Siltech</t>
  </si>
  <si>
    <t>Cariboni</t>
  </si>
  <si>
    <t>Omis</t>
  </si>
  <si>
    <t>Rema</t>
  </si>
  <si>
    <t>Asg</t>
  </si>
  <si>
    <t>Cabur</t>
  </si>
  <si>
    <t>Metalinvest</t>
  </si>
  <si>
    <t>MATERIALE EURO DI RIFERIMENTO</t>
  </si>
  <si>
    <t>DATA DI RIFERIMENTO</t>
  </si>
  <si>
    <t>PREMIO MINIERA</t>
  </si>
  <si>
    <t>FINANZIAMENTO %</t>
  </si>
  <si>
    <t>FINANZIAMENTO €</t>
  </si>
  <si>
    <t>TOTALE FATTURA A MANO</t>
  </si>
  <si>
    <t>-</t>
  </si>
  <si>
    <t>Elettromil</t>
  </si>
  <si>
    <t xml:space="preserve">COMMISSIONI CALKOS - DE ANGELI </t>
  </si>
  <si>
    <t>MAT. INSERITO A MANO</t>
  </si>
  <si>
    <t>Elhand</t>
  </si>
  <si>
    <t>Semilavorati</t>
  </si>
  <si>
    <t>Ftm</t>
  </si>
  <si>
    <t>Cam</t>
  </si>
  <si>
    <t>Pizzamiglio</t>
  </si>
  <si>
    <t>Elektra</t>
  </si>
  <si>
    <t>Carpel</t>
  </si>
  <si>
    <t>Giovenzana</t>
  </si>
  <si>
    <t>Meis</t>
  </si>
  <si>
    <t>Colombo</t>
  </si>
  <si>
    <t>Cgs</t>
  </si>
  <si>
    <t>Green Metal</t>
  </si>
  <si>
    <t>Ocrem</t>
  </si>
  <si>
    <t>Newton</t>
  </si>
  <si>
    <t>AeG</t>
  </si>
  <si>
    <t>Alstom</t>
  </si>
  <si>
    <t>Vezzaro</t>
  </si>
  <si>
    <t>Data Consegna</t>
  </si>
  <si>
    <t>Danese</t>
  </si>
  <si>
    <t>Icar</t>
  </si>
  <si>
    <t>Commissioni OK</t>
  </si>
  <si>
    <t>Electromotor</t>
  </si>
  <si>
    <t>Cobral</t>
  </si>
  <si>
    <t>Auril</t>
  </si>
  <si>
    <t>Braga</t>
  </si>
  <si>
    <t>Scame</t>
  </si>
  <si>
    <t>KG OK</t>
  </si>
  <si>
    <t>Danieli</t>
  </si>
  <si>
    <t>Ergolines</t>
  </si>
  <si>
    <t>Elektromotor</t>
  </si>
  <si>
    <t>% SCOSTAMENTO</t>
  </si>
  <si>
    <t>VALORE RIFERIMENTO</t>
  </si>
  <si>
    <t>ALIQUOTA DA APPLICARE</t>
  </si>
  <si>
    <t>Commissione con aliquota Variabile</t>
  </si>
  <si>
    <t>Aliquota variabile</t>
  </si>
  <si>
    <t>Mime</t>
  </si>
  <si>
    <t>Gmg</t>
  </si>
  <si>
    <t>Iee</t>
  </si>
  <si>
    <t>MSA</t>
  </si>
  <si>
    <t>8% Fissa</t>
  </si>
  <si>
    <t>3% Fissa</t>
  </si>
  <si>
    <t>Ordine &lt; 500 (non compilare se in C/L)</t>
  </si>
  <si>
    <t>Bin</t>
  </si>
  <si>
    <t>Ansaldo</t>
  </si>
  <si>
    <t>Saer</t>
  </si>
  <si>
    <t>Mese</t>
  </si>
  <si>
    <t>Consegna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</si>
  <si>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</si>
  <si>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</si>
  <si>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</si>
  <si>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</si>
  <si>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</si>
  <si>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</si>
  <si>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</si>
  <si>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</si>
  <si>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</si>
  <si>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</si>
  <si>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</si>
  <si>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</si>
  <si>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HPG</t>
  </si>
  <si>
    <t>Provvigioni da fatturare</t>
  </si>
  <si>
    <t>Kunez</t>
  </si>
  <si>
    <t>Cembre</t>
  </si>
  <si>
    <t>Semar</t>
  </si>
  <si>
    <t>Vendita</t>
  </si>
  <si>
    <t>Meca</t>
  </si>
  <si>
    <t>C/L</t>
  </si>
  <si>
    <t>TOTALE FATTURA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</si>
  <si>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</si>
  <si>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</si>
  <si>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</si>
  <si>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</si>
  <si>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</si>
  <si>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</si>
  <si>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</si>
  <si>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</si>
  <si>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</si>
  <si>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NOVEMBRE</t>
  </si>
  <si>
    <t>DICEMBRE</t>
  </si>
  <si>
    <t>OTTOBRE</t>
  </si>
  <si>
    <t>CONSEGNE CLIENTI 2023</t>
  </si>
  <si>
    <t>By Carpel</t>
  </si>
  <si>
    <t>Sider</t>
  </si>
  <si>
    <t>Csf</t>
  </si>
  <si>
    <t>Elettromil Albania</t>
  </si>
  <si>
    <t>Ortea</t>
  </si>
  <si>
    <t>Dsr</t>
  </si>
  <si>
    <t>Tamura</t>
  </si>
  <si>
    <t>Elektroremont</t>
  </si>
  <si>
    <t>DM Metal</t>
  </si>
  <si>
    <t>Metaltrasfo</t>
  </si>
  <si>
    <t>Belotti</t>
  </si>
  <si>
    <t>Mec</t>
  </si>
  <si>
    <t>OK</t>
  </si>
  <si>
    <t>Coms</t>
  </si>
  <si>
    <t>Rotech</t>
  </si>
  <si>
    <t>Malinverno</t>
  </si>
  <si>
    <t>Top Quality</t>
  </si>
  <si>
    <t>2504545/26000828</t>
  </si>
  <si>
    <t>kg 5800 su 09/04</t>
  </si>
  <si>
    <t>Mgs</t>
  </si>
  <si>
    <t>2600360/26001361</t>
  </si>
  <si>
    <t>2505511/26001538</t>
  </si>
  <si>
    <t>2600360/26001541</t>
  </si>
  <si>
    <t>2502162/26001943</t>
  </si>
  <si>
    <t>ex 05/12</t>
  </si>
  <si>
    <t>ex 12/02</t>
  </si>
  <si>
    <t>ex 15/01</t>
  </si>
  <si>
    <t>ex 29/01</t>
  </si>
  <si>
    <t>ex 09/02</t>
  </si>
  <si>
    <t>ex 25/05</t>
  </si>
  <si>
    <t>ex 10/06</t>
  </si>
  <si>
    <t>ex 22/06</t>
  </si>
  <si>
    <t>ex 04/05</t>
  </si>
  <si>
    <t>ex 10/07</t>
  </si>
  <si>
    <t>ex 21/04</t>
  </si>
  <si>
    <t>ex 29/06</t>
  </si>
  <si>
    <t>ex 08/04</t>
  </si>
  <si>
    <t>ex 19/06</t>
  </si>
  <si>
    <t>ex 13/07</t>
  </si>
  <si>
    <t>ex 21/05</t>
  </si>
  <si>
    <t>ex 04/03</t>
  </si>
  <si>
    <t>ex 05/02</t>
  </si>
  <si>
    <t>ex 05/06</t>
  </si>
  <si>
    <t>ex 10/09</t>
  </si>
  <si>
    <t>2600313/26002010</t>
  </si>
  <si>
    <t>2600732/26002010</t>
  </si>
  <si>
    <t>2600956/26002011</t>
  </si>
  <si>
    <t>2600412/26002219</t>
  </si>
  <si>
    <t>2600568/26002139</t>
  </si>
  <si>
    <t>2600390/26002137</t>
  </si>
  <si>
    <t>2600565/26002137</t>
  </si>
  <si>
    <t>2600928/26002137</t>
  </si>
  <si>
    <t>cons Kg 2001 su Aprile</t>
  </si>
  <si>
    <t>cons Kg 1295 su Aprile</t>
  </si>
  <si>
    <t>2505511/26002108</t>
  </si>
  <si>
    <t>ID_BASE</t>
  </si>
  <si>
    <t>Fatturare</t>
  </si>
  <si>
    <t>2600613/26002252</t>
  </si>
  <si>
    <t>2600568/26002314</t>
  </si>
  <si>
    <t>2502162/26002277</t>
  </si>
  <si>
    <t>mancano Kg 1000</t>
  </si>
  <si>
    <t>FINE_TABELLA</t>
  </si>
  <si>
    <t>Responsabilità Civile Auto</t>
  </si>
  <si>
    <t>Cristalli Auto</t>
  </si>
  <si>
    <t>Eventi atmosferici</t>
  </si>
  <si>
    <t>Atti vandalici e sociopolitici</t>
  </si>
  <si>
    <t>Globale complemetari</t>
  </si>
  <si>
    <t>Furto e rapina (Base)</t>
  </si>
  <si>
    <t>Incendio (Base)</t>
  </si>
  <si>
    <t>Differenza</t>
  </si>
  <si>
    <t>Perc. Delta Provv. (%)</t>
  </si>
  <si>
    <t>Totale Provv. Variabile</t>
  </si>
  <si>
    <t>Totale Fattura</t>
  </si>
  <si>
    <t>1,5% Fissa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</si>
</sst>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_-&quot;€&quot;\ * #,##0.000_-;\-&quot;€&quot;\ * #,##0.000_-;_-&quot;€&quot;\ * &quot;-&quot;???_-;_-@_-"/>
    <numFmt numFmtId="167" formatCode="_-&quot;€&quot;\ * #,##0.0000_-;\-&quot;€&quot;\ * #,##0.0000_-;_-&quot;€&quot;\ * &quot;-&quot;????_-;_-@_-"/>
    <numFmt numFmtId="168" formatCode="_-[$$-409]* #,##0.0000_ ;_-[$$-409]* \-#,##0.0000\ ;_-[$$-409]* &quot;-&quot;????_ ;_-@_ "/>
    <numFmt numFmtId="169" formatCode="#,##0.00_ ;\-#,##0.00\ "/>
  </numFmts>
  <fonts count="35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"/>
      <name val="Calibri"/>
      <family val="2"/>
    </font>
    <font>
      <b/>
      <sz val="10"/>
      <color indexed="8"/>
      <name val="Calibri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Calibri"/>
      <family val="2"/>
    </font>
    <font>
      <sz val="11"/>
      <name val="Arial"/>
      <family val="2"/>
    </font>
    <font>
      <b/>
      <sz val="12"/>
      <name val="Aharoni"/>
      <charset val="177"/>
    </font>
    <font>
      <b/>
      <sz val="12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/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slantDashDot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Dashed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slantDash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310">
    <xf numFmtId="0" fontId="0" fillId="0" borderId="0" xfId="0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6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6" xfId="0" applyFont="1" applyBorder="1"/>
    <xf numFmtId="0" fontId="7" fillId="0" borderId="7" xfId="0" applyFont="1" applyBorder="1"/>
    <xf numFmtId="4" fontId="6" fillId="0" borderId="8" xfId="0" applyNumberFormat="1" applyFont="1" applyBorder="1"/>
    <xf numFmtId="0" fontId="23" fillId="0" borderId="0" xfId="0" applyFont="1"/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165" fontId="21" fillId="0" borderId="12" xfId="3" applyFont="1" applyBorder="1"/>
    <xf numFmtId="165" fontId="0" fillId="0" borderId="13" xfId="0" applyNumberFormat="1" applyBorder="1"/>
    <xf numFmtId="165" fontId="21" fillId="0" borderId="14" xfId="3" applyFont="1" applyBorder="1"/>
    <xf numFmtId="165" fontId="21" fillId="0" borderId="15" xfId="3" applyFont="1" applyBorder="1"/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/>
    </xf>
    <xf numFmtId="165" fontId="5" fillId="0" borderId="23" xfId="3" applyFont="1" applyBorder="1"/>
    <xf numFmtId="165" fontId="5" fillId="0" borderId="24" xfId="3" applyFont="1" applyBorder="1"/>
    <xf numFmtId="165" fontId="6" fillId="0" borderId="25" xfId="0" applyNumberFormat="1" applyFont="1" applyBorder="1"/>
    <xf numFmtId="165" fontId="0" fillId="0" borderId="26" xfId="3" applyFont="1" applyBorder="1"/>
    <xf numFmtId="165" fontId="2" fillId="0" borderId="27" xfId="0" applyNumberFormat="1" applyFont="1" applyBorder="1"/>
    <xf numFmtId="165" fontId="0" fillId="0" borderId="23" xfId="3" applyFont="1" applyBorder="1"/>
    <xf numFmtId="165" fontId="0" fillId="0" borderId="24" xfId="3" applyFont="1" applyBorder="1"/>
    <xf numFmtId="165" fontId="2" fillId="0" borderId="25" xfId="0" applyNumberFormat="1" applyFont="1" applyBorder="1"/>
    <xf numFmtId="0" fontId="8" fillId="0" borderId="28" xfId="0" applyFont="1" applyBorder="1" applyAlignment="1">
      <alignment horizontal="center" vertical="center" wrapText="1"/>
    </xf>
    <xf numFmtId="0" fontId="0" fillId="0" borderId="29" xfId="0" applyBorder="1" applyProtection="1">
      <protection locked="0"/>
    </xf>
    <xf numFmtId="4" fontId="5" fillId="0" borderId="30" xfId="0" applyNumberFormat="1" applyFont="1" applyBorder="1"/>
    <xf numFmtId="0" fontId="24" fillId="0" borderId="31" xfId="0" applyFont="1" applyBorder="1" applyAlignment="1">
      <alignment horizontal="left" wrapText="1"/>
    </xf>
    <xf numFmtId="4" fontId="0" fillId="0" borderId="0" xfId="0" applyNumberForma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5" fillId="0" borderId="32" xfId="3" applyFont="1" applyBorder="1"/>
    <xf numFmtId="165" fontId="0" fillId="0" borderId="32" xfId="3" applyFont="1" applyBorder="1"/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0" fillId="0" borderId="37" xfId="0" applyBorder="1" applyProtection="1">
      <protection locked="0"/>
    </xf>
    <xf numFmtId="166" fontId="0" fillId="0" borderId="29" xfId="3" applyNumberFormat="1" applyFont="1" applyBorder="1" applyProtection="1">
      <protection locked="0"/>
    </xf>
    <xf numFmtId="0" fontId="3" fillId="0" borderId="0" xfId="0" applyFont="1"/>
    <xf numFmtId="167" fontId="0" fillId="0" borderId="29" xfId="3" applyNumberFormat="1" applyFont="1" applyBorder="1" applyProtection="1">
      <protection locked="0"/>
    </xf>
    <xf numFmtId="167" fontId="3" fillId="0" borderId="29" xfId="3" applyNumberFormat="1" applyFont="1" applyBorder="1" applyProtection="1">
      <protection locked="0"/>
    </xf>
    <xf numFmtId="165" fontId="0" fillId="0" borderId="0" xfId="0" applyNumberFormat="1"/>
    <xf numFmtId="4" fontId="0" fillId="0" borderId="29" xfId="0" applyNumberFormat="1" applyBorder="1" applyProtection="1">
      <protection locked="0"/>
    </xf>
    <xf numFmtId="164" fontId="3" fillId="0" borderId="29" xfId="3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3" fillId="0" borderId="38" xfId="0" quotePrefix="1" applyFont="1" applyBorder="1" applyAlignment="1">
      <alignment horizontal="center"/>
    </xf>
    <xf numFmtId="165" fontId="13" fillId="0" borderId="39" xfId="3" applyFont="1" applyBorder="1"/>
    <xf numFmtId="0" fontId="13" fillId="0" borderId="40" xfId="0" quotePrefix="1" applyFont="1" applyBorder="1" applyAlignment="1">
      <alignment horizontal="center"/>
    </xf>
    <xf numFmtId="165" fontId="13" fillId="0" borderId="41" xfId="3" applyFont="1" applyBorder="1"/>
    <xf numFmtId="4" fontId="13" fillId="0" borderId="42" xfId="0" applyNumberFormat="1" applyFont="1" applyBorder="1"/>
    <xf numFmtId="0" fontId="13" fillId="0" borderId="12" xfId="0" quotePrefix="1" applyFont="1" applyBorder="1" applyAlignment="1">
      <alignment horizontal="center"/>
    </xf>
    <xf numFmtId="165" fontId="13" fillId="0" borderId="29" xfId="3" applyFont="1" applyBorder="1"/>
    <xf numFmtId="4" fontId="13" fillId="0" borderId="43" xfId="0" applyNumberFormat="1" applyFont="1" applyBorder="1"/>
    <xf numFmtId="0" fontId="14" fillId="0" borderId="0" xfId="0" applyFont="1"/>
    <xf numFmtId="165" fontId="25" fillId="0" borderId="44" xfId="0" applyNumberFormat="1" applyFont="1" applyBorder="1"/>
    <xf numFmtId="4" fontId="25" fillId="0" borderId="45" xfId="0" applyNumberFormat="1" applyFont="1" applyBorder="1"/>
    <xf numFmtId="0" fontId="15" fillId="0" borderId="0" xfId="0" applyFont="1"/>
    <xf numFmtId="0" fontId="15" fillId="0" borderId="16" xfId="0" applyFont="1" applyBorder="1" applyAlignment="1">
      <alignment horizontal="center"/>
    </xf>
    <xf numFmtId="0" fontId="15" fillId="0" borderId="46" xfId="0" applyFont="1" applyBorder="1" applyAlignment="1">
      <alignment horizontal="center"/>
    </xf>
    <xf numFmtId="0" fontId="15" fillId="0" borderId="47" xfId="0" applyFont="1" applyBorder="1" applyAlignment="1">
      <alignment horizontal="center"/>
    </xf>
    <xf numFmtId="165" fontId="16" fillId="2" borderId="48" xfId="3" applyFont="1" applyFill="1" applyBorder="1"/>
    <xf numFmtId="165" fontId="16" fillId="2" borderId="49" xfId="3" applyFont="1" applyFill="1" applyBorder="1"/>
    <xf numFmtId="2" fontId="0" fillId="0" borderId="0" xfId="0" applyNumberFormat="1"/>
    <xf numFmtId="4" fontId="13" fillId="0" borderId="50" xfId="3" applyNumberFormat="1" applyFont="1" applyBorder="1"/>
    <xf numFmtId="0" fontId="3" fillId="0" borderId="29" xfId="0" applyFont="1" applyBorder="1" applyProtection="1">
      <protection locked="0"/>
    </xf>
    <xf numFmtId="0" fontId="6" fillId="0" borderId="5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left" wrapText="1"/>
    </xf>
    <xf numFmtId="0" fontId="6" fillId="0" borderId="52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0" fillId="0" borderId="53" xfId="0" applyBorder="1"/>
    <xf numFmtId="0" fontId="0" fillId="0" borderId="39" xfId="0" applyBorder="1"/>
    <xf numFmtId="0" fontId="0" fillId="0" borderId="54" xfId="0" applyBorder="1"/>
    <xf numFmtId="4" fontId="0" fillId="0" borderId="55" xfId="0" applyNumberFormat="1" applyBorder="1"/>
    <xf numFmtId="4" fontId="0" fillId="0" borderId="41" xfId="0" applyNumberFormat="1" applyBorder="1"/>
    <xf numFmtId="4" fontId="0" fillId="0" borderId="56" xfId="0" applyNumberFormat="1" applyBorder="1"/>
    <xf numFmtId="4" fontId="0" fillId="0" borderId="57" xfId="0" applyNumberFormat="1" applyBorder="1"/>
    <xf numFmtId="4" fontId="0" fillId="0" borderId="58" xfId="0" applyNumberFormat="1" applyBorder="1"/>
    <xf numFmtId="4" fontId="0" fillId="0" borderId="59" xfId="0" applyNumberFormat="1" applyBorder="1"/>
    <xf numFmtId="0" fontId="0" fillId="0" borderId="60" xfId="0" applyBorder="1"/>
    <xf numFmtId="4" fontId="6" fillId="0" borderId="61" xfId="0" applyNumberFormat="1" applyFont="1" applyBorder="1"/>
    <xf numFmtId="4" fontId="6" fillId="0" borderId="62" xfId="0" applyNumberFormat="1" applyFont="1" applyBorder="1"/>
    <xf numFmtId="4" fontId="6" fillId="0" borderId="63" xfId="0" applyNumberFormat="1" applyFont="1" applyBorder="1"/>
    <xf numFmtId="4" fontId="0" fillId="0" borderId="64" xfId="0" applyNumberFormat="1" applyBorder="1"/>
    <xf numFmtId="4" fontId="0" fillId="0" borderId="65" xfId="0" applyNumberFormat="1" applyBorder="1"/>
    <xf numFmtId="4" fontId="6" fillId="0" borderId="0" xfId="0" applyNumberFormat="1" applyFont="1"/>
    <xf numFmtId="0" fontId="11" fillId="0" borderId="0" xfId="0" applyFont="1"/>
    <xf numFmtId="0" fontId="26" fillId="0" borderId="29" xfId="0" applyFont="1" applyBorder="1" applyProtection="1">
      <protection locked="0"/>
    </xf>
    <xf numFmtId="4" fontId="26" fillId="0" borderId="29" xfId="0" applyNumberFormat="1" applyFont="1" applyBorder="1" applyProtection="1">
      <protection locked="0"/>
    </xf>
    <xf numFmtId="0" fontId="0" fillId="0" borderId="37" xfId="0" applyBorder="1" applyAlignment="1" applyProtection="1">
      <alignment horizontal="left"/>
      <protection locked="0"/>
    </xf>
    <xf numFmtId="2" fontId="27" fillId="0" borderId="0" xfId="0" applyNumberFormat="1" applyFont="1"/>
    <xf numFmtId="4" fontId="0" fillId="3" borderId="29" xfId="0" applyNumberFormat="1" applyFill="1" applyBorder="1" applyProtection="1">
      <protection locked="0"/>
    </xf>
    <xf numFmtId="167" fontId="26" fillId="0" borderId="29" xfId="3" applyNumberFormat="1" applyFont="1" applyBorder="1" applyProtection="1">
      <protection locked="0"/>
    </xf>
    <xf numFmtId="0" fontId="3" fillId="0" borderId="37" xfId="0" applyFont="1" applyBorder="1" applyAlignment="1" applyProtection="1">
      <alignment horizontal="left"/>
      <protection locked="0"/>
    </xf>
    <xf numFmtId="0" fontId="3" fillId="3" borderId="29" xfId="0" applyFont="1" applyFill="1" applyBorder="1" applyProtection="1">
      <protection locked="0"/>
    </xf>
    <xf numFmtId="4" fontId="0" fillId="4" borderId="29" xfId="0" applyNumberFormat="1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3" borderId="29" xfId="0" applyFill="1" applyBorder="1" applyProtection="1">
      <protection locked="0"/>
    </xf>
    <xf numFmtId="0" fontId="3" fillId="4" borderId="29" xfId="0" applyFont="1" applyFill="1" applyBorder="1" applyProtection="1">
      <protection locked="0"/>
    </xf>
    <xf numFmtId="0" fontId="28" fillId="0" borderId="29" xfId="0" applyFont="1" applyBorder="1" applyProtection="1">
      <protection locked="0"/>
    </xf>
    <xf numFmtId="4" fontId="28" fillId="0" borderId="29" xfId="0" applyNumberFormat="1" applyFont="1" applyBorder="1" applyProtection="1">
      <protection locked="0"/>
    </xf>
    <xf numFmtId="4" fontId="3" fillId="3" borderId="29" xfId="0" applyNumberFormat="1" applyFont="1" applyFill="1" applyBorder="1" applyProtection="1">
      <protection locked="0"/>
    </xf>
    <xf numFmtId="166" fontId="0" fillId="0" borderId="29" xfId="3" applyNumberFormat="1" applyFont="1" applyFill="1" applyBorder="1" applyProtection="1">
      <protection locked="0"/>
    </xf>
    <xf numFmtId="164" fontId="3" fillId="0" borderId="29" xfId="3" applyNumberFormat="1" applyFont="1" applyFill="1" applyBorder="1" applyAlignment="1" applyProtection="1">
      <alignment horizontal="center" vertical="center"/>
      <protection locked="0"/>
    </xf>
    <xf numFmtId="167" fontId="0" fillId="0" borderId="29" xfId="3" applyNumberFormat="1" applyFont="1" applyFill="1" applyBorder="1" applyProtection="1">
      <protection locked="0"/>
    </xf>
    <xf numFmtId="167" fontId="3" fillId="0" borderId="29" xfId="3" applyNumberFormat="1" applyFont="1" applyFill="1" applyBorder="1" applyProtection="1">
      <protection locked="0"/>
    </xf>
    <xf numFmtId="0" fontId="0" fillId="0" borderId="0" xfId="0" applyProtection="1">
      <protection locked="0"/>
    </xf>
    <xf numFmtId="14" fontId="1" fillId="0" borderId="29" xfId="3" applyNumberFormat="1" applyBorder="1" applyProtection="1">
      <protection locked="0"/>
    </xf>
    <xf numFmtId="0" fontId="3" fillId="5" borderId="0" xfId="0" applyFont="1" applyFill="1" applyProtection="1">
      <protection locked="0"/>
    </xf>
    <xf numFmtId="0" fontId="0" fillId="5" borderId="0" xfId="0" applyFill="1" applyProtection="1">
      <protection locked="0"/>
    </xf>
    <xf numFmtId="0" fontId="26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" fillId="0" borderId="66" xfId="0" applyFont="1" applyBorder="1" applyProtection="1">
      <protection locked="0"/>
    </xf>
    <xf numFmtId="4" fontId="2" fillId="0" borderId="67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165" fontId="2" fillId="0" borderId="68" xfId="1" applyFont="1" applyBorder="1" applyProtection="1">
      <protection locked="0"/>
    </xf>
    <xf numFmtId="165" fontId="2" fillId="0" borderId="0" xfId="1" applyFont="1" applyBorder="1" applyProtection="1">
      <protection locked="0"/>
    </xf>
    <xf numFmtId="167" fontId="0" fillId="0" borderId="0" xfId="0" applyNumberFormat="1" applyProtection="1"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69" xfId="0" applyFont="1" applyBorder="1" applyAlignment="1" applyProtection="1">
      <alignment horizontal="center" vertical="center" wrapText="1"/>
      <protection locked="0"/>
    </xf>
    <xf numFmtId="0" fontId="6" fillId="0" borderId="66" xfId="0" applyFont="1" applyBorder="1" applyAlignment="1" applyProtection="1">
      <alignment horizontal="center" vertical="center" wrapText="1"/>
      <protection locked="0"/>
    </xf>
    <xf numFmtId="0" fontId="6" fillId="0" borderId="70" xfId="0" applyFont="1" applyBorder="1" applyAlignment="1" applyProtection="1">
      <alignment horizontal="center" vertical="center" wrapText="1"/>
      <protection locked="0"/>
    </xf>
    <xf numFmtId="0" fontId="6" fillId="0" borderId="71" xfId="0" applyFont="1" applyBorder="1" applyAlignment="1" applyProtection="1">
      <alignment horizontal="center" vertical="center" wrapText="1"/>
      <protection locked="0"/>
    </xf>
    <xf numFmtId="0" fontId="6" fillId="0" borderId="35" xfId="0" applyFont="1" applyBorder="1" applyAlignment="1" applyProtection="1">
      <alignment horizontal="center" vertical="center" wrapText="1"/>
      <protection locked="0"/>
    </xf>
    <xf numFmtId="0" fontId="6" fillId="0" borderId="36" xfId="0" applyFont="1" applyBorder="1" applyAlignment="1" applyProtection="1">
      <alignment horizontal="center" vertical="center" wrapText="1"/>
      <protection locked="0"/>
    </xf>
    <xf numFmtId="0" fontId="6" fillId="0" borderId="72" xfId="0" applyFont="1" applyBorder="1" applyAlignment="1" applyProtection="1">
      <alignment horizontal="center" vertical="center" wrapText="1"/>
      <protection locked="0"/>
    </xf>
    <xf numFmtId="0" fontId="6" fillId="0" borderId="73" xfId="0" applyFont="1" applyBorder="1" applyAlignment="1" applyProtection="1">
      <alignment horizontal="center" vertical="center" wrapText="1"/>
      <protection locked="0"/>
    </xf>
    <xf numFmtId="165" fontId="6" fillId="0" borderId="73" xfId="3" applyFont="1" applyFill="1" applyBorder="1" applyAlignment="1" applyProtection="1">
      <alignment horizontal="center" vertical="center" wrapText="1"/>
      <protection locked="0"/>
    </xf>
    <xf numFmtId="0" fontId="6" fillId="0" borderId="31" xfId="0" applyFont="1" applyBorder="1" applyAlignment="1" applyProtection="1">
      <alignment horizontal="left" vertical="center" wrapText="1"/>
      <protection locked="0"/>
    </xf>
    <xf numFmtId="4" fontId="5" fillId="0" borderId="30" xfId="3" applyNumberFormat="1" applyFont="1" applyBorder="1" applyAlignment="1" applyProtection="1">
      <alignment wrapText="1"/>
      <protection locked="0"/>
    </xf>
    <xf numFmtId="4" fontId="5" fillId="0" borderId="76" xfId="3" applyNumberFormat="1" applyFont="1" applyBorder="1" applyAlignment="1" applyProtection="1">
      <alignment wrapText="1"/>
      <protection locked="0"/>
    </xf>
    <xf numFmtId="165" fontId="5" fillId="0" borderId="77" xfId="3" applyFont="1" applyBorder="1" applyAlignment="1" applyProtection="1">
      <alignment wrapText="1"/>
      <protection locked="0"/>
    </xf>
    <xf numFmtId="165" fontId="5" fillId="0" borderId="77" xfId="3" applyFont="1" applyFill="1" applyBorder="1" applyAlignment="1" applyProtection="1">
      <alignment horizontal="left" wrapText="1"/>
      <protection locked="0"/>
    </xf>
    <xf numFmtId="0" fontId="24" fillId="0" borderId="31" xfId="0" applyFont="1" applyBorder="1" applyAlignment="1" applyProtection="1">
      <alignment horizontal="left" wrapText="1"/>
      <protection locked="0"/>
    </xf>
    <xf numFmtId="4" fontId="0" fillId="0" borderId="0" xfId="0" applyNumberFormat="1" applyProtection="1">
      <protection locked="0"/>
    </xf>
    <xf numFmtId="4" fontId="5" fillId="0" borderId="30" xfId="0" applyNumberFormat="1" applyFont="1" applyBorder="1" applyProtection="1">
      <protection locked="0"/>
    </xf>
    <xf numFmtId="4" fontId="5" fillId="0" borderId="76" xfId="0" applyNumberFormat="1" applyFont="1" applyBorder="1" applyProtection="1">
      <protection locked="0"/>
    </xf>
    <xf numFmtId="165" fontId="5" fillId="0" borderId="77" xfId="3" applyFont="1" applyBorder="1" applyProtection="1">
      <protection locked="0"/>
    </xf>
    <xf numFmtId="0" fontId="7" fillId="0" borderId="1" xfId="0" applyFont="1" applyBorder="1" applyProtection="1">
      <protection locked="0"/>
    </xf>
    <xf numFmtId="2" fontId="5" fillId="0" borderId="30" xfId="0" applyNumberFormat="1" applyFont="1" applyBorder="1" applyProtection="1">
      <protection locked="0"/>
    </xf>
    <xf numFmtId="2" fontId="5" fillId="0" borderId="76" xfId="0" applyNumberFormat="1" applyFont="1" applyBorder="1" applyProtection="1">
      <protection locked="0"/>
    </xf>
    <xf numFmtId="165" fontId="5" fillId="0" borderId="80" xfId="3" applyFont="1" applyBorder="1" applyProtection="1">
      <protection locked="0"/>
    </xf>
    <xf numFmtId="0" fontId="7" fillId="0" borderId="2" xfId="0" applyFont="1" applyBorder="1" applyProtection="1">
      <protection locked="0"/>
    </xf>
    <xf numFmtId="4" fontId="5" fillId="0" borderId="5" xfId="0" applyNumberFormat="1" applyFont="1" applyBorder="1" applyProtection="1">
      <protection locked="0"/>
    </xf>
    <xf numFmtId="4" fontId="5" fillId="0" borderId="81" xfId="0" applyNumberFormat="1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1" xfId="0" applyFont="1" applyBorder="1" applyProtection="1">
      <protection locked="0"/>
    </xf>
    <xf numFmtId="165" fontId="3" fillId="0" borderId="80" xfId="3" applyFont="1" applyBorder="1" applyProtection="1">
      <protection locked="0"/>
    </xf>
    <xf numFmtId="165" fontId="0" fillId="0" borderId="80" xfId="3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5" fillId="0" borderId="82" xfId="0" applyFont="1" applyBorder="1" applyProtection="1">
      <protection locked="0"/>
    </xf>
    <xf numFmtId="165" fontId="5" fillId="0" borderId="83" xfId="3" applyFont="1" applyBorder="1" applyProtection="1">
      <protection locked="0"/>
    </xf>
    <xf numFmtId="165" fontId="0" fillId="0" borderId="85" xfId="3" applyFont="1" applyBorder="1" applyProtection="1">
      <protection locked="0"/>
    </xf>
    <xf numFmtId="4" fontId="6" fillId="0" borderId="8" xfId="0" applyNumberFormat="1" applyFont="1" applyBorder="1" applyProtection="1">
      <protection locked="0"/>
    </xf>
    <xf numFmtId="4" fontId="6" fillId="0" borderId="87" xfId="0" applyNumberFormat="1" applyFont="1" applyBorder="1" applyProtection="1">
      <protection locked="0"/>
    </xf>
    <xf numFmtId="165" fontId="6" fillId="0" borderId="27" xfId="0" applyNumberFormat="1" applyFont="1" applyBorder="1" applyProtection="1">
      <protection locked="0"/>
    </xf>
    <xf numFmtId="165" fontId="0" fillId="0" borderId="0" xfId="0" applyNumberFormat="1" applyProtection="1">
      <protection locked="0"/>
    </xf>
    <xf numFmtId="0" fontId="2" fillId="0" borderId="16" xfId="0" applyFont="1" applyBorder="1" applyAlignment="1">
      <alignment horizontal="center" vertical="center" wrapText="1"/>
    </xf>
    <xf numFmtId="0" fontId="10" fillId="0" borderId="0" xfId="3" applyNumberFormat="1" applyFont="1" applyProtection="1">
      <protection locked="0"/>
    </xf>
    <xf numFmtId="0" fontId="29" fillId="0" borderId="37" xfId="0" applyFont="1" applyBorder="1" applyProtection="1">
      <protection locked="0"/>
    </xf>
    <xf numFmtId="14" fontId="12" fillId="0" borderId="88" xfId="0" applyNumberFormat="1" applyFont="1" applyBorder="1" applyProtection="1">
      <protection locked="0"/>
    </xf>
    <xf numFmtId="168" fontId="12" fillId="0" borderId="29" xfId="3" applyNumberFormat="1" applyFont="1" applyBorder="1" applyProtection="1">
      <protection locked="0"/>
    </xf>
    <xf numFmtId="167" fontId="12" fillId="0" borderId="29" xfId="3" applyNumberFormat="1" applyFont="1" applyBorder="1" applyProtection="1">
      <protection locked="0"/>
    </xf>
    <xf numFmtId="10" fontId="12" fillId="0" borderId="29" xfId="3" applyNumberFormat="1" applyFont="1" applyBorder="1" applyProtection="1">
      <protection locked="0"/>
    </xf>
    <xf numFmtId="167" fontId="12" fillId="0" borderId="89" xfId="3" applyNumberFormat="1" applyFont="1" applyBorder="1" applyProtection="1">
      <protection locked="0"/>
    </xf>
    <xf numFmtId="14" fontId="12" fillId="4" borderId="88" xfId="0" applyNumberFormat="1" applyFont="1" applyFill="1" applyBorder="1" applyProtection="1">
      <protection locked="0"/>
    </xf>
    <xf numFmtId="168" fontId="12" fillId="4" borderId="29" xfId="3" applyNumberFormat="1" applyFont="1" applyFill="1" applyBorder="1" applyProtection="1">
      <protection locked="0"/>
    </xf>
    <xf numFmtId="14" fontId="30" fillId="0" borderId="88" xfId="0" applyNumberFormat="1" applyFont="1" applyBorder="1" applyProtection="1">
      <protection locked="0"/>
    </xf>
    <xf numFmtId="168" fontId="30" fillId="0" borderId="29" xfId="3" applyNumberFormat="1" applyFont="1" applyBorder="1" applyProtection="1">
      <protection locked="0"/>
    </xf>
    <xf numFmtId="14" fontId="29" fillId="0" borderId="88" xfId="0" applyNumberFormat="1" applyFont="1" applyBorder="1" applyProtection="1">
      <protection locked="0"/>
    </xf>
    <xf numFmtId="168" fontId="29" fillId="0" borderId="29" xfId="3" applyNumberFormat="1" applyFont="1" applyBorder="1" applyProtection="1">
      <protection locked="0"/>
    </xf>
    <xf numFmtId="0" fontId="29" fillId="0" borderId="12" xfId="0" applyFont="1" applyBorder="1" applyProtection="1">
      <protection locked="0"/>
    </xf>
    <xf numFmtId="14" fontId="12" fillId="0" borderId="90" xfId="0" applyNumberFormat="1" applyFont="1" applyBorder="1" applyProtection="1">
      <protection locked="0"/>
    </xf>
    <xf numFmtId="168" fontId="12" fillId="0" borderId="14" xfId="3" applyNumberFormat="1" applyFont="1" applyBorder="1" applyProtection="1">
      <protection locked="0"/>
    </xf>
    <xf numFmtId="167" fontId="12" fillId="0" borderId="14" xfId="3" applyNumberFormat="1" applyFont="1" applyBorder="1" applyProtection="1">
      <protection locked="0"/>
    </xf>
    <xf numFmtId="10" fontId="12" fillId="0" borderId="14" xfId="3" applyNumberFormat="1" applyFont="1" applyBorder="1" applyProtection="1">
      <protection locked="0"/>
    </xf>
    <xf numFmtId="167" fontId="12" fillId="0" borderId="91" xfId="3" applyNumberFormat="1" applyFont="1" applyBorder="1" applyProtection="1"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92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29" fillId="0" borderId="37" xfId="0" applyFont="1" applyBorder="1"/>
    <xf numFmtId="14" fontId="12" fillId="0" borderId="88" xfId="0" applyNumberFormat="1" applyFont="1" applyBorder="1"/>
    <xf numFmtId="168" fontId="12" fillId="0" borderId="29" xfId="3" applyNumberFormat="1" applyFont="1" applyBorder="1" applyProtection="1"/>
    <xf numFmtId="167" fontId="12" fillId="0" borderId="29" xfId="3" applyNumberFormat="1" applyFont="1" applyBorder="1" applyProtection="1"/>
    <xf numFmtId="10" fontId="12" fillId="0" borderId="29" xfId="3" applyNumberFormat="1" applyFont="1" applyBorder="1" applyProtection="1"/>
    <xf numFmtId="167" fontId="12" fillId="0" borderId="89" xfId="3" applyNumberFormat="1" applyFont="1" applyBorder="1" applyProtection="1"/>
    <xf numFmtId="44" fontId="0" fillId="0" borderId="0" xfId="0" applyNumberFormat="1" applyProtection="1">
      <protection locked="0"/>
    </xf>
    <xf numFmtId="166" fontId="2" fillId="0" borderId="67" xfId="0" applyNumberFormat="1" applyFont="1" applyBorder="1" applyProtection="1">
      <protection locked="0"/>
    </xf>
    <xf numFmtId="2" fontId="3" fillId="0" borderId="0" xfId="0" applyNumberFormat="1" applyFont="1" applyProtection="1">
      <protection locked="0"/>
    </xf>
    <xf numFmtId="1" fontId="0" fillId="0" borderId="0" xfId="0" applyNumberFormat="1" applyProtection="1">
      <protection locked="0"/>
    </xf>
    <xf numFmtId="1" fontId="3" fillId="0" borderId="29" xfId="3" applyNumberFormat="1" applyFont="1" applyFill="1" applyBorder="1" applyProtection="1">
      <protection locked="0"/>
    </xf>
    <xf numFmtId="1" fontId="3" fillId="0" borderId="29" xfId="3" applyNumberFormat="1" applyFont="1" applyBorder="1" applyProtection="1">
      <protection locked="0"/>
    </xf>
    <xf numFmtId="1" fontId="3" fillId="0" borderId="0" xfId="0" applyNumberFormat="1" applyFont="1" applyProtection="1">
      <protection locked="0"/>
    </xf>
    <xf numFmtId="1" fontId="0" fillId="0" borderId="0" xfId="0" applyNumberFormat="1"/>
    <xf numFmtId="0" fontId="2" fillId="4" borderId="93" xfId="0" applyFont="1" applyFill="1" applyBorder="1"/>
    <xf numFmtId="0" fontId="3" fillId="0" borderId="0" xfId="0" applyFont="1" applyAlignment="1">
      <alignment horizontal="center"/>
    </xf>
    <xf numFmtId="0" fontId="2" fillId="0" borderId="17" xfId="0" applyFont="1" applyBorder="1" applyAlignment="1">
      <alignment horizontal="center" vertical="center" wrapText="1"/>
    </xf>
    <xf numFmtId="0" fontId="2" fillId="0" borderId="17" xfId="0" applyFont="1" applyBorder="1" applyAlignment="1">
      <alignment vertical="center" wrapText="1"/>
    </xf>
    <xf numFmtId="0" fontId="2" fillId="5" borderId="17" xfId="0" applyFont="1" applyFill="1" applyBorder="1" applyAlignment="1">
      <alignment horizontal="center" vertical="center" wrapText="1"/>
    </xf>
    <xf numFmtId="10" fontId="2" fillId="0" borderId="17" xfId="0" applyNumberFormat="1" applyFont="1" applyBorder="1" applyAlignment="1">
      <alignment horizontal="center" vertical="center" wrapText="1"/>
    </xf>
    <xf numFmtId="9" fontId="2" fillId="0" borderId="17" xfId="0" applyNumberFormat="1" applyFont="1" applyBorder="1" applyAlignment="1">
      <alignment horizontal="center" vertical="center" wrapText="1"/>
    </xf>
    <xf numFmtId="1" fontId="2" fillId="0" borderId="17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165" fontId="2" fillId="5" borderId="94" xfId="3" applyFont="1" applyFill="1" applyBorder="1" applyAlignment="1" applyProtection="1">
      <alignment horizontal="center" vertical="center"/>
    </xf>
    <xf numFmtId="165" fontId="2" fillId="5" borderId="95" xfId="3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left"/>
    </xf>
    <xf numFmtId="0" fontId="3" fillId="0" borderId="29" xfId="0" applyFont="1" applyBorder="1"/>
    <xf numFmtId="4" fontId="0" fillId="0" borderId="29" xfId="0" applyNumberFormat="1" applyBorder="1"/>
    <xf numFmtId="166" fontId="0" fillId="0" borderId="29" xfId="3" applyNumberFormat="1" applyFont="1" applyFill="1" applyBorder="1" applyProtection="1"/>
    <xf numFmtId="164" fontId="3" fillId="0" borderId="29" xfId="3" applyNumberFormat="1" applyFont="1" applyFill="1" applyBorder="1" applyAlignment="1" applyProtection="1">
      <alignment horizontal="center" vertical="center"/>
    </xf>
    <xf numFmtId="167" fontId="0" fillId="0" borderId="29" xfId="3" applyNumberFormat="1" applyFont="1" applyFill="1" applyBorder="1" applyProtection="1"/>
    <xf numFmtId="167" fontId="3" fillId="0" borderId="29" xfId="3" applyNumberFormat="1" applyFont="1" applyFill="1" applyBorder="1" applyProtection="1"/>
    <xf numFmtId="1" fontId="3" fillId="0" borderId="29" xfId="3" applyNumberFormat="1" applyFont="1" applyFill="1" applyBorder="1" applyProtection="1"/>
    <xf numFmtId="14" fontId="1" fillId="0" borderId="29" xfId="3" applyNumberFormat="1" applyBorder="1" applyProtection="1"/>
    <xf numFmtId="166" fontId="20" fillId="0" borderId="29" xfId="3" applyNumberFormat="1" applyFont="1" applyFill="1" applyBorder="1" applyProtection="1">
      <protection locked="0"/>
    </xf>
    <xf numFmtId="167" fontId="20" fillId="0" borderId="29" xfId="3" applyNumberFormat="1" applyFont="1" applyFill="1" applyBorder="1" applyProtection="1">
      <protection locked="0"/>
    </xf>
    <xf numFmtId="14" fontId="1" fillId="0" borderId="29" xfId="3" applyNumberFormat="1" applyFill="1" applyBorder="1" applyProtection="1">
      <protection locked="0"/>
    </xf>
    <xf numFmtId="0" fontId="28" fillId="3" borderId="29" xfId="0" applyFont="1" applyFill="1" applyBorder="1" applyProtection="1">
      <protection locked="0"/>
    </xf>
    <xf numFmtId="4" fontId="28" fillId="3" borderId="29" xfId="0" applyNumberFormat="1" applyFont="1" applyFill="1" applyBorder="1" applyProtection="1">
      <protection locked="0"/>
    </xf>
    <xf numFmtId="0" fontId="28" fillId="5" borderId="29" xfId="0" applyFont="1" applyFill="1" applyBorder="1" applyProtection="1">
      <protection locked="0"/>
    </xf>
    <xf numFmtId="4" fontId="28" fillId="5" borderId="29" xfId="0" applyNumberFormat="1" applyFont="1" applyFill="1" applyBorder="1" applyProtection="1">
      <protection locked="0"/>
    </xf>
    <xf numFmtId="167" fontId="3" fillId="5" borderId="29" xfId="3" applyNumberFormat="1" applyFont="1" applyFill="1" applyBorder="1" applyProtection="1">
      <protection locked="0"/>
    </xf>
    <xf numFmtId="0" fontId="32" fillId="6" borderId="0" xfId="0" applyFont="1" applyFill="1" applyProtection="1">
      <protection locked="0"/>
    </xf>
    <xf numFmtId="0" fontId="9" fillId="7" borderId="0" xfId="0" applyFont="1" applyFill="1" applyProtection="1">
      <protection locked="0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0" fillId="8" borderId="0" xfId="0" applyFill="1"/>
    <xf numFmtId="0" fontId="2" fillId="8" borderId="17" xfId="0" applyFont="1" applyFill="1" applyBorder="1" applyAlignment="1">
      <alignment horizontal="center" vertical="center" wrapText="1"/>
    </xf>
    <xf numFmtId="164" fontId="0" fillId="8" borderId="29" xfId="3" applyNumberFormat="1" applyFont="1" applyFill="1" applyBorder="1" applyProtection="1"/>
    <xf numFmtId="164" fontId="0" fillId="8" borderId="29" xfId="3" applyNumberFormat="1" applyFont="1" applyFill="1" applyBorder="1" applyProtection="1">
      <protection locked="0"/>
    </xf>
    <xf numFmtId="164" fontId="20" fillId="8" borderId="29" xfId="3" applyNumberFormat="1" applyFont="1" applyFill="1" applyBorder="1" applyProtection="1">
      <protection locked="0"/>
    </xf>
    <xf numFmtId="0" fontId="6" fillId="8" borderId="71" xfId="0" applyFont="1" applyFill="1" applyBorder="1" applyAlignment="1" applyProtection="1">
      <alignment horizontal="center" vertical="center" wrapText="1"/>
      <protection locked="0"/>
    </xf>
    <xf numFmtId="0" fontId="6" fillId="8" borderId="74" xfId="0" applyFont="1" applyFill="1" applyBorder="1" applyAlignment="1" applyProtection="1">
      <alignment horizontal="center" vertical="center" wrapText="1"/>
      <protection locked="0"/>
    </xf>
    <xf numFmtId="0" fontId="6" fillId="8" borderId="78" xfId="0" applyFont="1" applyFill="1" applyBorder="1" applyAlignment="1" applyProtection="1">
      <alignment horizontal="center" vertical="center" wrapText="1"/>
      <protection locked="0"/>
    </xf>
    <xf numFmtId="0" fontId="24" fillId="8" borderId="78" xfId="0" applyFont="1" applyFill="1" applyBorder="1" applyAlignment="1" applyProtection="1">
      <alignment horizontal="left" wrapText="1"/>
      <protection locked="0"/>
    </xf>
    <xf numFmtId="0" fontId="24" fillId="8" borderId="76" xfId="0" applyFont="1" applyFill="1" applyBorder="1" applyAlignment="1" applyProtection="1">
      <alignment horizontal="left" wrapText="1"/>
      <protection locked="0"/>
    </xf>
    <xf numFmtId="165" fontId="0" fillId="8" borderId="78" xfId="3" applyFont="1" applyFill="1" applyBorder="1" applyProtection="1">
      <protection locked="0"/>
    </xf>
    <xf numFmtId="165" fontId="5" fillId="8" borderId="77" xfId="3" applyFont="1" applyFill="1" applyBorder="1" applyAlignment="1" applyProtection="1">
      <alignment horizontal="left" wrapText="1"/>
      <protection locked="0"/>
    </xf>
    <xf numFmtId="165" fontId="5" fillId="8" borderId="76" xfId="3" applyFont="1" applyFill="1" applyBorder="1" applyAlignment="1" applyProtection="1">
      <alignment horizontal="left" wrapText="1"/>
      <protection locked="0"/>
    </xf>
    <xf numFmtId="165" fontId="5" fillId="8" borderId="77" xfId="3" applyFont="1" applyFill="1" applyBorder="1" applyProtection="1">
      <protection locked="0"/>
    </xf>
    <xf numFmtId="165" fontId="0" fillId="8" borderId="79" xfId="3" applyFont="1" applyFill="1" applyBorder="1" applyProtection="1">
      <protection locked="0"/>
    </xf>
    <xf numFmtId="165" fontId="5" fillId="8" borderId="80" xfId="3" applyFont="1" applyFill="1" applyBorder="1" applyProtection="1">
      <protection locked="0"/>
    </xf>
    <xf numFmtId="165" fontId="0" fillId="8" borderId="84" xfId="3" applyFont="1" applyFill="1" applyBorder="1" applyProtection="1">
      <protection locked="0"/>
    </xf>
    <xf numFmtId="165" fontId="0" fillId="8" borderId="8" xfId="0" applyNumberFormat="1" applyFill="1" applyBorder="1" applyProtection="1">
      <protection locked="0"/>
    </xf>
    <xf numFmtId="167" fontId="0" fillId="8" borderId="29" xfId="3" applyNumberFormat="1" applyFont="1" applyFill="1" applyBorder="1" applyProtection="1"/>
    <xf numFmtId="167" fontId="0" fillId="8" borderId="29" xfId="3" applyNumberFormat="1" applyFont="1" applyFill="1" applyBorder="1" applyProtection="1">
      <protection locked="0"/>
    </xf>
    <xf numFmtId="167" fontId="20" fillId="8" borderId="29" xfId="3" applyNumberFormat="1" applyFont="1" applyFill="1" applyBorder="1" applyProtection="1">
      <protection locked="0"/>
    </xf>
    <xf numFmtId="0" fontId="6" fillId="8" borderId="75" xfId="0" applyFont="1" applyFill="1" applyBorder="1" applyAlignment="1" applyProtection="1">
      <alignment horizontal="center" vertical="center" wrapText="1"/>
      <protection locked="0"/>
    </xf>
    <xf numFmtId="165" fontId="0" fillId="8" borderId="81" xfId="3" applyFont="1" applyFill="1" applyBorder="1" applyProtection="1">
      <protection locked="0"/>
    </xf>
    <xf numFmtId="165" fontId="0" fillId="8" borderId="86" xfId="3" applyFont="1" applyFill="1" applyBorder="1" applyProtection="1">
      <protection locked="0"/>
    </xf>
    <xf numFmtId="165" fontId="0" fillId="8" borderId="87" xfId="0" applyNumberFormat="1" applyFill="1" applyBorder="1" applyProtection="1">
      <protection locked="0"/>
    </xf>
    <xf numFmtId="169" fontId="0" fillId="8" borderId="0" xfId="0" applyNumberFormat="1" applyFill="1" applyProtection="1">
      <protection locked="0"/>
    </xf>
    <xf numFmtId="10" fontId="0" fillId="8" borderId="29" xfId="2" applyNumberFormat="1" applyFont="1" applyFill="1" applyBorder="1" applyProtection="1"/>
    <xf numFmtId="10" fontId="0" fillId="8" borderId="29" xfId="2" applyNumberFormat="1" applyFont="1" applyFill="1" applyBorder="1" applyProtection="1">
      <protection locked="0"/>
    </xf>
    <xf numFmtId="10" fontId="20" fillId="8" borderId="29" xfId="2" applyNumberFormat="1" applyFont="1" applyFill="1" applyBorder="1" applyProtection="1">
      <protection locked="0"/>
    </xf>
    <xf numFmtId="10" fontId="19" fillId="8" borderId="29" xfId="2" applyNumberFormat="1" applyFont="1" applyFill="1" applyBorder="1" applyProtection="1">
      <protection locked="0"/>
    </xf>
    <xf numFmtId="167" fontId="0" fillId="8" borderId="0" xfId="0" applyNumberFormat="1" applyFill="1" applyProtection="1">
      <protection locked="0"/>
    </xf>
    <xf numFmtId="167" fontId="1" fillId="8" borderId="29" xfId="3" applyNumberFormat="1" applyFill="1" applyBorder="1" applyProtection="1"/>
    <xf numFmtId="167" fontId="1" fillId="8" borderId="29" xfId="3" applyNumberFormat="1" applyFill="1" applyBorder="1" applyProtection="1">
      <protection locked="0"/>
    </xf>
    <xf numFmtId="166" fontId="2" fillId="8" borderId="67" xfId="0" applyNumberFormat="1" applyFont="1" applyFill="1" applyBorder="1" applyProtection="1">
      <protection locked="0"/>
    </xf>
    <xf numFmtId="2" fontId="3" fillId="8" borderId="0" xfId="0" applyNumberFormat="1" applyFont="1" applyFill="1" applyProtection="1">
      <protection locked="0"/>
    </xf>
    <xf numFmtId="166" fontId="0" fillId="8" borderId="0" xfId="0" applyNumberFormat="1" applyFill="1" applyProtection="1">
      <protection locked="0"/>
    </xf>
    <xf numFmtId="166" fontId="0" fillId="8" borderId="0" xfId="0" applyNumberFormat="1" applyFill="1"/>
    <xf numFmtId="166" fontId="2" fillId="8" borderId="17" xfId="0" applyNumberFormat="1" applyFont="1" applyFill="1" applyBorder="1" applyAlignment="1">
      <alignment horizontal="center" vertical="center" wrapText="1"/>
    </xf>
    <xf numFmtId="166" fontId="0" fillId="8" borderId="29" xfId="3" applyNumberFormat="1" applyFont="1" applyFill="1" applyBorder="1" applyProtection="1"/>
    <xf numFmtId="166" fontId="0" fillId="8" borderId="29" xfId="3" applyNumberFormat="1" applyFont="1" applyFill="1" applyBorder="1" applyProtection="1">
      <protection locked="0"/>
    </xf>
    <xf numFmtId="166" fontId="20" fillId="8" borderId="29" xfId="3" applyNumberFormat="1" applyFont="1" applyFill="1" applyBorder="1" applyProtection="1">
      <protection locked="0"/>
    </xf>
    <xf numFmtId="166" fontId="3" fillId="8" borderId="0" xfId="0" applyNumberFormat="1" applyFont="1" applyFill="1" applyProtection="1">
      <protection locked="0"/>
    </xf>
    <xf numFmtId="0" fontId="3" fillId="4" borderId="0" xfId="0" applyFont="1" applyFill="1"/>
    <xf numFmtId="8" fontId="33" fillId="0" borderId="0" xfId="0" applyNumberFormat="1" applyFont="1"/>
    <xf numFmtId="0" fontId="0" fillId="6" borderId="0" xfId="0" applyFill="1"/>
    <xf numFmtId="0" fontId="0" fillId="6" borderId="0" xfId="0" applyFill="1" applyProtection="1">
      <protection locked="0"/>
    </xf>
    <xf numFmtId="0" fontId="11" fillId="6" borderId="17" xfId="0" applyFont="1" applyFill="1" applyBorder="1" applyAlignment="1">
      <alignment horizontal="center" vertical="center" wrapText="1"/>
    </xf>
    <xf numFmtId="0" fontId="11" fillId="6" borderId="22" xfId="0" applyFont="1" applyFill="1" applyBorder="1" applyAlignment="1">
      <alignment horizontal="center" vertical="center" wrapText="1"/>
    </xf>
    <xf numFmtId="167" fontId="12" fillId="6" borderId="29" xfId="0" applyNumberFormat="1" applyFont="1" applyFill="1" applyBorder="1"/>
    <xf numFmtId="167" fontId="12" fillId="6" borderId="89" xfId="0" applyNumberFormat="1" applyFont="1" applyFill="1" applyBorder="1"/>
    <xf numFmtId="9" fontId="12" fillId="6" borderId="29" xfId="2" applyFont="1" applyFill="1" applyBorder="1" applyProtection="1"/>
    <xf numFmtId="167" fontId="12" fillId="6" borderId="29" xfId="0" applyNumberFormat="1" applyFont="1" applyFill="1" applyBorder="1" applyProtection="1">
      <protection locked="0"/>
    </xf>
    <xf numFmtId="167" fontId="12" fillId="6" borderId="89" xfId="0" applyNumberFormat="1" applyFont="1" applyFill="1" applyBorder="1" applyProtection="1">
      <protection locked="0"/>
    </xf>
    <xf numFmtId="9" fontId="12" fillId="6" borderId="29" xfId="2" applyFont="1" applyFill="1" applyBorder="1" applyProtection="1">
      <protection locked="0"/>
    </xf>
    <xf numFmtId="167" fontId="12" fillId="6" borderId="14" xfId="0" applyNumberFormat="1" applyFont="1" applyFill="1" applyBorder="1" applyProtection="1">
      <protection locked="0"/>
    </xf>
    <xf numFmtId="167" fontId="12" fillId="6" borderId="91" xfId="0" applyNumberFormat="1" applyFont="1" applyFill="1" applyBorder="1" applyProtection="1">
      <protection locked="0"/>
    </xf>
    <xf numFmtId="9" fontId="12" fillId="6" borderId="14" xfId="2" applyFont="1" applyFill="1" applyBorder="1" applyProtection="1">
      <protection locked="0"/>
    </xf>
    <xf numFmtId="10" fontId="12" fillId="6" borderId="89" xfId="2" applyNumberFormat="1" applyFont="1" applyFill="1" applyBorder="1" applyProtection="1"/>
    <xf numFmtId="10" fontId="12" fillId="6" borderId="89" xfId="2" applyNumberFormat="1" applyFont="1" applyFill="1" applyBorder="1" applyProtection="1">
      <protection locked="0"/>
    </xf>
    <xf numFmtId="10" fontId="12" fillId="6" borderId="91" xfId="2" applyNumberFormat="1" applyFont="1" applyFill="1" applyBorder="1" applyProtection="1">
      <protection locked="0"/>
    </xf>
    <xf numFmtId="0" fontId="11" fillId="6" borderId="28" xfId="0" applyFont="1" applyFill="1" applyBorder="1" applyAlignment="1">
      <alignment horizontal="center" vertical="center"/>
    </xf>
    <xf numFmtId="0" fontId="0" fillId="6" borderId="43" xfId="0" applyFill="1" applyBorder="1"/>
    <xf numFmtId="0" fontId="0" fillId="6" borderId="43" xfId="0" applyFill="1" applyBorder="1" applyProtection="1">
      <protection locked="0"/>
    </xf>
    <xf numFmtId="0" fontId="0" fillId="6" borderId="15" xfId="0" applyFill="1" applyBorder="1" applyProtection="1">
      <protection locked="0"/>
    </xf>
    <xf numFmtId="0" fontId="34" fillId="0" borderId="0" xfId="0" applyFont="1"/>
    <xf numFmtId="0" fontId="13" fillId="0" borderId="0" xfId="0" applyFont="1"/>
    <xf numFmtId="0" fontId="9" fillId="4" borderId="0" xfId="0" applyFont="1" applyFill="1" applyAlignment="1">
      <alignment horizontal="center"/>
    </xf>
    <xf numFmtId="0" fontId="31" fillId="4" borderId="96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97" xfId="0" applyFont="1" applyBorder="1" applyAlignment="1">
      <alignment horizontal="center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28"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66675</xdr:rowOff>
        </xdr:from>
        <xdr:to>
          <xdr:col>1</xdr:col>
          <xdr:colOff>695325</xdr:colOff>
          <xdr:row>3</xdr:row>
          <xdr:rowOff>38100</xdr:rowOff>
        </xdr:to>
        <xdr:sp macro="" textlink="">
          <xdr:nvSpPr>
            <xdr:cNvPr id="2052" name="CmdNuovaRig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0</xdr:row>
          <xdr:rowOff>57150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053" name="cmdDuplicaRigaSelezionata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38100</xdr:rowOff>
        </xdr:from>
        <xdr:to>
          <xdr:col>4</xdr:col>
          <xdr:colOff>733425</xdr:colOff>
          <xdr:row>3</xdr:row>
          <xdr:rowOff>9525</xdr:rowOff>
        </xdr:to>
        <xdr:sp macro="" textlink="">
          <xdr:nvSpPr>
            <xdr:cNvPr id="2054" name="CmdEliminaERipristinaRiga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47625</xdr:rowOff>
        </xdr:from>
        <xdr:to>
          <xdr:col>8</xdr:col>
          <xdr:colOff>209550</xdr:colOff>
          <xdr:row>3</xdr:row>
          <xdr:rowOff>19050</xdr:rowOff>
        </xdr:to>
        <xdr:sp macro="" textlink="">
          <xdr:nvSpPr>
            <xdr:cNvPr id="2055" name="CmdSelezionaTabell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57150</xdr:rowOff>
        </xdr:from>
        <xdr:to>
          <xdr:col>1</xdr:col>
          <xdr:colOff>657225</xdr:colOff>
          <xdr:row>3</xdr:row>
          <xdr:rowOff>266700</xdr:rowOff>
        </xdr:to>
        <xdr:sp macro="" textlink="">
          <xdr:nvSpPr>
            <xdr:cNvPr id="6367" name="CmdNuovaRiga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2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85725</xdr:rowOff>
        </xdr:from>
        <xdr:to>
          <xdr:col>2</xdr:col>
          <xdr:colOff>1381125</xdr:colOff>
          <xdr:row>3</xdr:row>
          <xdr:rowOff>285750</xdr:rowOff>
        </xdr:to>
        <xdr:sp macro="" textlink="">
          <xdr:nvSpPr>
            <xdr:cNvPr id="6368" name="cmdDuplicaRigaSelezionata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2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66675</xdr:rowOff>
        </xdr:from>
        <xdr:to>
          <xdr:col>4</xdr:col>
          <xdr:colOff>142875</xdr:colOff>
          <xdr:row>3</xdr:row>
          <xdr:rowOff>285750</xdr:rowOff>
        </xdr:to>
        <xdr:sp macro="" textlink="">
          <xdr:nvSpPr>
            <xdr:cNvPr id="6369" name="CmdEliminaERipristinaRiga" hidden="1">
              <a:extLst>
                <a:ext uri="{63B3BB69-23CF-44E3-9099-C40C66FF867C}">
                  <a14:compatExt spid="_x0000_s6369"/>
                </a:ext>
                <a:ext uri="{FF2B5EF4-FFF2-40B4-BE49-F238E27FC236}">
                  <a16:creationId xmlns:a16="http://schemas.microsoft.com/office/drawing/2014/main" id="{00000000-0008-0000-0200-0000E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8</xdr:col>
          <xdr:colOff>552450</xdr:colOff>
          <xdr:row>3</xdr:row>
          <xdr:rowOff>238125</xdr:rowOff>
        </xdr:to>
        <xdr:sp macro="" textlink="">
          <xdr:nvSpPr>
            <xdr:cNvPr id="6373" name="CmdSelezionaTabella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2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11</xdr:col>
      <xdr:colOff>1070</xdr:colOff>
      <xdr:row>15</xdr:row>
      <xdr:rowOff>105129</xdr:rowOff>
    </xdr:to>
    <xdr:pic>
      <xdr:nvPicPr>
        <xdr:cNvPr id="2" name="Immagin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0425" y="0"/>
          <a:ext cx="7668695" cy="25340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A1747"/>
  <sheetViews>
    <sheetView topLeftCell="D1" zoomScaleNormal="100" zoomScaleSheetLayoutView="100" workbookViewId="0">
      <selection activeCell="F42" sqref="F42"/>
    </sheetView>
  </sheetViews>
  <sheetFormatPr defaultColWidth="33.42578125" defaultRowHeight="12.75"/>
  <cols>
    <col min="1" max="1" width="8.85546875" style="118" bestFit="1" customWidth="1"/>
    <col min="2" max="2" width="16.7109375" style="118" bestFit="1" customWidth="1"/>
    <col min="3" max="3" width="15.7109375" style="118" bestFit="1" customWidth="1"/>
    <col min="4" max="4" width="11.85546875" style="118" bestFit="1" customWidth="1"/>
    <col min="5" max="5" width="19.42578125" style="118" bestFit="1" customWidth="1"/>
    <col min="6" max="6" width="12.42578125" style="118" bestFit="1" customWidth="1"/>
    <col min="7" max="7" width="9.5703125" style="239" bestFit="1" customWidth="1"/>
    <col min="8" max="8" width="19" style="118" bestFit="1" customWidth="1"/>
    <col min="9" max="9" width="27.7109375" style="239" bestFit="1" customWidth="1"/>
    <col min="10" max="10" width="65.140625" style="118" bestFit="1" customWidth="1"/>
    <col min="11" max="11" width="10.28515625" style="118" bestFit="1" customWidth="1"/>
    <col min="12" max="12" width="17.42578125" style="239" bestFit="1" customWidth="1"/>
    <col min="13" max="13" width="25.5703125" style="118" bestFit="1" customWidth="1"/>
    <col min="14" max="14" width="9.5703125" style="118" bestFit="1" customWidth="1"/>
    <col min="15" max="15" width="8.5703125" style="118" bestFit="1" customWidth="1"/>
    <col min="16" max="16" width="9.28515625" style="118" bestFit="1" customWidth="1"/>
    <col min="17" max="17" width="14" style="118" bestFit="1" customWidth="1"/>
    <col min="18" max="18" width="5.140625" style="203" bestFit="1" customWidth="1"/>
    <col min="19" max="19" width="8.28515625" style="275" bestFit="1" customWidth="1"/>
    <col min="20" max="20" width="21.140625" style="118" bestFit="1" customWidth="1"/>
    <col min="21" max="21" width="17.7109375" style="239" bestFit="1" customWidth="1"/>
    <col min="22" max="22" width="14.85546875" style="118" bestFit="1" customWidth="1"/>
    <col min="23" max="23" width="19.7109375" style="118" bestFit="1" customWidth="1"/>
    <col min="24" max="24" width="20.5703125" style="118" bestFit="1" customWidth="1"/>
    <col min="25" max="25" width="33.42578125" style="118" customWidth="1"/>
    <col min="26" max="26" width="3" style="118" bestFit="1" customWidth="1"/>
    <col min="27" max="27" width="5" style="118" bestFit="1" customWidth="1"/>
    <col min="28" max="16384" width="33.42578125" style="118"/>
  </cols>
  <sheetData>
    <row r="1" spans="1:27">
      <c r="X1" s="200"/>
    </row>
    <row r="2" spans="1:27" ht="24" thickBot="1">
      <c r="J2" s="237" t="s">
        <v>60</v>
      </c>
      <c r="K2" s="238"/>
    </row>
    <row r="3" spans="1:27" customFormat="1" ht="13.5" thickBot="1">
      <c r="G3" s="240"/>
      <c r="I3" s="240"/>
      <c r="L3" s="240"/>
      <c r="R3" s="207"/>
      <c r="S3" s="276"/>
      <c r="U3" s="240"/>
      <c r="W3" s="208" t="s">
        <v>199</v>
      </c>
    </row>
    <row r="4" spans="1:27" customFormat="1" ht="26.25" customHeight="1" thickBot="1">
      <c r="G4" s="240"/>
      <c r="I4" s="240"/>
      <c r="L4" s="240"/>
      <c r="R4" s="207"/>
      <c r="S4" s="276"/>
      <c r="U4" s="240"/>
      <c r="W4" t="s">
        <v>122</v>
      </c>
      <c r="X4" s="209" t="s">
        <v>3</v>
      </c>
    </row>
    <row r="5" spans="1:27" customFormat="1" ht="30.75" customHeight="1" thickBot="1">
      <c r="A5" s="170" t="s">
        <v>198</v>
      </c>
      <c r="B5" s="170" t="s">
        <v>5</v>
      </c>
      <c r="C5" s="210" t="s">
        <v>16</v>
      </c>
      <c r="D5" s="210" t="str">
        <f>IF(D1645=D1742,"Kg","ERRORE KG")</f>
        <v>ERRORE KG</v>
      </c>
      <c r="E5" s="211" t="s">
        <v>103</v>
      </c>
      <c r="F5" s="212" t="s">
        <v>0</v>
      </c>
      <c r="G5" s="241" t="s">
        <v>31</v>
      </c>
      <c r="H5" s="210" t="s">
        <v>31</v>
      </c>
      <c r="I5" s="241" t="s">
        <v>40</v>
      </c>
      <c r="J5" s="210" t="s">
        <v>30</v>
      </c>
      <c r="K5" s="212" t="s">
        <v>126</v>
      </c>
      <c r="L5" s="241" t="s">
        <v>96</v>
      </c>
      <c r="M5" s="213" t="s">
        <v>95</v>
      </c>
      <c r="N5" s="210" t="s">
        <v>1</v>
      </c>
      <c r="O5" s="210" t="s">
        <v>102</v>
      </c>
      <c r="P5" s="214" t="s">
        <v>101</v>
      </c>
      <c r="Q5" s="210" t="s">
        <v>39</v>
      </c>
      <c r="R5" s="215"/>
      <c r="S5" s="277" t="s">
        <v>2</v>
      </c>
      <c r="T5" s="212" t="s">
        <v>4</v>
      </c>
      <c r="U5" s="241" t="s">
        <v>129</v>
      </c>
      <c r="V5" s="216" t="s">
        <v>79</v>
      </c>
      <c r="W5" s="217">
        <f>SUMIF(W7:W1644,"OK",U7:U1644)</f>
        <v>12137.553976965759</v>
      </c>
      <c r="X5" s="218">
        <f>SUMIF(W7:W1644,"OK",D7:D1644)</f>
        <v>49313.930000000008</v>
      </c>
    </row>
    <row r="6" spans="1:27" customFormat="1">
      <c r="B6" s="219"/>
      <c r="C6" s="220"/>
      <c r="D6" s="221"/>
      <c r="E6" s="221"/>
      <c r="F6" s="222"/>
      <c r="G6" s="242" t="e">
        <f>INDEX('calcolo base'!$B:$B, MATCH($A6, 'calcolo base'!$A:$A, 0))</f>
        <v>#N/A</v>
      </c>
      <c r="H6" s="223" t="e">
        <f>IF(G6=0,"",+G6)</f>
        <v>#N/A</v>
      </c>
      <c r="I6" s="258" t="e">
        <f>IF(  OR(      INDEX('calcolo base'!$D:$D, MATCH($A6, 'calcolo base'!$A:$A, 0)) = 0,
      INDEX('calcolo base'!$D:$D, MATCH($A6, 'calcolo base'!$A:$A, 0)) = ""   ),
   INDEX('calcolo base'!$K:$K, MATCH($A6, 'calcolo base'!$A:$A, 0)),
   INDEX('calcolo base'!$J:$J, MATCH($A6, 'calcolo base'!$A:$A, 0))
) / 1000</f>
        <v>#N/A</v>
      </c>
      <c r="J6" s="224" t="e">
        <f>+F6+I6</f>
        <v>#N/A</v>
      </c>
      <c r="K6" s="224"/>
      <c r="L6" s="266" t="e">
        <f>INDEX('calcolo base'!$H:$H, MATCH($A6, 'calcolo base'!$A:$A, 0))</f>
        <v>#N/A</v>
      </c>
      <c r="M6" s="224" t="e">
        <f>IF(L6=0,0,J6*L6)</f>
        <v>#N/A</v>
      </c>
      <c r="N6" s="224" t="e">
        <f>IF(E6="si",K6*1.5%,IF($L6&gt;=5%,IF($I6=0,0,(IF($G6="RAME",($J6)*1.5%,0)+IF($G6="rame smaltato",($K6)*1.5%,0))),0))</f>
        <v>#N/A</v>
      </c>
      <c r="O6" s="224" t="e">
        <f>IF($I6=0,0,(IF($G6="alluminio",($J6)*3%,0)+IF($G6="alluminio smaltato",($K6)*3%,0)))</f>
        <v>#N/A</v>
      </c>
      <c r="P6" s="224" t="e">
        <f>IF(H6="alluminio",0,IF(L6&lt;5%,F6*8%,0))</f>
        <v>#N/A</v>
      </c>
      <c r="Q6" s="225" t="e">
        <f>+(N6*D6)+(O6*D6)+(P6*D6)</f>
        <v>#N/A</v>
      </c>
      <c r="R6" s="226" t="e">
        <f>IF(H6="ALLUMINIO",0,IF(L6&lt;5%,"si",0))</f>
        <v>#N/A</v>
      </c>
      <c r="S6" s="278" t="e">
        <f>IF(R6="si",0,IF(E6="si",0,IF(J6&gt;K6,0,K6-J6))) + IF(INDEX('calcolo base'!$P:$P, MATCH($A6, 'calcolo base'!$A:$A, 0))="SI", ('Commissioni De Angeli'!K6-'Commissioni De Angeli'!J6), 0)</f>
        <v>#N/A</v>
      </c>
      <c r="T6" s="225" t="e">
        <f>+(S6)*D6*40%</f>
        <v>#N/A</v>
      </c>
      <c r="U6" s="271" t="e">
        <f>IF(Q6=0,'calcolo base'!L2605,(T6+Q6))</f>
        <v>#N/A</v>
      </c>
      <c r="V6" s="227"/>
      <c r="Z6">
        <f>IF(V6="",0,MONTH(V6))</f>
        <v>0</v>
      </c>
      <c r="AA6">
        <f>IF(V6="",0,YEAR(V6))</f>
        <v>0</v>
      </c>
    </row>
    <row r="7" spans="1:27">
      <c r="A7" s="118">
        <v>1</v>
      </c>
      <c r="B7" s="101">
        <v>2502162</v>
      </c>
      <c r="C7" s="75" t="s">
        <v>105</v>
      </c>
      <c r="D7" s="53">
        <v>4000</v>
      </c>
      <c r="E7" s="53"/>
      <c r="F7" s="114">
        <v>3.89</v>
      </c>
      <c r="G7" s="243" t="str">
        <f>INDEX('calcolo base'!$B:$B, MATCH($A7, 'calcolo base'!$A:$A, 0))</f>
        <v>Rame</v>
      </c>
      <c r="H7" s="115" t="str">
        <f t="shared" ref="H7:H13" si="0">IF(G7=0,"",+G7)</f>
        <v>Rame</v>
      </c>
      <c r="I7" s="259">
        <f>IF(  OR(      INDEX('calcolo base'!$D:$D, MATCH($A7, 'calcolo base'!$A:$A, 0)) = 0,
      INDEX('calcolo base'!$D:$D, MATCH($A7, 'calcolo base'!$A:$A, 0)) = ""   ),
   INDEX('calcolo base'!$K:$K, MATCH($A7, 'calcolo base'!$A:$A, 0)),
   INDEX('calcolo base'!$J:$J, MATCH($A7, 'calcolo base'!$A:$A, 0))
) / 1000</f>
        <v>8.8504704123801989</v>
      </c>
      <c r="J7" s="116">
        <f t="shared" ref="J7:J13" si="1">+F7+I7</f>
        <v>12.7404704123802</v>
      </c>
      <c r="K7" s="116">
        <v>12.74</v>
      </c>
      <c r="L7" s="267">
        <f>INDEX('calcolo base'!$H:$H, MATCH($A7, 'calcolo base'!$A:$A, 0))</f>
        <v>0.04</v>
      </c>
      <c r="M7" s="116">
        <f t="shared" ref="M7:M13" si="2">IF(L7=0,0,J7*L7)</f>
        <v>0.50961881649520802</v>
      </c>
      <c r="N7" s="116">
        <f t="shared" ref="N7:N13" si="3">IF(E7="si",K7*1.5%,IF($L7&gt;=5%,IF($I7=0,0,(IF($G7="RAME",($J7)*1.5%,0)+IF($G7="rame smaltato",($K7)*1.5%,0))),0))</f>
        <v>0</v>
      </c>
      <c r="O7" s="116">
        <f t="shared" ref="O7:O15" si="4">IF($I7=0,0,(IF($G7="alluminio",($J7)*3%,0)+IF($G7="alluminio smaltato",($K7)*3%,0)))</f>
        <v>0</v>
      </c>
      <c r="P7" s="116">
        <f t="shared" ref="P7:P13" si="5">IF(H7="alluminio",0,IF(L7&lt;5%,F7*8%,0))</f>
        <v>0.31120000000000003</v>
      </c>
      <c r="Q7" s="117">
        <f t="shared" ref="Q7:Q13" si="6">+(N7*D7)+(O7*D7)+(P7*D7)</f>
        <v>1244.8000000000002</v>
      </c>
      <c r="R7" s="204" t="str">
        <f t="shared" ref="R7:R13" si="7">IF(H7="ALLUMINIO",0,IF(L7&lt;5%,"si",0))</f>
        <v>si</v>
      </c>
      <c r="S7" s="279">
        <f>IF(R7="si",0,IF(E7="si",0,IF(J7&gt;K7,0,K7-J7))) + IF(INDEX('calcolo base'!$P:$P, MATCH($A7, 'calcolo base'!$A:$A, 0))="SI", ('Commissioni De Angeli'!K7-'Commissioni De Angeli'!J7), 0)</f>
        <v>0</v>
      </c>
      <c r="T7" s="117">
        <f t="shared" ref="T7:T13" si="8">+(S7)*D7*40%</f>
        <v>0</v>
      </c>
      <c r="U7" s="272">
        <f>IF(Q7=0,'calcolo base'!L2606,(T7+Q7))</f>
        <v>1244.8000000000002</v>
      </c>
      <c r="V7" s="119">
        <v>46106</v>
      </c>
      <c r="X7" s="118" t="s">
        <v>167</v>
      </c>
      <c r="Z7" s="118">
        <f t="shared" ref="Z7:Z13" si="9">IF(V7="",0,MONTH(V7))</f>
        <v>3</v>
      </c>
      <c r="AA7" s="118">
        <f t="shared" ref="AA7:AA13" si="10">IF(V7="",0,YEAR(V7))</f>
        <v>2026</v>
      </c>
    </row>
    <row r="8" spans="1:27">
      <c r="A8" s="118">
        <v>2</v>
      </c>
      <c r="B8" s="105" t="s">
        <v>202</v>
      </c>
      <c r="C8" s="108" t="s">
        <v>105</v>
      </c>
      <c r="D8" s="107">
        <v>4080.6</v>
      </c>
      <c r="E8" s="53"/>
      <c r="F8" s="48">
        <v>3.89</v>
      </c>
      <c r="G8" s="243" t="str">
        <f>INDEX('calcolo base'!$B:$B, MATCH($A8, 'calcolo base'!$A:$A, 0))</f>
        <v>Rame</v>
      </c>
      <c r="H8" s="54" t="str">
        <f t="shared" si="0"/>
        <v>Rame</v>
      </c>
      <c r="I8" s="259">
        <f>IF(  OR(      INDEX('calcolo base'!$D:$D, MATCH($A8, 'calcolo base'!$A:$A, 0)) = 0,
      INDEX('calcolo base'!$D:$D, MATCH($A8, 'calcolo base'!$A:$A, 0)) = ""   ),
   INDEX('calcolo base'!$K:$K, MATCH($A8, 'calcolo base'!$A:$A, 0)),
   INDEX('calcolo base'!$J:$J, MATCH($A8, 'calcolo base'!$A:$A, 0))
) / 1000</f>
        <v>8.8504704123801989</v>
      </c>
      <c r="J8" s="50">
        <f t="shared" si="1"/>
        <v>12.7404704123802</v>
      </c>
      <c r="K8" s="50">
        <v>12.74</v>
      </c>
      <c r="L8" s="267">
        <f>INDEX('calcolo base'!$H:$H, MATCH($A8, 'calcolo base'!$A:$A, 0))</f>
        <v>0.04</v>
      </c>
      <c r="M8" s="50">
        <f t="shared" si="2"/>
        <v>0.50961881649520802</v>
      </c>
      <c r="N8" s="50">
        <f t="shared" si="3"/>
        <v>0</v>
      </c>
      <c r="O8" s="50">
        <f t="shared" si="4"/>
        <v>0</v>
      </c>
      <c r="P8" s="50">
        <f t="shared" si="5"/>
        <v>0.31120000000000003</v>
      </c>
      <c r="Q8" s="51">
        <f t="shared" si="6"/>
        <v>1269.8827200000001</v>
      </c>
      <c r="R8" s="205" t="str">
        <f t="shared" si="7"/>
        <v>si</v>
      </c>
      <c r="S8" s="279">
        <f>IF(R8="si",0,IF(E8="si",0,IF(J8&gt;K8,0,K8-J8))) + IF(INDEX('calcolo base'!$P:$P, MATCH($A8, 'calcolo base'!$A:$A, 0))="SI", ('Commissioni De Angeli'!K8-'Commissioni De Angeli'!J8), 0)</f>
        <v>0</v>
      </c>
      <c r="T8" s="117">
        <f t="shared" si="8"/>
        <v>0</v>
      </c>
      <c r="U8" s="272">
        <f>IF(Q8=0,'calcolo base'!L2607,(T8+Q8))</f>
        <v>1269.8827200000001</v>
      </c>
      <c r="V8" s="119"/>
      <c r="Z8" s="118">
        <f t="shared" si="9"/>
        <v>0</v>
      </c>
      <c r="AA8" s="118">
        <f t="shared" si="10"/>
        <v>0</v>
      </c>
    </row>
    <row r="9" spans="1:27">
      <c r="A9" s="118">
        <v>3</v>
      </c>
      <c r="B9" s="105" t="s">
        <v>202</v>
      </c>
      <c r="C9" s="108" t="s">
        <v>105</v>
      </c>
      <c r="D9" s="107">
        <v>3110.5</v>
      </c>
      <c r="E9" s="53"/>
      <c r="F9" s="48">
        <v>3.89</v>
      </c>
      <c r="G9" s="243" t="str">
        <f>INDEX('calcolo base'!$B:$B, MATCH($A9, 'calcolo base'!$A:$A, 0))</f>
        <v>Rame</v>
      </c>
      <c r="H9" s="54" t="str">
        <f t="shared" si="0"/>
        <v>Rame</v>
      </c>
      <c r="I9" s="259">
        <f>IF(  OR(      INDEX('calcolo base'!$D:$D, MATCH($A9, 'calcolo base'!$A:$A, 0)) = 0,
      INDEX('calcolo base'!$D:$D, MATCH($A9, 'calcolo base'!$A:$A, 0)) = ""   ),
   INDEX('calcolo base'!$K:$K, MATCH($A9, 'calcolo base'!$A:$A, 0)),
   INDEX('calcolo base'!$J:$J, MATCH($A9, 'calcolo base'!$A:$A, 0))
) / 1000</f>
        <v>8.8504704123801989</v>
      </c>
      <c r="J9" s="50">
        <f t="shared" si="1"/>
        <v>12.7404704123802</v>
      </c>
      <c r="K9" s="50">
        <v>12.74</v>
      </c>
      <c r="L9" s="267">
        <f>INDEX('calcolo base'!$H:$H, MATCH($A9, 'calcolo base'!$A:$A, 0))</f>
        <v>0.04</v>
      </c>
      <c r="M9" s="50">
        <f t="shared" si="2"/>
        <v>0.50961881649520802</v>
      </c>
      <c r="N9" s="50">
        <f t="shared" si="3"/>
        <v>0</v>
      </c>
      <c r="O9" s="50">
        <f t="shared" si="4"/>
        <v>0</v>
      </c>
      <c r="P9" s="50">
        <f t="shared" si="5"/>
        <v>0.31120000000000003</v>
      </c>
      <c r="Q9" s="51">
        <f t="shared" si="6"/>
        <v>967.98760000000016</v>
      </c>
      <c r="R9" s="205" t="str">
        <f t="shared" si="7"/>
        <v>si</v>
      </c>
      <c r="S9" s="279">
        <f>IF(R9="si",0,IF(E9="si",0,IF(J9&gt;K9,0,K9-J9))) + IF(INDEX('calcolo base'!$P:$P, MATCH($A9, 'calcolo base'!$A:$A, 0))="SI", ('Commissioni De Angeli'!K9-'Commissioni De Angeli'!J9), 0)</f>
        <v>0</v>
      </c>
      <c r="T9" s="117">
        <f t="shared" si="8"/>
        <v>0</v>
      </c>
      <c r="U9" s="272">
        <f>IF(Q9=0,'calcolo base'!L2608,(T9+Q9))</f>
        <v>967.98760000000016</v>
      </c>
      <c r="V9" s="119"/>
      <c r="X9" s="123" t="s">
        <v>203</v>
      </c>
      <c r="Z9" s="118">
        <f t="shared" si="9"/>
        <v>0</v>
      </c>
      <c r="AA9" s="118">
        <f t="shared" si="10"/>
        <v>0</v>
      </c>
    </row>
    <row r="10" spans="1:27">
      <c r="A10" s="118">
        <v>4</v>
      </c>
      <c r="B10" s="101" t="s">
        <v>166</v>
      </c>
      <c r="C10" s="108" t="s">
        <v>105</v>
      </c>
      <c r="D10" s="107">
        <v>4263</v>
      </c>
      <c r="E10" s="53"/>
      <c r="F10" s="48">
        <v>3.89</v>
      </c>
      <c r="G10" s="243" t="str">
        <f>INDEX('calcolo base'!$B:$B, MATCH($A10, 'calcolo base'!$A:$A, 0))</f>
        <v>Rame</v>
      </c>
      <c r="H10" s="54" t="str">
        <f t="shared" si="0"/>
        <v>Rame</v>
      </c>
      <c r="I10" s="259">
        <f>IF(  OR(      INDEX('calcolo base'!$D:$D, MATCH($A10, 'calcolo base'!$A:$A, 0)) = 0,
      INDEX('calcolo base'!$D:$D, MATCH($A10, 'calcolo base'!$A:$A, 0)) = ""   ),
   INDEX('calcolo base'!$K:$K, MATCH($A10, 'calcolo base'!$A:$A, 0)),
   INDEX('calcolo base'!$J:$J, MATCH($A10, 'calcolo base'!$A:$A, 0))
) / 1000</f>
        <v>8.8504704123801989</v>
      </c>
      <c r="J10" s="50">
        <f t="shared" si="1"/>
        <v>12.7404704123802</v>
      </c>
      <c r="K10" s="50">
        <v>12.74</v>
      </c>
      <c r="L10" s="267">
        <f>INDEX('calcolo base'!$H:$H, MATCH($A10, 'calcolo base'!$A:$A, 0))</f>
        <v>0.04</v>
      </c>
      <c r="M10" s="50">
        <f t="shared" si="2"/>
        <v>0.50961881649520802</v>
      </c>
      <c r="N10" s="50">
        <f t="shared" si="3"/>
        <v>0</v>
      </c>
      <c r="O10" s="50">
        <f t="shared" si="4"/>
        <v>0</v>
      </c>
      <c r="P10" s="50">
        <f t="shared" si="5"/>
        <v>0.31120000000000003</v>
      </c>
      <c r="Q10" s="51">
        <f t="shared" si="6"/>
        <v>1326.6456000000001</v>
      </c>
      <c r="R10" s="205" t="str">
        <f t="shared" si="7"/>
        <v>si</v>
      </c>
      <c r="S10" s="279">
        <f>IF(R10="si",0,IF(E10="si",0,IF(J10&gt;K10,0,K10-J10))) + IF(INDEX('calcolo base'!$P:$P, MATCH($A10, 'calcolo base'!$A:$A, 0))="SI", ('Commissioni De Angeli'!K10-'Commissioni De Angeli'!J10), 0)</f>
        <v>0</v>
      </c>
      <c r="T10" s="117">
        <f t="shared" si="8"/>
        <v>0</v>
      </c>
      <c r="U10" s="272">
        <f>IF(Q10=0,'calcolo base'!L2609,(T10+Q10))</f>
        <v>1326.6456000000001</v>
      </c>
      <c r="V10" s="119"/>
      <c r="Z10" s="118">
        <f t="shared" si="9"/>
        <v>0</v>
      </c>
      <c r="AA10" s="118">
        <f t="shared" si="10"/>
        <v>0</v>
      </c>
    </row>
    <row r="11" spans="1:27">
      <c r="A11" s="118">
        <v>5</v>
      </c>
      <c r="B11" s="101">
        <v>2503392</v>
      </c>
      <c r="C11" s="35" t="s">
        <v>105</v>
      </c>
      <c r="D11" s="53">
        <v>5000</v>
      </c>
      <c r="E11" s="53"/>
      <c r="F11" s="48">
        <v>3.82</v>
      </c>
      <c r="G11" s="243" t="str">
        <f>INDEX('calcolo base'!$B:$B, MATCH($A11, 'calcolo base'!$A:$A, 0))</f>
        <v>Rame</v>
      </c>
      <c r="H11" s="54" t="str">
        <f t="shared" si="0"/>
        <v>Rame</v>
      </c>
      <c r="I11" s="259">
        <f>IF(  OR(      INDEX('calcolo base'!$D:$D, MATCH($A11, 'calcolo base'!$A:$A, 0)) = 0,
      INDEX('calcolo base'!$D:$D, MATCH($A11, 'calcolo base'!$A:$A, 0)) = ""   ),
   INDEX('calcolo base'!$K:$K, MATCH($A11, 'calcolo base'!$A:$A, 0)),
   INDEX('calcolo base'!$J:$J, MATCH($A11, 'calcolo base'!$A:$A, 0))
) / 1000</f>
        <v>9.05034798845697</v>
      </c>
      <c r="J11" s="50">
        <f t="shared" si="1"/>
        <v>12.87034798845697</v>
      </c>
      <c r="K11" s="50">
        <v>12.99</v>
      </c>
      <c r="L11" s="267">
        <f>INDEX('calcolo base'!$H:$H, MATCH($A11, 'calcolo base'!$A:$A, 0))</f>
        <v>0.04</v>
      </c>
      <c r="M11" s="50">
        <f t="shared" si="2"/>
        <v>0.51481391953827882</v>
      </c>
      <c r="N11" s="50">
        <f t="shared" si="3"/>
        <v>0</v>
      </c>
      <c r="O11" s="50">
        <f t="shared" si="4"/>
        <v>0</v>
      </c>
      <c r="P11" s="50">
        <f t="shared" si="5"/>
        <v>0.30559999999999998</v>
      </c>
      <c r="Q11" s="51">
        <f t="shared" si="6"/>
        <v>1528</v>
      </c>
      <c r="R11" s="205" t="str">
        <f t="shared" si="7"/>
        <v>si</v>
      </c>
      <c r="S11" s="279">
        <v>0.12</v>
      </c>
      <c r="T11" s="117">
        <f t="shared" si="8"/>
        <v>240</v>
      </c>
      <c r="U11" s="272">
        <f>IF(Q11=0,'calcolo base'!L2610,(T11+Q11))</f>
        <v>1768</v>
      </c>
      <c r="V11" s="119">
        <v>46182</v>
      </c>
      <c r="X11" s="118" t="s">
        <v>168</v>
      </c>
      <c r="Z11" s="118">
        <f t="shared" si="9"/>
        <v>6</v>
      </c>
      <c r="AA11" s="118">
        <f t="shared" si="10"/>
        <v>2026</v>
      </c>
    </row>
    <row r="12" spans="1:27">
      <c r="A12" s="118">
        <v>6</v>
      </c>
      <c r="B12" s="101">
        <v>2503392</v>
      </c>
      <c r="C12" s="35" t="s">
        <v>105</v>
      </c>
      <c r="D12" s="53">
        <v>5000</v>
      </c>
      <c r="E12" s="53"/>
      <c r="F12" s="48">
        <v>3.82</v>
      </c>
      <c r="G12" s="243" t="str">
        <f>INDEX('calcolo base'!$B:$B, MATCH($A12, 'calcolo base'!$A:$A, 0))</f>
        <v>Rame</v>
      </c>
      <c r="H12" s="54" t="str">
        <f t="shared" si="0"/>
        <v>Rame</v>
      </c>
      <c r="I12" s="259">
        <f>IF(  OR(      INDEX('calcolo base'!$D:$D, MATCH($A12, 'calcolo base'!$A:$A, 0)) = 0,
      INDEX('calcolo base'!$D:$D, MATCH($A12, 'calcolo base'!$A:$A, 0)) = ""   ),
   INDEX('calcolo base'!$K:$K, MATCH($A12, 'calcolo base'!$A:$A, 0)),
   INDEX('calcolo base'!$J:$J, MATCH($A12, 'calcolo base'!$A:$A, 0))
) / 1000</f>
        <v>9.05034798845697</v>
      </c>
      <c r="J12" s="50">
        <f t="shared" si="1"/>
        <v>12.87034798845697</v>
      </c>
      <c r="K12" s="50">
        <v>12.99</v>
      </c>
      <c r="L12" s="267">
        <f>INDEX('calcolo base'!$H:$H, MATCH($A12, 'calcolo base'!$A:$A, 0))</f>
        <v>0.04</v>
      </c>
      <c r="M12" s="50">
        <f t="shared" si="2"/>
        <v>0.51481391953827882</v>
      </c>
      <c r="N12" s="50">
        <f t="shared" si="3"/>
        <v>0</v>
      </c>
      <c r="O12" s="50">
        <f t="shared" si="4"/>
        <v>0</v>
      </c>
      <c r="P12" s="50">
        <f t="shared" si="5"/>
        <v>0.30559999999999998</v>
      </c>
      <c r="Q12" s="51">
        <f t="shared" si="6"/>
        <v>1528</v>
      </c>
      <c r="R12" s="205" t="str">
        <f t="shared" si="7"/>
        <v>si</v>
      </c>
      <c r="S12" s="279">
        <v>0.12</v>
      </c>
      <c r="T12" s="117">
        <f t="shared" si="8"/>
        <v>240</v>
      </c>
      <c r="U12" s="272">
        <f>IF(Q12=0,'calcolo base'!L2611,(T12+Q12))</f>
        <v>1768</v>
      </c>
      <c r="V12" s="119">
        <v>46189</v>
      </c>
      <c r="X12" s="118" t="s">
        <v>169</v>
      </c>
      <c r="Z12" s="118">
        <f t="shared" si="9"/>
        <v>6</v>
      </c>
      <c r="AA12" s="118">
        <f t="shared" si="10"/>
        <v>2026</v>
      </c>
    </row>
    <row r="13" spans="1:27">
      <c r="A13" s="118">
        <v>7</v>
      </c>
      <c r="B13" s="101">
        <v>2503392</v>
      </c>
      <c r="C13" s="35" t="s">
        <v>105</v>
      </c>
      <c r="D13" s="53">
        <v>5000</v>
      </c>
      <c r="E13" s="53"/>
      <c r="F13" s="48">
        <v>3.82</v>
      </c>
      <c r="G13" s="243" t="str">
        <f>INDEX('calcolo base'!$B:$B, MATCH($A13, 'calcolo base'!$A:$A, 0))</f>
        <v>Rame</v>
      </c>
      <c r="H13" s="54" t="str">
        <f t="shared" si="0"/>
        <v>Rame</v>
      </c>
      <c r="I13" s="259">
        <f>IF(  OR(      INDEX('calcolo base'!$D:$D, MATCH($A13, 'calcolo base'!$A:$A, 0)) = 0,
      INDEX('calcolo base'!$D:$D, MATCH($A13, 'calcolo base'!$A:$A, 0)) = ""   ),
   INDEX('calcolo base'!$K:$K, MATCH($A13, 'calcolo base'!$A:$A, 0)),
   INDEX('calcolo base'!$J:$J, MATCH($A13, 'calcolo base'!$A:$A, 0))
) / 1000</f>
        <v>9.05034798845697</v>
      </c>
      <c r="J13" s="50">
        <f t="shared" si="1"/>
        <v>12.87034798845697</v>
      </c>
      <c r="K13" s="50">
        <v>12.99</v>
      </c>
      <c r="L13" s="267">
        <f>INDEX('calcolo base'!$H:$H, MATCH($A13, 'calcolo base'!$A:$A, 0))</f>
        <v>0.04</v>
      </c>
      <c r="M13" s="50">
        <f t="shared" si="2"/>
        <v>0.51481391953827882</v>
      </c>
      <c r="N13" s="50">
        <f t="shared" si="3"/>
        <v>0</v>
      </c>
      <c r="O13" s="50">
        <f t="shared" si="4"/>
        <v>0</v>
      </c>
      <c r="P13" s="50">
        <f t="shared" si="5"/>
        <v>0.30559999999999998</v>
      </c>
      <c r="Q13" s="51">
        <f t="shared" si="6"/>
        <v>1528</v>
      </c>
      <c r="R13" s="205" t="str">
        <f t="shared" si="7"/>
        <v>si</v>
      </c>
      <c r="S13" s="279">
        <v>0.12</v>
      </c>
      <c r="T13" s="117">
        <f t="shared" si="8"/>
        <v>240</v>
      </c>
      <c r="U13" s="272">
        <f>IF(Q13=0,'calcolo base'!L2612,(T13+Q13))</f>
        <v>1768</v>
      </c>
      <c r="V13" s="119">
        <v>46203</v>
      </c>
      <c r="X13" s="118" t="s">
        <v>170</v>
      </c>
      <c r="Z13" s="118">
        <f t="shared" si="9"/>
        <v>6</v>
      </c>
      <c r="AA13" s="118">
        <f t="shared" si="10"/>
        <v>2026</v>
      </c>
    </row>
    <row r="14" spans="1:27">
      <c r="A14" s="118">
        <v>8</v>
      </c>
      <c r="B14" s="105" t="s">
        <v>160</v>
      </c>
      <c r="C14" s="110" t="s">
        <v>105</v>
      </c>
      <c r="D14" s="107">
        <v>472.4</v>
      </c>
      <c r="E14" s="53"/>
      <c r="F14" s="48">
        <v>3.26</v>
      </c>
      <c r="G14" s="243" t="str">
        <f>INDEX('calcolo base'!$B:$B, MATCH($A14, 'calcolo base'!$A:$A, 0))</f>
        <v>Rame</v>
      </c>
      <c r="H14" s="54" t="str">
        <f>IF(G14=0,"",+G14)</f>
        <v>Rame</v>
      </c>
      <c r="I14" s="259">
        <f>IF(  OR(      INDEX('calcolo base'!$D:$D, MATCH($A14, 'calcolo base'!$A:$A, 0)) = 0,
      INDEX('calcolo base'!$D:$D, MATCH($A14, 'calcolo base'!$A:$A, 0)) = ""   ),
   INDEX('calcolo base'!$K:$K, MATCH($A14, 'calcolo base'!$A:$A, 0)),
   INDEX('calcolo base'!$J:$J, MATCH($A14, 'calcolo base'!$A:$A, 0))
) / 1000</f>
        <v>8.9435775935014394</v>
      </c>
      <c r="J14" s="50">
        <f>+F14+I14</f>
        <v>12.203577593501439</v>
      </c>
      <c r="K14" s="50">
        <v>12.645</v>
      </c>
      <c r="L14" s="267">
        <f>INDEX('calcolo base'!$H:$H, MATCH($A14, 'calcolo base'!$A:$A, 0))</f>
        <v>0.04</v>
      </c>
      <c r="M14" s="50">
        <f>IF(L14=0,0,J14*L14)</f>
        <v>0.48814310374005759</v>
      </c>
      <c r="N14" s="50">
        <f>IF(E14="si",K14*1.5%,IF($L14&gt;=5%,IF($I14=0,0,(IF($G14="RAME",($J14)*1.5%,0)+IF($G14="rame smaltato",($K14)*1.5%,0))),0))</f>
        <v>0</v>
      </c>
      <c r="O14" s="50">
        <f t="shared" si="4"/>
        <v>0</v>
      </c>
      <c r="P14" s="50">
        <f>IF(H14="alluminio",0,IF(L14&lt;5%,F14*8%,0))</f>
        <v>0.26079999999999998</v>
      </c>
      <c r="Q14" s="51">
        <f>+(N14*D14)+(O14*D14)+(P14*D14)</f>
        <v>123.20191999999999</v>
      </c>
      <c r="R14" s="205" t="str">
        <f>IF(H14="ALLUMINIO",0,IF(L14&lt;5%,"si",0))</f>
        <v>si</v>
      </c>
      <c r="S14" s="279">
        <v>0.441</v>
      </c>
      <c r="T14" s="117">
        <f>+(S14)*D14*40%</f>
        <v>83.331360000000004</v>
      </c>
      <c r="U14" s="272">
        <f>IF(Q14=0,'calcolo base'!L2613,(T14+Q14))</f>
        <v>206.53327999999999</v>
      </c>
      <c r="V14" s="119"/>
      <c r="X14" s="120"/>
      <c r="Y14" s="121"/>
      <c r="Z14" s="118">
        <f t="shared" ref="Z14:Z19" si="11">IF(V14="",0,MONTH(V14))</f>
        <v>0</v>
      </c>
      <c r="AA14" s="118">
        <f t="shared" ref="AA14:AA19" si="12">IF(V14="",0,YEAR(V14))</f>
        <v>0</v>
      </c>
    </row>
    <row r="15" spans="1:27">
      <c r="A15" s="118">
        <v>9</v>
      </c>
      <c r="B15" s="105" t="s">
        <v>160</v>
      </c>
      <c r="C15" s="110" t="s">
        <v>105</v>
      </c>
      <c r="D15" s="107">
        <v>5771.6</v>
      </c>
      <c r="E15" s="53"/>
      <c r="F15" s="48">
        <v>3.47</v>
      </c>
      <c r="G15" s="243" t="str">
        <f>INDEX('calcolo base'!$B:$B, MATCH($A15, 'calcolo base'!$A:$A, 0))</f>
        <v>Rame</v>
      </c>
      <c r="H15" s="54" t="str">
        <f>IF(G15=0,"",+G15)</f>
        <v>Rame</v>
      </c>
      <c r="I15" s="259">
        <f>IF(  OR(      INDEX('calcolo base'!$D:$D, MATCH($A15, 'calcolo base'!$A:$A, 0)) = 0,
      INDEX('calcolo base'!$D:$D, MATCH($A15, 'calcolo base'!$A:$A, 0)) = ""   ),
   INDEX('calcolo base'!$K:$K, MATCH($A15, 'calcolo base'!$A:$A, 0)),
   INDEX('calcolo base'!$J:$J, MATCH($A15, 'calcolo base'!$A:$A, 0))
) / 1000</f>
        <v>8.9435775935014394</v>
      </c>
      <c r="J15" s="50">
        <f>+F15+I15</f>
        <v>12.41357759350144</v>
      </c>
      <c r="K15" s="50">
        <v>12.414999999999999</v>
      </c>
      <c r="L15" s="267">
        <f>INDEX('calcolo base'!$H:$H, MATCH($A15, 'calcolo base'!$A:$A, 0))</f>
        <v>0.04</v>
      </c>
      <c r="M15" s="50">
        <f>IF(L15=0,0,J15*L15)</f>
        <v>0.49654310374005761</v>
      </c>
      <c r="N15" s="50">
        <f>IF(E15="si",K15*1.5%,IF($L15&gt;=5%,IF($I15=0,0,(IF($G15="RAME",($J15)*1.5%,0)+IF($G15="rame smaltato",($K15)*1.5%,0))),0))</f>
        <v>0</v>
      </c>
      <c r="O15" s="50">
        <f t="shared" si="4"/>
        <v>0</v>
      </c>
      <c r="P15" s="50">
        <f>IF(H15="alluminio",0,IF(L15&lt;5%,F15*8%,0))</f>
        <v>0.27760000000000001</v>
      </c>
      <c r="Q15" s="51">
        <f>+(N15*D15)+(O15*D15)+(P15*D15)</f>
        <v>1602.1961600000002</v>
      </c>
      <c r="R15" s="205" t="str">
        <f>IF(H15="ALLUMINIO",0,IF(L15&lt;5%,"si",0))</f>
        <v>si</v>
      </c>
      <c r="S15" s="279"/>
      <c r="T15" s="117">
        <f>+(S15)*D15*40%</f>
        <v>0</v>
      </c>
      <c r="U15" s="272">
        <f>IF(Q15=0,'calcolo base'!L2614,(T15+Q15))</f>
        <v>1602.1961600000002</v>
      </c>
      <c r="V15" s="119"/>
      <c r="X15" s="120"/>
      <c r="Y15" s="121"/>
      <c r="Z15" s="118">
        <f t="shared" si="11"/>
        <v>0</v>
      </c>
      <c r="AA15" s="118">
        <f t="shared" si="12"/>
        <v>0</v>
      </c>
    </row>
    <row r="16" spans="1:27">
      <c r="A16" s="118">
        <v>10</v>
      </c>
      <c r="B16" s="101">
        <v>2504948</v>
      </c>
      <c r="C16" s="75" t="s">
        <v>105</v>
      </c>
      <c r="D16" s="53">
        <v>3200</v>
      </c>
      <c r="E16" s="53"/>
      <c r="F16" s="48">
        <v>3.26</v>
      </c>
      <c r="G16" s="243" t="str">
        <f>INDEX('calcolo base'!$B:$B, MATCH($A16, 'calcolo base'!$A:$A, 0))</f>
        <v>Rame</v>
      </c>
      <c r="H16" s="54" t="str">
        <f t="shared" ref="H16:H25" si="13">IF(G16=0,"",+G16)</f>
        <v>Rame</v>
      </c>
      <c r="I16" s="259">
        <f>IF(  OR(      INDEX('calcolo base'!$D:$D, MATCH($A16, 'calcolo base'!$A:$A, 0)) = 0,
      INDEX('calcolo base'!$D:$D, MATCH($A16, 'calcolo base'!$A:$A, 0)) = ""   ),
   INDEX('calcolo base'!$K:$K, MATCH($A16, 'calcolo base'!$A:$A, 0)),
   INDEX('calcolo base'!$J:$J, MATCH($A16, 'calcolo base'!$A:$A, 0))
) / 1000</f>
        <v>9.931474928799517</v>
      </c>
      <c r="J16" s="50">
        <f t="shared" ref="J16:J25" si="14">+F16+I16</f>
        <v>13.191474928799517</v>
      </c>
      <c r="K16" s="50">
        <v>13.726000000000001</v>
      </c>
      <c r="L16" s="267">
        <f>INDEX('calcolo base'!$H:$H, MATCH($A16, 'calcolo base'!$A:$A, 0))</f>
        <v>0.04</v>
      </c>
      <c r="M16" s="50">
        <f t="shared" ref="M16:M25" si="15">IF(L16=0,0,J16*L16)</f>
        <v>0.52765899715198072</v>
      </c>
      <c r="N16" s="50">
        <f t="shared" ref="N16:N25" si="16">IF(E16="si",K16*1.5%,IF($L16&gt;=5%,IF($I16=0,0,(IF($G16="RAME",($J16)*1.5%,0)+IF($G16="rame smaltato",($K16)*1.5%,0))),0))</f>
        <v>0</v>
      </c>
      <c r="O16" s="50">
        <f t="shared" ref="O16:O30" si="17">IF($I16=0,0,(IF($G16="alluminio",($J16)*3%,0)+IF($G16="alluminio smaltato",($K16)*3%,0)))</f>
        <v>0</v>
      </c>
      <c r="P16" s="50">
        <f t="shared" ref="P16:P25" si="18">IF(H16="alluminio",0,IF(L16&lt;5%,F16*8%,0))</f>
        <v>0.26079999999999998</v>
      </c>
      <c r="Q16" s="51">
        <f t="shared" ref="Q16:Q25" si="19">+(N16*D16)+(O16*D16)+(P16*D16)</f>
        <v>834.56</v>
      </c>
      <c r="R16" s="205" t="str">
        <f t="shared" ref="R16:R25" si="20">IF(H16="ALLUMINIO",0,IF(L16&lt;5%,"si",0))</f>
        <v>si</v>
      </c>
      <c r="S16" s="279">
        <v>0.44</v>
      </c>
      <c r="T16" s="117">
        <f t="shared" ref="T16:T25" si="21">+(S16)*D16*40%</f>
        <v>563.20000000000005</v>
      </c>
      <c r="U16" s="272">
        <f>IF(Q16=0,'calcolo base'!L2615,(T16+Q16))</f>
        <v>1397.76</v>
      </c>
      <c r="V16" s="119">
        <v>46296</v>
      </c>
      <c r="X16" s="118" t="s">
        <v>171</v>
      </c>
      <c r="Z16" s="118">
        <f t="shared" si="11"/>
        <v>10</v>
      </c>
      <c r="AA16" s="118">
        <f t="shared" si="12"/>
        <v>2026</v>
      </c>
    </row>
    <row r="17" spans="1:27">
      <c r="A17" s="118">
        <v>11</v>
      </c>
      <c r="B17" s="101">
        <v>2505254</v>
      </c>
      <c r="C17" s="99" t="s">
        <v>105</v>
      </c>
      <c r="D17" s="100">
        <v>6000</v>
      </c>
      <c r="E17" s="53"/>
      <c r="F17" s="48">
        <v>3.26</v>
      </c>
      <c r="G17" s="243" t="str">
        <f>INDEX('calcolo base'!$B:$B, MATCH($A17, 'calcolo base'!$A:$A, 0))</f>
        <v>Rame</v>
      </c>
      <c r="H17" s="54" t="str">
        <f t="shared" si="13"/>
        <v>Rame</v>
      </c>
      <c r="I17" s="259">
        <f>IF(  OR(      INDEX('calcolo base'!$D:$D, MATCH($A17, 'calcolo base'!$A:$A, 0)) = 0,
      INDEX('calcolo base'!$D:$D, MATCH($A17, 'calcolo base'!$A:$A, 0)) = ""   ),
   INDEX('calcolo base'!$K:$K, MATCH($A17, 'calcolo base'!$A:$A, 0)),
   INDEX('calcolo base'!$J:$J, MATCH($A17, 'calcolo base'!$A:$A, 0))
) / 1000</f>
        <v>10.001728907330568</v>
      </c>
      <c r="J17" s="50">
        <f t="shared" si="14"/>
        <v>13.261728907330568</v>
      </c>
      <c r="K17" s="104">
        <v>13.7</v>
      </c>
      <c r="L17" s="267">
        <f>INDEX('calcolo base'!$H:$H, MATCH($A17, 'calcolo base'!$A:$A, 0))</f>
        <v>0.04</v>
      </c>
      <c r="M17" s="50">
        <f t="shared" si="15"/>
        <v>0.53046915629322267</v>
      </c>
      <c r="N17" s="50">
        <f t="shared" si="16"/>
        <v>0</v>
      </c>
      <c r="O17" s="50">
        <f t="shared" si="17"/>
        <v>0</v>
      </c>
      <c r="P17" s="50">
        <f t="shared" si="18"/>
        <v>0.26079999999999998</v>
      </c>
      <c r="Q17" s="51">
        <f t="shared" si="19"/>
        <v>1564.8</v>
      </c>
      <c r="R17" s="205" t="str">
        <f t="shared" si="20"/>
        <v>si</v>
      </c>
      <c r="S17" s="279">
        <v>0.44</v>
      </c>
      <c r="T17" s="117">
        <f t="shared" si="21"/>
        <v>1056</v>
      </c>
      <c r="U17" s="272">
        <f>IF(Q17=0,'calcolo base'!L2616,(T17+Q17))</f>
        <v>2620.8000000000002</v>
      </c>
      <c r="V17" s="119">
        <v>46146</v>
      </c>
      <c r="X17" s="122" t="s">
        <v>172</v>
      </c>
      <c r="Z17" s="118">
        <f t="shared" si="11"/>
        <v>5</v>
      </c>
      <c r="AA17" s="118">
        <f t="shared" si="12"/>
        <v>2026</v>
      </c>
    </row>
    <row r="18" spans="1:27">
      <c r="A18" s="118">
        <v>12</v>
      </c>
      <c r="B18" s="101">
        <v>2505254</v>
      </c>
      <c r="C18" s="99" t="s">
        <v>105</v>
      </c>
      <c r="D18" s="100">
        <v>7000</v>
      </c>
      <c r="E18" s="53"/>
      <c r="F18" s="48">
        <v>3.26</v>
      </c>
      <c r="G18" s="243" t="str">
        <f>INDEX('calcolo base'!$B:$B, MATCH($A18, 'calcolo base'!$A:$A, 0))</f>
        <v>Rame</v>
      </c>
      <c r="H18" s="54" t="str">
        <f t="shared" si="13"/>
        <v>Rame</v>
      </c>
      <c r="I18" s="259">
        <f>IF(  OR(      INDEX('calcolo base'!$D:$D, MATCH($A18, 'calcolo base'!$A:$A, 0)) = 0,
      INDEX('calcolo base'!$D:$D, MATCH($A18, 'calcolo base'!$A:$A, 0)) = ""   ),
   INDEX('calcolo base'!$K:$K, MATCH($A18, 'calcolo base'!$A:$A, 0)),
   INDEX('calcolo base'!$J:$J, MATCH($A18, 'calcolo base'!$A:$A, 0))
) / 1000</f>
        <v>10.001728907330568</v>
      </c>
      <c r="J18" s="50">
        <f t="shared" si="14"/>
        <v>13.261728907330568</v>
      </c>
      <c r="K18" s="104">
        <v>13.7</v>
      </c>
      <c r="L18" s="267">
        <f>INDEX('calcolo base'!$H:$H, MATCH($A18, 'calcolo base'!$A:$A, 0))</f>
        <v>0.04</v>
      </c>
      <c r="M18" s="50">
        <f t="shared" si="15"/>
        <v>0.53046915629322267</v>
      </c>
      <c r="N18" s="50">
        <f t="shared" si="16"/>
        <v>0</v>
      </c>
      <c r="O18" s="50">
        <f t="shared" si="17"/>
        <v>0</v>
      </c>
      <c r="P18" s="50">
        <f t="shared" si="18"/>
        <v>0.26079999999999998</v>
      </c>
      <c r="Q18" s="51">
        <f t="shared" si="19"/>
        <v>1825.6</v>
      </c>
      <c r="R18" s="205" t="str">
        <f t="shared" si="20"/>
        <v>si</v>
      </c>
      <c r="S18" s="279">
        <v>0.44</v>
      </c>
      <c r="T18" s="117">
        <f t="shared" si="21"/>
        <v>1232</v>
      </c>
      <c r="U18" s="272">
        <f>IF(Q18=0,'calcolo base'!L2617,(T18+Q18))</f>
        <v>3057.6</v>
      </c>
      <c r="V18" s="119">
        <v>46126</v>
      </c>
      <c r="X18" s="122" t="s">
        <v>173</v>
      </c>
      <c r="Z18" s="118">
        <f t="shared" si="11"/>
        <v>4</v>
      </c>
      <c r="AA18" s="118">
        <f t="shared" si="12"/>
        <v>2026</v>
      </c>
    </row>
    <row r="19" spans="1:27">
      <c r="A19" s="118">
        <v>13</v>
      </c>
      <c r="B19" s="101">
        <v>2505254</v>
      </c>
      <c r="C19" s="99" t="s">
        <v>105</v>
      </c>
      <c r="D19" s="100">
        <v>7000</v>
      </c>
      <c r="E19" s="53"/>
      <c r="F19" s="48">
        <v>3.26</v>
      </c>
      <c r="G19" s="243" t="str">
        <f>INDEX('calcolo base'!$B:$B, MATCH($A19, 'calcolo base'!$A:$A, 0))</f>
        <v>Rame</v>
      </c>
      <c r="H19" s="54" t="str">
        <f t="shared" si="13"/>
        <v>Rame</v>
      </c>
      <c r="I19" s="259">
        <f>IF(  OR(      INDEX('calcolo base'!$D:$D, MATCH($A19, 'calcolo base'!$A:$A, 0)) = 0,
      INDEX('calcolo base'!$D:$D, MATCH($A19, 'calcolo base'!$A:$A, 0)) = ""   ),
   INDEX('calcolo base'!$K:$K, MATCH($A19, 'calcolo base'!$A:$A, 0)),
   INDEX('calcolo base'!$J:$J, MATCH($A19, 'calcolo base'!$A:$A, 0))
) / 1000</f>
        <v>10.001728907330568</v>
      </c>
      <c r="J19" s="50">
        <f t="shared" si="14"/>
        <v>13.261728907330568</v>
      </c>
      <c r="K19" s="104">
        <v>13.7</v>
      </c>
      <c r="L19" s="267">
        <f>INDEX('calcolo base'!$H:$H, MATCH($A19, 'calcolo base'!$A:$A, 0))</f>
        <v>0.04</v>
      </c>
      <c r="M19" s="50">
        <f t="shared" si="15"/>
        <v>0.53046915629322267</v>
      </c>
      <c r="N19" s="50">
        <f t="shared" si="16"/>
        <v>0</v>
      </c>
      <c r="O19" s="50">
        <f t="shared" si="17"/>
        <v>0</v>
      </c>
      <c r="P19" s="50">
        <f t="shared" si="18"/>
        <v>0.26079999999999998</v>
      </c>
      <c r="Q19" s="51">
        <f t="shared" si="19"/>
        <v>1825.6</v>
      </c>
      <c r="R19" s="205" t="str">
        <f t="shared" si="20"/>
        <v>si</v>
      </c>
      <c r="S19" s="279">
        <v>0.44</v>
      </c>
      <c r="T19" s="117">
        <f t="shared" si="21"/>
        <v>1232</v>
      </c>
      <c r="U19" s="272">
        <f>IF(Q19=0,'calcolo base'!L2618,(T19+Q19))</f>
        <v>3057.6</v>
      </c>
      <c r="V19" s="119">
        <v>46133</v>
      </c>
      <c r="X19" s="122" t="s">
        <v>174</v>
      </c>
      <c r="Z19" s="118">
        <f t="shared" si="11"/>
        <v>4</v>
      </c>
      <c r="AA19" s="118">
        <f t="shared" si="12"/>
        <v>2026</v>
      </c>
    </row>
    <row r="20" spans="1:27">
      <c r="A20" s="118">
        <v>14</v>
      </c>
      <c r="B20" s="101">
        <v>2505428</v>
      </c>
      <c r="C20" s="35" t="s">
        <v>59</v>
      </c>
      <c r="D20" s="53">
        <v>525</v>
      </c>
      <c r="E20" s="53"/>
      <c r="F20" s="48">
        <v>7.68</v>
      </c>
      <c r="G20" s="243" t="str">
        <f>INDEX('calcolo base'!$B:$B, MATCH($A20, 'calcolo base'!$A:$A, 0))</f>
        <v>Rame</v>
      </c>
      <c r="H20" s="54" t="str">
        <f t="shared" si="13"/>
        <v>Rame</v>
      </c>
      <c r="I20" s="259">
        <f>IF(  OR(      INDEX('calcolo base'!$D:$D, MATCH($A20, 'calcolo base'!$A:$A, 0)) = 0,
      INDEX('calcolo base'!$D:$D, MATCH($A20, 'calcolo base'!$A:$A, 0)) = ""   ),
   INDEX('calcolo base'!$K:$K, MATCH($A20, 'calcolo base'!$A:$A, 0)),
   INDEX('calcolo base'!$J:$J, MATCH($A20, 'calcolo base'!$A:$A, 0))
) / 1000</f>
        <v>10.104594921402661</v>
      </c>
      <c r="J20" s="50">
        <f t="shared" si="14"/>
        <v>17.784594921402661</v>
      </c>
      <c r="K20" s="50">
        <v>18.175999999999998</v>
      </c>
      <c r="L20" s="267">
        <f>INDEX('calcolo base'!$H:$H, MATCH($A20, 'calcolo base'!$A:$A, 0))</f>
        <v>0.05</v>
      </c>
      <c r="M20" s="50">
        <f t="shared" si="15"/>
        <v>0.88922974607013305</v>
      </c>
      <c r="N20" s="50">
        <f t="shared" si="16"/>
        <v>0.26676892382103989</v>
      </c>
      <c r="O20" s="50">
        <f t="shared" si="17"/>
        <v>0</v>
      </c>
      <c r="P20" s="50">
        <f t="shared" si="18"/>
        <v>0</v>
      </c>
      <c r="Q20" s="51">
        <f t="shared" si="19"/>
        <v>140.05368500604595</v>
      </c>
      <c r="R20" s="205">
        <f t="shared" si="20"/>
        <v>0</v>
      </c>
      <c r="S20" s="279">
        <f>IF(R20="si",0,IF(E20="si",0,IF(J20&gt;K20,0,K20-J20))) + IF(INDEX('calcolo base'!$P:$P, MATCH($A20, 'calcolo base'!$A:$A, 0))="SI", ('Commissioni De Angeli'!K20-'Commissioni De Angeli'!J20), 0)</f>
        <v>0.39140507859733731</v>
      </c>
      <c r="T20" s="117">
        <f t="shared" si="21"/>
        <v>82.195066505440835</v>
      </c>
      <c r="U20" s="272">
        <f>IF(Q20=0,'calcolo base'!L2619,(T20+Q20))</f>
        <v>222.24875151148677</v>
      </c>
      <c r="V20" s="119">
        <v>46127</v>
      </c>
      <c r="Z20" s="118">
        <f t="shared" ref="Z20:Z41" si="22">IF(V20="",0,MONTH(V20))</f>
        <v>4</v>
      </c>
      <c r="AA20" s="118">
        <f t="shared" ref="AA20:AA41" si="23">IF(V20="",0,YEAR(V20))</f>
        <v>2026</v>
      </c>
    </row>
    <row r="21" spans="1:27">
      <c r="A21" s="118">
        <v>15</v>
      </c>
      <c r="B21" s="101">
        <v>2505428</v>
      </c>
      <c r="C21" s="35" t="s">
        <v>59</v>
      </c>
      <c r="D21" s="53">
        <v>871</v>
      </c>
      <c r="E21" s="53"/>
      <c r="F21" s="48">
        <v>4.42</v>
      </c>
      <c r="G21" s="243" t="str">
        <f>INDEX('calcolo base'!$B:$B, MATCH($A21, 'calcolo base'!$A:$A, 0))</f>
        <v>Rame</v>
      </c>
      <c r="H21" s="54" t="str">
        <f t="shared" si="13"/>
        <v>Rame</v>
      </c>
      <c r="I21" s="259">
        <f>IF(  OR(      INDEX('calcolo base'!$D:$D, MATCH($A21, 'calcolo base'!$A:$A, 0)) = 0,
      INDEX('calcolo base'!$D:$D, MATCH($A21, 'calcolo base'!$A:$A, 0)) = ""   ),
   INDEX('calcolo base'!$K:$K, MATCH($A21, 'calcolo base'!$A:$A, 0)),
   INDEX('calcolo base'!$J:$J, MATCH($A21, 'calcolo base'!$A:$A, 0))
) / 1000</f>
        <v>10.104594921402661</v>
      </c>
      <c r="J21" s="50">
        <f t="shared" si="14"/>
        <v>14.524594921402661</v>
      </c>
      <c r="K21" s="50">
        <v>14.946</v>
      </c>
      <c r="L21" s="267">
        <f>INDEX('calcolo base'!$H:$H, MATCH($A21, 'calcolo base'!$A:$A, 0))</f>
        <v>0.05</v>
      </c>
      <c r="M21" s="50">
        <f t="shared" si="15"/>
        <v>0.72622974607013313</v>
      </c>
      <c r="N21" s="50">
        <f t="shared" si="16"/>
        <v>0.21786892382103992</v>
      </c>
      <c r="O21" s="50">
        <f t="shared" si="17"/>
        <v>0</v>
      </c>
      <c r="P21" s="50">
        <f t="shared" si="18"/>
        <v>0</v>
      </c>
      <c r="Q21" s="51">
        <f t="shared" si="19"/>
        <v>189.76383264812577</v>
      </c>
      <c r="R21" s="205">
        <f t="shared" si="20"/>
        <v>0</v>
      </c>
      <c r="S21" s="279">
        <f>IF(R21="si",0,IF(E21="si",0,IF(J21&gt;K21,0,K21-J21))) + IF(INDEX('calcolo base'!$P:$P, MATCH($A21, 'calcolo base'!$A:$A, 0))="SI", ('Commissioni De Angeli'!K21-'Commissioni De Angeli'!J21), 0)</f>
        <v>0.42140507859733844</v>
      </c>
      <c r="T21" s="117">
        <f t="shared" si="21"/>
        <v>146.81752938331272</v>
      </c>
      <c r="U21" s="272">
        <f>IF(Q21=0,'calcolo base'!L2620,(T21+Q21))</f>
        <v>336.58136203143852</v>
      </c>
      <c r="V21" s="119">
        <v>46127</v>
      </c>
      <c r="Z21" s="118">
        <f t="shared" si="22"/>
        <v>4</v>
      </c>
      <c r="AA21" s="118">
        <f t="shared" si="23"/>
        <v>2026</v>
      </c>
    </row>
    <row r="22" spans="1:27">
      <c r="A22" s="118">
        <v>16</v>
      </c>
      <c r="B22" s="101">
        <v>2505428</v>
      </c>
      <c r="C22" s="35" t="s">
        <v>59</v>
      </c>
      <c r="D22" s="53">
        <v>580</v>
      </c>
      <c r="E22" s="53"/>
      <c r="F22" s="48">
        <v>6.61</v>
      </c>
      <c r="G22" s="243" t="str">
        <f>INDEX('calcolo base'!$B:$B, MATCH($A22, 'calcolo base'!$A:$A, 0))</f>
        <v>Rame</v>
      </c>
      <c r="H22" s="54" t="str">
        <f t="shared" si="13"/>
        <v>Rame</v>
      </c>
      <c r="I22" s="259">
        <f>IF(  OR(      INDEX('calcolo base'!$D:$D, MATCH($A22, 'calcolo base'!$A:$A, 0)) = 0,
      INDEX('calcolo base'!$D:$D, MATCH($A22, 'calcolo base'!$A:$A, 0)) = ""   ),
   INDEX('calcolo base'!$K:$K, MATCH($A22, 'calcolo base'!$A:$A, 0)),
   INDEX('calcolo base'!$J:$J, MATCH($A22, 'calcolo base'!$A:$A, 0))
) / 1000</f>
        <v>10.104594921402661</v>
      </c>
      <c r="J22" s="50">
        <f t="shared" si="14"/>
        <v>16.714594921402661</v>
      </c>
      <c r="K22" s="50">
        <v>17.146000000000001</v>
      </c>
      <c r="L22" s="267">
        <f>INDEX('calcolo base'!$H:$H, MATCH($A22, 'calcolo base'!$A:$A, 0))</f>
        <v>0.05</v>
      </c>
      <c r="M22" s="50">
        <f t="shared" si="15"/>
        <v>0.83572974607013306</v>
      </c>
      <c r="N22" s="50">
        <f t="shared" si="16"/>
        <v>0.25071892382103989</v>
      </c>
      <c r="O22" s="50">
        <f t="shared" si="17"/>
        <v>0</v>
      </c>
      <c r="P22" s="50">
        <f t="shared" si="18"/>
        <v>0</v>
      </c>
      <c r="Q22" s="51">
        <f t="shared" si="19"/>
        <v>145.41697581620312</v>
      </c>
      <c r="R22" s="205">
        <f t="shared" si="20"/>
        <v>0</v>
      </c>
      <c r="S22" s="279">
        <f>IF(R22="si",0,IF(E22="si",0,IF(J22&gt;K22,0,K22-J22))) + IF(INDEX('calcolo base'!$P:$P, MATCH($A22, 'calcolo base'!$A:$A, 0))="SI", ('Commissioni De Angeli'!K22-'Commissioni De Angeli'!J22), 0)</f>
        <v>0.43140507859734001</v>
      </c>
      <c r="T22" s="117">
        <f t="shared" si="21"/>
        <v>100.08597823458288</v>
      </c>
      <c r="U22" s="272">
        <f>IF(Q22=0,'calcolo base'!L2621,(T22+Q22))</f>
        <v>245.502954050786</v>
      </c>
      <c r="V22" s="119">
        <v>46127</v>
      </c>
      <c r="Z22" s="118">
        <f t="shared" si="22"/>
        <v>4</v>
      </c>
      <c r="AA22" s="118">
        <f t="shared" si="23"/>
        <v>2026</v>
      </c>
    </row>
    <row r="23" spans="1:27">
      <c r="A23" s="118">
        <v>17</v>
      </c>
      <c r="B23" s="101">
        <v>2505428</v>
      </c>
      <c r="C23" s="35" t="s">
        <v>59</v>
      </c>
      <c r="D23" s="53">
        <v>494</v>
      </c>
      <c r="E23" s="53"/>
      <c r="F23" s="48">
        <v>6.66</v>
      </c>
      <c r="G23" s="243" t="str">
        <f>INDEX('calcolo base'!$B:$B, MATCH($A23, 'calcolo base'!$A:$A, 0))</f>
        <v>Rame</v>
      </c>
      <c r="H23" s="54" t="str">
        <f t="shared" si="13"/>
        <v>Rame</v>
      </c>
      <c r="I23" s="259">
        <f>IF(  OR(      INDEX('calcolo base'!$D:$D, MATCH($A23, 'calcolo base'!$A:$A, 0)) = 0,
      INDEX('calcolo base'!$D:$D, MATCH($A23, 'calcolo base'!$A:$A, 0)) = ""   ),
   INDEX('calcolo base'!$K:$K, MATCH($A23, 'calcolo base'!$A:$A, 0)),
   INDEX('calcolo base'!$J:$J, MATCH($A23, 'calcolo base'!$A:$A, 0))
) / 1000</f>
        <v>10.104594921402661</v>
      </c>
      <c r="J23" s="50">
        <f t="shared" si="14"/>
        <v>16.764594921402661</v>
      </c>
      <c r="K23" s="50">
        <v>17.196000000000002</v>
      </c>
      <c r="L23" s="267">
        <f>INDEX('calcolo base'!$H:$H, MATCH($A23, 'calcolo base'!$A:$A, 0))</f>
        <v>0.05</v>
      </c>
      <c r="M23" s="50">
        <f t="shared" si="15"/>
        <v>0.83822974607013312</v>
      </c>
      <c r="N23" s="50">
        <f t="shared" si="16"/>
        <v>0.25146892382103991</v>
      </c>
      <c r="O23" s="50">
        <f t="shared" si="17"/>
        <v>0</v>
      </c>
      <c r="P23" s="50">
        <f t="shared" si="18"/>
        <v>0</v>
      </c>
      <c r="Q23" s="51">
        <f t="shared" si="19"/>
        <v>124.22564836759372</v>
      </c>
      <c r="R23" s="205">
        <f t="shared" si="20"/>
        <v>0</v>
      </c>
      <c r="S23" s="279">
        <f>IF(R23="si",0,IF(E23="si",0,IF(J23&gt;K23,0,K23-J23))) + IF(INDEX('calcolo base'!$P:$P, MATCH($A23, 'calcolo base'!$A:$A, 0))="SI", ('Commissioni De Angeli'!K23-'Commissioni De Angeli'!J23), 0)</f>
        <v>0.43140507859734001</v>
      </c>
      <c r="T23" s="117">
        <f t="shared" si="21"/>
        <v>85.2456435308344</v>
      </c>
      <c r="U23" s="272">
        <f>IF(Q23=0,'calcolo base'!L2622,(T23+Q23))</f>
        <v>209.47129189842812</v>
      </c>
      <c r="V23" s="119">
        <v>46127</v>
      </c>
      <c r="Z23" s="118">
        <f t="shared" si="22"/>
        <v>4</v>
      </c>
      <c r="AA23" s="118">
        <f t="shared" si="23"/>
        <v>2026</v>
      </c>
    </row>
    <row r="24" spans="1:27">
      <c r="A24" s="118">
        <v>18</v>
      </c>
      <c r="B24" s="101">
        <v>2505511</v>
      </c>
      <c r="C24" s="75" t="s">
        <v>77</v>
      </c>
      <c r="D24" s="53">
        <v>1250</v>
      </c>
      <c r="E24" s="53"/>
      <c r="F24" s="48">
        <v>0.66</v>
      </c>
      <c r="G24" s="243" t="str">
        <f>INDEX('calcolo base'!$B:$B, MATCH($A24, 'calcolo base'!$A:$A, 0))</f>
        <v>Rame</v>
      </c>
      <c r="H24" s="54" t="str">
        <f t="shared" si="13"/>
        <v>Rame</v>
      </c>
      <c r="I24" s="259">
        <f>IF(  OR(      INDEX('calcolo base'!$D:$D, MATCH($A24, 'calcolo base'!$A:$A, 0)) = 0,
      INDEX('calcolo base'!$D:$D, MATCH($A24, 'calcolo base'!$A:$A, 0)) = ""   ),
   INDEX('calcolo base'!$K:$K, MATCH($A24, 'calcolo base'!$A:$A, 0)),
   INDEX('calcolo base'!$J:$J, MATCH($A24, 'calcolo base'!$A:$A, 0))
) / 1000</f>
        <v>9.9334696719171536</v>
      </c>
      <c r="J24" s="50">
        <f t="shared" si="14"/>
        <v>10.593469671917154</v>
      </c>
      <c r="K24" s="50">
        <v>10.593500000000001</v>
      </c>
      <c r="L24" s="267">
        <f>INDEX('calcolo base'!$H:$H, MATCH($A24, 'calcolo base'!$A:$A, 0))</f>
        <v>0.05</v>
      </c>
      <c r="M24" s="50">
        <f t="shared" si="15"/>
        <v>0.52967348359585775</v>
      </c>
      <c r="N24" s="50">
        <f t="shared" si="16"/>
        <v>0.1589020450787573</v>
      </c>
      <c r="O24" s="50">
        <f t="shared" si="17"/>
        <v>0</v>
      </c>
      <c r="P24" s="50">
        <f t="shared" si="18"/>
        <v>0</v>
      </c>
      <c r="Q24" s="51">
        <f t="shared" si="19"/>
        <v>198.62755634844663</v>
      </c>
      <c r="R24" s="205">
        <f t="shared" si="20"/>
        <v>0</v>
      </c>
      <c r="S24" s="279">
        <f>IF(R24="si",0,IF(E24="si",0,IF(J24&gt;K24,0,K24-J24))) + IF(INDEX('calcolo base'!$P:$P, MATCH($A24, 'calcolo base'!$A:$A, 0))="SI", ('Commissioni De Angeli'!K24-'Commissioni De Angeli'!J24), 0)</f>
        <v>3.032808284686439E-5</v>
      </c>
      <c r="T24" s="117">
        <f t="shared" si="21"/>
        <v>1.5164041423432195E-2</v>
      </c>
      <c r="U24" s="272">
        <f>IF(Q24=0,'calcolo base'!L2623,(T24+Q24))</f>
        <v>198.64272038987008</v>
      </c>
      <c r="V24" s="119">
        <v>46117</v>
      </c>
      <c r="Z24" s="118">
        <f t="shared" si="22"/>
        <v>4</v>
      </c>
      <c r="AA24" s="118">
        <f t="shared" si="23"/>
        <v>2026</v>
      </c>
    </row>
    <row r="25" spans="1:27">
      <c r="A25" s="118">
        <v>19</v>
      </c>
      <c r="B25" s="101" t="s">
        <v>164</v>
      </c>
      <c r="C25" s="106" t="s">
        <v>77</v>
      </c>
      <c r="D25" s="103">
        <v>1488</v>
      </c>
      <c r="E25" s="53"/>
      <c r="F25" s="48">
        <v>0.66</v>
      </c>
      <c r="G25" s="243" t="str">
        <f>INDEX('calcolo base'!$B:$B, MATCH($A25, 'calcolo base'!$A:$A, 0))</f>
        <v>Rame</v>
      </c>
      <c r="H25" s="54" t="str">
        <f t="shared" si="13"/>
        <v>Rame</v>
      </c>
      <c r="I25" s="259">
        <f>IF(  OR(      INDEX('calcolo base'!$D:$D, MATCH($A25, 'calcolo base'!$A:$A, 0)) = 0,
      INDEX('calcolo base'!$D:$D, MATCH($A25, 'calcolo base'!$A:$A, 0)) = ""   ),
   INDEX('calcolo base'!$K:$K, MATCH($A25, 'calcolo base'!$A:$A, 0)),
   INDEX('calcolo base'!$J:$J, MATCH($A25, 'calcolo base'!$A:$A, 0))
) / 1000</f>
        <v>9.9334696719171536</v>
      </c>
      <c r="J25" s="50">
        <f t="shared" si="14"/>
        <v>10.593469671917154</v>
      </c>
      <c r="K25" s="50">
        <v>10.593500000000001</v>
      </c>
      <c r="L25" s="267">
        <f>INDEX('calcolo base'!$H:$H, MATCH($A25, 'calcolo base'!$A:$A, 0))</f>
        <v>0.05</v>
      </c>
      <c r="M25" s="50">
        <f t="shared" si="15"/>
        <v>0.52967348359585775</v>
      </c>
      <c r="N25" s="50">
        <f t="shared" si="16"/>
        <v>0.1589020450787573</v>
      </c>
      <c r="O25" s="50">
        <f t="shared" si="17"/>
        <v>0</v>
      </c>
      <c r="P25" s="50">
        <f t="shared" si="18"/>
        <v>0</v>
      </c>
      <c r="Q25" s="51">
        <f t="shared" si="19"/>
        <v>236.44624307719087</v>
      </c>
      <c r="R25" s="205">
        <f t="shared" si="20"/>
        <v>0</v>
      </c>
      <c r="S25" s="279">
        <f>IF(R25="si",0,IF(E25="si",0,IF(J25&gt;K25,0,K25-J25))) + IF(INDEX('calcolo base'!$P:$P, MATCH($A25, 'calcolo base'!$A:$A, 0))="SI", ('Commissioni De Angeli'!K25-'Commissioni De Angeli'!J25), 0)</f>
        <v>3.032808284686439E-5</v>
      </c>
      <c r="T25" s="117">
        <f t="shared" si="21"/>
        <v>1.8051274910453687E-2</v>
      </c>
      <c r="U25" s="272">
        <f>IF(Q25=0,'calcolo base'!L2624,(T25+Q25))</f>
        <v>236.46429435210132</v>
      </c>
      <c r="V25" s="119"/>
      <c r="W25" s="118" t="s">
        <v>155</v>
      </c>
      <c r="Z25" s="118">
        <f t="shared" si="22"/>
        <v>0</v>
      </c>
      <c r="AA25" s="118">
        <f t="shared" si="23"/>
        <v>0</v>
      </c>
    </row>
    <row r="26" spans="1:27">
      <c r="A26" s="118">
        <v>20</v>
      </c>
      <c r="B26" s="101" t="s">
        <v>197</v>
      </c>
      <c r="C26" s="110" t="s">
        <v>77</v>
      </c>
      <c r="D26" s="107">
        <v>509</v>
      </c>
      <c r="E26" s="53"/>
      <c r="F26" s="48">
        <v>0.66</v>
      </c>
      <c r="G26" s="243" t="str">
        <f>INDEX('calcolo base'!$B:$B, MATCH($A26, 'calcolo base'!$A:$A, 0))</f>
        <v>Rame</v>
      </c>
      <c r="H26" s="54" t="str">
        <f t="shared" ref="H26:H45" si="24">IF(G26=0,"",+G26)</f>
        <v>Rame</v>
      </c>
      <c r="I26" s="259">
        <f>IF(  OR(      INDEX('calcolo base'!$D:$D, MATCH($A26, 'calcolo base'!$A:$A, 0)) = 0,
      INDEX('calcolo base'!$D:$D, MATCH($A26, 'calcolo base'!$A:$A, 0)) = ""   ),
   INDEX('calcolo base'!$K:$K, MATCH($A26, 'calcolo base'!$A:$A, 0)),
   INDEX('calcolo base'!$J:$J, MATCH($A26, 'calcolo base'!$A:$A, 0))
) / 1000</f>
        <v>9.9334696719171536</v>
      </c>
      <c r="J26" s="50">
        <f t="shared" ref="J26:J45" si="25">+F26+I26</f>
        <v>10.593469671917154</v>
      </c>
      <c r="K26" s="50">
        <v>10.593500000000001</v>
      </c>
      <c r="L26" s="267">
        <f>INDEX('calcolo base'!$H:$H, MATCH($A26, 'calcolo base'!$A:$A, 0))</f>
        <v>0.05</v>
      </c>
      <c r="M26" s="50">
        <f t="shared" ref="M26:M45" si="26">IF(L26=0,0,J26*L26)</f>
        <v>0.52967348359585775</v>
      </c>
      <c r="N26" s="50">
        <f t="shared" ref="N26:N45" si="27">IF(E26="si",K26*1.5%,IF($L26&gt;=5%,IF($I26=0,0,(IF($G26="RAME",($J26)*1.5%,0)+IF($G26="rame smaltato",($K26)*1.5%,0))),0))</f>
        <v>0.1589020450787573</v>
      </c>
      <c r="O26" s="50">
        <f t="shared" si="17"/>
        <v>0</v>
      </c>
      <c r="P26" s="50">
        <f t="shared" ref="P26:P45" si="28">IF(H26="alluminio",0,IF(L26&lt;5%,F26*8%,0))</f>
        <v>0</v>
      </c>
      <c r="Q26" s="51">
        <f t="shared" ref="Q26:Q45" si="29">+(N26*D26)+(O26*D26)+(P26*D26)</f>
        <v>80.881140945087466</v>
      </c>
      <c r="R26" s="205">
        <f t="shared" ref="R26:R45" si="30">IF(H26="ALLUMINIO",0,IF(L26&lt;5%,"si",0))</f>
        <v>0</v>
      </c>
      <c r="S26" s="279">
        <f>IF(R26="si",0,IF(E26="si",0,IF(J26&gt;K26,0,K26-J26))) + IF(INDEX('calcolo base'!$P:$P, MATCH($A26, 'calcolo base'!$A:$A, 0))="SI", ('Commissioni De Angeli'!K26-'Commissioni De Angeli'!J26), 0)</f>
        <v>3.032808284686439E-5</v>
      </c>
      <c r="T26" s="117">
        <f t="shared" ref="T26:T45" si="31">+(S26)*D26*40%</f>
        <v>6.1747976676215901E-3</v>
      </c>
      <c r="U26" s="272">
        <f>IF(Q26=0,'calcolo base'!L2625,(T26+Q26))</f>
        <v>80.887315742755092</v>
      </c>
      <c r="V26" s="119"/>
      <c r="Z26" s="118">
        <f t="shared" si="22"/>
        <v>0</v>
      </c>
      <c r="AA26" s="118">
        <f t="shared" si="23"/>
        <v>0</v>
      </c>
    </row>
    <row r="27" spans="1:27">
      <c r="A27" s="118">
        <v>21</v>
      </c>
      <c r="B27" s="101" t="s">
        <v>197</v>
      </c>
      <c r="C27" s="110" t="s">
        <v>77</v>
      </c>
      <c r="D27" s="107">
        <v>505</v>
      </c>
      <c r="E27" s="53"/>
      <c r="F27" s="48">
        <v>0.66</v>
      </c>
      <c r="G27" s="243" t="str">
        <f>INDEX('calcolo base'!$B:$B, MATCH($A27, 'calcolo base'!$A:$A, 0))</f>
        <v>Rame</v>
      </c>
      <c r="H27" s="54" t="str">
        <f t="shared" si="24"/>
        <v>Rame</v>
      </c>
      <c r="I27" s="259">
        <f>IF(  OR(      INDEX('calcolo base'!$D:$D, MATCH($A27, 'calcolo base'!$A:$A, 0)) = 0,
      INDEX('calcolo base'!$D:$D, MATCH($A27, 'calcolo base'!$A:$A, 0)) = ""   ),
   INDEX('calcolo base'!$K:$K, MATCH($A27, 'calcolo base'!$A:$A, 0)),
   INDEX('calcolo base'!$J:$J, MATCH($A27, 'calcolo base'!$A:$A, 0))
) / 1000</f>
        <v>9.9334696719171536</v>
      </c>
      <c r="J27" s="50">
        <f t="shared" si="25"/>
        <v>10.593469671917154</v>
      </c>
      <c r="K27" s="50">
        <v>10.593500000000001</v>
      </c>
      <c r="L27" s="267">
        <f>INDEX('calcolo base'!$H:$H, MATCH($A27, 'calcolo base'!$A:$A, 0))</f>
        <v>0.05</v>
      </c>
      <c r="M27" s="50">
        <f t="shared" si="26"/>
        <v>0.52967348359585775</v>
      </c>
      <c r="N27" s="50">
        <f t="shared" si="27"/>
        <v>0.1589020450787573</v>
      </c>
      <c r="O27" s="50">
        <f t="shared" si="17"/>
        <v>0</v>
      </c>
      <c r="P27" s="50">
        <f t="shared" si="28"/>
        <v>0</v>
      </c>
      <c r="Q27" s="51">
        <f t="shared" si="29"/>
        <v>80.245532764772435</v>
      </c>
      <c r="R27" s="205">
        <f t="shared" si="30"/>
        <v>0</v>
      </c>
      <c r="S27" s="279">
        <f>IF(R27="si",0,IF(E27="si",0,IF(J27&gt;K27,0,K27-J27))) + IF(INDEX('calcolo base'!$P:$P, MATCH($A27, 'calcolo base'!$A:$A, 0))="SI", ('Commissioni De Angeli'!K27-'Commissioni De Angeli'!J27), 0)</f>
        <v>3.032808284686439E-5</v>
      </c>
      <c r="T27" s="117">
        <f t="shared" si="31"/>
        <v>6.1262727350666069E-3</v>
      </c>
      <c r="U27" s="272">
        <f>IF(Q27=0,'calcolo base'!L2626,(T27+Q27))</f>
        <v>80.251659037507494</v>
      </c>
      <c r="V27" s="119"/>
      <c r="Z27" s="118">
        <f t="shared" si="22"/>
        <v>0</v>
      </c>
      <c r="AA27" s="118">
        <f t="shared" si="23"/>
        <v>0</v>
      </c>
    </row>
    <row r="28" spans="1:27">
      <c r="A28" s="118">
        <v>22</v>
      </c>
      <c r="B28" s="101" t="s">
        <v>197</v>
      </c>
      <c r="C28" s="110" t="s">
        <v>77</v>
      </c>
      <c r="D28" s="107">
        <v>505</v>
      </c>
      <c r="E28" s="53"/>
      <c r="F28" s="48">
        <v>0.66</v>
      </c>
      <c r="G28" s="243" t="str">
        <f>INDEX('calcolo base'!$B:$B, MATCH($A28, 'calcolo base'!$A:$A, 0))</f>
        <v>Rame</v>
      </c>
      <c r="H28" s="54" t="str">
        <f t="shared" si="24"/>
        <v>Rame</v>
      </c>
      <c r="I28" s="259">
        <f>IF(  OR(      INDEX('calcolo base'!$D:$D, MATCH($A28, 'calcolo base'!$A:$A, 0)) = 0,
      INDEX('calcolo base'!$D:$D, MATCH($A28, 'calcolo base'!$A:$A, 0)) = ""   ),
   INDEX('calcolo base'!$K:$K, MATCH($A28, 'calcolo base'!$A:$A, 0)),
   INDEX('calcolo base'!$J:$J, MATCH($A28, 'calcolo base'!$A:$A, 0))
) / 1000</f>
        <v>9.9334696719171536</v>
      </c>
      <c r="J28" s="50">
        <f t="shared" si="25"/>
        <v>10.593469671917154</v>
      </c>
      <c r="K28" s="50">
        <v>10.593500000000001</v>
      </c>
      <c r="L28" s="267">
        <f>INDEX('calcolo base'!$H:$H, MATCH($A28, 'calcolo base'!$A:$A, 0))</f>
        <v>0.05</v>
      </c>
      <c r="M28" s="50">
        <f t="shared" si="26"/>
        <v>0.52967348359585775</v>
      </c>
      <c r="N28" s="50">
        <f t="shared" si="27"/>
        <v>0.1589020450787573</v>
      </c>
      <c r="O28" s="50">
        <f t="shared" si="17"/>
        <v>0</v>
      </c>
      <c r="P28" s="50">
        <f t="shared" si="28"/>
        <v>0</v>
      </c>
      <c r="Q28" s="51">
        <f t="shared" si="29"/>
        <v>80.245532764772435</v>
      </c>
      <c r="R28" s="205">
        <f t="shared" si="30"/>
        <v>0</v>
      </c>
      <c r="S28" s="279">
        <f>IF(R28="si",0,IF(E28="si",0,IF(J28&gt;K28,0,K28-J28))) + IF(INDEX('calcolo base'!$P:$P, MATCH($A28, 'calcolo base'!$A:$A, 0))="SI", ('Commissioni De Angeli'!K28-'Commissioni De Angeli'!J28), 0)</f>
        <v>3.032808284686439E-5</v>
      </c>
      <c r="T28" s="117">
        <f t="shared" si="31"/>
        <v>6.1262727350666069E-3</v>
      </c>
      <c r="U28" s="272">
        <f>IF(Q28=0,'calcolo base'!L2627,(T28+Q28))</f>
        <v>80.251659037507494</v>
      </c>
      <c r="V28" s="119"/>
      <c r="Z28" s="118">
        <f t="shared" si="22"/>
        <v>0</v>
      </c>
      <c r="AA28" s="118">
        <f t="shared" si="23"/>
        <v>0</v>
      </c>
    </row>
    <row r="29" spans="1:27">
      <c r="A29" s="118">
        <v>23</v>
      </c>
      <c r="B29" s="101">
        <v>2505511</v>
      </c>
      <c r="C29" s="75" t="s">
        <v>77</v>
      </c>
      <c r="D29" s="53">
        <v>500</v>
      </c>
      <c r="E29" s="53"/>
      <c r="F29" s="48">
        <v>0.66</v>
      </c>
      <c r="G29" s="243" t="str">
        <f>INDEX('calcolo base'!$B:$B, MATCH($A29, 'calcolo base'!$A:$A, 0))</f>
        <v>Rame</v>
      </c>
      <c r="H29" s="54" t="str">
        <f t="shared" si="24"/>
        <v>Rame</v>
      </c>
      <c r="I29" s="259">
        <f>IF(  OR(      INDEX('calcolo base'!$D:$D, MATCH($A29, 'calcolo base'!$A:$A, 0)) = 0,
      INDEX('calcolo base'!$D:$D, MATCH($A29, 'calcolo base'!$A:$A, 0)) = ""   ),
   INDEX('calcolo base'!$K:$K, MATCH($A29, 'calcolo base'!$A:$A, 0)),
   INDEX('calcolo base'!$J:$J, MATCH($A29, 'calcolo base'!$A:$A, 0))
) / 1000</f>
        <v>9.9334696719171536</v>
      </c>
      <c r="J29" s="50">
        <f t="shared" si="25"/>
        <v>10.593469671917154</v>
      </c>
      <c r="K29" s="50">
        <v>10.593500000000001</v>
      </c>
      <c r="L29" s="267">
        <f>INDEX('calcolo base'!$H:$H, MATCH($A29, 'calcolo base'!$A:$A, 0))</f>
        <v>0.05</v>
      </c>
      <c r="M29" s="50">
        <f t="shared" si="26"/>
        <v>0.52967348359585775</v>
      </c>
      <c r="N29" s="50">
        <f t="shared" si="27"/>
        <v>0.1589020450787573</v>
      </c>
      <c r="O29" s="50">
        <f t="shared" si="17"/>
        <v>0</v>
      </c>
      <c r="P29" s="50">
        <f t="shared" si="28"/>
        <v>0</v>
      </c>
      <c r="Q29" s="51">
        <f t="shared" si="29"/>
        <v>79.451022539378656</v>
      </c>
      <c r="R29" s="205">
        <f t="shared" si="30"/>
        <v>0</v>
      </c>
      <c r="S29" s="279">
        <f>IF(R29="si",0,IF(E29="si",0,IF(J29&gt;K29,0,K29-J29))) + IF(INDEX('calcolo base'!$P:$P, MATCH($A29, 'calcolo base'!$A:$A, 0))="SI", ('Commissioni De Angeli'!K29-'Commissioni De Angeli'!J29), 0)</f>
        <v>3.032808284686439E-5</v>
      </c>
      <c r="T29" s="117">
        <f t="shared" si="31"/>
        <v>6.0656165693728781E-3</v>
      </c>
      <c r="U29" s="272">
        <f>IF(Q29=0,'calcolo base'!L2628,(T29+Q29))</f>
        <v>79.457088155948028</v>
      </c>
      <c r="V29" s="119">
        <v>46058</v>
      </c>
      <c r="Z29" s="118">
        <f t="shared" si="22"/>
        <v>2</v>
      </c>
      <c r="AA29" s="118">
        <f t="shared" si="23"/>
        <v>2026</v>
      </c>
    </row>
    <row r="30" spans="1:27">
      <c r="A30" s="118">
        <v>24</v>
      </c>
      <c r="B30" s="101">
        <v>2505666</v>
      </c>
      <c r="C30" s="35" t="s">
        <v>59</v>
      </c>
      <c r="D30" s="53">
        <v>1600</v>
      </c>
      <c r="E30" s="53"/>
      <c r="F30" s="48">
        <v>5.2</v>
      </c>
      <c r="G30" s="243" t="str">
        <f>INDEX('calcolo base'!$B:$B, MATCH($A30, 'calcolo base'!$A:$A, 0))</f>
        <v>Rame</v>
      </c>
      <c r="H30" s="54" t="str">
        <f t="shared" si="24"/>
        <v>Rame</v>
      </c>
      <c r="I30" s="259">
        <f>IF(  OR(      INDEX('calcolo base'!$D:$D, MATCH($A30, 'calcolo base'!$A:$A, 0)) = 0,
      INDEX('calcolo base'!$D:$D, MATCH($A30, 'calcolo base'!$A:$A, 0)) = ""   ),
   INDEX('calcolo base'!$K:$K, MATCH($A30, 'calcolo base'!$A:$A, 0)),
   INDEX('calcolo base'!$J:$J, MATCH($A30, 'calcolo base'!$A:$A, 0))
) / 1000</f>
        <v>10.448485109313134</v>
      </c>
      <c r="J30" s="50">
        <f t="shared" si="25"/>
        <v>15.648485109313135</v>
      </c>
      <c r="K30" s="50">
        <v>15.84</v>
      </c>
      <c r="L30" s="267">
        <f>INDEX('calcolo base'!$H:$H, MATCH($A30, 'calcolo base'!$A:$A, 0))</f>
        <v>0.05</v>
      </c>
      <c r="M30" s="50">
        <f t="shared" si="26"/>
        <v>0.78242425546565686</v>
      </c>
      <c r="N30" s="50">
        <f t="shared" si="27"/>
        <v>0.23472727663969703</v>
      </c>
      <c r="O30" s="50">
        <f t="shared" si="17"/>
        <v>0</v>
      </c>
      <c r="P30" s="50">
        <f t="shared" si="28"/>
        <v>0</v>
      </c>
      <c r="Q30" s="51">
        <f t="shared" si="29"/>
        <v>375.56364262351525</v>
      </c>
      <c r="R30" s="205">
        <f t="shared" si="30"/>
        <v>0</v>
      </c>
      <c r="S30" s="279">
        <f>IF(R30="si",0,IF(E30="si",0,IF(J30&gt;K30,0,K30-J30))) + IF(INDEX('calcolo base'!$P:$P, MATCH($A30, 'calcolo base'!$A:$A, 0))="SI", ('Commissioni De Angeli'!K30-'Commissioni De Angeli'!J30), 0)</f>
        <v>0.19151489068686445</v>
      </c>
      <c r="T30" s="117">
        <f t="shared" si="31"/>
        <v>122.56953003959325</v>
      </c>
      <c r="U30" s="272">
        <f>IF(Q30=0,'calcolo base'!L2629,(T30+Q30))</f>
        <v>498.1331726631085</v>
      </c>
      <c r="V30" s="119">
        <v>46069</v>
      </c>
      <c r="Z30" s="118">
        <f t="shared" si="22"/>
        <v>2</v>
      </c>
      <c r="AA30" s="118">
        <f t="shared" si="23"/>
        <v>2026</v>
      </c>
    </row>
    <row r="31" spans="1:27">
      <c r="A31" s="118">
        <v>25</v>
      </c>
      <c r="B31" s="101">
        <v>2505933</v>
      </c>
      <c r="C31" s="99" t="s">
        <v>105</v>
      </c>
      <c r="D31" s="100">
        <v>7500</v>
      </c>
      <c r="E31" s="53"/>
      <c r="F31" s="48">
        <v>3.26</v>
      </c>
      <c r="G31" s="243" t="str">
        <f>INDEX('calcolo base'!$B:$B, MATCH($A31, 'calcolo base'!$A:$A, 0))</f>
        <v>Rame</v>
      </c>
      <c r="H31" s="54" t="str">
        <f t="shared" si="24"/>
        <v>Rame</v>
      </c>
      <c r="I31" s="259">
        <f>IF(  OR(      INDEX('calcolo base'!$D:$D, MATCH($A31, 'calcolo base'!$A:$A, 0)) = 0,
      INDEX('calcolo base'!$D:$D, MATCH($A31, 'calcolo base'!$A:$A, 0)) = ""   ),
   INDEX('calcolo base'!$K:$K, MATCH($A31, 'calcolo base'!$A:$A, 0)),
   INDEX('calcolo base'!$J:$J, MATCH($A31, 'calcolo base'!$A:$A, 0))
) / 1000</f>
        <v>10.685724067100306</v>
      </c>
      <c r="J31" s="50">
        <f t="shared" si="25"/>
        <v>13.945724067100306</v>
      </c>
      <c r="K31" s="50">
        <v>14.295999999999999</v>
      </c>
      <c r="L31" s="267">
        <f>INDEX('calcolo base'!$H:$H, MATCH($A31, 'calcolo base'!$A:$A, 0))</f>
        <v>0.04</v>
      </c>
      <c r="M31" s="50">
        <f t="shared" si="26"/>
        <v>0.55782896268401228</v>
      </c>
      <c r="N31" s="50">
        <f t="shared" si="27"/>
        <v>0</v>
      </c>
      <c r="O31" s="50">
        <f t="shared" ref="O31:O53" si="32">IF($I31=0,0,(IF($G31="alluminio",($J31)*3%,0)+IF($G31="alluminio smaltato",($K31)*3%,0)))</f>
        <v>0</v>
      </c>
      <c r="P31" s="50">
        <f t="shared" si="28"/>
        <v>0.26079999999999998</v>
      </c>
      <c r="Q31" s="51">
        <f t="shared" si="29"/>
        <v>1955.9999999999998</v>
      </c>
      <c r="R31" s="205" t="str">
        <f t="shared" si="30"/>
        <v>si</v>
      </c>
      <c r="S31" s="279">
        <v>0.35</v>
      </c>
      <c r="T31" s="117">
        <f t="shared" si="31"/>
        <v>1050</v>
      </c>
      <c r="U31" s="272">
        <f>IF(Q31=0,'calcolo base'!L2630,(T31+Q31))</f>
        <v>3006</v>
      </c>
      <c r="V31" s="119">
        <v>46231</v>
      </c>
      <c r="X31" s="123" t="s">
        <v>175</v>
      </c>
      <c r="Z31" s="118">
        <f t="shared" si="22"/>
        <v>7</v>
      </c>
      <c r="AA31" s="118">
        <f t="shared" si="23"/>
        <v>2026</v>
      </c>
    </row>
    <row r="32" spans="1:27">
      <c r="A32" s="118">
        <v>26</v>
      </c>
      <c r="B32" s="101">
        <v>2505933</v>
      </c>
      <c r="C32" s="99" t="s">
        <v>105</v>
      </c>
      <c r="D32" s="100">
        <v>5000</v>
      </c>
      <c r="E32" s="53"/>
      <c r="F32" s="48">
        <v>3.82</v>
      </c>
      <c r="G32" s="243" t="str">
        <f>INDEX('calcolo base'!$B:$B, MATCH($A32, 'calcolo base'!$A:$A, 0))</f>
        <v>Rame</v>
      </c>
      <c r="H32" s="54" t="str">
        <f t="shared" si="24"/>
        <v>Rame</v>
      </c>
      <c r="I32" s="259">
        <f>IF(  OR(      INDEX('calcolo base'!$D:$D, MATCH($A32, 'calcolo base'!$A:$A, 0)) = 0,
      INDEX('calcolo base'!$D:$D, MATCH($A32, 'calcolo base'!$A:$A, 0)) = ""   ),
   INDEX('calcolo base'!$K:$K, MATCH($A32, 'calcolo base'!$A:$A, 0)),
   INDEX('calcolo base'!$J:$J, MATCH($A32, 'calcolo base'!$A:$A, 0))
) / 1000</f>
        <v>10.685724067100306</v>
      </c>
      <c r="J32" s="50">
        <f t="shared" si="25"/>
        <v>14.505724067100306</v>
      </c>
      <c r="K32" s="50">
        <v>14.505699999999999</v>
      </c>
      <c r="L32" s="267">
        <f>INDEX('calcolo base'!$H:$H, MATCH($A32, 'calcolo base'!$A:$A, 0))</f>
        <v>0.04</v>
      </c>
      <c r="M32" s="50">
        <f t="shared" si="26"/>
        <v>0.58022896268401225</v>
      </c>
      <c r="N32" s="50">
        <f t="shared" si="27"/>
        <v>0</v>
      </c>
      <c r="O32" s="50">
        <f t="shared" si="32"/>
        <v>0</v>
      </c>
      <c r="P32" s="50">
        <f t="shared" si="28"/>
        <v>0.30559999999999998</v>
      </c>
      <c r="Q32" s="51">
        <f t="shared" si="29"/>
        <v>1528</v>
      </c>
      <c r="R32" s="205" t="str">
        <f t="shared" si="30"/>
        <v>si</v>
      </c>
      <c r="S32" s="279">
        <f>IF(R32="si",0,IF(E32="si",0,IF(J32&gt;K32,0,K32-J32))) + IF(INDEX('calcolo base'!$P:$P, MATCH($A32, 'calcolo base'!$A:$A, 0))="SI", ('Commissioni De Angeli'!K32-'Commissioni De Angeli'!J32), 0)</f>
        <v>0</v>
      </c>
      <c r="T32" s="117">
        <f t="shared" si="31"/>
        <v>0</v>
      </c>
      <c r="U32" s="272">
        <f>IF(Q32=0,'calcolo base'!L2631,(T32+Q32))</f>
        <v>1528</v>
      </c>
      <c r="V32" s="119">
        <v>46300</v>
      </c>
      <c r="X32" s="123" t="s">
        <v>176</v>
      </c>
      <c r="Z32" s="118">
        <f t="shared" si="22"/>
        <v>10</v>
      </c>
      <c r="AA32" s="118">
        <f t="shared" si="23"/>
        <v>2026</v>
      </c>
    </row>
    <row r="33" spans="1:27">
      <c r="A33" s="118">
        <v>27</v>
      </c>
      <c r="B33" s="101">
        <v>2505933</v>
      </c>
      <c r="C33" s="99" t="s">
        <v>105</v>
      </c>
      <c r="D33" s="100">
        <v>6000</v>
      </c>
      <c r="E33" s="53"/>
      <c r="F33" s="48">
        <v>3.26</v>
      </c>
      <c r="G33" s="243" t="str">
        <f>INDEX('calcolo base'!$B:$B, MATCH($A33, 'calcolo base'!$A:$A, 0))</f>
        <v>Rame</v>
      </c>
      <c r="H33" s="54" t="str">
        <f t="shared" si="24"/>
        <v>Rame</v>
      </c>
      <c r="I33" s="259">
        <f>IF(  OR(      INDEX('calcolo base'!$D:$D, MATCH($A33, 'calcolo base'!$A:$A, 0)) = 0,
      INDEX('calcolo base'!$D:$D, MATCH($A33, 'calcolo base'!$A:$A, 0)) = ""   ),
   INDEX('calcolo base'!$K:$K, MATCH($A33, 'calcolo base'!$A:$A, 0)),
   INDEX('calcolo base'!$J:$J, MATCH($A33, 'calcolo base'!$A:$A, 0))
) / 1000</f>
        <v>10.685724067100306</v>
      </c>
      <c r="J33" s="50">
        <f t="shared" si="25"/>
        <v>13.945724067100306</v>
      </c>
      <c r="K33" s="50">
        <v>14.295999999999999</v>
      </c>
      <c r="L33" s="267">
        <f>INDEX('calcolo base'!$H:$H, MATCH($A33, 'calcolo base'!$A:$A, 0))</f>
        <v>0.04</v>
      </c>
      <c r="M33" s="50">
        <f t="shared" si="26"/>
        <v>0.55782896268401228</v>
      </c>
      <c r="N33" s="50">
        <f t="shared" si="27"/>
        <v>0</v>
      </c>
      <c r="O33" s="50">
        <f t="shared" si="32"/>
        <v>0</v>
      </c>
      <c r="P33" s="50">
        <f t="shared" si="28"/>
        <v>0.26079999999999998</v>
      </c>
      <c r="Q33" s="51">
        <f t="shared" si="29"/>
        <v>1564.8</v>
      </c>
      <c r="R33" s="205" t="str">
        <f t="shared" si="30"/>
        <v>si</v>
      </c>
      <c r="S33" s="279">
        <v>0.35</v>
      </c>
      <c r="T33" s="117">
        <f t="shared" si="31"/>
        <v>840</v>
      </c>
      <c r="U33" s="272">
        <f>IF(Q33=0,'calcolo base'!L2632,(T33+Q33))</f>
        <v>2404.8000000000002</v>
      </c>
      <c r="V33" s="119">
        <v>46119</v>
      </c>
      <c r="X33" s="123" t="s">
        <v>177</v>
      </c>
      <c r="Z33" s="118">
        <f t="shared" si="22"/>
        <v>4</v>
      </c>
      <c r="AA33" s="118">
        <f t="shared" si="23"/>
        <v>2026</v>
      </c>
    </row>
    <row r="34" spans="1:27">
      <c r="A34" s="118">
        <v>28</v>
      </c>
      <c r="B34" s="101">
        <v>2505933</v>
      </c>
      <c r="C34" s="99" t="s">
        <v>105</v>
      </c>
      <c r="D34" s="100">
        <v>5000</v>
      </c>
      <c r="E34" s="53"/>
      <c r="F34" s="228">
        <v>3.82</v>
      </c>
      <c r="G34" s="244" t="str">
        <f>INDEX('calcolo base'!$B:$B, MATCH($A34, 'calcolo base'!$A:$A, 0))</f>
        <v>Rame</v>
      </c>
      <c r="H34" s="115" t="str">
        <f t="shared" si="24"/>
        <v>Rame</v>
      </c>
      <c r="I34" s="260">
        <f>IF(  OR(      INDEX('calcolo base'!$D:$D, MATCH($A34, 'calcolo base'!$A:$A, 0)) = 0,
      INDEX('calcolo base'!$D:$D, MATCH($A34, 'calcolo base'!$A:$A, 0)) = ""   ),
   INDEX('calcolo base'!$K:$K, MATCH($A34, 'calcolo base'!$A:$A, 0)),
   INDEX('calcolo base'!$J:$J, MATCH($A34, 'calcolo base'!$A:$A, 0))
) / 1000</f>
        <v>10.685724067100306</v>
      </c>
      <c r="J34" s="229">
        <f t="shared" si="25"/>
        <v>14.505724067100306</v>
      </c>
      <c r="K34" s="229">
        <v>14.505699999999999</v>
      </c>
      <c r="L34" s="268">
        <f>INDEX('calcolo base'!$H:$H, MATCH($A34, 'calcolo base'!$A:$A, 0))</f>
        <v>0.04</v>
      </c>
      <c r="M34" s="229">
        <f t="shared" si="26"/>
        <v>0.58022896268401225</v>
      </c>
      <c r="N34" s="229">
        <f t="shared" si="27"/>
        <v>0</v>
      </c>
      <c r="O34" s="229">
        <f t="shared" si="32"/>
        <v>0</v>
      </c>
      <c r="P34" s="229">
        <f t="shared" si="28"/>
        <v>0.30559999999999998</v>
      </c>
      <c r="Q34" s="117">
        <f t="shared" si="29"/>
        <v>1528</v>
      </c>
      <c r="R34" s="204" t="str">
        <f t="shared" si="30"/>
        <v>si</v>
      </c>
      <c r="S34" s="280">
        <f>IF(R34="si",0,IF(E34="si",0,IF(J34&gt;K34,0,K34-J34))) + IF(INDEX('calcolo base'!$P:$P, MATCH($A34, 'calcolo base'!$A:$A, 0))="SI", ('Commissioni De Angeli'!K34-'Commissioni De Angeli'!J34), 0)</f>
        <v>0</v>
      </c>
      <c r="T34" s="117">
        <f t="shared" si="31"/>
        <v>0</v>
      </c>
      <c r="U34" s="272">
        <f>IF(Q34=0,'calcolo base'!L2633,(T34+Q34))</f>
        <v>1528</v>
      </c>
      <c r="V34" s="230">
        <v>46309</v>
      </c>
      <c r="X34" s="123" t="s">
        <v>178</v>
      </c>
      <c r="Z34" s="118">
        <f t="shared" si="22"/>
        <v>10</v>
      </c>
      <c r="AA34" s="118">
        <f t="shared" si="23"/>
        <v>2026</v>
      </c>
    </row>
    <row r="35" spans="1:27">
      <c r="A35" s="118">
        <v>29</v>
      </c>
      <c r="B35" s="101">
        <v>2505933</v>
      </c>
      <c r="C35" s="99" t="s">
        <v>105</v>
      </c>
      <c r="D35" s="100">
        <v>6000</v>
      </c>
      <c r="E35" s="53"/>
      <c r="F35" s="48">
        <v>3.26</v>
      </c>
      <c r="G35" s="243" t="str">
        <f>INDEX('calcolo base'!$B:$B, MATCH($A35, 'calcolo base'!$A:$A, 0))</f>
        <v>Rame</v>
      </c>
      <c r="H35" s="54" t="str">
        <f t="shared" si="24"/>
        <v>Rame</v>
      </c>
      <c r="I35" s="259">
        <f>IF(  OR(      INDEX('calcolo base'!$D:$D, MATCH($A35, 'calcolo base'!$A:$A, 0)) = 0,
      INDEX('calcolo base'!$D:$D, MATCH($A35, 'calcolo base'!$A:$A, 0)) = ""   ),
   INDEX('calcolo base'!$K:$K, MATCH($A35, 'calcolo base'!$A:$A, 0)),
   INDEX('calcolo base'!$J:$J, MATCH($A35, 'calcolo base'!$A:$A, 0))
) / 1000</f>
        <v>10.685724067100306</v>
      </c>
      <c r="J35" s="50">
        <f t="shared" si="25"/>
        <v>13.945724067100306</v>
      </c>
      <c r="K35" s="50">
        <v>14.295999999999999</v>
      </c>
      <c r="L35" s="267">
        <f>INDEX('calcolo base'!$H:$H, MATCH($A35, 'calcolo base'!$A:$A, 0))</f>
        <v>0.04</v>
      </c>
      <c r="M35" s="50">
        <f t="shared" si="26"/>
        <v>0.55782896268401228</v>
      </c>
      <c r="N35" s="50">
        <f t="shared" si="27"/>
        <v>0</v>
      </c>
      <c r="O35" s="50">
        <f t="shared" si="32"/>
        <v>0</v>
      </c>
      <c r="P35" s="50">
        <f t="shared" si="28"/>
        <v>0.26079999999999998</v>
      </c>
      <c r="Q35" s="51">
        <f t="shared" si="29"/>
        <v>1564.8</v>
      </c>
      <c r="R35" s="205" t="str">
        <f t="shared" si="30"/>
        <v>si</v>
      </c>
      <c r="S35" s="279">
        <v>0.35</v>
      </c>
      <c r="T35" s="117">
        <f t="shared" si="31"/>
        <v>840</v>
      </c>
      <c r="U35" s="272">
        <f>IF(Q35=0,'calcolo base'!L2634,(T35+Q35))</f>
        <v>2404.8000000000002</v>
      </c>
      <c r="V35" s="119">
        <v>46219</v>
      </c>
      <c r="X35" s="123" t="s">
        <v>179</v>
      </c>
      <c r="Z35" s="118">
        <f t="shared" si="22"/>
        <v>7</v>
      </c>
      <c r="AA35" s="118">
        <f t="shared" si="23"/>
        <v>2026</v>
      </c>
    </row>
    <row r="36" spans="1:27">
      <c r="A36" s="118">
        <v>30</v>
      </c>
      <c r="B36" s="101">
        <v>2505933</v>
      </c>
      <c r="C36" s="99" t="s">
        <v>105</v>
      </c>
      <c r="D36" s="100">
        <v>5000</v>
      </c>
      <c r="E36" s="53"/>
      <c r="F36" s="48">
        <v>3.82</v>
      </c>
      <c r="G36" s="243" t="str">
        <f>INDEX('calcolo base'!$B:$B, MATCH($A36, 'calcolo base'!$A:$A, 0))</f>
        <v>Rame</v>
      </c>
      <c r="H36" s="54" t="str">
        <f t="shared" si="24"/>
        <v>Rame</v>
      </c>
      <c r="I36" s="259">
        <f>IF(  OR(      INDEX('calcolo base'!$D:$D, MATCH($A36, 'calcolo base'!$A:$A, 0)) = 0,
      INDEX('calcolo base'!$D:$D, MATCH($A36, 'calcolo base'!$A:$A, 0)) = ""   ),
   INDEX('calcolo base'!$K:$K, MATCH($A36, 'calcolo base'!$A:$A, 0)),
   INDEX('calcolo base'!$J:$J, MATCH($A36, 'calcolo base'!$A:$A, 0))
) / 1000</f>
        <v>10.685724067100306</v>
      </c>
      <c r="J36" s="50">
        <f t="shared" si="25"/>
        <v>14.505724067100306</v>
      </c>
      <c r="K36" s="50">
        <v>14.505699999999999</v>
      </c>
      <c r="L36" s="267">
        <f>INDEX('calcolo base'!$H:$H, MATCH($A36, 'calcolo base'!$A:$A, 0))</f>
        <v>0.04</v>
      </c>
      <c r="M36" s="50">
        <f t="shared" si="26"/>
        <v>0.58022896268401225</v>
      </c>
      <c r="N36" s="50">
        <f t="shared" si="27"/>
        <v>0</v>
      </c>
      <c r="O36" s="50">
        <f t="shared" si="32"/>
        <v>0</v>
      </c>
      <c r="P36" s="50">
        <f t="shared" si="28"/>
        <v>0.30559999999999998</v>
      </c>
      <c r="Q36" s="51">
        <f t="shared" si="29"/>
        <v>1528</v>
      </c>
      <c r="R36" s="205" t="str">
        <f t="shared" si="30"/>
        <v>si</v>
      </c>
      <c r="S36" s="279">
        <f>IF(R36="si",0,IF(E36="si",0,IF(J36&gt;K36,0,K36-J36))) + IF(INDEX('calcolo base'!$P:$P, MATCH($A36, 'calcolo base'!$A:$A, 0))="SI", ('Commissioni De Angeli'!K36-'Commissioni De Angeli'!J36), 0)</f>
        <v>0</v>
      </c>
      <c r="T36" s="117">
        <f t="shared" si="31"/>
        <v>0</v>
      </c>
      <c r="U36" s="272">
        <f>IF(Q36=0,'calcolo base'!L2635,(T36+Q36))</f>
        <v>1528</v>
      </c>
      <c r="V36" s="119">
        <v>46315</v>
      </c>
      <c r="X36" s="123" t="s">
        <v>180</v>
      </c>
      <c r="Z36" s="118">
        <f t="shared" si="22"/>
        <v>10</v>
      </c>
      <c r="AA36" s="118">
        <f t="shared" si="23"/>
        <v>2026</v>
      </c>
    </row>
    <row r="37" spans="1:27">
      <c r="A37" s="118">
        <v>31</v>
      </c>
      <c r="B37" s="101">
        <v>2505986</v>
      </c>
      <c r="C37" s="99" t="s">
        <v>64</v>
      </c>
      <c r="D37" s="100">
        <v>1000</v>
      </c>
      <c r="E37" s="53"/>
      <c r="F37" s="48">
        <v>0.73</v>
      </c>
      <c r="G37" s="243" t="str">
        <f>INDEX('calcolo base'!$B:$B, MATCH($A37, 'calcolo base'!$A:$A, 0))</f>
        <v>Rame</v>
      </c>
      <c r="H37" s="54" t="str">
        <f t="shared" si="24"/>
        <v>Rame</v>
      </c>
      <c r="I37" s="259">
        <f>IF(  OR(      INDEX('calcolo base'!$D:$D, MATCH($A37, 'calcolo base'!$A:$A, 0)) = 0,
      INDEX('calcolo base'!$D:$D, MATCH($A37, 'calcolo base'!$A:$A, 0)) = ""   ),
   INDEX('calcolo base'!$K:$K, MATCH($A37, 'calcolo base'!$A:$A, 0)),
   INDEX('calcolo base'!$J:$J, MATCH($A37, 'calcolo base'!$A:$A, 0))
) / 1000</f>
        <v>10.788471413899348</v>
      </c>
      <c r="J37" s="50">
        <f t="shared" si="25"/>
        <v>11.518471413899348</v>
      </c>
      <c r="K37" s="50">
        <v>11.5185</v>
      </c>
      <c r="L37" s="267">
        <f>INDEX('calcolo base'!$H:$H, MATCH($A37, 'calcolo base'!$A:$A, 0))</f>
        <v>0.05</v>
      </c>
      <c r="M37" s="50">
        <f t="shared" si="26"/>
        <v>0.57592357069496747</v>
      </c>
      <c r="N37" s="50">
        <f t="shared" si="27"/>
        <v>0.17277707120849023</v>
      </c>
      <c r="O37" s="50">
        <f t="shared" si="32"/>
        <v>0</v>
      </c>
      <c r="P37" s="50">
        <f t="shared" si="28"/>
        <v>0</v>
      </c>
      <c r="Q37" s="51">
        <f t="shared" si="29"/>
        <v>172.77707120849024</v>
      </c>
      <c r="R37" s="205">
        <f t="shared" si="30"/>
        <v>0</v>
      </c>
      <c r="S37" s="279">
        <f>IF(R37="si",0,IF(E37="si",0,IF(J37&gt;K37,0,K37-J37))) + IF(INDEX('calcolo base'!$P:$P, MATCH($A37, 'calcolo base'!$A:$A, 0))="SI", ('Commissioni De Angeli'!K37-'Commissioni De Angeli'!J37), 0)</f>
        <v>2.8586100651040169E-5</v>
      </c>
      <c r="T37" s="117">
        <f t="shared" si="31"/>
        <v>1.1434440260416068E-2</v>
      </c>
      <c r="U37" s="272">
        <f>IF(Q37=0,'calcolo base'!L2636,(T37+Q37))</f>
        <v>172.78850564875066</v>
      </c>
      <c r="V37" s="119">
        <v>46120</v>
      </c>
      <c r="Z37" s="118">
        <f t="shared" si="22"/>
        <v>4</v>
      </c>
      <c r="AA37" s="118">
        <f t="shared" si="23"/>
        <v>2026</v>
      </c>
    </row>
    <row r="38" spans="1:27">
      <c r="A38" s="118">
        <v>32</v>
      </c>
      <c r="B38" s="101">
        <v>2600195</v>
      </c>
      <c r="C38" s="99" t="s">
        <v>105</v>
      </c>
      <c r="D38" s="100">
        <v>14000</v>
      </c>
      <c r="E38" s="53"/>
      <c r="F38" s="48">
        <v>3.47</v>
      </c>
      <c r="G38" s="243" t="str">
        <f>INDEX('calcolo base'!$B:$B, MATCH($A38, 'calcolo base'!$A:$A, 0))</f>
        <v>Rame</v>
      </c>
      <c r="H38" s="54" t="str">
        <f t="shared" si="24"/>
        <v>Rame</v>
      </c>
      <c r="I38" s="259">
        <f>IF(  OR(      INDEX('calcolo base'!$D:$D, MATCH($A38, 'calcolo base'!$A:$A, 0)) = 0,
      INDEX('calcolo base'!$D:$D, MATCH($A38, 'calcolo base'!$A:$A, 0)) = ""   ),
   INDEX('calcolo base'!$K:$K, MATCH($A38, 'calcolo base'!$A:$A, 0)),
   INDEX('calcolo base'!$J:$J, MATCH($A38, 'calcolo base'!$A:$A, 0))
) / 1000</f>
        <v>11.867561521252798</v>
      </c>
      <c r="J38" s="50">
        <f t="shared" si="25"/>
        <v>15.337561521252798</v>
      </c>
      <c r="K38" s="50">
        <v>15.3376</v>
      </c>
      <c r="L38" s="267">
        <f>INDEX('calcolo base'!$H:$H, MATCH($A38, 'calcolo base'!$A:$A, 0))</f>
        <v>0.04</v>
      </c>
      <c r="M38" s="50">
        <f t="shared" si="26"/>
        <v>0.61350246085011195</v>
      </c>
      <c r="N38" s="50">
        <f t="shared" si="27"/>
        <v>0</v>
      </c>
      <c r="O38" s="50">
        <f t="shared" si="32"/>
        <v>0</v>
      </c>
      <c r="P38" s="50">
        <f t="shared" si="28"/>
        <v>0.27760000000000001</v>
      </c>
      <c r="Q38" s="51">
        <f t="shared" si="29"/>
        <v>3886.4</v>
      </c>
      <c r="R38" s="205" t="str">
        <f t="shared" si="30"/>
        <v>si</v>
      </c>
      <c r="S38" s="279">
        <f>IF(R38="si",0,IF(E38="si",0,IF(J38&gt;K38,0,K38-J38))) + IF(INDEX('calcolo base'!$P:$P, MATCH($A38, 'calcolo base'!$A:$A, 0))="SI", ('Commissioni De Angeli'!K38-'Commissioni De Angeli'!J38), 0)</f>
        <v>0</v>
      </c>
      <c r="T38" s="117">
        <f t="shared" si="31"/>
        <v>0</v>
      </c>
      <c r="U38" s="272">
        <f>IF(Q38=0,'calcolo base'!L2637,(T38+Q38))</f>
        <v>3886.4</v>
      </c>
      <c r="V38" s="119">
        <v>46178</v>
      </c>
      <c r="X38" s="123" t="s">
        <v>181</v>
      </c>
      <c r="Z38" s="118">
        <f t="shared" si="22"/>
        <v>6</v>
      </c>
      <c r="AA38" s="118">
        <f t="shared" si="23"/>
        <v>2026</v>
      </c>
    </row>
    <row r="39" spans="1:27">
      <c r="A39" s="118">
        <v>33</v>
      </c>
      <c r="B39" s="101">
        <v>2600195</v>
      </c>
      <c r="C39" s="99" t="s">
        <v>105</v>
      </c>
      <c r="D39" s="100">
        <v>14000</v>
      </c>
      <c r="E39" s="53"/>
      <c r="F39" s="48">
        <v>3.47</v>
      </c>
      <c r="G39" s="243" t="str">
        <f>INDEX('calcolo base'!$B:$B, MATCH($A39, 'calcolo base'!$A:$A, 0))</f>
        <v>Rame</v>
      </c>
      <c r="H39" s="54" t="str">
        <f t="shared" si="24"/>
        <v>Rame</v>
      </c>
      <c r="I39" s="259">
        <f>IF(  OR(      INDEX('calcolo base'!$D:$D, MATCH($A39, 'calcolo base'!$A:$A, 0)) = 0,
      INDEX('calcolo base'!$D:$D, MATCH($A39, 'calcolo base'!$A:$A, 0)) = ""   ),
   INDEX('calcolo base'!$K:$K, MATCH($A39, 'calcolo base'!$A:$A, 0)),
   INDEX('calcolo base'!$J:$J, MATCH($A39, 'calcolo base'!$A:$A, 0))
) / 1000</f>
        <v>11.867561521252798</v>
      </c>
      <c r="J39" s="50">
        <f t="shared" si="25"/>
        <v>15.337561521252798</v>
      </c>
      <c r="K39" s="50">
        <v>15.3376</v>
      </c>
      <c r="L39" s="267">
        <f>INDEX('calcolo base'!$H:$H, MATCH($A39, 'calcolo base'!$A:$A, 0))</f>
        <v>0.04</v>
      </c>
      <c r="M39" s="50">
        <f t="shared" si="26"/>
        <v>0.61350246085011195</v>
      </c>
      <c r="N39" s="50">
        <f t="shared" si="27"/>
        <v>0</v>
      </c>
      <c r="O39" s="50">
        <f t="shared" si="32"/>
        <v>0</v>
      </c>
      <c r="P39" s="50">
        <f t="shared" si="28"/>
        <v>0.27760000000000001</v>
      </c>
      <c r="Q39" s="51">
        <f t="shared" si="29"/>
        <v>3886.4</v>
      </c>
      <c r="R39" s="205" t="str">
        <f t="shared" si="30"/>
        <v>si</v>
      </c>
      <c r="S39" s="279">
        <f>IF(R39="si",0,IF(E39="si",0,IF(J39&gt;K39,0,K39-J39))) + IF(INDEX('calcolo base'!$P:$P, MATCH($A39, 'calcolo base'!$A:$A, 0))="SI", ('Commissioni De Angeli'!K39-'Commissioni De Angeli'!J39), 0)</f>
        <v>0</v>
      </c>
      <c r="T39" s="117">
        <f t="shared" si="31"/>
        <v>0</v>
      </c>
      <c r="U39" s="272">
        <f>IF(Q39=0,'calcolo base'!L2638,(T39+Q39))</f>
        <v>3886.4</v>
      </c>
      <c r="V39" s="119">
        <v>46261</v>
      </c>
      <c r="X39" s="123" t="s">
        <v>174</v>
      </c>
      <c r="Z39" s="118">
        <f t="shared" si="22"/>
        <v>8</v>
      </c>
      <c r="AA39" s="118">
        <f t="shared" si="23"/>
        <v>2026</v>
      </c>
    </row>
    <row r="40" spans="1:27">
      <c r="A40" s="118">
        <v>34</v>
      </c>
      <c r="B40" s="101">
        <v>2600195</v>
      </c>
      <c r="C40" s="99" t="s">
        <v>105</v>
      </c>
      <c r="D40" s="100">
        <v>6000</v>
      </c>
      <c r="E40" s="53"/>
      <c r="F40" s="48">
        <v>3.26</v>
      </c>
      <c r="G40" s="243" t="str">
        <f>INDEX('calcolo base'!$B:$B, MATCH($A40, 'calcolo base'!$A:$A, 0))</f>
        <v>Rame</v>
      </c>
      <c r="H40" s="54" t="str">
        <f t="shared" si="24"/>
        <v>Rame</v>
      </c>
      <c r="I40" s="259">
        <f>IF(  OR(      INDEX('calcolo base'!$D:$D, MATCH($A40, 'calcolo base'!$A:$A, 0)) = 0,
      INDEX('calcolo base'!$D:$D, MATCH($A40, 'calcolo base'!$A:$A, 0)) = ""   ),
   INDEX('calcolo base'!$K:$K, MATCH($A40, 'calcolo base'!$A:$A, 0)),
   INDEX('calcolo base'!$J:$J, MATCH($A40, 'calcolo base'!$A:$A, 0))
) / 1000</f>
        <v>11.867561521252798</v>
      </c>
      <c r="J40" s="50">
        <f t="shared" si="25"/>
        <v>15.127561521252797</v>
      </c>
      <c r="K40" s="50">
        <v>15.478</v>
      </c>
      <c r="L40" s="267">
        <f>INDEX('calcolo base'!$H:$H, MATCH($A40, 'calcolo base'!$A:$A, 0))</f>
        <v>0.04</v>
      </c>
      <c r="M40" s="50">
        <f t="shared" si="26"/>
        <v>0.60510246085011188</v>
      </c>
      <c r="N40" s="50">
        <f t="shared" si="27"/>
        <v>0</v>
      </c>
      <c r="O40" s="50">
        <f t="shared" si="32"/>
        <v>0</v>
      </c>
      <c r="P40" s="50">
        <f t="shared" si="28"/>
        <v>0.26079999999999998</v>
      </c>
      <c r="Q40" s="51">
        <f t="shared" si="29"/>
        <v>1564.8</v>
      </c>
      <c r="R40" s="205" t="str">
        <f t="shared" si="30"/>
        <v>si</v>
      </c>
      <c r="S40" s="279">
        <v>0.35</v>
      </c>
      <c r="T40" s="117">
        <f t="shared" si="31"/>
        <v>840</v>
      </c>
      <c r="U40" s="272">
        <f>IF(Q40=0,'calcolo base'!L2639,(T40+Q40))</f>
        <v>2404.8000000000002</v>
      </c>
      <c r="V40" s="119">
        <v>46280</v>
      </c>
      <c r="X40" s="123" t="s">
        <v>185</v>
      </c>
      <c r="Z40" s="118">
        <f t="shared" si="22"/>
        <v>9</v>
      </c>
      <c r="AA40" s="118">
        <f t="shared" si="23"/>
        <v>2026</v>
      </c>
    </row>
    <row r="41" spans="1:27">
      <c r="A41" s="118">
        <v>35</v>
      </c>
      <c r="B41" s="101">
        <v>2600195</v>
      </c>
      <c r="C41" s="99" t="s">
        <v>105</v>
      </c>
      <c r="D41" s="100">
        <v>6000</v>
      </c>
      <c r="E41" s="53"/>
      <c r="F41" s="48">
        <v>3.26</v>
      </c>
      <c r="G41" s="243" t="str">
        <f>INDEX('calcolo base'!$B:$B, MATCH($A41, 'calcolo base'!$A:$A, 0))</f>
        <v>Rame</v>
      </c>
      <c r="H41" s="54" t="str">
        <f t="shared" si="24"/>
        <v>Rame</v>
      </c>
      <c r="I41" s="259">
        <f>IF(  OR(      INDEX('calcolo base'!$D:$D, MATCH($A41, 'calcolo base'!$A:$A, 0)) = 0,
      INDEX('calcolo base'!$D:$D, MATCH($A41, 'calcolo base'!$A:$A, 0)) = ""   ),
   INDEX('calcolo base'!$K:$K, MATCH($A41, 'calcolo base'!$A:$A, 0)),
   INDEX('calcolo base'!$J:$J, MATCH($A41, 'calcolo base'!$A:$A, 0))
) / 1000</f>
        <v>11.867561521252798</v>
      </c>
      <c r="J41" s="50">
        <f t="shared" si="25"/>
        <v>15.127561521252797</v>
      </c>
      <c r="K41" s="50">
        <v>15.478</v>
      </c>
      <c r="L41" s="267">
        <f>INDEX('calcolo base'!$H:$H, MATCH($A41, 'calcolo base'!$A:$A, 0))</f>
        <v>0.04</v>
      </c>
      <c r="M41" s="50">
        <f t="shared" si="26"/>
        <v>0.60510246085011188</v>
      </c>
      <c r="N41" s="50">
        <f t="shared" si="27"/>
        <v>0</v>
      </c>
      <c r="O41" s="50">
        <f t="shared" si="32"/>
        <v>0</v>
      </c>
      <c r="P41" s="50">
        <f t="shared" si="28"/>
        <v>0.26079999999999998</v>
      </c>
      <c r="Q41" s="51">
        <f t="shared" si="29"/>
        <v>1564.8</v>
      </c>
      <c r="R41" s="205" t="str">
        <f t="shared" si="30"/>
        <v>si</v>
      </c>
      <c r="S41" s="279">
        <v>0.35</v>
      </c>
      <c r="T41" s="117">
        <f t="shared" si="31"/>
        <v>840</v>
      </c>
      <c r="U41" s="272">
        <f>IF(Q41=0,'calcolo base'!L2640,(T41+Q41))</f>
        <v>2404.8000000000002</v>
      </c>
      <c r="V41" s="119">
        <v>46289</v>
      </c>
      <c r="X41" s="123" t="s">
        <v>186</v>
      </c>
      <c r="Z41" s="118">
        <f t="shared" si="22"/>
        <v>9</v>
      </c>
      <c r="AA41" s="118">
        <f t="shared" si="23"/>
        <v>2026</v>
      </c>
    </row>
    <row r="42" spans="1:27">
      <c r="A42" s="118">
        <v>36</v>
      </c>
      <c r="B42" s="101">
        <v>2600195</v>
      </c>
      <c r="C42" s="99" t="s">
        <v>105</v>
      </c>
      <c r="D42" s="100">
        <v>7500</v>
      </c>
      <c r="E42" s="53"/>
      <c r="F42" s="48">
        <v>3.26</v>
      </c>
      <c r="G42" s="243" t="str">
        <f>INDEX('calcolo base'!$B:$B, MATCH($A42, 'calcolo base'!$A:$A, 0))</f>
        <v>Rame</v>
      </c>
      <c r="H42" s="54" t="str">
        <f t="shared" si="24"/>
        <v>Rame</v>
      </c>
      <c r="I42" s="259">
        <f>IF(  OR(      INDEX('calcolo base'!$D:$D, MATCH($A42, 'calcolo base'!$A:$A, 0)) = 0,
      INDEX('calcolo base'!$D:$D, MATCH($A42, 'calcolo base'!$A:$A, 0)) = ""   ),
   INDEX('calcolo base'!$K:$K, MATCH($A42, 'calcolo base'!$A:$A, 0)),
   INDEX('calcolo base'!$J:$J, MATCH($A42, 'calcolo base'!$A:$A, 0))
) / 1000</f>
        <v>11.867561521252798</v>
      </c>
      <c r="J42" s="50">
        <f t="shared" si="25"/>
        <v>15.127561521252797</v>
      </c>
      <c r="K42" s="50">
        <v>15.478</v>
      </c>
      <c r="L42" s="267">
        <f>INDEX('calcolo base'!$H:$H, MATCH($A42, 'calcolo base'!$A:$A, 0))</f>
        <v>0.04</v>
      </c>
      <c r="M42" s="50">
        <f t="shared" si="26"/>
        <v>0.60510246085011188</v>
      </c>
      <c r="N42" s="50">
        <f t="shared" si="27"/>
        <v>0</v>
      </c>
      <c r="O42" s="50">
        <f t="shared" si="32"/>
        <v>0</v>
      </c>
      <c r="P42" s="50">
        <f t="shared" si="28"/>
        <v>0.26079999999999998</v>
      </c>
      <c r="Q42" s="51">
        <f t="shared" si="29"/>
        <v>1955.9999999999998</v>
      </c>
      <c r="R42" s="205" t="str">
        <f t="shared" si="30"/>
        <v>si</v>
      </c>
      <c r="S42" s="279">
        <v>0.35</v>
      </c>
      <c r="T42" s="117">
        <f t="shared" si="31"/>
        <v>1050</v>
      </c>
      <c r="U42" s="272">
        <f>IF(Q42=0,'calcolo base'!L2641,(T42+Q42))</f>
        <v>3006</v>
      </c>
      <c r="V42" s="119">
        <v>46269</v>
      </c>
      <c r="X42" s="123" t="s">
        <v>182</v>
      </c>
      <c r="Z42" s="118">
        <f t="shared" ref="Z42:Z87" si="33">IF(V42="",0,MONTH(V42))</f>
        <v>9</v>
      </c>
      <c r="AA42" s="118">
        <f t="shared" ref="AA42:AA87" si="34">IF(V42="",0,YEAR(V42))</f>
        <v>2026</v>
      </c>
    </row>
    <row r="43" spans="1:27">
      <c r="A43" s="118">
        <v>37</v>
      </c>
      <c r="B43" s="101">
        <v>2600241</v>
      </c>
      <c r="C43" s="111" t="s">
        <v>50</v>
      </c>
      <c r="D43" s="112">
        <v>1500</v>
      </c>
      <c r="E43" s="53"/>
      <c r="F43" s="48">
        <v>0.7</v>
      </c>
      <c r="G43" s="243" t="str">
        <f>INDEX('calcolo base'!$B:$B, MATCH($A43, 'calcolo base'!$A:$A, 0))</f>
        <v>Rame</v>
      </c>
      <c r="H43" s="54" t="str">
        <f t="shared" si="24"/>
        <v>Rame</v>
      </c>
      <c r="I43" s="259">
        <f>IF(  OR(      INDEX('calcolo base'!$D:$D, MATCH($A43, 'calcolo base'!$A:$A, 0)) = 0,
      INDEX('calcolo base'!$D:$D, MATCH($A43, 'calcolo base'!$A:$A, 0)) = ""   ),
   INDEX('calcolo base'!$K:$K, MATCH($A43, 'calcolo base'!$A:$A, 0)),
   INDEX('calcolo base'!$J:$J, MATCH($A43, 'calcolo base'!$A:$A, 0))
) / 1000</f>
        <v>11.65009158158851</v>
      </c>
      <c r="J43" s="50">
        <f t="shared" si="25"/>
        <v>12.35009158158851</v>
      </c>
      <c r="K43" s="50">
        <v>12.350099999999999</v>
      </c>
      <c r="L43" s="267">
        <f>INDEX('calcolo base'!$H:$H, MATCH($A43, 'calcolo base'!$A:$A, 0))</f>
        <v>0.05</v>
      </c>
      <c r="M43" s="50">
        <f t="shared" si="26"/>
        <v>0.61750457907942558</v>
      </c>
      <c r="N43" s="50">
        <f t="shared" si="27"/>
        <v>0.18525137372382763</v>
      </c>
      <c r="O43" s="50">
        <f t="shared" si="32"/>
        <v>0</v>
      </c>
      <c r="P43" s="50">
        <f t="shared" si="28"/>
        <v>0</v>
      </c>
      <c r="Q43" s="51">
        <f t="shared" si="29"/>
        <v>277.87706058574145</v>
      </c>
      <c r="R43" s="205">
        <f t="shared" si="30"/>
        <v>0</v>
      </c>
      <c r="S43" s="279">
        <f>IF(R43="si",0,IF(E43="si",0,IF(J43&gt;K43,0,K43-J43))) + IF(INDEX('calcolo base'!$P:$P, MATCH($A43, 'calcolo base'!$A:$A, 0))="SI", ('Commissioni De Angeli'!K43-'Commissioni De Angeli'!J43), 0)</f>
        <v>8.4184114896856954E-6</v>
      </c>
      <c r="T43" s="117">
        <f t="shared" si="31"/>
        <v>5.0510468938114172E-3</v>
      </c>
      <c r="U43" s="272">
        <f>IF(Q43=0,'calcolo base'!L2642,(T43+Q43))</f>
        <v>277.88211163263526</v>
      </c>
      <c r="V43" s="119">
        <v>46121</v>
      </c>
      <c r="Z43" s="118">
        <f t="shared" si="33"/>
        <v>4</v>
      </c>
      <c r="AA43" s="118">
        <f t="shared" si="34"/>
        <v>2026</v>
      </c>
    </row>
    <row r="44" spans="1:27">
      <c r="A44" s="118">
        <v>38</v>
      </c>
      <c r="B44" s="101" t="s">
        <v>187</v>
      </c>
      <c r="C44" s="109" t="s">
        <v>158</v>
      </c>
      <c r="D44" s="103">
        <v>623</v>
      </c>
      <c r="E44" s="53"/>
      <c r="F44" s="48">
        <v>0.74</v>
      </c>
      <c r="G44" s="243" t="str">
        <f>INDEX('calcolo base'!$B:$B, MATCH($A44, 'calcolo base'!$A:$A, 0))</f>
        <v>Rame</v>
      </c>
      <c r="H44" s="54" t="str">
        <f t="shared" si="24"/>
        <v>Rame</v>
      </c>
      <c r="I44" s="259">
        <f>IF(  OR(      INDEX('calcolo base'!$D:$D, MATCH($A44, 'calcolo base'!$A:$A, 0)) = 0,
      INDEX('calcolo base'!$D:$D, MATCH($A44, 'calcolo base'!$A:$A, 0)) = ""   ),
   INDEX('calcolo base'!$K:$K, MATCH($A44, 'calcolo base'!$A:$A, 0)),
   INDEX('calcolo base'!$J:$J, MATCH($A44, 'calcolo base'!$A:$A, 0))
) / 1000</f>
        <v>11.873978027593255</v>
      </c>
      <c r="J44" s="50">
        <f t="shared" si="25"/>
        <v>12.613978027593255</v>
      </c>
      <c r="K44" s="50">
        <v>13.23</v>
      </c>
      <c r="L44" s="267">
        <f>INDEX('calcolo base'!$H:$H, MATCH($A44, 'calcolo base'!$A:$A, 0))</f>
        <v>0.05</v>
      </c>
      <c r="M44" s="50">
        <f t="shared" si="26"/>
        <v>0.63069890137966278</v>
      </c>
      <c r="N44" s="50">
        <f t="shared" si="27"/>
        <v>0.18920967041389883</v>
      </c>
      <c r="O44" s="50">
        <f t="shared" si="32"/>
        <v>0</v>
      </c>
      <c r="P44" s="50">
        <f t="shared" si="28"/>
        <v>0</v>
      </c>
      <c r="Q44" s="51">
        <f t="shared" si="29"/>
        <v>117.87762466785897</v>
      </c>
      <c r="R44" s="205">
        <f t="shared" si="30"/>
        <v>0</v>
      </c>
      <c r="S44" s="279">
        <f>IF(R44="si",0,IF(E44="si",0,IF(J44&gt;K44,0,K44-J44))) + IF(INDEX('calcolo base'!$P:$P, MATCH($A44, 'calcolo base'!$A:$A, 0))="SI", ('Commissioni De Angeli'!K44-'Commissioni De Angeli'!J44), 0)</f>
        <v>0.61602197240674528</v>
      </c>
      <c r="T44" s="117">
        <f t="shared" si="31"/>
        <v>153.51267552376092</v>
      </c>
      <c r="U44" s="272">
        <f>IF(Q44=0,'calcolo base'!L2643,(T44+Q44))</f>
        <v>271.39030019161987</v>
      </c>
      <c r="V44" s="119"/>
      <c r="W44" s="123" t="s">
        <v>155</v>
      </c>
      <c r="Z44" s="118">
        <f t="shared" si="33"/>
        <v>0</v>
      </c>
      <c r="AA44" s="118">
        <f t="shared" si="34"/>
        <v>0</v>
      </c>
    </row>
    <row r="45" spans="1:27">
      <c r="A45" s="118">
        <v>39</v>
      </c>
      <c r="B45" s="101" t="s">
        <v>187</v>
      </c>
      <c r="C45" s="109" t="s">
        <v>158</v>
      </c>
      <c r="D45" s="103">
        <v>468</v>
      </c>
      <c r="E45" s="53"/>
      <c r="F45" s="48">
        <v>0.74</v>
      </c>
      <c r="G45" s="243" t="str">
        <f>INDEX('calcolo base'!$B:$B, MATCH($A45, 'calcolo base'!$A:$A, 0))</f>
        <v>Rame</v>
      </c>
      <c r="H45" s="54" t="str">
        <f t="shared" si="24"/>
        <v>Rame</v>
      </c>
      <c r="I45" s="259">
        <f>IF(  OR(      INDEX('calcolo base'!$D:$D, MATCH($A45, 'calcolo base'!$A:$A, 0)) = 0,
      INDEX('calcolo base'!$D:$D, MATCH($A45, 'calcolo base'!$A:$A, 0)) = ""   ),
   INDEX('calcolo base'!$K:$K, MATCH($A45, 'calcolo base'!$A:$A, 0)),
   INDEX('calcolo base'!$J:$J, MATCH($A45, 'calcolo base'!$A:$A, 0))
) / 1000</f>
        <v>11.873978027593255</v>
      </c>
      <c r="J45" s="50">
        <f t="shared" si="25"/>
        <v>12.613978027593255</v>
      </c>
      <c r="K45" s="50">
        <v>13.28</v>
      </c>
      <c r="L45" s="267">
        <f>INDEX('calcolo base'!$H:$H, MATCH($A45, 'calcolo base'!$A:$A, 0))</f>
        <v>0.05</v>
      </c>
      <c r="M45" s="50">
        <f t="shared" si="26"/>
        <v>0.63069890137966278</v>
      </c>
      <c r="N45" s="50">
        <f t="shared" si="27"/>
        <v>0.18920967041389883</v>
      </c>
      <c r="O45" s="50">
        <f t="shared" si="32"/>
        <v>0</v>
      </c>
      <c r="P45" s="50">
        <f t="shared" si="28"/>
        <v>0</v>
      </c>
      <c r="Q45" s="51">
        <f t="shared" si="29"/>
        <v>88.550125753704648</v>
      </c>
      <c r="R45" s="205">
        <f t="shared" si="30"/>
        <v>0</v>
      </c>
      <c r="S45" s="279">
        <f>IF(R45="si",0,IF(E45="si",0,IF(J45&gt;K45,0,K45-J45))) + IF(INDEX('calcolo base'!$P:$P, MATCH($A45, 'calcolo base'!$A:$A, 0))="SI", ('Commissioni De Angeli'!K45-'Commissioni De Angeli'!J45), 0)</f>
        <v>0.66602197240674421</v>
      </c>
      <c r="T45" s="117">
        <f t="shared" si="31"/>
        <v>124.67931323454252</v>
      </c>
      <c r="U45" s="272">
        <f>IF(Q45=0,'calcolo base'!L2644,(T45+Q45))</f>
        <v>213.22943898824718</v>
      </c>
      <c r="V45" s="119"/>
      <c r="W45" s="118" t="s">
        <v>155</v>
      </c>
      <c r="Z45" s="118">
        <f t="shared" si="33"/>
        <v>0</v>
      </c>
      <c r="AA45" s="118">
        <f t="shared" si="34"/>
        <v>0</v>
      </c>
    </row>
    <row r="46" spans="1:27">
      <c r="A46" s="118">
        <v>40</v>
      </c>
      <c r="B46" s="101" t="s">
        <v>165</v>
      </c>
      <c r="C46" s="109" t="s">
        <v>77</v>
      </c>
      <c r="D46" s="103">
        <v>5683</v>
      </c>
      <c r="E46" s="53"/>
      <c r="F46" s="48">
        <v>0.66</v>
      </c>
      <c r="G46" s="243" t="str">
        <f>INDEX('calcolo base'!$B:$B, MATCH($A46, 'calcolo base'!$A:$A, 0))</f>
        <v>Rame</v>
      </c>
      <c r="H46" s="54" t="str">
        <f t="shared" ref="H46:H91" si="35">IF(G46=0,"",+G46)</f>
        <v>Rame</v>
      </c>
      <c r="I46" s="259">
        <f>IF(  OR(      INDEX('calcolo base'!$D:$D, MATCH($A46, 'calcolo base'!$A:$A, 0)) = 0,
      INDEX('calcolo base'!$D:$D, MATCH($A46, 'calcolo base'!$A:$A, 0)) = ""   ),
   INDEX('calcolo base'!$K:$K, MATCH($A46, 'calcolo base'!$A:$A, 0)),
   INDEX('calcolo base'!$J:$J, MATCH($A46, 'calcolo base'!$A:$A, 0))
) / 1000</f>
        <v>11.859918200408998</v>
      </c>
      <c r="J46" s="50">
        <f t="shared" ref="J46:J91" si="36">+F46+I46</f>
        <v>12.519918200408998</v>
      </c>
      <c r="K46" s="50">
        <v>12.537800000000001</v>
      </c>
      <c r="L46" s="267">
        <f>INDEX('calcolo base'!$H:$H, MATCH($A46, 'calcolo base'!$A:$A, 0))</f>
        <v>0.05</v>
      </c>
      <c r="M46" s="50">
        <f t="shared" ref="M46:M91" si="37">IF(L46=0,0,J46*L46)</f>
        <v>0.62599591002044996</v>
      </c>
      <c r="N46" s="50">
        <f t="shared" ref="N46:N91" si="38">IF(E46="si",K46*1.5%,IF($L46&gt;=5%,IF($I46=0,0,(IF($G46="RAME",($J46)*1.5%,0)+IF($G46="rame smaltato",($K46)*1.5%,0))),0))</f>
        <v>0.18779877300613496</v>
      </c>
      <c r="O46" s="50">
        <f t="shared" si="32"/>
        <v>0</v>
      </c>
      <c r="P46" s="50">
        <f t="shared" ref="P46:P91" si="39">IF(H46="alluminio",0,IF(L46&lt;5%,F46*8%,0))</f>
        <v>0</v>
      </c>
      <c r="Q46" s="51">
        <f t="shared" ref="Q46:Q91" si="40">+(N46*D46)+(O46*D46)+(P46*D46)</f>
        <v>1067.2604269938649</v>
      </c>
      <c r="R46" s="205">
        <f t="shared" ref="R46:R91" si="41">IF(H46="ALLUMINIO",0,IF(L46&lt;5%,"si",0))</f>
        <v>0</v>
      </c>
      <c r="S46" s="279">
        <f>IF(R46="si",0,IF(E46="si",0,IF(J46&gt;K46,0,K46-J46))) + IF(INDEX('calcolo base'!$P:$P, MATCH($A46, 'calcolo base'!$A:$A, 0))="SI", ('Commissioni De Angeli'!K46-'Commissioni De Angeli'!J46), 0)</f>
        <v>1.7881799591002334E-2</v>
      </c>
      <c r="T46" s="117">
        <f t="shared" ref="T46:T91" si="42">+(S46)*D46*40%</f>
        <v>40.648906830266505</v>
      </c>
      <c r="U46" s="272">
        <f>IF(Q46=0,'calcolo base'!L2645,(T46+Q46))</f>
        <v>1107.9093338241314</v>
      </c>
      <c r="V46" s="119"/>
      <c r="W46" s="118" t="s">
        <v>155</v>
      </c>
      <c r="X46" s="123" t="s">
        <v>161</v>
      </c>
      <c r="Z46" s="118">
        <f t="shared" si="33"/>
        <v>0</v>
      </c>
      <c r="AA46" s="118">
        <f t="shared" si="34"/>
        <v>0</v>
      </c>
    </row>
    <row r="47" spans="1:27">
      <c r="A47" s="118">
        <v>41</v>
      </c>
      <c r="B47" s="101" t="s">
        <v>165</v>
      </c>
      <c r="C47" s="109" t="s">
        <v>77</v>
      </c>
      <c r="D47" s="103">
        <v>2512</v>
      </c>
      <c r="E47" s="53"/>
      <c r="F47" s="48">
        <v>0.66</v>
      </c>
      <c r="G47" s="243" t="str">
        <f>INDEX('calcolo base'!$B:$B, MATCH($A47, 'calcolo base'!$A:$A, 0))</f>
        <v>Rame</v>
      </c>
      <c r="H47" s="54" t="str">
        <f t="shared" si="35"/>
        <v>Rame</v>
      </c>
      <c r="I47" s="259">
        <f>IF(  OR(      INDEX('calcolo base'!$D:$D, MATCH($A47, 'calcolo base'!$A:$A, 0)) = 0,
      INDEX('calcolo base'!$D:$D, MATCH($A47, 'calcolo base'!$A:$A, 0)) = ""   ),
   INDEX('calcolo base'!$K:$K, MATCH($A47, 'calcolo base'!$A:$A, 0)),
   INDEX('calcolo base'!$J:$J, MATCH($A47, 'calcolo base'!$A:$A, 0))
) / 1000</f>
        <v>11.859918200408998</v>
      </c>
      <c r="J47" s="50">
        <f t="shared" si="36"/>
        <v>12.519918200408998</v>
      </c>
      <c r="K47" s="50">
        <v>12.537800000000001</v>
      </c>
      <c r="L47" s="267">
        <f>INDEX('calcolo base'!$H:$H, MATCH($A47, 'calcolo base'!$A:$A, 0))</f>
        <v>0.05</v>
      </c>
      <c r="M47" s="50">
        <f t="shared" si="37"/>
        <v>0.62599591002044996</v>
      </c>
      <c r="N47" s="50">
        <f t="shared" si="38"/>
        <v>0.18779877300613496</v>
      </c>
      <c r="O47" s="50">
        <f t="shared" si="32"/>
        <v>0</v>
      </c>
      <c r="P47" s="50">
        <f t="shared" si="39"/>
        <v>0</v>
      </c>
      <c r="Q47" s="51">
        <f t="shared" si="40"/>
        <v>471.75051779141103</v>
      </c>
      <c r="R47" s="205">
        <f t="shared" si="41"/>
        <v>0</v>
      </c>
      <c r="S47" s="279">
        <f>IF(R47="si",0,IF(E47="si",0,IF(J47&gt;K47,0,K47-J47))) + IF(INDEX('calcolo base'!$P:$P, MATCH($A47, 'calcolo base'!$A:$A, 0))="SI", ('Commissioni De Angeli'!K47-'Commissioni De Angeli'!J47), 0)</f>
        <v>1.7881799591002334E-2</v>
      </c>
      <c r="T47" s="117">
        <f t="shared" si="42"/>
        <v>17.967632229039147</v>
      </c>
      <c r="U47" s="272">
        <f>IF(Q47=0,'calcolo base'!L2646,(T47+Q47))</f>
        <v>489.7181500204502</v>
      </c>
      <c r="V47" s="119"/>
      <c r="W47" s="118" t="s">
        <v>155</v>
      </c>
      <c r="Z47" s="118">
        <f t="shared" si="33"/>
        <v>0</v>
      </c>
      <c r="AA47" s="118">
        <f t="shared" si="34"/>
        <v>0</v>
      </c>
    </row>
    <row r="48" spans="1:27">
      <c r="A48" s="118">
        <v>42</v>
      </c>
      <c r="B48" s="101" t="s">
        <v>165</v>
      </c>
      <c r="C48" s="109" t="s">
        <v>77</v>
      </c>
      <c r="D48" s="103">
        <v>1980</v>
      </c>
      <c r="E48" s="53"/>
      <c r="F48" s="48">
        <v>0.66</v>
      </c>
      <c r="G48" s="243" t="str">
        <f>INDEX('calcolo base'!$B:$B, MATCH($A48, 'calcolo base'!$A:$A, 0))</f>
        <v>Rame</v>
      </c>
      <c r="H48" s="54" t="str">
        <f t="shared" si="35"/>
        <v>Rame</v>
      </c>
      <c r="I48" s="259">
        <f>IF(  OR(      INDEX('calcolo base'!$D:$D, MATCH($A48, 'calcolo base'!$A:$A, 0)) = 0,
      INDEX('calcolo base'!$D:$D, MATCH($A48, 'calcolo base'!$A:$A, 0)) = ""   ),
   INDEX('calcolo base'!$K:$K, MATCH($A48, 'calcolo base'!$A:$A, 0)),
   INDEX('calcolo base'!$J:$J, MATCH($A48, 'calcolo base'!$A:$A, 0))
) / 1000</f>
        <v>11.859918200408998</v>
      </c>
      <c r="J48" s="50">
        <f t="shared" si="36"/>
        <v>12.519918200408998</v>
      </c>
      <c r="K48" s="50">
        <v>12.537800000000001</v>
      </c>
      <c r="L48" s="267">
        <f>INDEX('calcolo base'!$H:$H, MATCH($A48, 'calcolo base'!$A:$A, 0))</f>
        <v>0.05</v>
      </c>
      <c r="M48" s="50">
        <f t="shared" si="37"/>
        <v>0.62599591002044996</v>
      </c>
      <c r="N48" s="50">
        <f t="shared" si="38"/>
        <v>0.18779877300613496</v>
      </c>
      <c r="O48" s="50">
        <f t="shared" si="32"/>
        <v>0</v>
      </c>
      <c r="P48" s="50">
        <f t="shared" si="39"/>
        <v>0</v>
      </c>
      <c r="Q48" s="51">
        <f t="shared" si="40"/>
        <v>371.84157055214723</v>
      </c>
      <c r="R48" s="205">
        <f t="shared" si="41"/>
        <v>0</v>
      </c>
      <c r="S48" s="279">
        <f>IF(R48="si",0,IF(E48="si",0,IF(J48&gt;K48,0,K48-J48))) + IF(INDEX('calcolo base'!$P:$P, MATCH($A48, 'calcolo base'!$A:$A, 0))="SI", ('Commissioni De Angeli'!K48-'Commissioni De Angeli'!J48), 0)</f>
        <v>1.7881799591002334E-2</v>
      </c>
      <c r="T48" s="117">
        <f t="shared" si="42"/>
        <v>14.162385276073849</v>
      </c>
      <c r="U48" s="272">
        <f>IF(Q48=0,'calcolo base'!L2647,(T48+Q48))</f>
        <v>386.00395582822108</v>
      </c>
      <c r="V48" s="119"/>
      <c r="W48" s="118" t="s">
        <v>155</v>
      </c>
      <c r="X48" s="123" t="s">
        <v>196</v>
      </c>
      <c r="Z48" s="118">
        <f t="shared" si="33"/>
        <v>0</v>
      </c>
      <c r="AA48" s="118">
        <f t="shared" si="34"/>
        <v>0</v>
      </c>
    </row>
    <row r="49" spans="1:27">
      <c r="A49" s="118">
        <v>43</v>
      </c>
      <c r="B49" s="101" t="s">
        <v>163</v>
      </c>
      <c r="C49" s="109" t="s">
        <v>77</v>
      </c>
      <c r="D49" s="103">
        <v>2496</v>
      </c>
      <c r="E49" s="53"/>
      <c r="F49" s="48">
        <v>0.66</v>
      </c>
      <c r="G49" s="243" t="str">
        <f>INDEX('calcolo base'!$B:$B, MATCH($A49, 'calcolo base'!$A:$A, 0))</f>
        <v>Rame</v>
      </c>
      <c r="H49" s="54" t="str">
        <f t="shared" si="35"/>
        <v>Rame</v>
      </c>
      <c r="I49" s="259">
        <f>IF(  OR(      INDEX('calcolo base'!$D:$D, MATCH($A49, 'calcolo base'!$A:$A, 0)) = 0,
      INDEX('calcolo base'!$D:$D, MATCH($A49, 'calcolo base'!$A:$A, 0)) = ""   ),
   INDEX('calcolo base'!$K:$K, MATCH($A49, 'calcolo base'!$A:$A, 0)),
   INDEX('calcolo base'!$J:$J, MATCH($A49, 'calcolo base'!$A:$A, 0))
) / 1000</f>
        <v>11.859918200408998</v>
      </c>
      <c r="J49" s="50">
        <f t="shared" si="36"/>
        <v>12.519918200408998</v>
      </c>
      <c r="K49" s="50">
        <v>12.537800000000001</v>
      </c>
      <c r="L49" s="267">
        <f>INDEX('calcolo base'!$H:$H, MATCH($A49, 'calcolo base'!$A:$A, 0))</f>
        <v>0.05</v>
      </c>
      <c r="M49" s="50">
        <f t="shared" si="37"/>
        <v>0.62599591002044996</v>
      </c>
      <c r="N49" s="50">
        <f t="shared" si="38"/>
        <v>0.18779877300613496</v>
      </c>
      <c r="O49" s="50">
        <f t="shared" si="32"/>
        <v>0</v>
      </c>
      <c r="P49" s="50">
        <f t="shared" si="39"/>
        <v>0</v>
      </c>
      <c r="Q49" s="51">
        <f t="shared" si="40"/>
        <v>468.74573742331285</v>
      </c>
      <c r="R49" s="205">
        <f t="shared" si="41"/>
        <v>0</v>
      </c>
      <c r="S49" s="279">
        <f>IF(R49="si",0,IF(E49="si",0,IF(J49&gt;K49,0,K49-J49))) + IF(INDEX('calcolo base'!$P:$P, MATCH($A49, 'calcolo base'!$A:$A, 0))="SI", ('Commissioni De Angeli'!K49-'Commissioni De Angeli'!J49), 0)</f>
        <v>1.7881799591002334E-2</v>
      </c>
      <c r="T49" s="117">
        <f t="shared" si="42"/>
        <v>17.853188711656731</v>
      </c>
      <c r="U49" s="272">
        <f>IF(Q49=0,'calcolo base'!L2648,(T49+Q49))</f>
        <v>486.59892613496959</v>
      </c>
      <c r="V49" s="119"/>
      <c r="W49" s="118" t="s">
        <v>155</v>
      </c>
      <c r="X49" s="123" t="s">
        <v>195</v>
      </c>
      <c r="Z49" s="118">
        <f t="shared" si="33"/>
        <v>0</v>
      </c>
      <c r="AA49" s="118">
        <f t="shared" si="34"/>
        <v>0</v>
      </c>
    </row>
    <row r="50" spans="1:27">
      <c r="A50" s="118">
        <v>44</v>
      </c>
      <c r="B50" s="101">
        <v>2600390</v>
      </c>
      <c r="C50" s="35" t="s">
        <v>78</v>
      </c>
      <c r="D50" s="53">
        <v>2500</v>
      </c>
      <c r="E50" s="53"/>
      <c r="F50" s="48">
        <v>1</v>
      </c>
      <c r="G50" s="243" t="str">
        <f>INDEX('calcolo base'!$B:$B, MATCH($A50, 'calcolo base'!$A:$A, 0))</f>
        <v>Rame</v>
      </c>
      <c r="H50" s="54" t="str">
        <f t="shared" si="35"/>
        <v>Rame</v>
      </c>
      <c r="I50" s="259">
        <f>IF(  OR(      INDEX('calcolo base'!$D:$D, MATCH($A50, 'calcolo base'!$A:$A, 0)) = 0,
      INDEX('calcolo base'!$D:$D, MATCH($A50, 'calcolo base'!$A:$A, 0)) = ""   ),
   INDEX('calcolo base'!$K:$K, MATCH($A50, 'calcolo base'!$A:$A, 0)),
   INDEX('calcolo base'!$J:$J, MATCH($A50, 'calcolo base'!$A:$A, 0))
) / 1000</f>
        <v>0</v>
      </c>
      <c r="J50" s="50">
        <f t="shared" si="36"/>
        <v>1</v>
      </c>
      <c r="K50" s="50">
        <v>1.4</v>
      </c>
      <c r="L50" s="269">
        <v>0</v>
      </c>
      <c r="M50" s="50">
        <f t="shared" si="37"/>
        <v>0</v>
      </c>
      <c r="N50" s="50">
        <f t="shared" si="38"/>
        <v>0</v>
      </c>
      <c r="O50" s="50">
        <f t="shared" si="32"/>
        <v>0</v>
      </c>
      <c r="P50" s="50">
        <f t="shared" si="39"/>
        <v>0.08</v>
      </c>
      <c r="Q50" s="51">
        <f t="shared" si="40"/>
        <v>200</v>
      </c>
      <c r="R50" s="205" t="str">
        <f t="shared" si="41"/>
        <v>si</v>
      </c>
      <c r="S50" s="279">
        <v>0.4</v>
      </c>
      <c r="T50" s="117">
        <f t="shared" si="42"/>
        <v>400</v>
      </c>
      <c r="U50" s="272">
        <f>IF(Q50=0,'calcolo base'!L2649,(T50+Q50))</f>
        <v>600</v>
      </c>
      <c r="V50" s="119">
        <v>46122</v>
      </c>
      <c r="Z50" s="118">
        <f t="shared" si="33"/>
        <v>4</v>
      </c>
      <c r="AA50" s="118">
        <f t="shared" si="34"/>
        <v>2026</v>
      </c>
    </row>
    <row r="51" spans="1:27">
      <c r="A51" s="118">
        <v>45</v>
      </c>
      <c r="B51" s="101" t="s">
        <v>192</v>
      </c>
      <c r="C51" s="109" t="s">
        <v>78</v>
      </c>
      <c r="D51" s="103">
        <v>2583</v>
      </c>
      <c r="E51" s="53"/>
      <c r="F51" s="48">
        <v>0.96</v>
      </c>
      <c r="G51" s="243" t="str">
        <f>INDEX('calcolo base'!$B:$B, MATCH($A51, 'calcolo base'!$A:$A, 0))</f>
        <v>Rame</v>
      </c>
      <c r="H51" s="54" t="str">
        <f t="shared" si="35"/>
        <v>Rame</v>
      </c>
      <c r="I51" s="259">
        <f>IF(  OR(      INDEX('calcolo base'!$D:$D, MATCH($A51, 'calcolo base'!$A:$A, 0)) = 0,
      INDEX('calcolo base'!$D:$D, MATCH($A51, 'calcolo base'!$A:$A, 0)) = ""   ),
   INDEX('calcolo base'!$K:$K, MATCH($A51, 'calcolo base'!$A:$A, 0)),
   INDEX('calcolo base'!$J:$J, MATCH($A51, 'calcolo base'!$A:$A, 0))
) / 1000</f>
        <v>0</v>
      </c>
      <c r="J51" s="50">
        <f t="shared" si="36"/>
        <v>0.96</v>
      </c>
      <c r="K51" s="50">
        <v>1.33</v>
      </c>
      <c r="L51" s="269">
        <v>0</v>
      </c>
      <c r="M51" s="50">
        <f t="shared" si="37"/>
        <v>0</v>
      </c>
      <c r="N51" s="50">
        <f t="shared" si="38"/>
        <v>0</v>
      </c>
      <c r="O51" s="50">
        <f t="shared" si="32"/>
        <v>0</v>
      </c>
      <c r="P51" s="50">
        <f t="shared" si="39"/>
        <v>7.6799999999999993E-2</v>
      </c>
      <c r="Q51" s="51">
        <f t="shared" si="40"/>
        <v>198.37439999999998</v>
      </c>
      <c r="R51" s="205" t="str">
        <f t="shared" si="41"/>
        <v>si</v>
      </c>
      <c r="S51" s="279">
        <v>0.37</v>
      </c>
      <c r="T51" s="117">
        <f t="shared" si="42"/>
        <v>382.28400000000005</v>
      </c>
      <c r="U51" s="272">
        <f>IF(Q51=0,'calcolo base'!L2650,(T51+Q51))</f>
        <v>580.65840000000003</v>
      </c>
      <c r="V51" s="119"/>
      <c r="W51" s="118" t="s">
        <v>155</v>
      </c>
      <c r="Z51" s="118">
        <f t="shared" si="33"/>
        <v>0</v>
      </c>
      <c r="AA51" s="118">
        <f t="shared" si="34"/>
        <v>0</v>
      </c>
    </row>
    <row r="52" spans="1:27">
      <c r="A52" s="118">
        <v>46</v>
      </c>
      <c r="B52" s="101" t="s">
        <v>190</v>
      </c>
      <c r="C52" s="106" t="s">
        <v>48</v>
      </c>
      <c r="D52" s="103">
        <v>6183</v>
      </c>
      <c r="E52" s="53"/>
      <c r="F52" s="48">
        <v>0.7</v>
      </c>
      <c r="G52" s="243" t="str">
        <f>INDEX('calcolo base'!$B:$B, MATCH($A52, 'calcolo base'!$A:$A, 0))</f>
        <v>Rame</v>
      </c>
      <c r="H52" s="54" t="str">
        <f t="shared" si="35"/>
        <v>Rame</v>
      </c>
      <c r="I52" s="259">
        <f>IF(  OR(      INDEX('calcolo base'!$D:$D, MATCH($A52, 'calcolo base'!$A:$A, 0)) = 0,
      INDEX('calcolo base'!$D:$D, MATCH($A52, 'calcolo base'!$A:$A, 0)) = ""   ),
   INDEX('calcolo base'!$K:$K, MATCH($A52, 'calcolo base'!$A:$A, 0)),
   INDEX('calcolo base'!$J:$J, MATCH($A52, 'calcolo base'!$A:$A, 0))
) / 1000</f>
        <v>11.824683544303797</v>
      </c>
      <c r="J52" s="50">
        <f t="shared" si="36"/>
        <v>12.524683544303796</v>
      </c>
      <c r="K52" s="50">
        <v>12.523999999999999</v>
      </c>
      <c r="L52" s="267">
        <f>INDEX('calcolo base'!$H:$H, MATCH($A52, 'calcolo base'!$A:$A, 0))</f>
        <v>0.05</v>
      </c>
      <c r="M52" s="50">
        <f t="shared" si="37"/>
        <v>0.62623417721518981</v>
      </c>
      <c r="N52" s="50">
        <f t="shared" si="38"/>
        <v>0.18787025316455694</v>
      </c>
      <c r="O52" s="50">
        <f t="shared" si="32"/>
        <v>0</v>
      </c>
      <c r="P52" s="50">
        <f t="shared" si="39"/>
        <v>0</v>
      </c>
      <c r="Q52" s="51">
        <f t="shared" si="40"/>
        <v>1161.6017753164556</v>
      </c>
      <c r="R52" s="205">
        <f t="shared" si="41"/>
        <v>0</v>
      </c>
      <c r="S52" s="279">
        <f>IF(R52="si",0,IF(E52="si",0,IF(J52&gt;K52,0,K52-J52))) + IF(INDEX('calcolo base'!$P:$P, MATCH($A52, 'calcolo base'!$A:$A, 0))="SI", ('Commissioni De Angeli'!K52-'Commissioni De Angeli'!J52), 0)</f>
        <v>0</v>
      </c>
      <c r="T52" s="117">
        <f t="shared" si="42"/>
        <v>0</v>
      </c>
      <c r="U52" s="272">
        <f>IF(Q52=0,'calcolo base'!L2651,(T52+Q52))</f>
        <v>1161.6017753164556</v>
      </c>
      <c r="V52" s="119"/>
      <c r="W52" s="118" t="s">
        <v>155</v>
      </c>
      <c r="Z52" s="118">
        <f t="shared" si="33"/>
        <v>0</v>
      </c>
      <c r="AA52" s="118">
        <f t="shared" si="34"/>
        <v>0</v>
      </c>
    </row>
    <row r="53" spans="1:27">
      <c r="A53" s="118">
        <v>47</v>
      </c>
      <c r="B53" s="101" t="s">
        <v>190</v>
      </c>
      <c r="C53" s="106" t="s">
        <v>48</v>
      </c>
      <c r="D53" s="103">
        <v>6676</v>
      </c>
      <c r="E53" s="53"/>
      <c r="F53" s="48">
        <v>0.7</v>
      </c>
      <c r="G53" s="243" t="str">
        <f>INDEX('calcolo base'!$B:$B, MATCH($A53, 'calcolo base'!$A:$A, 0))</f>
        <v>Rame</v>
      </c>
      <c r="H53" s="54" t="str">
        <f t="shared" si="35"/>
        <v>Rame</v>
      </c>
      <c r="I53" s="259">
        <f>IF(  OR(      INDEX('calcolo base'!$D:$D, MATCH($A53, 'calcolo base'!$A:$A, 0)) = 0,
      INDEX('calcolo base'!$D:$D, MATCH($A53, 'calcolo base'!$A:$A, 0)) = ""   ),
   INDEX('calcolo base'!$K:$K, MATCH($A53, 'calcolo base'!$A:$A, 0)),
   INDEX('calcolo base'!$J:$J, MATCH($A53, 'calcolo base'!$A:$A, 0))
) / 1000</f>
        <v>11.824683544303797</v>
      </c>
      <c r="J53" s="50">
        <f t="shared" si="36"/>
        <v>12.524683544303796</v>
      </c>
      <c r="K53" s="50">
        <v>12.523999999999999</v>
      </c>
      <c r="L53" s="267">
        <f>INDEX('calcolo base'!$H:$H, MATCH($A53, 'calcolo base'!$A:$A, 0))</f>
        <v>0.05</v>
      </c>
      <c r="M53" s="50">
        <f t="shared" si="37"/>
        <v>0.62623417721518981</v>
      </c>
      <c r="N53" s="50">
        <f t="shared" si="38"/>
        <v>0.18787025316455694</v>
      </c>
      <c r="O53" s="50">
        <f t="shared" si="32"/>
        <v>0</v>
      </c>
      <c r="P53" s="50">
        <f t="shared" si="39"/>
        <v>0</v>
      </c>
      <c r="Q53" s="51">
        <f t="shared" si="40"/>
        <v>1254.2218101265821</v>
      </c>
      <c r="R53" s="205">
        <f t="shared" si="41"/>
        <v>0</v>
      </c>
      <c r="S53" s="279">
        <f>IF(R53="si",0,IF(E53="si",0,IF(J53&gt;K53,0,K53-J53))) + IF(INDEX('calcolo base'!$P:$P, MATCH($A53, 'calcolo base'!$A:$A, 0))="SI", ('Commissioni De Angeli'!K53-'Commissioni De Angeli'!J53), 0)</f>
        <v>0</v>
      </c>
      <c r="T53" s="117">
        <f t="shared" si="42"/>
        <v>0</v>
      </c>
      <c r="U53" s="272">
        <f>IF(Q53=0,'calcolo base'!L2652,(T53+Q53))</f>
        <v>1254.2218101265821</v>
      </c>
      <c r="V53" s="119"/>
      <c r="W53" s="118" t="s">
        <v>155</v>
      </c>
      <c r="Z53" s="118">
        <f t="shared" si="33"/>
        <v>0</v>
      </c>
      <c r="AA53" s="118">
        <f t="shared" si="34"/>
        <v>0</v>
      </c>
    </row>
    <row r="54" spans="1:27">
      <c r="A54" s="118">
        <v>48</v>
      </c>
      <c r="B54" s="101">
        <v>2600518</v>
      </c>
      <c r="C54" s="35" t="s">
        <v>50</v>
      </c>
      <c r="D54" s="53">
        <v>800</v>
      </c>
      <c r="E54" s="53"/>
      <c r="F54" s="48">
        <v>0.75</v>
      </c>
      <c r="G54" s="243" t="str">
        <f>INDEX('calcolo base'!$B:$B, MATCH($A54, 'calcolo base'!$A:$A, 0))</f>
        <v>Rame</v>
      </c>
      <c r="H54" s="54" t="str">
        <f t="shared" si="35"/>
        <v>Rame</v>
      </c>
      <c r="I54" s="259">
        <f>IF(  OR(      INDEX('calcolo base'!$D:$D, MATCH($A54, 'calcolo base'!$A:$A, 0)) = 0,
      INDEX('calcolo base'!$D:$D, MATCH($A54, 'calcolo base'!$A:$A, 0)) = ""   ),
   INDEX('calcolo base'!$K:$K, MATCH($A54, 'calcolo base'!$A:$A, 0)),
   INDEX('calcolo base'!$J:$J, MATCH($A54, 'calcolo base'!$A:$A, 0))
) / 1000</f>
        <v>11.795443037974684</v>
      </c>
      <c r="J54" s="50">
        <f t="shared" si="36"/>
        <v>12.545443037974684</v>
      </c>
      <c r="K54" s="50">
        <v>12.545400000000001</v>
      </c>
      <c r="L54" s="267">
        <f>INDEX('calcolo base'!$H:$H, MATCH($A54, 'calcolo base'!$A:$A, 0))</f>
        <v>0.05</v>
      </c>
      <c r="M54" s="50">
        <f t="shared" si="37"/>
        <v>0.6272721518987342</v>
      </c>
      <c r="N54" s="50">
        <f t="shared" si="38"/>
        <v>0.18818164556962025</v>
      </c>
      <c r="O54" s="50">
        <f t="shared" ref="O54:O108" si="43">IF($I54=0,0,(IF($G54="alluminio",($J54)*3%,0)+IF($G54="alluminio smaltato",($K54)*3%,0)))</f>
        <v>0</v>
      </c>
      <c r="P54" s="50">
        <f t="shared" si="39"/>
        <v>0</v>
      </c>
      <c r="Q54" s="51">
        <f t="shared" si="40"/>
        <v>150.5453164556962</v>
      </c>
      <c r="R54" s="205">
        <f t="shared" si="41"/>
        <v>0</v>
      </c>
      <c r="S54" s="279">
        <f>IF(R54="si",0,IF(E54="si",0,IF(J54&gt;K54,0,K54-J54))) + IF(INDEX('calcolo base'!$P:$P, MATCH($A54, 'calcolo base'!$A:$A, 0))="SI", ('Commissioni De Angeli'!K54-'Commissioni De Angeli'!J54), 0)</f>
        <v>0</v>
      </c>
      <c r="T54" s="117">
        <f t="shared" si="42"/>
        <v>0</v>
      </c>
      <c r="U54" s="272">
        <f>IF(Q54=0,'calcolo base'!L2653,(T54+Q54))</f>
        <v>150.5453164556962</v>
      </c>
      <c r="V54" s="119">
        <v>46178</v>
      </c>
      <c r="Z54" s="118">
        <f t="shared" si="33"/>
        <v>6</v>
      </c>
      <c r="AA54" s="118">
        <f t="shared" si="34"/>
        <v>2026</v>
      </c>
    </row>
    <row r="55" spans="1:27">
      <c r="A55" s="118">
        <v>49</v>
      </c>
      <c r="B55" s="101" t="s">
        <v>191</v>
      </c>
      <c r="C55" s="106" t="s">
        <v>124</v>
      </c>
      <c r="D55" s="113">
        <v>3939</v>
      </c>
      <c r="E55" s="53"/>
      <c r="F55" s="48">
        <v>0.8</v>
      </c>
      <c r="G55" s="243" t="str">
        <f>INDEX('calcolo base'!$B:$B, MATCH($A55, 'calcolo base'!$A:$A, 0))</f>
        <v>Rame</v>
      </c>
      <c r="H55" s="54" t="str">
        <f t="shared" si="35"/>
        <v>Rame</v>
      </c>
      <c r="I55" s="259">
        <f>IF(  OR(      INDEX('calcolo base'!$D:$D, MATCH($A55, 'calcolo base'!$A:$A, 0)) = 0,
      INDEX('calcolo base'!$D:$D, MATCH($A55, 'calcolo base'!$A:$A, 0)) = ""   ),
   INDEX('calcolo base'!$K:$K, MATCH($A55, 'calcolo base'!$A:$A, 0)),
   INDEX('calcolo base'!$J:$J, MATCH($A55, 'calcolo base'!$A:$A, 0))
) / 1000</f>
        <v>11.997386531927869</v>
      </c>
      <c r="J55" s="50">
        <f t="shared" si="36"/>
        <v>12.79738653192787</v>
      </c>
      <c r="K55" s="50">
        <v>13.2874</v>
      </c>
      <c r="L55" s="267">
        <f>INDEX('calcolo base'!$H:$H, MATCH($A55, 'calcolo base'!$A:$A, 0))</f>
        <v>0.05</v>
      </c>
      <c r="M55" s="50">
        <f t="shared" si="37"/>
        <v>0.63986932659639351</v>
      </c>
      <c r="N55" s="50">
        <f t="shared" si="38"/>
        <v>0.19196079797891805</v>
      </c>
      <c r="O55" s="50">
        <f t="shared" si="43"/>
        <v>0</v>
      </c>
      <c r="P55" s="50">
        <f t="shared" si="39"/>
        <v>0</v>
      </c>
      <c r="Q55" s="235">
        <f t="shared" si="40"/>
        <v>756.13358323895818</v>
      </c>
      <c r="R55" s="205">
        <f t="shared" si="41"/>
        <v>0</v>
      </c>
      <c r="S55" s="279">
        <f>IF(R55="si",0,IF(E55="si",0,IF(J55&gt;K55,0,K55-J55))) + IF(INDEX('calcolo base'!$P:$P, MATCH($A55, 'calcolo base'!$A:$A, 0))="SI", ('Commissioni De Angeli'!K55-'Commissioni De Angeli'!J55), 0)</f>
        <v>0.49001346807212975</v>
      </c>
      <c r="T55" s="117">
        <f t="shared" si="42"/>
        <v>772.06522029444773</v>
      </c>
      <c r="U55" s="272">
        <f>IF(Q55=0,'calcolo base'!L2654,(T55+Q55))</f>
        <v>1528.1988035334059</v>
      </c>
      <c r="V55" s="119"/>
      <c r="W55" s="123" t="s">
        <v>155</v>
      </c>
      <c r="Z55" s="118">
        <f t="shared" si="33"/>
        <v>0</v>
      </c>
      <c r="AA55" s="118">
        <f t="shared" si="34"/>
        <v>0</v>
      </c>
    </row>
    <row r="56" spans="1:27">
      <c r="A56" s="118">
        <v>50</v>
      </c>
      <c r="B56" s="105" t="s">
        <v>201</v>
      </c>
      <c r="C56" s="231" t="s">
        <v>124</v>
      </c>
      <c r="D56" s="232">
        <v>7799</v>
      </c>
      <c r="E56" s="53"/>
      <c r="F56" s="48">
        <v>0.8</v>
      </c>
      <c r="G56" s="243" t="str">
        <f>INDEX('calcolo base'!$B:$B, MATCH($A56, 'calcolo base'!$A:$A, 0))</f>
        <v>Rame</v>
      </c>
      <c r="H56" s="54" t="str">
        <f t="shared" si="35"/>
        <v>Rame</v>
      </c>
      <c r="I56" s="259">
        <f>IF(  OR(      INDEX('calcolo base'!$D:$D, MATCH($A56, 'calcolo base'!$A:$A, 0)) = 0,
      INDEX('calcolo base'!$D:$D, MATCH($A56, 'calcolo base'!$A:$A, 0)) = ""   ),
   INDEX('calcolo base'!$K:$K, MATCH($A56, 'calcolo base'!$A:$A, 0)),
   INDEX('calcolo base'!$J:$J, MATCH($A56, 'calcolo base'!$A:$A, 0))
) / 1000</f>
        <v>11.511636861470008</v>
      </c>
      <c r="J56" s="50">
        <v>12.801600000000001</v>
      </c>
      <c r="K56" s="50">
        <v>13.0854</v>
      </c>
      <c r="L56" s="267">
        <f>INDEX('calcolo base'!$H:$H, MATCH($A56, 'calcolo base'!$A:$A, 0))</f>
        <v>0.05</v>
      </c>
      <c r="M56" s="50">
        <f t="shared" si="37"/>
        <v>0.64008000000000009</v>
      </c>
      <c r="N56" s="50">
        <f t="shared" si="38"/>
        <v>0.192024</v>
      </c>
      <c r="O56" s="50">
        <f t="shared" si="43"/>
        <v>0</v>
      </c>
      <c r="P56" s="50">
        <f t="shared" si="39"/>
        <v>0</v>
      </c>
      <c r="Q56" s="235">
        <f t="shared" si="40"/>
        <v>1497.595176</v>
      </c>
      <c r="R56" s="205">
        <f t="shared" si="41"/>
        <v>0</v>
      </c>
      <c r="S56" s="279">
        <f>IF(R56="si",0,IF(E56="si",0,IF(J56&gt;K56,0,K56-J56))) + IF(INDEX('calcolo base'!$P:$P, MATCH($A56, 'calcolo base'!$A:$A, 0))="SI", ('Commissioni De Angeli'!K56-'Commissioni De Angeli'!J56), 0)</f>
        <v>0.28379999999999939</v>
      </c>
      <c r="T56" s="117">
        <f t="shared" si="42"/>
        <v>885.34247999999809</v>
      </c>
      <c r="U56" s="272">
        <f>IF(Q56=0,'calcolo base'!L2655,(T56+Q56))</f>
        <v>2382.9376559999982</v>
      </c>
      <c r="V56" s="119"/>
      <c r="W56" s="118" t="s">
        <v>155</v>
      </c>
      <c r="Z56" s="118">
        <f t="shared" si="33"/>
        <v>0</v>
      </c>
      <c r="AA56" s="118">
        <f t="shared" si="34"/>
        <v>0</v>
      </c>
    </row>
    <row r="57" spans="1:27">
      <c r="A57" s="118">
        <v>51</v>
      </c>
      <c r="B57" s="101">
        <v>2600568</v>
      </c>
      <c r="C57" s="233" t="s">
        <v>124</v>
      </c>
      <c r="D57" s="234">
        <v>12000</v>
      </c>
      <c r="E57" s="53"/>
      <c r="F57" s="48">
        <v>0.8</v>
      </c>
      <c r="G57" s="243" t="str">
        <f>INDEX('calcolo base'!$B:$B, MATCH($A57, 'calcolo base'!$A:$A, 0))</f>
        <v>Rame</v>
      </c>
      <c r="H57" s="54" t="str">
        <f t="shared" si="35"/>
        <v>Rame</v>
      </c>
      <c r="I57" s="259">
        <f>IF(  OR(      INDEX('calcolo base'!$D:$D, MATCH($A57, 'calcolo base'!$A:$A, 0)) = 0,
      INDEX('calcolo base'!$D:$D, MATCH($A57, 'calcolo base'!$A:$A, 0)) = ""   ),
   INDEX('calcolo base'!$K:$K, MATCH($A57, 'calcolo base'!$A:$A, 0)),
   INDEX('calcolo base'!$J:$J, MATCH($A57, 'calcolo base'!$A:$A, 0))
) / 1000</f>
        <v>11.511636861470008</v>
      </c>
      <c r="J57" s="50">
        <v>12.801600000000001</v>
      </c>
      <c r="K57" s="50">
        <v>13.0854</v>
      </c>
      <c r="L57" s="267">
        <f>INDEX('calcolo base'!$H:$H, MATCH($A57, 'calcolo base'!$A:$A, 0))</f>
        <v>0.05</v>
      </c>
      <c r="M57" s="50">
        <f t="shared" si="37"/>
        <v>0.64008000000000009</v>
      </c>
      <c r="N57" s="50">
        <f t="shared" si="38"/>
        <v>0.192024</v>
      </c>
      <c r="O57" s="50">
        <f t="shared" si="43"/>
        <v>0</v>
      </c>
      <c r="P57" s="50">
        <f t="shared" si="39"/>
        <v>0</v>
      </c>
      <c r="Q57" s="51">
        <f t="shared" si="40"/>
        <v>2304.288</v>
      </c>
      <c r="R57" s="205">
        <f t="shared" si="41"/>
        <v>0</v>
      </c>
      <c r="S57" s="279">
        <f>IF(R57="si",0,IF(E57="si",0,IF(J57&gt;K57,0,K57-J57))) + IF(INDEX('calcolo base'!$P:$P, MATCH($A57, 'calcolo base'!$A:$A, 0))="SI", ('Commissioni De Angeli'!K57-'Commissioni De Angeli'!J57), 0)</f>
        <v>0.28379999999999939</v>
      </c>
      <c r="T57" s="117">
        <f t="shared" si="42"/>
        <v>1362.2399999999971</v>
      </c>
      <c r="U57" s="272">
        <f>IF(Q57=0,'calcolo base'!L2656,(T57+Q57))</f>
        <v>3666.5279999999971</v>
      </c>
      <c r="V57" s="119">
        <v>46127</v>
      </c>
      <c r="Z57" s="118">
        <f t="shared" si="33"/>
        <v>4</v>
      </c>
      <c r="AA57" s="118">
        <f t="shared" si="34"/>
        <v>2026</v>
      </c>
    </row>
    <row r="58" spans="1:27">
      <c r="A58" s="118">
        <v>52</v>
      </c>
      <c r="B58" s="101">
        <v>2600568</v>
      </c>
      <c r="C58" s="99" t="s">
        <v>124</v>
      </c>
      <c r="D58" s="100">
        <v>12000</v>
      </c>
      <c r="E58" s="53"/>
      <c r="F58" s="48">
        <v>0.8</v>
      </c>
      <c r="G58" s="243" t="str">
        <f>INDEX('calcolo base'!$B:$B, MATCH($A58, 'calcolo base'!$A:$A, 0))</f>
        <v>Rame</v>
      </c>
      <c r="H58" s="54" t="str">
        <f t="shared" si="35"/>
        <v>Rame</v>
      </c>
      <c r="I58" s="259">
        <f>IF(  OR(      INDEX('calcolo base'!$D:$D, MATCH($A58, 'calcolo base'!$A:$A, 0)) = 0,
      INDEX('calcolo base'!$D:$D, MATCH($A58, 'calcolo base'!$A:$A, 0)) = ""   ),
   INDEX('calcolo base'!$K:$K, MATCH($A58, 'calcolo base'!$A:$A, 0)),
   INDEX('calcolo base'!$J:$J, MATCH($A58, 'calcolo base'!$A:$A, 0))
) / 1000</f>
        <v>11.795443037974684</v>
      </c>
      <c r="J58" s="50">
        <f t="shared" si="36"/>
        <v>12.595443037974684</v>
      </c>
      <c r="K58" s="50">
        <v>13.0854</v>
      </c>
      <c r="L58" s="267">
        <f>INDEX('calcolo base'!$H:$H, MATCH($A58, 'calcolo base'!$A:$A, 0))</f>
        <v>0.05</v>
      </c>
      <c r="M58" s="50">
        <f t="shared" si="37"/>
        <v>0.62977215189873426</v>
      </c>
      <c r="N58" s="50">
        <f t="shared" si="38"/>
        <v>0.18893164556962025</v>
      </c>
      <c r="O58" s="50">
        <f t="shared" si="43"/>
        <v>0</v>
      </c>
      <c r="P58" s="50">
        <f t="shared" si="39"/>
        <v>0</v>
      </c>
      <c r="Q58" s="51">
        <f t="shared" si="40"/>
        <v>2267.179746835443</v>
      </c>
      <c r="R58" s="205">
        <f t="shared" si="41"/>
        <v>0</v>
      </c>
      <c r="S58" s="279">
        <f>IF(R58="si",0,IF(E58="si",0,IF(J58&gt;K58,0,K58-J58))) + IF(INDEX('calcolo base'!$P:$P, MATCH($A58, 'calcolo base'!$A:$A, 0))="SI", ('Commissioni De Angeli'!K58-'Commissioni De Angeli'!J58), 0)</f>
        <v>0.48995696202531569</v>
      </c>
      <c r="T58" s="117">
        <f t="shared" si="42"/>
        <v>2351.7934177215152</v>
      </c>
      <c r="U58" s="272">
        <f>IF(Q58=0,'calcolo base'!L2657,(T58+Q58))</f>
        <v>4618.9731645569582</v>
      </c>
      <c r="V58" s="119">
        <v>46153</v>
      </c>
      <c r="Z58" s="118">
        <f t="shared" si="33"/>
        <v>5</v>
      </c>
      <c r="AA58" s="118">
        <f t="shared" si="34"/>
        <v>2026</v>
      </c>
    </row>
    <row r="59" spans="1:27">
      <c r="A59" s="118">
        <v>53</v>
      </c>
      <c r="B59" s="101" t="s">
        <v>193</v>
      </c>
      <c r="C59" s="106" t="s">
        <v>78</v>
      </c>
      <c r="D59" s="103">
        <v>1505</v>
      </c>
      <c r="E59" s="53"/>
      <c r="F59" s="48">
        <v>1.0900000000000001</v>
      </c>
      <c r="G59" s="243" t="str">
        <f>INDEX('calcolo base'!$B:$B, MATCH($A59, 'calcolo base'!$A:$A, 0))</f>
        <v>Rame</v>
      </c>
      <c r="H59" s="54" t="str">
        <f t="shared" si="35"/>
        <v>Rame</v>
      </c>
      <c r="I59" s="259">
        <f>IF(  OR(      INDEX('calcolo base'!$D:$D, MATCH($A59, 'calcolo base'!$A:$A, 0)) = 0,
      INDEX('calcolo base'!$D:$D, MATCH($A59, 'calcolo base'!$A:$A, 0)) = ""   ),
   INDEX('calcolo base'!$K:$K, MATCH($A59, 'calcolo base'!$A:$A, 0)),
   INDEX('calcolo base'!$J:$J, MATCH($A59, 'calcolo base'!$A:$A, 0))
) / 1000</f>
        <v>0</v>
      </c>
      <c r="J59" s="50">
        <f t="shared" si="36"/>
        <v>1.0900000000000001</v>
      </c>
      <c r="K59" s="50">
        <v>1.4</v>
      </c>
      <c r="L59" s="269">
        <v>0</v>
      </c>
      <c r="M59" s="50">
        <f t="shared" si="37"/>
        <v>0</v>
      </c>
      <c r="N59" s="50">
        <f t="shared" si="38"/>
        <v>0</v>
      </c>
      <c r="O59" s="50">
        <f t="shared" si="43"/>
        <v>0</v>
      </c>
      <c r="P59" s="50">
        <f t="shared" si="39"/>
        <v>8.7200000000000014E-2</v>
      </c>
      <c r="Q59" s="51">
        <f t="shared" si="40"/>
        <v>131.23600000000002</v>
      </c>
      <c r="R59" s="205" t="str">
        <f t="shared" si="41"/>
        <v>si</v>
      </c>
      <c r="S59" s="279">
        <v>0.31</v>
      </c>
      <c r="T59" s="117">
        <f t="shared" si="42"/>
        <v>186.62</v>
      </c>
      <c r="U59" s="272">
        <f>IF(Q59=0,'calcolo base'!L2658,(T59+Q59))</f>
        <v>317.85599999999999</v>
      </c>
      <c r="V59" s="119"/>
      <c r="W59" s="118" t="s">
        <v>155</v>
      </c>
      <c r="Z59" s="118">
        <f t="shared" si="33"/>
        <v>0</v>
      </c>
      <c r="AA59" s="118">
        <f t="shared" si="34"/>
        <v>0</v>
      </c>
    </row>
    <row r="60" spans="1:27">
      <c r="A60" s="118">
        <v>54</v>
      </c>
      <c r="B60" s="101">
        <v>2600565</v>
      </c>
      <c r="C60" s="75" t="s">
        <v>78</v>
      </c>
      <c r="D60" s="53">
        <v>2500</v>
      </c>
      <c r="E60" s="53"/>
      <c r="F60" s="48">
        <v>1</v>
      </c>
      <c r="G60" s="243" t="str">
        <f>INDEX('calcolo base'!$B:$B, MATCH($A60, 'calcolo base'!$A:$A, 0))</f>
        <v>Rame</v>
      </c>
      <c r="H60" s="54" t="str">
        <f t="shared" si="35"/>
        <v>Rame</v>
      </c>
      <c r="I60" s="259">
        <f>IF(  OR(      INDEX('calcolo base'!$D:$D, MATCH($A60, 'calcolo base'!$A:$A, 0)) = 0,
      INDEX('calcolo base'!$D:$D, MATCH($A60, 'calcolo base'!$A:$A, 0)) = ""   ),
   INDEX('calcolo base'!$K:$K, MATCH($A60, 'calcolo base'!$A:$A, 0)),
   INDEX('calcolo base'!$J:$J, MATCH($A60, 'calcolo base'!$A:$A, 0))
) / 1000</f>
        <v>0</v>
      </c>
      <c r="J60" s="50">
        <f t="shared" si="36"/>
        <v>1</v>
      </c>
      <c r="K60" s="50">
        <v>1.35</v>
      </c>
      <c r="L60" s="269">
        <v>0</v>
      </c>
      <c r="M60" s="50">
        <f t="shared" si="37"/>
        <v>0</v>
      </c>
      <c r="N60" s="50">
        <f t="shared" si="38"/>
        <v>0</v>
      </c>
      <c r="O60" s="50">
        <f t="shared" si="43"/>
        <v>0</v>
      </c>
      <c r="P60" s="50">
        <f t="shared" si="39"/>
        <v>0.08</v>
      </c>
      <c r="Q60" s="51">
        <f t="shared" si="40"/>
        <v>200</v>
      </c>
      <c r="R60" s="205" t="str">
        <f t="shared" si="41"/>
        <v>si</v>
      </c>
      <c r="S60" s="279">
        <v>0.35</v>
      </c>
      <c r="T60" s="117">
        <f t="shared" si="42"/>
        <v>350</v>
      </c>
      <c r="U60" s="272">
        <f>IF(Q60=0,'calcolo base'!L2659,(T60+Q60))</f>
        <v>550</v>
      </c>
      <c r="V60" s="119">
        <v>46122</v>
      </c>
      <c r="Z60" s="118">
        <f t="shared" si="33"/>
        <v>4</v>
      </c>
      <c r="AA60" s="118">
        <f t="shared" si="34"/>
        <v>2026</v>
      </c>
    </row>
    <row r="61" spans="1:27">
      <c r="A61" s="118">
        <v>55</v>
      </c>
      <c r="B61" s="101">
        <v>2600565</v>
      </c>
      <c r="C61" s="75" t="s">
        <v>78</v>
      </c>
      <c r="D61" s="53">
        <v>5000</v>
      </c>
      <c r="E61" s="53"/>
      <c r="F61" s="48">
        <v>1</v>
      </c>
      <c r="G61" s="243" t="str">
        <f>INDEX('calcolo base'!$B:$B, MATCH($A61, 'calcolo base'!$A:$A, 0))</f>
        <v>Rame</v>
      </c>
      <c r="H61" s="54" t="str">
        <f t="shared" si="35"/>
        <v>Rame</v>
      </c>
      <c r="I61" s="259">
        <f>IF(  OR(      INDEX('calcolo base'!$D:$D, MATCH($A61, 'calcolo base'!$A:$A, 0)) = 0,
      INDEX('calcolo base'!$D:$D, MATCH($A61, 'calcolo base'!$A:$A, 0)) = ""   ),
   INDEX('calcolo base'!$K:$K, MATCH($A61, 'calcolo base'!$A:$A, 0)),
   INDEX('calcolo base'!$J:$J, MATCH($A61, 'calcolo base'!$A:$A, 0))
) / 1000</f>
        <v>0</v>
      </c>
      <c r="J61" s="50">
        <f t="shared" si="36"/>
        <v>1</v>
      </c>
      <c r="K61" s="50">
        <v>1.35</v>
      </c>
      <c r="L61" s="269">
        <v>0</v>
      </c>
      <c r="M61" s="50">
        <f t="shared" si="37"/>
        <v>0</v>
      </c>
      <c r="N61" s="50">
        <f t="shared" si="38"/>
        <v>0</v>
      </c>
      <c r="O61" s="50">
        <f t="shared" si="43"/>
        <v>0</v>
      </c>
      <c r="P61" s="50">
        <f t="shared" si="39"/>
        <v>0.08</v>
      </c>
      <c r="Q61" s="51">
        <f t="shared" si="40"/>
        <v>400</v>
      </c>
      <c r="R61" s="205" t="str">
        <f t="shared" si="41"/>
        <v>si</v>
      </c>
      <c r="S61" s="279">
        <v>0.35</v>
      </c>
      <c r="T61" s="117">
        <f t="shared" si="42"/>
        <v>700</v>
      </c>
      <c r="U61" s="272">
        <f>IF(Q61=0,'calcolo base'!L2660,(T61+Q61))</f>
        <v>1100</v>
      </c>
      <c r="V61" s="119">
        <v>46122</v>
      </c>
      <c r="Z61" s="118">
        <f t="shared" si="33"/>
        <v>4</v>
      </c>
      <c r="AA61" s="118">
        <f t="shared" si="34"/>
        <v>2026</v>
      </c>
    </row>
    <row r="62" spans="1:27">
      <c r="A62" s="118">
        <v>56</v>
      </c>
      <c r="B62" s="101">
        <v>2600565</v>
      </c>
      <c r="C62" s="75" t="s">
        <v>78</v>
      </c>
      <c r="D62" s="53">
        <v>2500</v>
      </c>
      <c r="E62" s="53"/>
      <c r="F62" s="48">
        <v>0.9</v>
      </c>
      <c r="G62" s="243" t="str">
        <f>INDEX('calcolo base'!$B:$B, MATCH($A62, 'calcolo base'!$A:$A, 0))</f>
        <v>Rame</v>
      </c>
      <c r="H62" s="54" t="str">
        <f t="shared" si="35"/>
        <v>Rame</v>
      </c>
      <c r="I62" s="259">
        <f>IF(  OR(      INDEX('calcolo base'!$D:$D, MATCH($A62, 'calcolo base'!$A:$A, 0)) = 0,
      INDEX('calcolo base'!$D:$D, MATCH($A62, 'calcolo base'!$A:$A, 0)) = ""   ),
   INDEX('calcolo base'!$K:$K, MATCH($A62, 'calcolo base'!$A:$A, 0)),
   INDEX('calcolo base'!$J:$J, MATCH($A62, 'calcolo base'!$A:$A, 0))
) / 1000</f>
        <v>0</v>
      </c>
      <c r="J62" s="50">
        <f t="shared" si="36"/>
        <v>0.9</v>
      </c>
      <c r="K62" s="50">
        <v>1.3</v>
      </c>
      <c r="L62" s="269">
        <v>0</v>
      </c>
      <c r="M62" s="50">
        <f t="shared" si="37"/>
        <v>0</v>
      </c>
      <c r="N62" s="50">
        <f t="shared" si="38"/>
        <v>0</v>
      </c>
      <c r="O62" s="50">
        <f t="shared" si="43"/>
        <v>0</v>
      </c>
      <c r="P62" s="50">
        <f t="shared" si="39"/>
        <v>7.2000000000000008E-2</v>
      </c>
      <c r="Q62" s="51">
        <f t="shared" si="40"/>
        <v>180.00000000000003</v>
      </c>
      <c r="R62" s="205" t="str">
        <f t="shared" si="41"/>
        <v>si</v>
      </c>
      <c r="S62" s="279">
        <v>0.4</v>
      </c>
      <c r="T62" s="117">
        <f t="shared" si="42"/>
        <v>400</v>
      </c>
      <c r="U62" s="272">
        <f>IF(Q62=0,'calcolo base'!L2661,(T62+Q62))</f>
        <v>580</v>
      </c>
      <c r="V62" s="119">
        <v>46129</v>
      </c>
      <c r="Z62" s="118">
        <f t="shared" si="33"/>
        <v>4</v>
      </c>
      <c r="AA62" s="118">
        <f t="shared" si="34"/>
        <v>2026</v>
      </c>
    </row>
    <row r="63" spans="1:27">
      <c r="A63" s="118">
        <v>57</v>
      </c>
      <c r="B63" s="101">
        <v>2600565</v>
      </c>
      <c r="C63" s="75" t="s">
        <v>78</v>
      </c>
      <c r="D63" s="53">
        <v>2500</v>
      </c>
      <c r="E63" s="53"/>
      <c r="F63" s="48">
        <v>0.88</v>
      </c>
      <c r="G63" s="243" t="str">
        <f>INDEX('calcolo base'!$B:$B, MATCH($A63, 'calcolo base'!$A:$A, 0))</f>
        <v>Rame</v>
      </c>
      <c r="H63" s="54" t="str">
        <f t="shared" si="35"/>
        <v>Rame</v>
      </c>
      <c r="I63" s="259">
        <f>IF(  OR(      INDEX('calcolo base'!$D:$D, MATCH($A63, 'calcolo base'!$A:$A, 0)) = 0,
      INDEX('calcolo base'!$D:$D, MATCH($A63, 'calcolo base'!$A:$A, 0)) = ""   ),
   INDEX('calcolo base'!$K:$K, MATCH($A63, 'calcolo base'!$A:$A, 0)),
   INDEX('calcolo base'!$J:$J, MATCH($A63, 'calcolo base'!$A:$A, 0))
) / 1000</f>
        <v>0</v>
      </c>
      <c r="J63" s="50">
        <f t="shared" si="36"/>
        <v>0.88</v>
      </c>
      <c r="K63" s="50">
        <v>1.24</v>
      </c>
      <c r="L63" s="269">
        <v>0</v>
      </c>
      <c r="M63" s="50">
        <f t="shared" si="37"/>
        <v>0</v>
      </c>
      <c r="N63" s="50">
        <f t="shared" si="38"/>
        <v>0</v>
      </c>
      <c r="O63" s="50">
        <f t="shared" si="43"/>
        <v>0</v>
      </c>
      <c r="P63" s="50">
        <f t="shared" si="39"/>
        <v>7.0400000000000004E-2</v>
      </c>
      <c r="Q63" s="51">
        <f t="shared" si="40"/>
        <v>176</v>
      </c>
      <c r="R63" s="205" t="str">
        <f t="shared" si="41"/>
        <v>si</v>
      </c>
      <c r="S63" s="279">
        <v>0.4</v>
      </c>
      <c r="T63" s="117">
        <f t="shared" si="42"/>
        <v>400</v>
      </c>
      <c r="U63" s="272">
        <f>IF(Q63=0,'calcolo base'!L2662,(T63+Q63))</f>
        <v>576</v>
      </c>
      <c r="V63" s="119">
        <v>46122</v>
      </c>
      <c r="Z63" s="118">
        <f t="shared" si="33"/>
        <v>4</v>
      </c>
      <c r="AA63" s="118">
        <f t="shared" si="34"/>
        <v>2026</v>
      </c>
    </row>
    <row r="64" spans="1:27">
      <c r="A64" s="118">
        <v>58</v>
      </c>
      <c r="B64" s="101">
        <v>2600608</v>
      </c>
      <c r="C64" s="35" t="s">
        <v>48</v>
      </c>
      <c r="D64" s="53">
        <v>1000</v>
      </c>
      <c r="E64" s="53"/>
      <c r="F64" s="48">
        <v>0.7</v>
      </c>
      <c r="G64" s="243" t="str">
        <f>INDEX('calcolo base'!$B:$B, MATCH($A64, 'calcolo base'!$A:$A, 0))</f>
        <v>Rame</v>
      </c>
      <c r="H64" s="54" t="str">
        <f t="shared" si="35"/>
        <v>Rame</v>
      </c>
      <c r="I64" s="259">
        <f>IF(  OR(      INDEX('calcolo base'!$D:$D, MATCH($A64, 'calcolo base'!$A:$A, 0)) = 0,
      INDEX('calcolo base'!$D:$D, MATCH($A64, 'calcolo base'!$A:$A, 0)) = ""   ),
   INDEX('calcolo base'!$K:$K, MATCH($A64, 'calcolo base'!$A:$A, 0)),
   INDEX('calcolo base'!$J:$J, MATCH($A64, 'calcolo base'!$A:$A, 0))
) / 1000</f>
        <v>12.073985379379884</v>
      </c>
      <c r="J64" s="50">
        <f t="shared" si="36"/>
        <v>12.773985379379884</v>
      </c>
      <c r="K64" s="50">
        <v>12.77</v>
      </c>
      <c r="L64" s="267">
        <f>INDEX('calcolo base'!$H:$H, MATCH($A64, 'calcolo base'!$A:$A, 0))</f>
        <v>0.05</v>
      </c>
      <c r="M64" s="50">
        <f t="shared" si="37"/>
        <v>0.6386992689689942</v>
      </c>
      <c r="N64" s="50">
        <f t="shared" si="38"/>
        <v>0.19160978069069826</v>
      </c>
      <c r="O64" s="50">
        <f t="shared" si="43"/>
        <v>0</v>
      </c>
      <c r="P64" s="50">
        <f t="shared" si="39"/>
        <v>0</v>
      </c>
      <c r="Q64" s="51">
        <f t="shared" si="40"/>
        <v>191.60978069069824</v>
      </c>
      <c r="R64" s="205">
        <f t="shared" si="41"/>
        <v>0</v>
      </c>
      <c r="S64" s="279">
        <f>IF(R64="si",0,IF(E64="si",0,IF(J64&gt;K64,0,K64-J64))) + IF(INDEX('calcolo base'!$P:$P, MATCH($A64, 'calcolo base'!$A:$A, 0))="SI", ('Commissioni De Angeli'!K64-'Commissioni De Angeli'!J64), 0)</f>
        <v>0</v>
      </c>
      <c r="T64" s="117">
        <f t="shared" si="42"/>
        <v>0</v>
      </c>
      <c r="U64" s="272">
        <f>IF(Q64=0,'calcolo base'!L2663,(T64+Q64))</f>
        <v>191.60978069069824</v>
      </c>
      <c r="V64" s="119">
        <v>46106</v>
      </c>
      <c r="Z64" s="118">
        <f t="shared" si="33"/>
        <v>3</v>
      </c>
      <c r="AA64" s="118">
        <f t="shared" si="34"/>
        <v>2026</v>
      </c>
    </row>
    <row r="65" spans="1:27">
      <c r="A65" s="118">
        <v>59</v>
      </c>
      <c r="B65" s="101">
        <v>2600608</v>
      </c>
      <c r="C65" s="35" t="s">
        <v>48</v>
      </c>
      <c r="D65" s="53">
        <v>5000</v>
      </c>
      <c r="E65" s="53"/>
      <c r="F65" s="48">
        <v>0.7</v>
      </c>
      <c r="G65" s="243" t="str">
        <f>INDEX('calcolo base'!$B:$B, MATCH($A65, 'calcolo base'!$A:$A, 0))</f>
        <v>Rame</v>
      </c>
      <c r="H65" s="54" t="str">
        <f t="shared" si="35"/>
        <v>Rame</v>
      </c>
      <c r="I65" s="259">
        <f>IF(  OR(      INDEX('calcolo base'!$D:$D, MATCH($A65, 'calcolo base'!$A:$A, 0)) = 0,
      INDEX('calcolo base'!$D:$D, MATCH($A65, 'calcolo base'!$A:$A, 0)) = ""   ),
   INDEX('calcolo base'!$K:$K, MATCH($A65, 'calcolo base'!$A:$A, 0)),
   INDEX('calcolo base'!$J:$J, MATCH($A65, 'calcolo base'!$A:$A, 0))
) / 1000</f>
        <v>12.073985379379884</v>
      </c>
      <c r="J65" s="50">
        <f t="shared" si="36"/>
        <v>12.773985379379884</v>
      </c>
      <c r="K65" s="50">
        <v>12.77</v>
      </c>
      <c r="L65" s="267">
        <f>INDEX('calcolo base'!$H:$H, MATCH($A65, 'calcolo base'!$A:$A, 0))</f>
        <v>0.05</v>
      </c>
      <c r="M65" s="50">
        <f t="shared" si="37"/>
        <v>0.6386992689689942</v>
      </c>
      <c r="N65" s="50">
        <f t="shared" si="38"/>
        <v>0.19160978069069826</v>
      </c>
      <c r="O65" s="50">
        <f t="shared" si="43"/>
        <v>0</v>
      </c>
      <c r="P65" s="50">
        <f t="shared" si="39"/>
        <v>0</v>
      </c>
      <c r="Q65" s="51">
        <f t="shared" si="40"/>
        <v>958.04890345349133</v>
      </c>
      <c r="R65" s="205">
        <f t="shared" si="41"/>
        <v>0</v>
      </c>
      <c r="S65" s="279">
        <f>IF(R65="si",0,IF(E65="si",0,IF(J65&gt;K65,0,K65-J65))) + IF(INDEX('calcolo base'!$P:$P, MATCH($A65, 'calcolo base'!$A:$A, 0))="SI", ('Commissioni De Angeli'!K65-'Commissioni De Angeli'!J65), 0)</f>
        <v>0</v>
      </c>
      <c r="T65" s="117">
        <f t="shared" si="42"/>
        <v>0</v>
      </c>
      <c r="U65" s="272">
        <f>IF(Q65=0,'calcolo base'!L2664,(T65+Q65))</f>
        <v>958.04890345349133</v>
      </c>
      <c r="V65" s="119">
        <v>46127</v>
      </c>
      <c r="Z65" s="118">
        <f t="shared" si="33"/>
        <v>4</v>
      </c>
      <c r="AA65" s="118">
        <f t="shared" si="34"/>
        <v>2026</v>
      </c>
    </row>
    <row r="66" spans="1:27">
      <c r="A66" s="118">
        <v>60</v>
      </c>
      <c r="B66" s="101">
        <v>2600608</v>
      </c>
      <c r="C66" s="35" t="s">
        <v>48</v>
      </c>
      <c r="D66" s="53">
        <v>6500</v>
      </c>
      <c r="E66" s="53"/>
      <c r="F66" s="48">
        <v>0.7</v>
      </c>
      <c r="G66" s="243" t="str">
        <f>INDEX('calcolo base'!$B:$B, MATCH($A66, 'calcolo base'!$A:$A, 0))</f>
        <v>Rame</v>
      </c>
      <c r="H66" s="54" t="str">
        <f t="shared" si="35"/>
        <v>Rame</v>
      </c>
      <c r="I66" s="259">
        <f>IF(  OR(      INDEX('calcolo base'!$D:$D, MATCH($A66, 'calcolo base'!$A:$A, 0)) = 0,
      INDEX('calcolo base'!$D:$D, MATCH($A66, 'calcolo base'!$A:$A, 0)) = ""   ),
   INDEX('calcolo base'!$K:$K, MATCH($A66, 'calcolo base'!$A:$A, 0)),
   INDEX('calcolo base'!$J:$J, MATCH($A66, 'calcolo base'!$A:$A, 0))
) / 1000</f>
        <v>12.073985379379884</v>
      </c>
      <c r="J66" s="50">
        <f t="shared" si="36"/>
        <v>12.773985379379884</v>
      </c>
      <c r="K66" s="50">
        <v>12.77</v>
      </c>
      <c r="L66" s="267">
        <f>INDEX('calcolo base'!$H:$H, MATCH($A66, 'calcolo base'!$A:$A, 0))</f>
        <v>0.05</v>
      </c>
      <c r="M66" s="50">
        <f t="shared" si="37"/>
        <v>0.6386992689689942</v>
      </c>
      <c r="N66" s="50">
        <f t="shared" si="38"/>
        <v>0.19160978069069826</v>
      </c>
      <c r="O66" s="50">
        <f t="shared" si="43"/>
        <v>0</v>
      </c>
      <c r="P66" s="50">
        <f t="shared" si="39"/>
        <v>0</v>
      </c>
      <c r="Q66" s="51">
        <f t="shared" si="40"/>
        <v>1245.4635744895386</v>
      </c>
      <c r="R66" s="205">
        <f t="shared" si="41"/>
        <v>0</v>
      </c>
      <c r="S66" s="279">
        <f>IF(R66="si",0,IF(E66="si",0,IF(J66&gt;K66,0,K66-J66))) + IF(INDEX('calcolo base'!$P:$P, MATCH($A66, 'calcolo base'!$A:$A, 0))="SI", ('Commissioni De Angeli'!K66-'Commissioni De Angeli'!J66), 0)</f>
        <v>0</v>
      </c>
      <c r="T66" s="117">
        <f t="shared" si="42"/>
        <v>0</v>
      </c>
      <c r="U66" s="272">
        <f>IF(Q66=0,'calcolo base'!L2665,(T66+Q66))</f>
        <v>1245.4635744895386</v>
      </c>
      <c r="V66" s="119">
        <v>46127</v>
      </c>
      <c r="Z66" s="118">
        <f t="shared" si="33"/>
        <v>4</v>
      </c>
      <c r="AA66" s="118">
        <f t="shared" si="34"/>
        <v>2026</v>
      </c>
    </row>
    <row r="67" spans="1:27">
      <c r="A67" s="118">
        <v>61</v>
      </c>
      <c r="B67" s="105" t="s">
        <v>200</v>
      </c>
      <c r="C67" s="109" t="s">
        <v>83</v>
      </c>
      <c r="D67" s="103">
        <v>202.8</v>
      </c>
      <c r="E67" s="53"/>
      <c r="F67" s="48">
        <v>5.7</v>
      </c>
      <c r="G67" s="243" t="str">
        <f>INDEX('calcolo base'!$B:$B, MATCH($A67, 'calcolo base'!$A:$A, 0))</f>
        <v>Rame</v>
      </c>
      <c r="H67" s="54" t="str">
        <f t="shared" si="35"/>
        <v>Rame</v>
      </c>
      <c r="I67" s="259">
        <f>IF(  OR(      INDEX('calcolo base'!$D:$D, MATCH($A67, 'calcolo base'!$A:$A, 0)) = 0,
      INDEX('calcolo base'!$D:$D, MATCH($A67, 'calcolo base'!$A:$A, 0)) = ""   ),
   INDEX('calcolo base'!$K:$K, MATCH($A67, 'calcolo base'!$A:$A, 0)),
   INDEX('calcolo base'!$J:$J, MATCH($A67, 'calcolo base'!$A:$A, 0))
) / 1000</f>
        <v>11.964375947448207</v>
      </c>
      <c r="J67" s="50">
        <f t="shared" si="36"/>
        <v>17.664375947448207</v>
      </c>
      <c r="K67" s="50">
        <v>19.25</v>
      </c>
      <c r="L67" s="267">
        <f>INDEX('calcolo base'!$H:$H, MATCH($A67, 'calcolo base'!$A:$A, 0))</f>
        <v>0.05</v>
      </c>
      <c r="M67" s="50">
        <f t="shared" si="37"/>
        <v>0.88321879737241038</v>
      </c>
      <c r="N67" s="50">
        <f t="shared" si="38"/>
        <v>0.26496563921172311</v>
      </c>
      <c r="O67" s="50">
        <f t="shared" si="43"/>
        <v>0</v>
      </c>
      <c r="P67" s="50">
        <f t="shared" si="39"/>
        <v>0</v>
      </c>
      <c r="Q67" s="51">
        <f t="shared" si="40"/>
        <v>53.735031632137449</v>
      </c>
      <c r="R67" s="205">
        <f t="shared" si="41"/>
        <v>0</v>
      </c>
      <c r="S67" s="279">
        <f>IF(R67="si",0,IF(E67="si",0,IF(J67&gt;K67,0,K67-J67))) + IF(INDEX('calcolo base'!$P:$P, MATCH($A67, 'calcolo base'!$A:$A, 0))="SI", ('Commissioni De Angeli'!K67-'Commissioni De Angeli'!J67), 0)</f>
        <v>1.5856240525517933</v>
      </c>
      <c r="T67" s="117">
        <f t="shared" si="42"/>
        <v>128.6258231430015</v>
      </c>
      <c r="U67" s="272">
        <f>IF(Q67=0,'calcolo base'!L2666,(T67+Q67))</f>
        <v>182.36085477513893</v>
      </c>
      <c r="V67" s="119"/>
      <c r="W67" s="123" t="s">
        <v>155</v>
      </c>
      <c r="Z67" s="118">
        <f t="shared" si="33"/>
        <v>0</v>
      </c>
      <c r="AA67" s="118">
        <f t="shared" si="34"/>
        <v>0</v>
      </c>
    </row>
    <row r="68" spans="1:27">
      <c r="A68" s="118">
        <v>62</v>
      </c>
      <c r="B68" s="101">
        <v>2600719</v>
      </c>
      <c r="C68" s="75" t="s">
        <v>159</v>
      </c>
      <c r="D68" s="53">
        <v>2500</v>
      </c>
      <c r="E68" s="53"/>
      <c r="F68" s="48">
        <v>0.8</v>
      </c>
      <c r="G68" s="243" t="str">
        <f>INDEX('calcolo base'!$B:$B, MATCH($A68, 'calcolo base'!$A:$A, 0))</f>
        <v>Rame</v>
      </c>
      <c r="H68" s="54" t="str">
        <f t="shared" si="35"/>
        <v>Rame</v>
      </c>
      <c r="I68" s="259">
        <f>IF(  OR(      INDEX('calcolo base'!$D:$D, MATCH($A68, 'calcolo base'!$A:$A, 0)) = 0,
      INDEX('calcolo base'!$D:$D, MATCH($A68, 'calcolo base'!$A:$A, 0)) = ""   ),
   INDEX('calcolo base'!$K:$K, MATCH($A68, 'calcolo base'!$A:$A, 0)),
   INDEX('calcolo base'!$J:$J, MATCH($A68, 'calcolo base'!$A:$A, 0))
) / 1000</f>
        <v>11.575493171471928</v>
      </c>
      <c r="J68" s="50">
        <f t="shared" si="36"/>
        <v>12.375493171471929</v>
      </c>
      <c r="K68" s="50">
        <v>13.6</v>
      </c>
      <c r="L68" s="267">
        <f>INDEX('calcolo base'!$H:$H, MATCH($A68, 'calcolo base'!$A:$A, 0))</f>
        <v>0.05</v>
      </c>
      <c r="M68" s="50">
        <f t="shared" si="37"/>
        <v>0.61877465857359648</v>
      </c>
      <c r="N68" s="50">
        <f t="shared" si="38"/>
        <v>0.18563239757207892</v>
      </c>
      <c r="O68" s="50">
        <f t="shared" si="43"/>
        <v>0</v>
      </c>
      <c r="P68" s="50">
        <f t="shared" si="39"/>
        <v>0</v>
      </c>
      <c r="Q68" s="51">
        <f t="shared" si="40"/>
        <v>464.08099393019728</v>
      </c>
      <c r="R68" s="205">
        <f t="shared" si="41"/>
        <v>0</v>
      </c>
      <c r="S68" s="279">
        <f>IF(R68="si",0,IF(E68="si",0,IF(J68&gt;K68,0,K68-J68))) + IF(INDEX('calcolo base'!$P:$P, MATCH($A68, 'calcolo base'!$A:$A, 0))="SI", ('Commissioni De Angeli'!K68-'Commissioni De Angeli'!J68), 0)</f>
        <v>1.2245068285280709</v>
      </c>
      <c r="T68" s="117">
        <f t="shared" si="42"/>
        <v>1224.5068285280711</v>
      </c>
      <c r="U68" s="272">
        <f>IF(Q68=0,'calcolo base'!L2667,(T68+Q68))</f>
        <v>1688.5878224582684</v>
      </c>
      <c r="V68" s="119">
        <v>46119</v>
      </c>
      <c r="Z68" s="118">
        <f t="shared" si="33"/>
        <v>4</v>
      </c>
      <c r="AA68" s="118">
        <f t="shared" si="34"/>
        <v>2026</v>
      </c>
    </row>
    <row r="69" spans="1:27">
      <c r="A69" s="118">
        <v>63</v>
      </c>
      <c r="B69" s="101">
        <v>2600737</v>
      </c>
      <c r="C69" s="35" t="s">
        <v>78</v>
      </c>
      <c r="D69" s="53">
        <v>2500</v>
      </c>
      <c r="E69" s="53"/>
      <c r="F69" s="48">
        <v>0.91</v>
      </c>
      <c r="G69" s="243" t="str">
        <f>INDEX('calcolo base'!$B:$B, MATCH($A69, 'calcolo base'!$A:$A, 0))</f>
        <v>Rame</v>
      </c>
      <c r="H69" s="54" t="str">
        <f t="shared" si="35"/>
        <v>Rame</v>
      </c>
      <c r="I69" s="259">
        <f>IF(  OR(      INDEX('calcolo base'!$D:$D, MATCH($A69, 'calcolo base'!$A:$A, 0)) = 0,
      INDEX('calcolo base'!$D:$D, MATCH($A69, 'calcolo base'!$A:$A, 0)) = ""   ),
   INDEX('calcolo base'!$K:$K, MATCH($A69, 'calcolo base'!$A:$A, 0)),
   INDEX('calcolo base'!$J:$J, MATCH($A69, 'calcolo base'!$A:$A, 0))
) / 1000</f>
        <v>0</v>
      </c>
      <c r="J69" s="50">
        <f t="shared" si="36"/>
        <v>0.91</v>
      </c>
      <c r="K69" s="50">
        <v>1.3</v>
      </c>
      <c r="L69" s="269">
        <v>0</v>
      </c>
      <c r="M69" s="50">
        <f t="shared" si="37"/>
        <v>0</v>
      </c>
      <c r="N69" s="50">
        <f t="shared" si="38"/>
        <v>0</v>
      </c>
      <c r="O69" s="50">
        <f t="shared" si="43"/>
        <v>0</v>
      </c>
      <c r="P69" s="50">
        <f t="shared" si="39"/>
        <v>7.2800000000000004E-2</v>
      </c>
      <c r="Q69" s="51">
        <f t="shared" si="40"/>
        <v>182</v>
      </c>
      <c r="R69" s="205" t="str">
        <f t="shared" si="41"/>
        <v>si</v>
      </c>
      <c r="S69" s="279">
        <v>0.39</v>
      </c>
      <c r="T69" s="117">
        <f t="shared" si="42"/>
        <v>390</v>
      </c>
      <c r="U69" s="272">
        <f>IF(Q69=0,'calcolo base'!L2668,(T69+Q69))</f>
        <v>572</v>
      </c>
      <c r="V69" s="119">
        <v>46135</v>
      </c>
      <c r="Z69" s="118">
        <f t="shared" si="33"/>
        <v>4</v>
      </c>
      <c r="AA69" s="118">
        <f t="shared" si="34"/>
        <v>2026</v>
      </c>
    </row>
    <row r="70" spans="1:27">
      <c r="A70" s="118">
        <v>64</v>
      </c>
      <c r="B70" s="101">
        <v>2600737</v>
      </c>
      <c r="C70" s="35" t="s">
        <v>78</v>
      </c>
      <c r="D70" s="53">
        <v>2500</v>
      </c>
      <c r="E70" s="53"/>
      <c r="F70" s="48">
        <v>0.96</v>
      </c>
      <c r="G70" s="243" t="str">
        <f>INDEX('calcolo base'!$B:$B, MATCH($A70, 'calcolo base'!$A:$A, 0))</f>
        <v>Rame</v>
      </c>
      <c r="H70" s="54" t="str">
        <f t="shared" si="35"/>
        <v>Rame</v>
      </c>
      <c r="I70" s="259">
        <f>IF(  OR(      INDEX('calcolo base'!$D:$D, MATCH($A70, 'calcolo base'!$A:$A, 0)) = 0,
      INDEX('calcolo base'!$D:$D, MATCH($A70, 'calcolo base'!$A:$A, 0)) = ""   ),
   INDEX('calcolo base'!$K:$K, MATCH($A70, 'calcolo base'!$A:$A, 0)),
   INDEX('calcolo base'!$J:$J, MATCH($A70, 'calcolo base'!$A:$A, 0))
) / 1000</f>
        <v>0</v>
      </c>
      <c r="J70" s="50">
        <f t="shared" si="36"/>
        <v>0.96</v>
      </c>
      <c r="K70" s="50">
        <v>1.35</v>
      </c>
      <c r="L70" s="269">
        <v>0</v>
      </c>
      <c r="M70" s="50">
        <f t="shared" si="37"/>
        <v>0</v>
      </c>
      <c r="N70" s="50">
        <f t="shared" si="38"/>
        <v>0</v>
      </c>
      <c r="O70" s="50">
        <f t="shared" si="43"/>
        <v>0</v>
      </c>
      <c r="P70" s="50">
        <f t="shared" si="39"/>
        <v>7.6799999999999993E-2</v>
      </c>
      <c r="Q70" s="51">
        <f t="shared" si="40"/>
        <v>191.99999999999997</v>
      </c>
      <c r="R70" s="205" t="str">
        <f t="shared" si="41"/>
        <v>si</v>
      </c>
      <c r="S70" s="279">
        <v>0.39</v>
      </c>
      <c r="T70" s="117">
        <f t="shared" si="42"/>
        <v>390</v>
      </c>
      <c r="U70" s="272">
        <f>IF(Q70=0,'calcolo base'!L2669,(T70+Q70))</f>
        <v>582</v>
      </c>
      <c r="V70" s="119">
        <v>46135</v>
      </c>
      <c r="Z70" s="118">
        <f t="shared" si="33"/>
        <v>4</v>
      </c>
      <c r="AA70" s="118">
        <f t="shared" si="34"/>
        <v>2026</v>
      </c>
    </row>
    <row r="71" spans="1:27">
      <c r="A71" s="118">
        <v>65</v>
      </c>
      <c r="B71" s="101">
        <v>2600737</v>
      </c>
      <c r="C71" s="35" t="s">
        <v>78</v>
      </c>
      <c r="D71" s="53">
        <v>3000</v>
      </c>
      <c r="E71" s="53"/>
      <c r="F71" s="48">
        <v>1</v>
      </c>
      <c r="G71" s="243" t="str">
        <f>INDEX('calcolo base'!$B:$B, MATCH($A71, 'calcolo base'!$A:$A, 0))</f>
        <v>Rame</v>
      </c>
      <c r="H71" s="54" t="str">
        <f t="shared" si="35"/>
        <v>Rame</v>
      </c>
      <c r="I71" s="259">
        <f>IF(  OR(      INDEX('calcolo base'!$D:$D, MATCH($A71, 'calcolo base'!$A:$A, 0)) = 0,
      INDEX('calcolo base'!$D:$D, MATCH($A71, 'calcolo base'!$A:$A, 0)) = ""   ),
   INDEX('calcolo base'!$K:$K, MATCH($A71, 'calcolo base'!$A:$A, 0)),
   INDEX('calcolo base'!$J:$J, MATCH($A71, 'calcolo base'!$A:$A, 0))
) / 1000</f>
        <v>0</v>
      </c>
      <c r="J71" s="50">
        <f t="shared" si="36"/>
        <v>1</v>
      </c>
      <c r="K71" s="50">
        <v>1.35</v>
      </c>
      <c r="L71" s="269">
        <v>0</v>
      </c>
      <c r="M71" s="50">
        <f t="shared" si="37"/>
        <v>0</v>
      </c>
      <c r="N71" s="50">
        <f t="shared" si="38"/>
        <v>0</v>
      </c>
      <c r="O71" s="50">
        <f t="shared" si="43"/>
        <v>0</v>
      </c>
      <c r="P71" s="50">
        <f t="shared" si="39"/>
        <v>0.08</v>
      </c>
      <c r="Q71" s="51">
        <f t="shared" si="40"/>
        <v>240</v>
      </c>
      <c r="R71" s="205" t="str">
        <f t="shared" si="41"/>
        <v>si</v>
      </c>
      <c r="S71" s="279">
        <v>0.35</v>
      </c>
      <c r="T71" s="117">
        <f t="shared" si="42"/>
        <v>420</v>
      </c>
      <c r="U71" s="272">
        <f>IF(Q71=0,'calcolo base'!L2670,(T71+Q71))</f>
        <v>660</v>
      </c>
      <c r="V71" s="119">
        <v>46140</v>
      </c>
      <c r="Z71" s="118">
        <f t="shared" si="33"/>
        <v>4</v>
      </c>
      <c r="AA71" s="118">
        <f t="shared" si="34"/>
        <v>2026</v>
      </c>
    </row>
    <row r="72" spans="1:27">
      <c r="A72" s="118">
        <v>66</v>
      </c>
      <c r="B72" s="101">
        <v>2600737</v>
      </c>
      <c r="C72" s="35" t="s">
        <v>78</v>
      </c>
      <c r="D72" s="53">
        <v>500</v>
      </c>
      <c r="E72" s="53"/>
      <c r="F72" s="48">
        <v>1.0900000000000001</v>
      </c>
      <c r="G72" s="243" t="str">
        <f>INDEX('calcolo base'!$B:$B, MATCH($A72, 'calcolo base'!$A:$A, 0))</f>
        <v>Rame</v>
      </c>
      <c r="H72" s="54" t="str">
        <f t="shared" si="35"/>
        <v>Rame</v>
      </c>
      <c r="I72" s="259">
        <f>IF(  OR(      INDEX('calcolo base'!$D:$D, MATCH($A72, 'calcolo base'!$A:$A, 0)) = 0,
      INDEX('calcolo base'!$D:$D, MATCH($A72, 'calcolo base'!$A:$A, 0)) = ""   ),
   INDEX('calcolo base'!$K:$K, MATCH($A72, 'calcolo base'!$A:$A, 0)),
   INDEX('calcolo base'!$J:$J, MATCH($A72, 'calcolo base'!$A:$A, 0))
) / 1000</f>
        <v>0</v>
      </c>
      <c r="J72" s="50">
        <f t="shared" si="36"/>
        <v>1.0900000000000001</v>
      </c>
      <c r="K72" s="50">
        <v>1.4</v>
      </c>
      <c r="L72" s="269">
        <v>0</v>
      </c>
      <c r="M72" s="50">
        <f t="shared" si="37"/>
        <v>0</v>
      </c>
      <c r="N72" s="50">
        <f t="shared" si="38"/>
        <v>0</v>
      </c>
      <c r="O72" s="50">
        <f t="shared" si="43"/>
        <v>0</v>
      </c>
      <c r="P72" s="50">
        <f t="shared" si="39"/>
        <v>8.7200000000000014E-2</v>
      </c>
      <c r="Q72" s="51">
        <f t="shared" si="40"/>
        <v>43.600000000000009</v>
      </c>
      <c r="R72" s="205" t="str">
        <f t="shared" si="41"/>
        <v>si</v>
      </c>
      <c r="S72" s="279">
        <v>0.31</v>
      </c>
      <c r="T72" s="117">
        <f t="shared" si="42"/>
        <v>62</v>
      </c>
      <c r="U72" s="272">
        <f>IF(Q72=0,'calcolo base'!L2671,(T72+Q72))</f>
        <v>105.60000000000001</v>
      </c>
      <c r="V72" s="119">
        <v>46140</v>
      </c>
      <c r="Z72" s="118">
        <f t="shared" si="33"/>
        <v>4</v>
      </c>
      <c r="AA72" s="118">
        <f t="shared" si="34"/>
        <v>2026</v>
      </c>
    </row>
    <row r="73" spans="1:27">
      <c r="A73" s="118">
        <v>67</v>
      </c>
      <c r="B73" s="101" t="s">
        <v>188</v>
      </c>
      <c r="C73" s="109" t="s">
        <v>158</v>
      </c>
      <c r="D73" s="103">
        <v>500</v>
      </c>
      <c r="E73" s="53"/>
      <c r="F73" s="48">
        <v>0.74</v>
      </c>
      <c r="G73" s="243" t="str">
        <f>INDEX('calcolo base'!$B:$B, MATCH($A73, 'calcolo base'!$A:$A, 0))</f>
        <v>Rame</v>
      </c>
      <c r="H73" s="54" t="str">
        <f t="shared" si="35"/>
        <v>Rame</v>
      </c>
      <c r="I73" s="259">
        <f>IF(  OR(      INDEX('calcolo base'!$D:$D, MATCH($A73, 'calcolo base'!$A:$A, 0)) = 0,
      INDEX('calcolo base'!$D:$D, MATCH($A73, 'calcolo base'!$A:$A, 0)) = ""   ),
   INDEX('calcolo base'!$K:$K, MATCH($A73, 'calcolo base'!$A:$A, 0)),
   INDEX('calcolo base'!$J:$J, MATCH($A73, 'calcolo base'!$A:$A, 0))
) / 1000</f>
        <v>11.575493171471928</v>
      </c>
      <c r="J73" s="50">
        <f t="shared" si="36"/>
        <v>12.315493171471928</v>
      </c>
      <c r="K73" s="50">
        <v>13.095000000000001</v>
      </c>
      <c r="L73" s="267">
        <f>INDEX('calcolo base'!$H:$H, MATCH($A73, 'calcolo base'!$A:$A, 0))</f>
        <v>0.05</v>
      </c>
      <c r="M73" s="50">
        <f t="shared" si="37"/>
        <v>0.61577465857359648</v>
      </c>
      <c r="N73" s="50">
        <f t="shared" si="38"/>
        <v>0.1847323975720789</v>
      </c>
      <c r="O73" s="50">
        <f t="shared" si="43"/>
        <v>0</v>
      </c>
      <c r="P73" s="50">
        <f t="shared" si="39"/>
        <v>0</v>
      </c>
      <c r="Q73" s="51">
        <f t="shared" si="40"/>
        <v>92.366198786039448</v>
      </c>
      <c r="R73" s="205">
        <f t="shared" si="41"/>
        <v>0</v>
      </c>
      <c r="S73" s="279">
        <f>IF(R73="si",0,IF(E73="si",0,IF(J73&gt;K73,0,K73-J73))) + IF(INDEX('calcolo base'!$P:$P, MATCH($A73, 'calcolo base'!$A:$A, 0))="SI", ('Commissioni De Angeli'!K73-'Commissioni De Angeli'!J73), 0)</f>
        <v>0.7795068285280724</v>
      </c>
      <c r="T73" s="117">
        <f t="shared" si="42"/>
        <v>155.9013657056145</v>
      </c>
      <c r="U73" s="272">
        <f>IF(Q73=0,'calcolo base'!L2672,(T73+Q73))</f>
        <v>248.26756449165396</v>
      </c>
      <c r="V73" s="119"/>
      <c r="W73" s="118" t="s">
        <v>155</v>
      </c>
      <c r="Z73" s="118">
        <f t="shared" si="33"/>
        <v>0</v>
      </c>
      <c r="AA73" s="118">
        <f t="shared" si="34"/>
        <v>0</v>
      </c>
    </row>
    <row r="74" spans="1:27">
      <c r="A74" s="118">
        <v>68</v>
      </c>
      <c r="B74" s="101">
        <v>2600736</v>
      </c>
      <c r="C74" s="99" t="s">
        <v>158</v>
      </c>
      <c r="D74" s="100">
        <v>1000</v>
      </c>
      <c r="E74" s="53"/>
      <c r="F74" s="48">
        <v>0.74</v>
      </c>
      <c r="G74" s="243" t="str">
        <f>INDEX('calcolo base'!$B:$B, MATCH($A74, 'calcolo base'!$A:$A, 0))</f>
        <v>Rame</v>
      </c>
      <c r="H74" s="54" t="str">
        <f t="shared" si="35"/>
        <v>Rame</v>
      </c>
      <c r="I74" s="259">
        <f>IF(  OR(      INDEX('calcolo base'!$D:$D, MATCH($A74, 'calcolo base'!$A:$A, 0)) = 0,
      INDEX('calcolo base'!$D:$D, MATCH($A74, 'calcolo base'!$A:$A, 0)) = ""   ),
   INDEX('calcolo base'!$K:$K, MATCH($A74, 'calcolo base'!$A:$A, 0)),
   INDEX('calcolo base'!$J:$J, MATCH($A74, 'calcolo base'!$A:$A, 0))
) / 1000</f>
        <v>11.546282245827014</v>
      </c>
      <c r="J74" s="50">
        <f t="shared" si="36"/>
        <v>12.286282245827014</v>
      </c>
      <c r="K74" s="50">
        <v>12.975</v>
      </c>
      <c r="L74" s="267">
        <f>INDEX('calcolo base'!$H:$H, MATCH($A74, 'calcolo base'!$A:$A, 0))</f>
        <v>0.05</v>
      </c>
      <c r="M74" s="50">
        <f t="shared" si="37"/>
        <v>0.61431411229135069</v>
      </c>
      <c r="N74" s="50">
        <f t="shared" si="38"/>
        <v>0.18429423368740519</v>
      </c>
      <c r="O74" s="50">
        <f t="shared" si="43"/>
        <v>0</v>
      </c>
      <c r="P74" s="50">
        <f t="shared" si="39"/>
        <v>0</v>
      </c>
      <c r="Q74" s="51">
        <f t="shared" si="40"/>
        <v>184.29423368740518</v>
      </c>
      <c r="R74" s="205">
        <f t="shared" si="41"/>
        <v>0</v>
      </c>
      <c r="S74" s="279">
        <f>IF(R74="si",0,IF(E74="si",0,IF(J74&gt;K74,0,K74-J74))) + IF(INDEX('calcolo base'!$P:$P, MATCH($A74, 'calcolo base'!$A:$A, 0))="SI", ('Commissioni De Angeli'!K74-'Commissioni De Angeli'!J74), 0)</f>
        <v>0.68871775417298586</v>
      </c>
      <c r="T74" s="117">
        <f t="shared" si="42"/>
        <v>275.48710166919437</v>
      </c>
      <c r="U74" s="272">
        <f>IF(Q74=0,'calcolo base'!L2673,(T74+Q74))</f>
        <v>459.78133535659958</v>
      </c>
      <c r="V74" s="119">
        <v>46129</v>
      </c>
      <c r="Z74" s="118">
        <f t="shared" si="33"/>
        <v>4</v>
      </c>
      <c r="AA74" s="118">
        <f t="shared" si="34"/>
        <v>2026</v>
      </c>
    </row>
    <row r="75" spans="1:27">
      <c r="A75" s="118">
        <v>69</v>
      </c>
      <c r="B75" s="101">
        <v>2600736</v>
      </c>
      <c r="C75" s="99" t="s">
        <v>158</v>
      </c>
      <c r="D75" s="100">
        <v>1000</v>
      </c>
      <c r="E75" s="53"/>
      <c r="F75" s="48">
        <v>0.67</v>
      </c>
      <c r="G75" s="243" t="str">
        <f>INDEX('calcolo base'!$B:$B, MATCH($A75, 'calcolo base'!$A:$A, 0))</f>
        <v>Rame</v>
      </c>
      <c r="H75" s="54" t="str">
        <f t="shared" si="35"/>
        <v>Rame</v>
      </c>
      <c r="I75" s="259">
        <f>IF(  OR(      INDEX('calcolo base'!$D:$D, MATCH($A75, 'calcolo base'!$A:$A, 0)) = 0,
      INDEX('calcolo base'!$D:$D, MATCH($A75, 'calcolo base'!$A:$A, 0)) = ""   ),
   INDEX('calcolo base'!$K:$K, MATCH($A75, 'calcolo base'!$A:$A, 0)),
   INDEX('calcolo base'!$J:$J, MATCH($A75, 'calcolo base'!$A:$A, 0))
) / 1000</f>
        <v>11.546282245827014</v>
      </c>
      <c r="J75" s="50">
        <f t="shared" si="36"/>
        <v>12.216282245827013</v>
      </c>
      <c r="K75" s="50">
        <v>12.895</v>
      </c>
      <c r="L75" s="267">
        <f>INDEX('calcolo base'!$H:$H, MATCH($A75, 'calcolo base'!$A:$A, 0))</f>
        <v>0.05</v>
      </c>
      <c r="M75" s="50">
        <f t="shared" si="37"/>
        <v>0.61081411229135074</v>
      </c>
      <c r="N75" s="50">
        <f t="shared" si="38"/>
        <v>0.18324423368740519</v>
      </c>
      <c r="O75" s="50">
        <f t="shared" si="43"/>
        <v>0</v>
      </c>
      <c r="P75" s="50">
        <f t="shared" si="39"/>
        <v>0</v>
      </c>
      <c r="Q75" s="51">
        <f t="shared" si="40"/>
        <v>183.2442336874052</v>
      </c>
      <c r="R75" s="205">
        <f t="shared" si="41"/>
        <v>0</v>
      </c>
      <c r="S75" s="279">
        <f>IF(R75="si",0,IF(E75="si",0,IF(J75&gt;K75,0,K75-J75))) + IF(INDEX('calcolo base'!$P:$P, MATCH($A75, 'calcolo base'!$A:$A, 0))="SI", ('Commissioni De Angeli'!K75-'Commissioni De Angeli'!J75), 0)</f>
        <v>0.67871775417298608</v>
      </c>
      <c r="T75" s="117">
        <f t="shared" si="42"/>
        <v>271.48710166919449</v>
      </c>
      <c r="U75" s="272">
        <f>IF(Q75=0,'calcolo base'!L2674,(T75+Q75))</f>
        <v>454.73133535659969</v>
      </c>
      <c r="V75" s="119">
        <v>46129</v>
      </c>
      <c r="Z75" s="118">
        <f t="shared" si="33"/>
        <v>4</v>
      </c>
      <c r="AA75" s="118">
        <f t="shared" si="34"/>
        <v>2026</v>
      </c>
    </row>
    <row r="76" spans="1:27">
      <c r="A76" s="118">
        <v>70</v>
      </c>
      <c r="B76" s="101">
        <v>2600736</v>
      </c>
      <c r="C76" s="99" t="s">
        <v>158</v>
      </c>
      <c r="D76" s="100">
        <v>2000</v>
      </c>
      <c r="E76" s="53"/>
      <c r="F76" s="48">
        <v>0.74</v>
      </c>
      <c r="G76" s="243" t="str">
        <f>INDEX('calcolo base'!$B:$B, MATCH($A76, 'calcolo base'!$A:$A, 0))</f>
        <v>Rame</v>
      </c>
      <c r="H76" s="54" t="str">
        <f t="shared" si="35"/>
        <v>Rame</v>
      </c>
      <c r="I76" s="259">
        <f>IF(  OR(      INDEX('calcolo base'!$D:$D, MATCH($A76, 'calcolo base'!$A:$A, 0)) = 0,
      INDEX('calcolo base'!$D:$D, MATCH($A76, 'calcolo base'!$A:$A, 0)) = ""   ),
   INDEX('calcolo base'!$K:$K, MATCH($A76, 'calcolo base'!$A:$A, 0)),
   INDEX('calcolo base'!$J:$J, MATCH($A76, 'calcolo base'!$A:$A, 0))
) / 1000</f>
        <v>11.546282245827014</v>
      </c>
      <c r="J76" s="50">
        <f t="shared" si="36"/>
        <v>12.286282245827014</v>
      </c>
      <c r="K76" s="50">
        <v>12.875</v>
      </c>
      <c r="L76" s="267">
        <f>INDEX('calcolo base'!$H:$H, MATCH($A76, 'calcolo base'!$A:$A, 0))</f>
        <v>0.05</v>
      </c>
      <c r="M76" s="50">
        <f t="shared" si="37"/>
        <v>0.61431411229135069</v>
      </c>
      <c r="N76" s="50">
        <f t="shared" si="38"/>
        <v>0.18429423368740519</v>
      </c>
      <c r="O76" s="50">
        <f t="shared" si="43"/>
        <v>0</v>
      </c>
      <c r="P76" s="50">
        <f t="shared" si="39"/>
        <v>0</v>
      </c>
      <c r="Q76" s="51">
        <f t="shared" si="40"/>
        <v>368.58846737481036</v>
      </c>
      <c r="R76" s="205">
        <f t="shared" si="41"/>
        <v>0</v>
      </c>
      <c r="S76" s="279">
        <f>IF(R76="si",0,IF(E76="si",0,IF(J76&gt;K76,0,K76-J76))) + IF(INDEX('calcolo base'!$P:$P, MATCH($A76, 'calcolo base'!$A:$A, 0))="SI", ('Commissioni De Angeli'!K76-'Commissioni De Angeli'!J76), 0)</f>
        <v>0.58871775417298622</v>
      </c>
      <c r="T76" s="117">
        <f t="shared" si="42"/>
        <v>470.97420333838903</v>
      </c>
      <c r="U76" s="272">
        <f>IF(Q76=0,'calcolo base'!L2675,(T76+Q76))</f>
        <v>839.5626707131994</v>
      </c>
      <c r="V76" s="119">
        <v>46129</v>
      </c>
      <c r="Z76" s="118">
        <f t="shared" si="33"/>
        <v>4</v>
      </c>
      <c r="AA76" s="118">
        <f t="shared" si="34"/>
        <v>2026</v>
      </c>
    </row>
    <row r="77" spans="1:27">
      <c r="A77" s="118">
        <v>71</v>
      </c>
      <c r="B77" s="101">
        <v>2600801</v>
      </c>
      <c r="C77" s="35" t="s">
        <v>77</v>
      </c>
      <c r="D77" s="53">
        <v>500</v>
      </c>
      <c r="E77" s="53"/>
      <c r="F77" s="48">
        <v>0.74</v>
      </c>
      <c r="G77" s="243" t="str">
        <f>INDEX('calcolo base'!$B:$B, MATCH($A77, 'calcolo base'!$A:$A, 0))</f>
        <v>Rame</v>
      </c>
      <c r="H77" s="54" t="str">
        <f t="shared" si="35"/>
        <v>Rame</v>
      </c>
      <c r="I77" s="259">
        <f>IF(  OR(      INDEX('calcolo base'!$D:$D, MATCH($A77, 'calcolo base'!$A:$A, 0)) = 0,
      INDEX('calcolo base'!$D:$D, MATCH($A77, 'calcolo base'!$A:$A, 0)) = ""   ),
   INDEX('calcolo base'!$K:$K, MATCH($A77, 'calcolo base'!$A:$A, 0)),
   INDEX('calcolo base'!$J:$J, MATCH($A77, 'calcolo base'!$A:$A, 0))
) / 1000</f>
        <v>11.824683544303797</v>
      </c>
      <c r="J77" s="50">
        <f t="shared" si="36"/>
        <v>12.564683544303797</v>
      </c>
      <c r="K77" s="50">
        <v>12.6424</v>
      </c>
      <c r="L77" s="267">
        <f>INDEX('calcolo base'!$H:$H, MATCH($A77, 'calcolo base'!$A:$A, 0))</f>
        <v>0.05</v>
      </c>
      <c r="M77" s="50">
        <f t="shared" si="37"/>
        <v>0.62823417721518993</v>
      </c>
      <c r="N77" s="50">
        <f t="shared" si="38"/>
        <v>0.18847025316455696</v>
      </c>
      <c r="O77" s="50">
        <f t="shared" si="43"/>
        <v>0</v>
      </c>
      <c r="P77" s="50">
        <f t="shared" si="39"/>
        <v>0</v>
      </c>
      <c r="Q77" s="51">
        <f t="shared" si="40"/>
        <v>94.235126582278482</v>
      </c>
      <c r="R77" s="205">
        <f t="shared" si="41"/>
        <v>0</v>
      </c>
      <c r="S77" s="279">
        <f>IF(R77="si",0,IF(E77="si",0,IF(J77&gt;K77,0,K77-J77))) + IF(INDEX('calcolo base'!$P:$P, MATCH($A77, 'calcolo base'!$A:$A, 0))="SI", ('Commissioni De Angeli'!K77-'Commissioni De Angeli'!J77), 0)</f>
        <v>7.7716455696203113E-2</v>
      </c>
      <c r="T77" s="117">
        <f t="shared" si="42"/>
        <v>15.543291139240623</v>
      </c>
      <c r="U77" s="272">
        <f>IF(Q77=0,'calcolo base'!L2676,(T77+Q77))</f>
        <v>109.77841772151911</v>
      </c>
      <c r="V77" s="119">
        <v>46216</v>
      </c>
      <c r="Z77" s="118">
        <f t="shared" si="33"/>
        <v>7</v>
      </c>
      <c r="AA77" s="118">
        <f t="shared" si="34"/>
        <v>2026</v>
      </c>
    </row>
    <row r="78" spans="1:27">
      <c r="A78" s="118">
        <v>72</v>
      </c>
      <c r="B78" s="101">
        <v>2600803</v>
      </c>
      <c r="C78" s="35" t="s">
        <v>77</v>
      </c>
      <c r="D78" s="53">
        <v>1500</v>
      </c>
      <c r="E78" s="53"/>
      <c r="F78" s="48">
        <v>0.66</v>
      </c>
      <c r="G78" s="243" t="str">
        <f>INDEX('calcolo base'!$B:$B, MATCH($A78, 'calcolo base'!$A:$A, 0))</f>
        <v>Rame</v>
      </c>
      <c r="H78" s="54" t="str">
        <f t="shared" si="35"/>
        <v>Rame</v>
      </c>
      <c r="I78" s="259">
        <f>IF(  OR(      INDEX('calcolo base'!$D:$D, MATCH($A78, 'calcolo base'!$A:$A, 0)) = 0,
      INDEX('calcolo base'!$D:$D, MATCH($A78, 'calcolo base'!$A:$A, 0)) = ""   ),
   INDEX('calcolo base'!$K:$K, MATCH($A78, 'calcolo base'!$A:$A, 0)),
   INDEX('calcolo base'!$J:$J, MATCH($A78, 'calcolo base'!$A:$A, 0))
) / 1000</f>
        <v>10.746948096295032</v>
      </c>
      <c r="J78" s="50">
        <f t="shared" si="36"/>
        <v>11.406948096295032</v>
      </c>
      <c r="K78" s="50">
        <v>11.406000000000001</v>
      </c>
      <c r="L78" s="267">
        <f>INDEX('calcolo base'!$H:$H, MATCH($A78, 'calcolo base'!$A:$A, 0))</f>
        <v>0.05</v>
      </c>
      <c r="M78" s="50">
        <f t="shared" si="37"/>
        <v>0.57034740481475166</v>
      </c>
      <c r="N78" s="50">
        <f t="shared" si="38"/>
        <v>0.17110422144442547</v>
      </c>
      <c r="O78" s="50">
        <f t="shared" si="43"/>
        <v>0</v>
      </c>
      <c r="P78" s="50">
        <f t="shared" si="39"/>
        <v>0</v>
      </c>
      <c r="Q78" s="51">
        <f t="shared" si="40"/>
        <v>256.65633216663821</v>
      </c>
      <c r="R78" s="205">
        <f t="shared" si="41"/>
        <v>0</v>
      </c>
      <c r="S78" s="279">
        <f>IF(R78="si",0,IF(E78="si",0,IF(J78&gt;K78,0,K78-J78))) + IF(INDEX('calcolo base'!$P:$P, MATCH($A78, 'calcolo base'!$A:$A, 0))="SI", ('Commissioni De Angeli'!K78-'Commissioni De Angeli'!J78), 0)</f>
        <v>0</v>
      </c>
      <c r="T78" s="117">
        <f t="shared" si="42"/>
        <v>0</v>
      </c>
      <c r="U78" s="272">
        <f>IF(Q78=0,'calcolo base'!L2677,(T78+Q78))</f>
        <v>256.65633216663821</v>
      </c>
      <c r="V78" s="119">
        <v>46133</v>
      </c>
      <c r="Z78" s="118">
        <f t="shared" si="33"/>
        <v>4</v>
      </c>
      <c r="AA78" s="118">
        <f t="shared" si="34"/>
        <v>2026</v>
      </c>
    </row>
    <row r="79" spans="1:27">
      <c r="A79" s="118">
        <v>73</v>
      </c>
      <c r="B79" s="101">
        <v>2600803</v>
      </c>
      <c r="C79" s="35" t="s">
        <v>77</v>
      </c>
      <c r="D79" s="53">
        <v>1000</v>
      </c>
      <c r="E79" s="53"/>
      <c r="F79" s="48">
        <v>0.66</v>
      </c>
      <c r="G79" s="243" t="str">
        <f>INDEX('calcolo base'!$B:$B, MATCH($A79, 'calcolo base'!$A:$A, 0))</f>
        <v>Rame</v>
      </c>
      <c r="H79" s="54" t="str">
        <f t="shared" si="35"/>
        <v>Rame</v>
      </c>
      <c r="I79" s="259">
        <f>IF(  OR(      INDEX('calcolo base'!$D:$D, MATCH($A79, 'calcolo base'!$A:$A, 0)) = 0,
      INDEX('calcolo base'!$D:$D, MATCH($A79, 'calcolo base'!$A:$A, 0)) = ""   ),
   INDEX('calcolo base'!$K:$K, MATCH($A79, 'calcolo base'!$A:$A, 0)),
   INDEX('calcolo base'!$J:$J, MATCH($A79, 'calcolo base'!$A:$A, 0))
) / 1000</f>
        <v>10.746948096295032</v>
      </c>
      <c r="J79" s="50">
        <f t="shared" si="36"/>
        <v>11.406948096295032</v>
      </c>
      <c r="K79" s="50">
        <v>11.406000000000001</v>
      </c>
      <c r="L79" s="267">
        <f>INDEX('calcolo base'!$H:$H, MATCH($A79, 'calcolo base'!$A:$A, 0))</f>
        <v>0.05</v>
      </c>
      <c r="M79" s="50">
        <f t="shared" si="37"/>
        <v>0.57034740481475166</v>
      </c>
      <c r="N79" s="50">
        <f t="shared" si="38"/>
        <v>0.17110422144442547</v>
      </c>
      <c r="O79" s="50">
        <f t="shared" si="43"/>
        <v>0</v>
      </c>
      <c r="P79" s="50">
        <f t="shared" si="39"/>
        <v>0</v>
      </c>
      <c r="Q79" s="51">
        <f t="shared" si="40"/>
        <v>171.10422144442546</v>
      </c>
      <c r="R79" s="205">
        <f t="shared" si="41"/>
        <v>0</v>
      </c>
      <c r="S79" s="279">
        <f>IF(R79="si",0,IF(E79="si",0,IF(J79&gt;K79,0,K79-J79))) + IF(INDEX('calcolo base'!$P:$P, MATCH($A79, 'calcolo base'!$A:$A, 0))="SI", ('Commissioni De Angeli'!K79-'Commissioni De Angeli'!J79), 0)</f>
        <v>0</v>
      </c>
      <c r="T79" s="117">
        <f t="shared" si="42"/>
        <v>0</v>
      </c>
      <c r="U79" s="272">
        <f>IF(Q79=0,'calcolo base'!L2678,(T79+Q79))</f>
        <v>171.10422144442546</v>
      </c>
      <c r="V79" s="119">
        <v>46133</v>
      </c>
      <c r="Z79" s="118">
        <f t="shared" si="33"/>
        <v>4</v>
      </c>
      <c r="AA79" s="118">
        <f t="shared" si="34"/>
        <v>2026</v>
      </c>
    </row>
    <row r="80" spans="1:27">
      <c r="A80" s="118">
        <v>74</v>
      </c>
      <c r="B80" s="101">
        <v>2600803</v>
      </c>
      <c r="C80" s="35" t="s">
        <v>77</v>
      </c>
      <c r="D80" s="53">
        <v>500</v>
      </c>
      <c r="E80" s="53"/>
      <c r="F80" s="48">
        <v>0.66</v>
      </c>
      <c r="G80" s="243" t="str">
        <f>INDEX('calcolo base'!$B:$B, MATCH($A80, 'calcolo base'!$A:$A, 0))</f>
        <v>Rame</v>
      </c>
      <c r="H80" s="54" t="str">
        <f t="shared" si="35"/>
        <v>Rame</v>
      </c>
      <c r="I80" s="259">
        <f>IF(  OR(      INDEX('calcolo base'!$D:$D, MATCH($A80, 'calcolo base'!$A:$A, 0)) = 0,
      INDEX('calcolo base'!$D:$D, MATCH($A80, 'calcolo base'!$A:$A, 0)) = ""   ),
   INDEX('calcolo base'!$K:$K, MATCH($A80, 'calcolo base'!$A:$A, 0)),
   INDEX('calcolo base'!$J:$J, MATCH($A80, 'calcolo base'!$A:$A, 0))
) / 1000</f>
        <v>10.746948096295032</v>
      </c>
      <c r="J80" s="50">
        <f t="shared" si="36"/>
        <v>11.406948096295032</v>
      </c>
      <c r="K80" s="50">
        <v>11.406000000000001</v>
      </c>
      <c r="L80" s="267">
        <f>INDEX('calcolo base'!$H:$H, MATCH($A80, 'calcolo base'!$A:$A, 0))</f>
        <v>0.05</v>
      </c>
      <c r="M80" s="50">
        <f t="shared" si="37"/>
        <v>0.57034740481475166</v>
      </c>
      <c r="N80" s="50">
        <f t="shared" si="38"/>
        <v>0.17110422144442547</v>
      </c>
      <c r="O80" s="50">
        <f t="shared" si="43"/>
        <v>0</v>
      </c>
      <c r="P80" s="50">
        <f t="shared" si="39"/>
        <v>0</v>
      </c>
      <c r="Q80" s="51">
        <f t="shared" si="40"/>
        <v>85.552110722212731</v>
      </c>
      <c r="R80" s="205">
        <f t="shared" si="41"/>
        <v>0</v>
      </c>
      <c r="S80" s="279">
        <f>IF(R80="si",0,IF(E80="si",0,IF(J80&gt;K80,0,K80-J80))) + IF(INDEX('calcolo base'!$P:$P, MATCH($A80, 'calcolo base'!$A:$A, 0))="SI", ('Commissioni De Angeli'!K80-'Commissioni De Angeli'!J80), 0)</f>
        <v>0</v>
      </c>
      <c r="T80" s="117">
        <f t="shared" si="42"/>
        <v>0</v>
      </c>
      <c r="U80" s="272">
        <f>IF(Q80=0,'calcolo base'!L2679,(T80+Q80))</f>
        <v>85.552110722212731</v>
      </c>
      <c r="V80" s="119">
        <v>46133</v>
      </c>
      <c r="Z80" s="118">
        <f t="shared" si="33"/>
        <v>4</v>
      </c>
      <c r="AA80" s="118">
        <f t="shared" si="34"/>
        <v>2026</v>
      </c>
    </row>
    <row r="81" spans="1:27">
      <c r="A81" s="118">
        <v>75</v>
      </c>
      <c r="B81" s="101">
        <v>2600803</v>
      </c>
      <c r="C81" s="35" t="s">
        <v>77</v>
      </c>
      <c r="D81" s="53">
        <v>1750</v>
      </c>
      <c r="E81" s="53"/>
      <c r="F81" s="48">
        <v>0.66</v>
      </c>
      <c r="G81" s="243" t="str">
        <f>INDEX('calcolo base'!$B:$B, MATCH($A81, 'calcolo base'!$A:$A, 0))</f>
        <v>Rame</v>
      </c>
      <c r="H81" s="54" t="str">
        <f t="shared" si="35"/>
        <v>Rame</v>
      </c>
      <c r="I81" s="259">
        <f>IF(  OR(      INDEX('calcolo base'!$D:$D, MATCH($A81, 'calcolo base'!$A:$A, 0)) = 0,
      INDEX('calcolo base'!$D:$D, MATCH($A81, 'calcolo base'!$A:$A, 0)) = ""   ),
   INDEX('calcolo base'!$K:$K, MATCH($A81, 'calcolo base'!$A:$A, 0)),
   INDEX('calcolo base'!$J:$J, MATCH($A81, 'calcolo base'!$A:$A, 0))
) / 1000</f>
        <v>10.746948096295032</v>
      </c>
      <c r="J81" s="50">
        <f t="shared" si="36"/>
        <v>11.406948096295032</v>
      </c>
      <c r="K81" s="50">
        <v>11.406000000000001</v>
      </c>
      <c r="L81" s="267">
        <f>INDEX('calcolo base'!$H:$H, MATCH($A81, 'calcolo base'!$A:$A, 0))</f>
        <v>0.05</v>
      </c>
      <c r="M81" s="50">
        <f t="shared" si="37"/>
        <v>0.57034740481475166</v>
      </c>
      <c r="N81" s="50">
        <f t="shared" si="38"/>
        <v>0.17110422144442547</v>
      </c>
      <c r="O81" s="50">
        <f t="shared" si="43"/>
        <v>0</v>
      </c>
      <c r="P81" s="50">
        <f t="shared" si="39"/>
        <v>0</v>
      </c>
      <c r="Q81" s="51">
        <f t="shared" si="40"/>
        <v>299.43238752774459</v>
      </c>
      <c r="R81" s="205">
        <f t="shared" si="41"/>
        <v>0</v>
      </c>
      <c r="S81" s="279">
        <f>IF(R81="si",0,IF(E81="si",0,IF(J81&gt;K81,0,K81-J81))) + IF(INDEX('calcolo base'!$P:$P, MATCH($A81, 'calcolo base'!$A:$A, 0))="SI", ('Commissioni De Angeli'!K81-'Commissioni De Angeli'!J81), 0)</f>
        <v>0</v>
      </c>
      <c r="T81" s="117">
        <f t="shared" si="42"/>
        <v>0</v>
      </c>
      <c r="U81" s="272">
        <f>IF(Q81=0,'calcolo base'!L2680,(T81+Q81))</f>
        <v>299.43238752774459</v>
      </c>
      <c r="V81" s="119">
        <v>46121</v>
      </c>
      <c r="Z81" s="118">
        <f t="shared" si="33"/>
        <v>4</v>
      </c>
      <c r="AA81" s="118">
        <f t="shared" si="34"/>
        <v>2026</v>
      </c>
    </row>
    <row r="82" spans="1:27">
      <c r="A82" s="118">
        <v>76</v>
      </c>
      <c r="B82" s="101">
        <v>2600803</v>
      </c>
      <c r="C82" s="35" t="s">
        <v>77</v>
      </c>
      <c r="D82" s="53">
        <v>250</v>
      </c>
      <c r="E82" s="53"/>
      <c r="F82" s="48">
        <v>0.66</v>
      </c>
      <c r="G82" s="243" t="str">
        <f>INDEX('calcolo base'!$B:$B, MATCH($A82, 'calcolo base'!$A:$A, 0))</f>
        <v>Rame</v>
      </c>
      <c r="H82" s="54" t="str">
        <f t="shared" si="35"/>
        <v>Rame</v>
      </c>
      <c r="I82" s="259">
        <f>IF(  OR(      INDEX('calcolo base'!$D:$D, MATCH($A82, 'calcolo base'!$A:$A, 0)) = 0,
      INDEX('calcolo base'!$D:$D, MATCH($A82, 'calcolo base'!$A:$A, 0)) = ""   ),
   INDEX('calcolo base'!$K:$K, MATCH($A82, 'calcolo base'!$A:$A, 0)),
   INDEX('calcolo base'!$J:$J, MATCH($A82, 'calcolo base'!$A:$A, 0))
) / 1000</f>
        <v>10.746948096295032</v>
      </c>
      <c r="J82" s="50">
        <f t="shared" si="36"/>
        <v>11.406948096295032</v>
      </c>
      <c r="K82" s="50">
        <v>11.406000000000001</v>
      </c>
      <c r="L82" s="267">
        <f>INDEX('calcolo base'!$H:$H, MATCH($A82, 'calcolo base'!$A:$A, 0))</f>
        <v>0.05</v>
      </c>
      <c r="M82" s="50">
        <f t="shared" si="37"/>
        <v>0.57034740481475166</v>
      </c>
      <c r="N82" s="50">
        <f t="shared" si="38"/>
        <v>0.17110422144442547</v>
      </c>
      <c r="O82" s="50">
        <f t="shared" si="43"/>
        <v>0</v>
      </c>
      <c r="P82" s="50">
        <f t="shared" si="39"/>
        <v>0</v>
      </c>
      <c r="Q82" s="51">
        <f t="shared" si="40"/>
        <v>42.776055361106366</v>
      </c>
      <c r="R82" s="205">
        <f t="shared" si="41"/>
        <v>0</v>
      </c>
      <c r="S82" s="279">
        <f>IF(R82="si",0,IF(E82="si",0,IF(J82&gt;K82,0,K82-J82))) + IF(INDEX('calcolo base'!$P:$P, MATCH($A82, 'calcolo base'!$A:$A, 0))="SI", ('Commissioni De Angeli'!K82-'Commissioni De Angeli'!J82), 0)</f>
        <v>0</v>
      </c>
      <c r="T82" s="117">
        <f t="shared" si="42"/>
        <v>0</v>
      </c>
      <c r="U82" s="272">
        <f>IF(Q82=0,'calcolo base'!L2681,(T82+Q82))</f>
        <v>42.776055361106366</v>
      </c>
      <c r="V82" s="119">
        <v>46133</v>
      </c>
      <c r="Z82" s="118">
        <f t="shared" si="33"/>
        <v>4</v>
      </c>
      <c r="AA82" s="118">
        <f t="shared" si="34"/>
        <v>2026</v>
      </c>
    </row>
    <row r="83" spans="1:27">
      <c r="A83" s="118">
        <v>77</v>
      </c>
      <c r="B83" s="101">
        <v>2600810</v>
      </c>
      <c r="C83" s="99" t="s">
        <v>87</v>
      </c>
      <c r="D83" s="100">
        <v>2000</v>
      </c>
      <c r="E83" s="53"/>
      <c r="F83" s="48">
        <v>0.72</v>
      </c>
      <c r="G83" s="243" t="str">
        <f>INDEX('calcolo base'!$B:$B, MATCH($A83, 'calcolo base'!$A:$A, 0))</f>
        <v>Rame</v>
      </c>
      <c r="H83" s="54" t="str">
        <f t="shared" si="35"/>
        <v>Rame</v>
      </c>
      <c r="I83" s="259">
        <f>IF(  OR(      INDEX('calcolo base'!$D:$D, MATCH($A83, 'calcolo base'!$A:$A, 0)) = 0,
      INDEX('calcolo base'!$D:$D, MATCH($A83, 'calcolo base'!$A:$A, 0)) = ""   ),
   INDEX('calcolo base'!$K:$K, MATCH($A83, 'calcolo base'!$A:$A, 0)),
   INDEX('calcolo base'!$J:$J, MATCH($A83, 'calcolo base'!$A:$A, 0))
) / 1000</f>
        <v>11.553568394222598</v>
      </c>
      <c r="J83" s="50">
        <f t="shared" si="36"/>
        <v>12.273568394222599</v>
      </c>
      <c r="K83" s="50">
        <v>12.6836</v>
      </c>
      <c r="L83" s="267">
        <f>INDEX('calcolo base'!$H:$H, MATCH($A83, 'calcolo base'!$A:$A, 0))</f>
        <v>0.05</v>
      </c>
      <c r="M83" s="50">
        <f t="shared" si="37"/>
        <v>0.61367841971113002</v>
      </c>
      <c r="N83" s="50">
        <f t="shared" si="38"/>
        <v>0.18410352591333898</v>
      </c>
      <c r="O83" s="50">
        <f t="shared" si="43"/>
        <v>0</v>
      </c>
      <c r="P83" s="50">
        <f t="shared" si="39"/>
        <v>0</v>
      </c>
      <c r="Q83" s="51">
        <f t="shared" si="40"/>
        <v>368.20705182667797</v>
      </c>
      <c r="R83" s="205">
        <f t="shared" si="41"/>
        <v>0</v>
      </c>
      <c r="S83" s="279">
        <f>IF(R83="si",0,IF(E83="si",0,IF(J83&gt;K83,0,K83-J83))) + IF(INDEX('calcolo base'!$P:$P, MATCH($A83, 'calcolo base'!$A:$A, 0))="SI", ('Commissioni De Angeli'!K83-'Commissioni De Angeli'!J83), 0)</f>
        <v>0.41003160577740161</v>
      </c>
      <c r="T83" s="117">
        <f t="shared" si="42"/>
        <v>328.02528462192134</v>
      </c>
      <c r="U83" s="272">
        <f>IF(Q83=0,'calcolo base'!L2682,(T83+Q83))</f>
        <v>696.23233644859931</v>
      </c>
      <c r="V83" s="119">
        <v>46176</v>
      </c>
      <c r="Z83" s="118">
        <f t="shared" si="33"/>
        <v>6</v>
      </c>
      <c r="AA83" s="118">
        <f t="shared" si="34"/>
        <v>2026</v>
      </c>
    </row>
    <row r="84" spans="1:27">
      <c r="A84" s="118">
        <v>78</v>
      </c>
      <c r="B84" s="101">
        <v>2600825</v>
      </c>
      <c r="C84" s="35" t="s">
        <v>48</v>
      </c>
      <c r="D84" s="53">
        <v>1000</v>
      </c>
      <c r="E84" s="53"/>
      <c r="F84" s="48">
        <v>0.7</v>
      </c>
      <c r="G84" s="243" t="str">
        <f>INDEX('calcolo base'!$B:$B, MATCH($A84, 'calcolo base'!$A:$A, 0))</f>
        <v>Rame</v>
      </c>
      <c r="H84" s="54" t="str">
        <f t="shared" si="35"/>
        <v>Rame</v>
      </c>
      <c r="I84" s="259">
        <f>IF(  OR(      INDEX('calcolo base'!$D:$D, MATCH($A84, 'calcolo base'!$A:$A, 0)) = 0,
      INDEX('calcolo base'!$D:$D, MATCH($A84, 'calcolo base'!$A:$A, 0)) = ""   ),
   INDEX('calcolo base'!$K:$K, MATCH($A84, 'calcolo base'!$A:$A, 0)),
   INDEX('calcolo base'!$J:$J, MATCH($A84, 'calcolo base'!$A:$A, 0))
) / 1000</f>
        <v>11.696609161213562</v>
      </c>
      <c r="J84" s="50">
        <f t="shared" si="36"/>
        <v>12.396609161213561</v>
      </c>
      <c r="K84" s="50">
        <v>12.396599999999999</v>
      </c>
      <c r="L84" s="267">
        <f>INDEX('calcolo base'!$H:$H, MATCH($A84, 'calcolo base'!$A:$A, 0))</f>
        <v>0.05</v>
      </c>
      <c r="M84" s="50">
        <f t="shared" si="37"/>
        <v>0.61983045806067816</v>
      </c>
      <c r="N84" s="50">
        <f t="shared" si="38"/>
        <v>0.1859491374182034</v>
      </c>
      <c r="O84" s="50">
        <f t="shared" si="43"/>
        <v>0</v>
      </c>
      <c r="P84" s="50">
        <f t="shared" si="39"/>
        <v>0</v>
      </c>
      <c r="Q84" s="51">
        <f t="shared" si="40"/>
        <v>185.94913741820341</v>
      </c>
      <c r="R84" s="205">
        <f t="shared" si="41"/>
        <v>0</v>
      </c>
      <c r="S84" s="279">
        <f>IF(R84="si",0,IF(E84="si",0,IF(J84&gt;K84,0,K84-J84))) + IF(INDEX('calcolo base'!$P:$P, MATCH($A84, 'calcolo base'!$A:$A, 0))="SI", ('Commissioni De Angeli'!K84-'Commissioni De Angeli'!J84), 0)</f>
        <v>0</v>
      </c>
      <c r="T84" s="117">
        <f t="shared" si="42"/>
        <v>0</v>
      </c>
      <c r="U84" s="272">
        <f>IF(Q84=0,'calcolo base'!L2683,(T84+Q84))</f>
        <v>185.94913741820341</v>
      </c>
      <c r="V84" s="119">
        <v>46129</v>
      </c>
      <c r="Z84" s="118">
        <f t="shared" si="33"/>
        <v>4</v>
      </c>
      <c r="AA84" s="118">
        <f t="shared" si="34"/>
        <v>2026</v>
      </c>
    </row>
    <row r="85" spans="1:27">
      <c r="A85" s="118">
        <v>79</v>
      </c>
      <c r="B85" s="101">
        <v>2600825</v>
      </c>
      <c r="C85" s="35" t="s">
        <v>48</v>
      </c>
      <c r="D85" s="53">
        <v>1500</v>
      </c>
      <c r="E85" s="53"/>
      <c r="F85" s="48">
        <v>0.7</v>
      </c>
      <c r="G85" s="243" t="str">
        <f>INDEX('calcolo base'!$B:$B, MATCH($A85, 'calcolo base'!$A:$A, 0))</f>
        <v>Rame</v>
      </c>
      <c r="H85" s="54" t="str">
        <f t="shared" si="35"/>
        <v>Rame</v>
      </c>
      <c r="I85" s="259">
        <f>IF(  OR(      INDEX('calcolo base'!$D:$D, MATCH($A85, 'calcolo base'!$A:$A, 0)) = 0,
      INDEX('calcolo base'!$D:$D, MATCH($A85, 'calcolo base'!$A:$A, 0)) = ""   ),
   INDEX('calcolo base'!$K:$K, MATCH($A85, 'calcolo base'!$A:$A, 0)),
   INDEX('calcolo base'!$J:$J, MATCH($A85, 'calcolo base'!$A:$A, 0))
) / 1000</f>
        <v>11.696609161213562</v>
      </c>
      <c r="J85" s="50">
        <f t="shared" si="36"/>
        <v>12.396609161213561</v>
      </c>
      <c r="K85" s="50">
        <v>12.396599999999999</v>
      </c>
      <c r="L85" s="267">
        <f>INDEX('calcolo base'!$H:$H, MATCH($A85, 'calcolo base'!$A:$A, 0))</f>
        <v>0.05</v>
      </c>
      <c r="M85" s="50">
        <f t="shared" si="37"/>
        <v>0.61983045806067816</v>
      </c>
      <c r="N85" s="50">
        <f t="shared" si="38"/>
        <v>0.1859491374182034</v>
      </c>
      <c r="O85" s="50">
        <f t="shared" si="43"/>
        <v>0</v>
      </c>
      <c r="P85" s="50">
        <f t="shared" si="39"/>
        <v>0</v>
      </c>
      <c r="Q85" s="51">
        <f t="shared" si="40"/>
        <v>278.92370612730508</v>
      </c>
      <c r="R85" s="205">
        <f t="shared" si="41"/>
        <v>0</v>
      </c>
      <c r="S85" s="279">
        <f>IF(R85="si",0,IF(E85="si",0,IF(J85&gt;K85,0,K85-J85))) + IF(INDEX('calcolo base'!$P:$P, MATCH($A85, 'calcolo base'!$A:$A, 0))="SI", ('Commissioni De Angeli'!K85-'Commissioni De Angeli'!J85), 0)</f>
        <v>0</v>
      </c>
      <c r="T85" s="117">
        <f t="shared" si="42"/>
        <v>0</v>
      </c>
      <c r="U85" s="272">
        <f>IF(Q85=0,'calcolo base'!L2684,(T85+Q85))</f>
        <v>278.92370612730508</v>
      </c>
      <c r="V85" s="119">
        <v>46129</v>
      </c>
      <c r="Z85" s="118">
        <f t="shared" si="33"/>
        <v>4</v>
      </c>
      <c r="AA85" s="118">
        <f t="shared" si="34"/>
        <v>2026</v>
      </c>
    </row>
    <row r="86" spans="1:27">
      <c r="A86" s="118">
        <v>80</v>
      </c>
      <c r="B86" s="101">
        <v>2600905</v>
      </c>
      <c r="C86" s="99" t="s">
        <v>124</v>
      </c>
      <c r="D86" s="100">
        <v>8000</v>
      </c>
      <c r="E86" s="53"/>
      <c r="F86" s="48">
        <v>0.8</v>
      </c>
      <c r="G86" s="243" t="str">
        <f>INDEX('calcolo base'!$B:$B, MATCH($A86, 'calcolo base'!$A:$A, 0))</f>
        <v>Rame</v>
      </c>
      <c r="H86" s="54" t="str">
        <f t="shared" si="35"/>
        <v>Rame</v>
      </c>
      <c r="I86" s="259">
        <f>IF(  OR(      INDEX('calcolo base'!$D:$D, MATCH($A86, 'calcolo base'!$A:$A, 0)) = 0,
      INDEX('calcolo base'!$D:$D, MATCH($A86, 'calcolo base'!$A:$A, 0)) = ""   ),
   INDEX('calcolo base'!$K:$K, MATCH($A86, 'calcolo base'!$A:$A, 0)),
   INDEX('calcolo base'!$J:$J, MATCH($A86, 'calcolo base'!$A:$A, 0))
) / 1000</f>
        <v>12.10146834153794</v>
      </c>
      <c r="J86" s="50">
        <f t="shared" si="36"/>
        <v>12.901468341537941</v>
      </c>
      <c r="K86" s="50">
        <v>13.24</v>
      </c>
      <c r="L86" s="267">
        <f>INDEX('calcolo base'!$H:$H, MATCH($A86, 'calcolo base'!$A:$A, 0))</f>
        <v>0.05</v>
      </c>
      <c r="M86" s="50">
        <f t="shared" si="37"/>
        <v>0.64507341707689703</v>
      </c>
      <c r="N86" s="50">
        <f t="shared" si="38"/>
        <v>0.1935220251230691</v>
      </c>
      <c r="O86" s="50">
        <f t="shared" si="43"/>
        <v>0</v>
      </c>
      <c r="P86" s="50">
        <f t="shared" si="39"/>
        <v>0</v>
      </c>
      <c r="Q86" s="51">
        <f t="shared" si="40"/>
        <v>1548.1762009845527</v>
      </c>
      <c r="R86" s="205">
        <f t="shared" si="41"/>
        <v>0</v>
      </c>
      <c r="S86" s="279">
        <f>IF(R86="si",0,IF(E86="si",0,IF(J86&gt;K86,0,K86-J86))) + IF(INDEX('calcolo base'!$P:$P, MATCH($A86, 'calcolo base'!$A:$A, 0))="SI", ('Commissioni De Angeli'!K86-'Commissioni De Angeli'!J86), 0)</f>
        <v>0.33853165846205968</v>
      </c>
      <c r="T86" s="117">
        <f t="shared" si="42"/>
        <v>1083.301307078591</v>
      </c>
      <c r="U86" s="272">
        <f>IF(Q86=0,'calcolo base'!L2685,(T86+Q86))</f>
        <v>2631.4775080631434</v>
      </c>
      <c r="V86" s="119">
        <v>46150</v>
      </c>
      <c r="Z86" s="118">
        <f t="shared" si="33"/>
        <v>5</v>
      </c>
      <c r="AA86" s="118">
        <f t="shared" si="34"/>
        <v>2026</v>
      </c>
    </row>
    <row r="87" spans="1:27">
      <c r="A87" s="118">
        <v>81</v>
      </c>
      <c r="B87" s="105" t="s">
        <v>194</v>
      </c>
      <c r="C87" s="106" t="s">
        <v>78</v>
      </c>
      <c r="D87" s="103">
        <v>2611</v>
      </c>
      <c r="E87" s="53"/>
      <c r="F87" s="48">
        <v>0.85</v>
      </c>
      <c r="G87" s="243" t="str">
        <f>INDEX('calcolo base'!$B:$B, MATCH($A87, 'calcolo base'!$A:$A, 0))</f>
        <v>Rame</v>
      </c>
      <c r="H87" s="54" t="str">
        <f t="shared" si="35"/>
        <v>Rame</v>
      </c>
      <c r="I87" s="259">
        <f>IF(  OR(      INDEX('calcolo base'!$D:$D, MATCH($A87, 'calcolo base'!$A:$A, 0)) = 0,
      INDEX('calcolo base'!$D:$D, MATCH($A87, 'calcolo base'!$A:$A, 0)) = ""   ),
   INDEX('calcolo base'!$K:$K, MATCH($A87, 'calcolo base'!$A:$A, 0)),
   INDEX('calcolo base'!$J:$J, MATCH($A87, 'calcolo base'!$A:$A, 0))
) / 1000</f>
        <v>0</v>
      </c>
      <c r="J87" s="50">
        <f t="shared" si="36"/>
        <v>0.85</v>
      </c>
      <c r="K87" s="50">
        <v>1.2</v>
      </c>
      <c r="L87" s="269">
        <v>0</v>
      </c>
      <c r="M87" s="50">
        <f t="shared" si="37"/>
        <v>0</v>
      </c>
      <c r="N87" s="50">
        <f t="shared" si="38"/>
        <v>0</v>
      </c>
      <c r="O87" s="50">
        <f t="shared" si="43"/>
        <v>0</v>
      </c>
      <c r="P87" s="50">
        <f t="shared" si="39"/>
        <v>6.8000000000000005E-2</v>
      </c>
      <c r="Q87" s="51">
        <f t="shared" si="40"/>
        <v>177.548</v>
      </c>
      <c r="R87" s="205" t="str">
        <f t="shared" si="41"/>
        <v>si</v>
      </c>
      <c r="S87" s="279">
        <v>0.35</v>
      </c>
      <c r="T87" s="117">
        <f t="shared" si="42"/>
        <v>365.53999999999996</v>
      </c>
      <c r="U87" s="272">
        <f>IF(Q87=0,'calcolo base'!L2686,(T87+Q87))</f>
        <v>543.08799999999997</v>
      </c>
      <c r="V87" s="119"/>
      <c r="W87" s="118" t="s">
        <v>155</v>
      </c>
      <c r="Z87" s="118">
        <f t="shared" si="33"/>
        <v>0</v>
      </c>
      <c r="AA87" s="118">
        <f t="shared" si="34"/>
        <v>0</v>
      </c>
    </row>
    <row r="88" spans="1:27">
      <c r="A88" s="118">
        <v>82</v>
      </c>
      <c r="B88" s="101">
        <v>2600943</v>
      </c>
      <c r="C88" s="99" t="s">
        <v>124</v>
      </c>
      <c r="D88" s="100">
        <v>16000</v>
      </c>
      <c r="E88" s="53"/>
      <c r="F88" s="48">
        <v>0.8</v>
      </c>
      <c r="G88" s="243" t="str">
        <f>INDEX('calcolo base'!$B:$B, MATCH($A88, 'calcolo base'!$A:$A, 0))</f>
        <v>Rame</v>
      </c>
      <c r="H88" s="54" t="str">
        <f t="shared" si="35"/>
        <v>Rame</v>
      </c>
      <c r="I88" s="259">
        <f>IF(  OR(      INDEX('calcolo base'!$D:$D, MATCH($A88, 'calcolo base'!$A:$A, 0)) = 0,
      INDEX('calcolo base'!$D:$D, MATCH($A88, 'calcolo base'!$A:$A, 0)) = ""   ),
   INDEX('calcolo base'!$K:$K, MATCH($A88, 'calcolo base'!$A:$A, 0)),
   INDEX('calcolo base'!$J:$J, MATCH($A88, 'calcolo base'!$A:$A, 0))
) / 1000</f>
        <v>12.10146834153794</v>
      </c>
      <c r="J88" s="50">
        <f t="shared" si="36"/>
        <v>12.901468341537941</v>
      </c>
      <c r="K88" s="50">
        <v>13.391500000000001</v>
      </c>
      <c r="L88" s="267">
        <f>INDEX('calcolo base'!$H:$H, MATCH($A88, 'calcolo base'!$A:$A, 0))</f>
        <v>0.05</v>
      </c>
      <c r="M88" s="50">
        <f t="shared" si="37"/>
        <v>0.64507341707689703</v>
      </c>
      <c r="N88" s="50">
        <f t="shared" si="38"/>
        <v>0.1935220251230691</v>
      </c>
      <c r="O88" s="50">
        <f t="shared" si="43"/>
        <v>0</v>
      </c>
      <c r="P88" s="50">
        <f t="shared" si="39"/>
        <v>0</v>
      </c>
      <c r="Q88" s="51">
        <f t="shared" si="40"/>
        <v>3096.3524019691054</v>
      </c>
      <c r="R88" s="205">
        <f t="shared" si="41"/>
        <v>0</v>
      </c>
      <c r="S88" s="279">
        <f>IF(R88="si",0,IF(E88="si",0,IF(J88&gt;K88,0,K88-J88))) + IF(INDEX('calcolo base'!$P:$P, MATCH($A88, 'calcolo base'!$A:$A, 0))="SI", ('Commissioni De Angeli'!K88-'Commissioni De Angeli'!J88), 0)</f>
        <v>0.49003165846206009</v>
      </c>
      <c r="T88" s="117">
        <f t="shared" si="42"/>
        <v>3136.2026141571846</v>
      </c>
      <c r="U88" s="272">
        <f>IF(Q88=0,'calcolo base'!L2687,(T88+Q88))</f>
        <v>6232.55501612629</v>
      </c>
      <c r="V88" s="119">
        <v>46157</v>
      </c>
      <c r="Z88" s="118">
        <f t="shared" ref="Z88:Z148" si="44">IF(V88="",0,MONTH(V88))</f>
        <v>5</v>
      </c>
      <c r="AA88" s="118">
        <f t="shared" ref="AA88:AA148" si="45">IF(V88="",0,YEAR(V88))</f>
        <v>2026</v>
      </c>
    </row>
    <row r="89" spans="1:27">
      <c r="A89" s="118">
        <v>83</v>
      </c>
      <c r="B89" s="101">
        <v>2600945</v>
      </c>
      <c r="C89" s="99" t="s">
        <v>124</v>
      </c>
      <c r="D89" s="100">
        <v>5000</v>
      </c>
      <c r="E89" s="53"/>
      <c r="F89" s="48">
        <v>0.8</v>
      </c>
      <c r="G89" s="243" t="str">
        <f>INDEX('calcolo base'!$B:$B, MATCH($A89, 'calcolo base'!$A:$A, 0))</f>
        <v>Rame</v>
      </c>
      <c r="H89" s="54" t="str">
        <f t="shared" si="35"/>
        <v>Rame</v>
      </c>
      <c r="I89" s="259">
        <f>IF(  OR(      INDEX('calcolo base'!$D:$D, MATCH($A89, 'calcolo base'!$A:$A, 0)) = 0,
      INDEX('calcolo base'!$D:$D, MATCH($A89, 'calcolo base'!$A:$A, 0)) = ""   ),
   INDEX('calcolo base'!$K:$K, MATCH($A89, 'calcolo base'!$A:$A, 0)),
   INDEX('calcolo base'!$J:$J, MATCH($A89, 'calcolo base'!$A:$A, 0))
) / 1000</f>
        <v>12.10146834153794</v>
      </c>
      <c r="J89" s="50">
        <f t="shared" si="36"/>
        <v>12.901468341537941</v>
      </c>
      <c r="K89" s="50">
        <v>13.2415</v>
      </c>
      <c r="L89" s="267">
        <f>INDEX('calcolo base'!$H:$H, MATCH($A89, 'calcolo base'!$A:$A, 0))</f>
        <v>0.05</v>
      </c>
      <c r="M89" s="50">
        <f t="shared" si="37"/>
        <v>0.64507341707689703</v>
      </c>
      <c r="N89" s="50">
        <f t="shared" si="38"/>
        <v>0.1935220251230691</v>
      </c>
      <c r="O89" s="50">
        <f t="shared" si="43"/>
        <v>0</v>
      </c>
      <c r="P89" s="50">
        <f t="shared" si="39"/>
        <v>0</v>
      </c>
      <c r="Q89" s="51">
        <f t="shared" si="40"/>
        <v>967.61012561534551</v>
      </c>
      <c r="R89" s="205">
        <f t="shared" si="41"/>
        <v>0</v>
      </c>
      <c r="S89" s="279">
        <f>IF(R89="si",0,IF(E89="si",0,IF(J89&gt;K89,0,K89-J89))) + IF(INDEX('calcolo base'!$P:$P, MATCH($A89, 'calcolo base'!$A:$A, 0))="SI", ('Commissioni De Angeli'!K89-'Commissioni De Angeli'!J89), 0)</f>
        <v>0.34003165846205974</v>
      </c>
      <c r="T89" s="117">
        <f t="shared" si="42"/>
        <v>680.06331692411959</v>
      </c>
      <c r="U89" s="272">
        <f>IF(Q89=0,'calcolo base'!L2688,(T89+Q89))</f>
        <v>1647.6734425394652</v>
      </c>
      <c r="V89" s="119">
        <v>46178</v>
      </c>
      <c r="Z89" s="118">
        <f t="shared" si="44"/>
        <v>6</v>
      </c>
      <c r="AA89" s="118">
        <f t="shared" si="45"/>
        <v>2026</v>
      </c>
    </row>
    <row r="90" spans="1:27">
      <c r="A90" s="118">
        <v>84</v>
      </c>
      <c r="B90" s="101">
        <v>2600945</v>
      </c>
      <c r="C90" s="99" t="s">
        <v>124</v>
      </c>
      <c r="D90" s="100">
        <v>8000</v>
      </c>
      <c r="E90" s="53"/>
      <c r="F90" s="48">
        <v>0.8</v>
      </c>
      <c r="G90" s="243" t="str">
        <f>INDEX('calcolo base'!$B:$B, MATCH($A90, 'calcolo base'!$A:$A, 0))</f>
        <v>Rame</v>
      </c>
      <c r="H90" s="54" t="str">
        <f t="shared" si="35"/>
        <v>Rame</v>
      </c>
      <c r="I90" s="259">
        <f>IF(  OR(      INDEX('calcolo base'!$D:$D, MATCH($A90, 'calcolo base'!$A:$A, 0)) = 0,
      INDEX('calcolo base'!$D:$D, MATCH($A90, 'calcolo base'!$A:$A, 0)) = ""   ),
   INDEX('calcolo base'!$K:$K, MATCH($A90, 'calcolo base'!$A:$A, 0)),
   INDEX('calcolo base'!$J:$J, MATCH($A90, 'calcolo base'!$A:$A, 0))
) / 1000</f>
        <v>12.10146834153794</v>
      </c>
      <c r="J90" s="50">
        <f t="shared" si="36"/>
        <v>12.901468341537941</v>
      </c>
      <c r="K90" s="50">
        <v>13.2415</v>
      </c>
      <c r="L90" s="267">
        <f>INDEX('calcolo base'!$H:$H, MATCH($A90, 'calcolo base'!$A:$A, 0))</f>
        <v>0.05</v>
      </c>
      <c r="M90" s="50">
        <f t="shared" si="37"/>
        <v>0.64507341707689703</v>
      </c>
      <c r="N90" s="50">
        <f t="shared" si="38"/>
        <v>0.1935220251230691</v>
      </c>
      <c r="O90" s="50">
        <f t="shared" si="43"/>
        <v>0</v>
      </c>
      <c r="P90" s="50">
        <f t="shared" si="39"/>
        <v>0</v>
      </c>
      <c r="Q90" s="51">
        <f t="shared" si="40"/>
        <v>1548.1762009845527</v>
      </c>
      <c r="R90" s="205">
        <f t="shared" si="41"/>
        <v>0</v>
      </c>
      <c r="S90" s="279">
        <f>IF(R90="si",0,IF(E90="si",0,IF(J90&gt;K90,0,K90-J90))) + IF(INDEX('calcolo base'!$P:$P, MATCH($A90, 'calcolo base'!$A:$A, 0))="SI", ('Commissioni De Angeli'!K90-'Commissioni De Angeli'!J90), 0)</f>
        <v>0.34003165846205974</v>
      </c>
      <c r="T90" s="117">
        <f t="shared" si="42"/>
        <v>1088.1013070785912</v>
      </c>
      <c r="U90" s="272">
        <f>IF(Q90=0,'calcolo base'!L2689,(T90+Q90))</f>
        <v>2636.2775080631436</v>
      </c>
      <c r="V90" s="119">
        <v>46192</v>
      </c>
      <c r="Z90" s="118">
        <f t="shared" si="44"/>
        <v>6</v>
      </c>
      <c r="AA90" s="118">
        <f t="shared" si="45"/>
        <v>2026</v>
      </c>
    </row>
    <row r="91" spans="1:27">
      <c r="A91" s="118">
        <v>85</v>
      </c>
      <c r="B91" s="101">
        <v>2600946</v>
      </c>
      <c r="C91" s="99" t="s">
        <v>124</v>
      </c>
      <c r="D91" s="100">
        <v>12000</v>
      </c>
      <c r="E91" s="53"/>
      <c r="F91" s="48">
        <v>0.8</v>
      </c>
      <c r="G91" s="243" t="str">
        <f>INDEX('calcolo base'!$B:$B, MATCH($A91, 'calcolo base'!$A:$A, 0))</f>
        <v>Rame</v>
      </c>
      <c r="H91" s="54" t="str">
        <f t="shared" si="35"/>
        <v>Rame</v>
      </c>
      <c r="I91" s="259">
        <f>IF(  OR(      INDEX('calcolo base'!$D:$D, MATCH($A91, 'calcolo base'!$A:$A, 0)) = 0,
      INDEX('calcolo base'!$D:$D, MATCH($A91, 'calcolo base'!$A:$A, 0)) = ""   ),
   INDEX('calcolo base'!$K:$K, MATCH($A91, 'calcolo base'!$A:$A, 0)),
   INDEX('calcolo base'!$J:$J, MATCH($A91, 'calcolo base'!$A:$A, 0))
) / 1000</f>
        <v>12.10146834153794</v>
      </c>
      <c r="J91" s="50">
        <f t="shared" si="36"/>
        <v>12.901468341537941</v>
      </c>
      <c r="K91" s="50">
        <v>13.391500000000001</v>
      </c>
      <c r="L91" s="267">
        <f>INDEX('calcolo base'!$H:$H, MATCH($A91, 'calcolo base'!$A:$A, 0))</f>
        <v>0.05</v>
      </c>
      <c r="M91" s="50">
        <f t="shared" si="37"/>
        <v>0.64507341707689703</v>
      </c>
      <c r="N91" s="50">
        <f t="shared" si="38"/>
        <v>0.1935220251230691</v>
      </c>
      <c r="O91" s="50">
        <f t="shared" si="43"/>
        <v>0</v>
      </c>
      <c r="P91" s="50">
        <f t="shared" si="39"/>
        <v>0</v>
      </c>
      <c r="Q91" s="51">
        <f t="shared" si="40"/>
        <v>2322.2643014768291</v>
      </c>
      <c r="R91" s="205">
        <f t="shared" si="41"/>
        <v>0</v>
      </c>
      <c r="S91" s="279">
        <f>IF(R91="si",0,IF(E91="si",0,IF(J91&gt;K91,0,K91-J91))) + IF(INDEX('calcolo base'!$P:$P, MATCH($A91, 'calcolo base'!$A:$A, 0))="SI", ('Commissioni De Angeli'!K91-'Commissioni De Angeli'!J91), 0)</f>
        <v>0.49003165846206009</v>
      </c>
      <c r="T91" s="117">
        <f t="shared" si="42"/>
        <v>2352.1519606178886</v>
      </c>
      <c r="U91" s="272">
        <f>IF(Q91=0,'calcolo base'!L2690,(T91+Q91))</f>
        <v>4674.4162620947172</v>
      </c>
      <c r="V91" s="119">
        <v>46206</v>
      </c>
      <c r="Z91" s="118">
        <f t="shared" si="44"/>
        <v>7</v>
      </c>
      <c r="AA91" s="118">
        <f t="shared" si="45"/>
        <v>2026</v>
      </c>
    </row>
    <row r="92" spans="1:27">
      <c r="A92" s="118">
        <v>86</v>
      </c>
      <c r="B92" s="101">
        <v>2600931</v>
      </c>
      <c r="C92" s="99" t="s">
        <v>153</v>
      </c>
      <c r="D92" s="100">
        <v>700</v>
      </c>
      <c r="E92" s="53"/>
      <c r="F92" s="48">
        <v>3.13</v>
      </c>
      <c r="G92" s="243" t="str">
        <f>INDEX('calcolo base'!$B:$B, MATCH($A92, 'calcolo base'!$A:$A, 0))</f>
        <v>Rame</v>
      </c>
      <c r="H92" s="54" t="str">
        <f t="shared" ref="H92:H155" si="46">IF(G92=0,"",+G92)</f>
        <v>Rame</v>
      </c>
      <c r="I92" s="259">
        <f>IF(  OR(      INDEX('calcolo base'!$D:$D, MATCH($A92, 'calcolo base'!$A:$A, 0)) = 0,
      INDEX('calcolo base'!$D:$D, MATCH($A92, 'calcolo base'!$A:$A, 0)) = ""   ),
   INDEX('calcolo base'!$K:$K, MATCH($A92, 'calcolo base'!$A:$A, 0)),
   INDEX('calcolo base'!$J:$J, MATCH($A92, 'calcolo base'!$A:$A, 0))
) / 1000</f>
        <v>12.068464730290454</v>
      </c>
      <c r="J92" s="50">
        <f t="shared" ref="J92:J155" si="47">+F92+I92</f>
        <v>15.198464730290453</v>
      </c>
      <c r="K92" s="50">
        <v>16.0685</v>
      </c>
      <c r="L92" s="267">
        <f>INDEX('calcolo base'!$H:$H, MATCH($A92, 'calcolo base'!$A:$A, 0))</f>
        <v>0.05</v>
      </c>
      <c r="M92" s="50">
        <f t="shared" ref="M92:M155" si="48">IF(L92=0,0,J92*L92)</f>
        <v>0.75992323651452276</v>
      </c>
      <c r="N92" s="50">
        <f t="shared" ref="N92:N155" si="49">IF(E92="si",K92*1.5%,IF($L92&gt;=5%,IF($I92=0,0,(IF($G92="RAME",($J92)*1.5%,0)+IF($G92="rame smaltato",($K92)*1.5%,0))),0))</f>
        <v>0.22797697095435679</v>
      </c>
      <c r="O92" s="50">
        <f t="shared" si="43"/>
        <v>0</v>
      </c>
      <c r="P92" s="50">
        <f t="shared" ref="P92:P155" si="50">IF(H92="alluminio",0,IF(L92&lt;5%,F92*8%,0))</f>
        <v>0</v>
      </c>
      <c r="Q92" s="51">
        <f t="shared" ref="Q92:Q155" si="51">+(N92*D92)+(O92*D92)+(P92*D92)</f>
        <v>159.58387966804975</v>
      </c>
      <c r="R92" s="205">
        <f t="shared" ref="R92:R155" si="52">IF(H92="ALLUMINIO",0,IF(L92&lt;5%,"si",0))</f>
        <v>0</v>
      </c>
      <c r="S92" s="279">
        <f>IF(R92="si",0,IF(E92="si",0,IF(J92&gt;K92,0,K92-J92))) + IF(INDEX('calcolo base'!$P:$P, MATCH($A92, 'calcolo base'!$A:$A, 0))="SI", ('Commissioni De Angeli'!K92-'Commissioni De Angeli'!J92), 0)</f>
        <v>0.87003526970954681</v>
      </c>
      <c r="T92" s="117">
        <f t="shared" ref="T92:T155" si="53">+(S92)*D92*40%</f>
        <v>243.60987551867311</v>
      </c>
      <c r="U92" s="272">
        <f>IF(Q92=0,'calcolo base'!L2691,(T92+Q92))</f>
        <v>403.19375518672285</v>
      </c>
      <c r="V92" s="119">
        <v>46146</v>
      </c>
      <c r="Z92" s="118">
        <f t="shared" si="44"/>
        <v>5</v>
      </c>
      <c r="AA92" s="118">
        <f t="shared" si="45"/>
        <v>2026</v>
      </c>
    </row>
    <row r="93" spans="1:27">
      <c r="A93" s="118">
        <v>87</v>
      </c>
      <c r="B93" s="101">
        <v>2600931</v>
      </c>
      <c r="C93" s="99" t="s">
        <v>153</v>
      </c>
      <c r="D93" s="100">
        <v>700</v>
      </c>
      <c r="E93" s="53"/>
      <c r="F93" s="48">
        <v>3.13</v>
      </c>
      <c r="G93" s="243" t="str">
        <f>INDEX('calcolo base'!$B:$B, MATCH($A93, 'calcolo base'!$A:$A, 0))</f>
        <v>Rame</v>
      </c>
      <c r="H93" s="54" t="str">
        <f t="shared" si="46"/>
        <v>Rame</v>
      </c>
      <c r="I93" s="259">
        <f>IF(  OR(      INDEX('calcolo base'!$D:$D, MATCH($A93, 'calcolo base'!$A:$A, 0)) = 0,
      INDEX('calcolo base'!$D:$D, MATCH($A93, 'calcolo base'!$A:$A, 0)) = ""   ),
   INDEX('calcolo base'!$K:$K, MATCH($A93, 'calcolo base'!$A:$A, 0)),
   INDEX('calcolo base'!$J:$J, MATCH($A93, 'calcolo base'!$A:$A, 0))
) / 1000</f>
        <v>12.068464730290454</v>
      </c>
      <c r="J93" s="50">
        <f t="shared" si="47"/>
        <v>15.198464730290453</v>
      </c>
      <c r="K93" s="50">
        <v>16.0685</v>
      </c>
      <c r="L93" s="267">
        <f>INDEX('calcolo base'!$H:$H, MATCH($A93, 'calcolo base'!$A:$A, 0))</f>
        <v>0.05</v>
      </c>
      <c r="M93" s="50">
        <f t="shared" si="48"/>
        <v>0.75992323651452276</v>
      </c>
      <c r="N93" s="50">
        <f t="shared" si="49"/>
        <v>0.22797697095435679</v>
      </c>
      <c r="O93" s="50">
        <f t="shared" si="43"/>
        <v>0</v>
      </c>
      <c r="P93" s="50">
        <f t="shared" si="50"/>
        <v>0</v>
      </c>
      <c r="Q93" s="51">
        <f t="shared" si="51"/>
        <v>159.58387966804975</v>
      </c>
      <c r="R93" s="205">
        <f t="shared" si="52"/>
        <v>0</v>
      </c>
      <c r="S93" s="279">
        <f>IF(R93="si",0,IF(E93="si",0,IF(J93&gt;K93,0,K93-J93))) + IF(INDEX('calcolo base'!$P:$P, MATCH($A93, 'calcolo base'!$A:$A, 0))="SI", ('Commissioni De Angeli'!K93-'Commissioni De Angeli'!J93), 0)</f>
        <v>0.87003526970954681</v>
      </c>
      <c r="T93" s="117">
        <f t="shared" si="53"/>
        <v>243.60987551867311</v>
      </c>
      <c r="U93" s="272">
        <f>IF(Q93=0,'calcolo base'!L2692,(T93+Q93))</f>
        <v>403.19375518672285</v>
      </c>
      <c r="V93" s="119">
        <v>46177</v>
      </c>
      <c r="Z93" s="118">
        <f t="shared" si="44"/>
        <v>6</v>
      </c>
      <c r="AA93" s="118">
        <f t="shared" si="45"/>
        <v>2026</v>
      </c>
    </row>
    <row r="94" spans="1:27">
      <c r="A94" s="118">
        <v>88</v>
      </c>
      <c r="B94" s="101">
        <v>2600931</v>
      </c>
      <c r="C94" s="99" t="s">
        <v>153</v>
      </c>
      <c r="D94" s="100">
        <v>700</v>
      </c>
      <c r="E94" s="53"/>
      <c r="F94" s="48">
        <v>3.13</v>
      </c>
      <c r="G94" s="243" t="str">
        <f>INDEX('calcolo base'!$B:$B, MATCH($A94, 'calcolo base'!$A:$A, 0))</f>
        <v>Rame</v>
      </c>
      <c r="H94" s="54" t="str">
        <f t="shared" si="46"/>
        <v>Rame</v>
      </c>
      <c r="I94" s="259">
        <f>IF(  OR(      INDEX('calcolo base'!$D:$D, MATCH($A94, 'calcolo base'!$A:$A, 0)) = 0,
      INDEX('calcolo base'!$D:$D, MATCH($A94, 'calcolo base'!$A:$A, 0)) = ""   ),
   INDEX('calcolo base'!$K:$K, MATCH($A94, 'calcolo base'!$A:$A, 0)),
   INDEX('calcolo base'!$J:$J, MATCH($A94, 'calcolo base'!$A:$A, 0))
) / 1000</f>
        <v>12.068464730290454</v>
      </c>
      <c r="J94" s="50">
        <f t="shared" si="47"/>
        <v>15.198464730290453</v>
      </c>
      <c r="K94" s="50">
        <v>16.0685</v>
      </c>
      <c r="L94" s="267">
        <f>INDEX('calcolo base'!$H:$H, MATCH($A94, 'calcolo base'!$A:$A, 0))</f>
        <v>0.05</v>
      </c>
      <c r="M94" s="50">
        <f t="shared" si="48"/>
        <v>0.75992323651452276</v>
      </c>
      <c r="N94" s="50">
        <f t="shared" si="49"/>
        <v>0.22797697095435679</v>
      </c>
      <c r="O94" s="50">
        <f t="shared" si="43"/>
        <v>0</v>
      </c>
      <c r="P94" s="50">
        <f t="shared" si="50"/>
        <v>0</v>
      </c>
      <c r="Q94" s="51">
        <f t="shared" si="51"/>
        <v>159.58387966804975</v>
      </c>
      <c r="R94" s="205">
        <f t="shared" si="52"/>
        <v>0</v>
      </c>
      <c r="S94" s="279">
        <f>IF(R94="si",0,IF(E94="si",0,IF(J94&gt;K94,0,K94-J94))) + IF(INDEX('calcolo base'!$P:$P, MATCH($A94, 'calcolo base'!$A:$A, 0))="SI", ('Commissioni De Angeli'!K94-'Commissioni De Angeli'!J94), 0)</f>
        <v>0.87003526970954681</v>
      </c>
      <c r="T94" s="117">
        <f t="shared" si="53"/>
        <v>243.60987551867311</v>
      </c>
      <c r="U94" s="272">
        <f>IF(Q94=0,'calcolo base'!L2693,(T94+Q94))</f>
        <v>403.19375518672285</v>
      </c>
      <c r="V94" s="119">
        <v>46206</v>
      </c>
      <c r="Z94" s="118">
        <f t="shared" si="44"/>
        <v>7</v>
      </c>
      <c r="AA94" s="118">
        <f t="shared" si="45"/>
        <v>2026</v>
      </c>
    </row>
    <row r="95" spans="1:27">
      <c r="A95" s="118">
        <v>89</v>
      </c>
      <c r="B95" s="101">
        <v>2600931</v>
      </c>
      <c r="C95" s="99" t="s">
        <v>153</v>
      </c>
      <c r="D95" s="100">
        <v>700</v>
      </c>
      <c r="E95" s="53"/>
      <c r="F95" s="48">
        <v>3.13</v>
      </c>
      <c r="G95" s="243" t="str">
        <f>INDEX('calcolo base'!$B:$B, MATCH($A95, 'calcolo base'!$A:$A, 0))</f>
        <v>Rame</v>
      </c>
      <c r="H95" s="54" t="str">
        <f t="shared" si="46"/>
        <v>Rame</v>
      </c>
      <c r="I95" s="259">
        <f>IF(  OR(      INDEX('calcolo base'!$D:$D, MATCH($A95, 'calcolo base'!$A:$A, 0)) = 0,
      INDEX('calcolo base'!$D:$D, MATCH($A95, 'calcolo base'!$A:$A, 0)) = ""   ),
   INDEX('calcolo base'!$K:$K, MATCH($A95, 'calcolo base'!$A:$A, 0)),
   INDEX('calcolo base'!$J:$J, MATCH($A95, 'calcolo base'!$A:$A, 0))
) / 1000</f>
        <v>12.068464730290454</v>
      </c>
      <c r="J95" s="50">
        <f t="shared" si="47"/>
        <v>15.198464730290453</v>
      </c>
      <c r="K95" s="50">
        <v>16.684999999999999</v>
      </c>
      <c r="L95" s="267">
        <f>INDEX('calcolo base'!$H:$H, MATCH($A95, 'calcolo base'!$A:$A, 0))</f>
        <v>0.05</v>
      </c>
      <c r="M95" s="50">
        <f t="shared" si="48"/>
        <v>0.75992323651452276</v>
      </c>
      <c r="N95" s="50">
        <f t="shared" si="49"/>
        <v>0.22797697095435679</v>
      </c>
      <c r="O95" s="50">
        <f t="shared" si="43"/>
        <v>0</v>
      </c>
      <c r="P95" s="50">
        <f t="shared" si="50"/>
        <v>0</v>
      </c>
      <c r="Q95" s="51">
        <f t="shared" si="51"/>
        <v>159.58387966804975</v>
      </c>
      <c r="R95" s="205">
        <f t="shared" si="52"/>
        <v>0</v>
      </c>
      <c r="S95" s="279">
        <f>IF(R95="si",0,IF(E95="si",0,IF(J95&gt;K95,0,K95-J95))) + IF(INDEX('calcolo base'!$P:$P, MATCH($A95, 'calcolo base'!$A:$A, 0))="SI", ('Commissioni De Angeli'!K95-'Commissioni De Angeli'!J95), 0)</f>
        <v>1.4865352697095453</v>
      </c>
      <c r="T95" s="117">
        <f t="shared" si="53"/>
        <v>416.22987551867277</v>
      </c>
      <c r="U95" s="272">
        <f>IF(Q95=0,'calcolo base'!L2694,(T95+Q95))</f>
        <v>575.81375518672257</v>
      </c>
      <c r="V95" s="119">
        <v>46268</v>
      </c>
      <c r="Z95" s="118">
        <f t="shared" si="44"/>
        <v>9</v>
      </c>
      <c r="AA95" s="118">
        <f t="shared" si="45"/>
        <v>2026</v>
      </c>
    </row>
    <row r="96" spans="1:27">
      <c r="A96" s="118">
        <v>90</v>
      </c>
      <c r="B96" s="101" t="s">
        <v>189</v>
      </c>
      <c r="C96" s="109" t="s">
        <v>85</v>
      </c>
      <c r="D96" s="103">
        <v>176.13</v>
      </c>
      <c r="E96" s="53"/>
      <c r="F96" s="48">
        <v>6.15</v>
      </c>
      <c r="G96" s="243" t="str">
        <f>INDEX('calcolo base'!$B:$B, MATCH($A96, 'calcolo base'!$A:$A, 0))</f>
        <v>Rame</v>
      </c>
      <c r="H96" s="54" t="str">
        <f t="shared" si="46"/>
        <v>Rame</v>
      </c>
      <c r="I96" s="259">
        <f>IF(  OR(      INDEX('calcolo base'!$D:$D, MATCH($A96, 'calcolo base'!$A:$A, 0)) = 0,
      INDEX('calcolo base'!$D:$D, MATCH($A96, 'calcolo base'!$A:$A, 0)) = ""   ),
   INDEX('calcolo base'!$K:$K, MATCH($A96, 'calcolo base'!$A:$A, 0)),
   INDEX('calcolo base'!$J:$J, MATCH($A96, 'calcolo base'!$A:$A, 0))
) / 1000</f>
        <v>12.272236340533674</v>
      </c>
      <c r="J96" s="50">
        <f t="shared" si="47"/>
        <v>18.422236340533672</v>
      </c>
      <c r="K96" s="50">
        <v>19.47</v>
      </c>
      <c r="L96" s="267">
        <f>INDEX('calcolo base'!$H:$H, MATCH($A96, 'calcolo base'!$A:$A, 0))</f>
        <v>0.05</v>
      </c>
      <c r="M96" s="50">
        <f t="shared" si="48"/>
        <v>0.92111181702668365</v>
      </c>
      <c r="N96" s="50">
        <f t="shared" si="49"/>
        <v>0.27633354510800506</v>
      </c>
      <c r="O96" s="50">
        <f t="shared" si="43"/>
        <v>0</v>
      </c>
      <c r="P96" s="50">
        <f t="shared" si="50"/>
        <v>0</v>
      </c>
      <c r="Q96" s="51">
        <f t="shared" si="51"/>
        <v>48.670627299872933</v>
      </c>
      <c r="R96" s="205">
        <f t="shared" si="52"/>
        <v>0</v>
      </c>
      <c r="S96" s="279">
        <f>IF(R96="si",0,IF(E96="si",0,IF(J96&gt;K96,0,K96-J96))) + IF(INDEX('calcolo base'!$P:$P, MATCH($A96, 'calcolo base'!$A:$A, 0))="SI", ('Commissioni De Angeli'!K96-'Commissioni De Angeli'!J96), 0)</f>
        <v>1.0477636594663267</v>
      </c>
      <c r="T96" s="117">
        <f t="shared" si="53"/>
        <v>73.817045336721648</v>
      </c>
      <c r="U96" s="272">
        <f>IF(Q96=0,'calcolo base'!L2695,(T96+Q96))</f>
        <v>122.48767263659458</v>
      </c>
      <c r="V96" s="119"/>
      <c r="W96" s="118" t="s">
        <v>155</v>
      </c>
      <c r="Z96" s="118">
        <f t="shared" si="44"/>
        <v>0</v>
      </c>
      <c r="AA96" s="118">
        <f t="shared" si="45"/>
        <v>0</v>
      </c>
    </row>
    <row r="97" spans="1:27">
      <c r="A97" s="118">
        <v>91</v>
      </c>
      <c r="B97" s="101">
        <v>2600992</v>
      </c>
      <c r="C97" s="35" t="s">
        <v>145</v>
      </c>
      <c r="D97" s="53">
        <v>1400</v>
      </c>
      <c r="E97" s="53"/>
      <c r="F97" s="48">
        <v>0.6</v>
      </c>
      <c r="G97" s="243" t="str">
        <f>INDEX('calcolo base'!$B:$B, MATCH($A97, 'calcolo base'!$A:$A, 0))</f>
        <v>Rame</v>
      </c>
      <c r="H97" s="54" t="str">
        <f t="shared" si="46"/>
        <v>Rame</v>
      </c>
      <c r="I97" s="259">
        <f>IF(  OR(      INDEX('calcolo base'!$D:$D, MATCH($A97, 'calcolo base'!$A:$A, 0)) = 0,
      INDEX('calcolo base'!$D:$D, MATCH($A97, 'calcolo base'!$A:$A, 0)) = ""   ),
   INDEX('calcolo base'!$K:$K, MATCH($A97, 'calcolo base'!$A:$A, 0)),
   INDEX('calcolo base'!$J:$J, MATCH($A97, 'calcolo base'!$A:$A, 0))
) / 1000</f>
        <v>12.190191387559807</v>
      </c>
      <c r="J97" s="50">
        <f t="shared" si="47"/>
        <v>12.790191387559807</v>
      </c>
      <c r="K97" s="50">
        <v>13.1</v>
      </c>
      <c r="L97" s="267">
        <f>INDEX('calcolo base'!$H:$H, MATCH($A97, 'calcolo base'!$A:$A, 0))</f>
        <v>0.05</v>
      </c>
      <c r="M97" s="50">
        <f t="shared" si="48"/>
        <v>0.63950956937799042</v>
      </c>
      <c r="N97" s="50">
        <f t="shared" si="49"/>
        <v>0.19185287081339708</v>
      </c>
      <c r="O97" s="50">
        <f t="shared" si="43"/>
        <v>0</v>
      </c>
      <c r="P97" s="50">
        <f t="shared" si="50"/>
        <v>0</v>
      </c>
      <c r="Q97" s="51">
        <f t="shared" si="51"/>
        <v>268.59401913875593</v>
      </c>
      <c r="R97" s="205">
        <f t="shared" si="52"/>
        <v>0</v>
      </c>
      <c r="S97" s="279">
        <f>IF(R97="si",0,IF(E97="si",0,IF(J97&gt;K97,0,K97-J97))) + IF(INDEX('calcolo base'!$P:$P, MATCH($A97, 'calcolo base'!$A:$A, 0))="SI", ('Commissioni De Angeli'!K97-'Commissioni De Angeli'!J97), 0)</f>
        <v>0.30980861244019309</v>
      </c>
      <c r="T97" s="117">
        <f t="shared" si="53"/>
        <v>173.49282296650813</v>
      </c>
      <c r="U97" s="272">
        <f>IF(Q97=0,'calcolo base'!L2696,(T97+Q97))</f>
        <v>442.08684210526405</v>
      </c>
      <c r="V97" s="119">
        <v>46150</v>
      </c>
      <c r="Z97" s="118">
        <f t="shared" si="44"/>
        <v>5</v>
      </c>
      <c r="AA97" s="118">
        <f t="shared" si="45"/>
        <v>2026</v>
      </c>
    </row>
    <row r="98" spans="1:27">
      <c r="A98" s="118">
        <v>92</v>
      </c>
      <c r="B98" s="101">
        <v>2600997</v>
      </c>
      <c r="C98" s="99" t="s">
        <v>158</v>
      </c>
      <c r="D98" s="100">
        <v>1000</v>
      </c>
      <c r="E98" s="53"/>
      <c r="F98" s="48">
        <v>0.67</v>
      </c>
      <c r="G98" s="243" t="str">
        <f>INDEX('calcolo base'!$B:$B, MATCH($A98, 'calcolo base'!$A:$A, 0))</f>
        <v>Rame</v>
      </c>
      <c r="H98" s="54" t="str">
        <f t="shared" si="46"/>
        <v>Rame</v>
      </c>
      <c r="I98" s="259">
        <f>IF(  OR(      INDEX('calcolo base'!$D:$D, MATCH($A98, 'calcolo base'!$A:$A, 0)) = 0,
      INDEX('calcolo base'!$D:$D, MATCH($A98, 'calcolo base'!$A:$A, 0)) = ""   ),
   INDEX('calcolo base'!$K:$K, MATCH($A98, 'calcolo base'!$A:$A, 0)),
   INDEX('calcolo base'!$J:$J, MATCH($A98, 'calcolo base'!$A:$A, 0))
) / 1000</f>
        <v>12.160586124401915</v>
      </c>
      <c r="J98" s="50">
        <f t="shared" si="47"/>
        <v>12.830586124401915</v>
      </c>
      <c r="K98" s="50">
        <v>13.2606</v>
      </c>
      <c r="L98" s="267">
        <f>INDEX('calcolo base'!$H:$H, MATCH($A98, 'calcolo base'!$A:$A, 0))</f>
        <v>0.05</v>
      </c>
      <c r="M98" s="50">
        <f t="shared" si="48"/>
        <v>0.64152930622009574</v>
      </c>
      <c r="N98" s="50">
        <f t="shared" si="49"/>
        <v>0.19245879186602871</v>
      </c>
      <c r="O98" s="50">
        <f t="shared" si="43"/>
        <v>0</v>
      </c>
      <c r="P98" s="50">
        <f t="shared" si="50"/>
        <v>0</v>
      </c>
      <c r="Q98" s="51">
        <f t="shared" si="51"/>
        <v>192.45879186602872</v>
      </c>
      <c r="R98" s="205">
        <f t="shared" si="52"/>
        <v>0</v>
      </c>
      <c r="S98" s="279">
        <f>IF(R98="si",0,IF(E98="si",0,IF(J98&gt;K98,0,K98-J98))) + IF(INDEX('calcolo base'!$P:$P, MATCH($A98, 'calcolo base'!$A:$A, 0))="SI", ('Commissioni De Angeli'!K98-'Commissioni De Angeli'!J98), 0)</f>
        <v>0.43001387559808535</v>
      </c>
      <c r="T98" s="117">
        <f t="shared" si="53"/>
        <v>172.00555023923414</v>
      </c>
      <c r="U98" s="272">
        <f>IF(Q98=0,'calcolo base'!L2697,(T98+Q98))</f>
        <v>364.46434210526286</v>
      </c>
      <c r="V98" s="119">
        <v>46134</v>
      </c>
      <c r="Z98" s="118">
        <f t="shared" si="44"/>
        <v>4</v>
      </c>
      <c r="AA98" s="118">
        <f t="shared" si="45"/>
        <v>2026</v>
      </c>
    </row>
    <row r="99" spans="1:27">
      <c r="A99" s="118">
        <v>93</v>
      </c>
      <c r="B99" s="101">
        <v>2600927</v>
      </c>
      <c r="C99" s="35" t="s">
        <v>143</v>
      </c>
      <c r="D99" s="53">
        <v>2000</v>
      </c>
      <c r="E99" s="53"/>
      <c r="F99" s="48">
        <v>0.63</v>
      </c>
      <c r="G99" s="243" t="str">
        <f>INDEX('calcolo base'!$B:$B, MATCH($A99, 'calcolo base'!$A:$A, 0))</f>
        <v>Rame</v>
      </c>
      <c r="H99" s="54" t="str">
        <f t="shared" si="46"/>
        <v>Rame</v>
      </c>
      <c r="I99" s="259">
        <f>IF(  OR(      INDEX('calcolo base'!$D:$D, MATCH($A99, 'calcolo base'!$A:$A, 0)) = 0,
      INDEX('calcolo base'!$D:$D, MATCH($A99, 'calcolo base'!$A:$A, 0)) = ""   ),
   INDEX('calcolo base'!$K:$K, MATCH($A99, 'calcolo base'!$A:$A, 0)),
   INDEX('calcolo base'!$J:$J, MATCH($A99, 'calcolo base'!$A:$A, 0))
) / 1000</f>
        <v>11.401745397707536</v>
      </c>
      <c r="J99" s="50">
        <f t="shared" si="47"/>
        <v>12.031745397707537</v>
      </c>
      <c r="K99" s="50">
        <v>12.43</v>
      </c>
      <c r="L99" s="267">
        <f>INDEX('calcolo base'!$H:$H, MATCH($A99, 'calcolo base'!$A:$A, 0))</f>
        <v>0.05</v>
      </c>
      <c r="M99" s="50">
        <f t="shared" si="48"/>
        <v>0.60158726988537692</v>
      </c>
      <c r="N99" s="50">
        <f t="shared" si="49"/>
        <v>0.18047618096561305</v>
      </c>
      <c r="O99" s="50">
        <f t="shared" si="43"/>
        <v>0</v>
      </c>
      <c r="P99" s="50">
        <f t="shared" si="50"/>
        <v>0</v>
      </c>
      <c r="Q99" s="51">
        <f t="shared" si="51"/>
        <v>360.95236193122611</v>
      </c>
      <c r="R99" s="205">
        <f t="shared" si="52"/>
        <v>0</v>
      </c>
      <c r="S99" s="279">
        <f>IF(R99="si",0,IF(E99="si",0,IF(J99&gt;K99,0,K99-J99))) + IF(INDEX('calcolo base'!$P:$P, MATCH($A99, 'calcolo base'!$A:$A, 0))="SI", ('Commissioni De Angeli'!K99-'Commissioni De Angeli'!J99), 0)</f>
        <v>0.39825460229246268</v>
      </c>
      <c r="T99" s="117">
        <f t="shared" si="53"/>
        <v>318.60368183397014</v>
      </c>
      <c r="U99" s="272">
        <f>IF(Q99=0,'calcolo base'!L2698,(T99+Q99))</f>
        <v>679.55604376519625</v>
      </c>
      <c r="V99" s="119">
        <v>46147</v>
      </c>
      <c r="Z99" s="118">
        <f t="shared" si="44"/>
        <v>5</v>
      </c>
      <c r="AA99" s="118">
        <f t="shared" si="45"/>
        <v>2026</v>
      </c>
    </row>
    <row r="100" spans="1:27">
      <c r="A100" s="118">
        <v>94</v>
      </c>
      <c r="B100" s="101">
        <v>2600927</v>
      </c>
      <c r="C100" s="35" t="s">
        <v>143</v>
      </c>
      <c r="D100" s="53">
        <v>1000</v>
      </c>
      <c r="E100" s="53"/>
      <c r="F100" s="48">
        <v>0.72</v>
      </c>
      <c r="G100" s="243" t="str">
        <f>INDEX('calcolo base'!$B:$B, MATCH($A100, 'calcolo base'!$A:$A, 0))</f>
        <v>Rame</v>
      </c>
      <c r="H100" s="54" t="str">
        <f t="shared" si="46"/>
        <v>Rame</v>
      </c>
      <c r="I100" s="259">
        <f>IF(  OR(      INDEX('calcolo base'!$D:$D, MATCH($A100, 'calcolo base'!$A:$A, 0)) = 0,
      INDEX('calcolo base'!$D:$D, MATCH($A100, 'calcolo base'!$A:$A, 0)) = ""   ),
   INDEX('calcolo base'!$K:$K, MATCH($A100, 'calcolo base'!$A:$A, 0)),
   INDEX('calcolo base'!$J:$J, MATCH($A100, 'calcolo base'!$A:$A, 0))
) / 1000</f>
        <v>11.401745397707536</v>
      </c>
      <c r="J100" s="50">
        <f t="shared" si="47"/>
        <v>12.121745397707537</v>
      </c>
      <c r="K100" s="50">
        <v>12.53</v>
      </c>
      <c r="L100" s="267">
        <f>INDEX('calcolo base'!$H:$H, MATCH($A100, 'calcolo base'!$A:$A, 0))</f>
        <v>0.05</v>
      </c>
      <c r="M100" s="50">
        <f t="shared" si="48"/>
        <v>0.60608726988537687</v>
      </c>
      <c r="N100" s="50">
        <f t="shared" si="49"/>
        <v>0.18182618096561304</v>
      </c>
      <c r="O100" s="50">
        <f t="shared" si="43"/>
        <v>0</v>
      </c>
      <c r="P100" s="50">
        <f t="shared" si="50"/>
        <v>0</v>
      </c>
      <c r="Q100" s="51">
        <f t="shared" si="51"/>
        <v>181.82618096561305</v>
      </c>
      <c r="R100" s="205">
        <f t="shared" si="52"/>
        <v>0</v>
      </c>
      <c r="S100" s="279">
        <f>IF(R100="si",0,IF(E100="si",0,IF(J100&gt;K100,0,K100-J100))) + IF(INDEX('calcolo base'!$P:$P, MATCH($A100, 'calcolo base'!$A:$A, 0))="SI", ('Commissioni De Angeli'!K100-'Commissioni De Angeli'!J100), 0)</f>
        <v>0.40825460229246247</v>
      </c>
      <c r="T100" s="117">
        <f t="shared" si="53"/>
        <v>163.30184091698499</v>
      </c>
      <c r="U100" s="272">
        <f>IF(Q100=0,'calcolo base'!L2699,(T100+Q100))</f>
        <v>345.12802188259803</v>
      </c>
      <c r="V100" s="119">
        <v>46147</v>
      </c>
      <c r="Z100" s="118">
        <f t="shared" si="44"/>
        <v>5</v>
      </c>
      <c r="AA100" s="118">
        <f t="shared" si="45"/>
        <v>2026</v>
      </c>
    </row>
    <row r="101" spans="1:27">
      <c r="A101" s="118">
        <v>95</v>
      </c>
      <c r="B101" s="101">
        <v>2600927</v>
      </c>
      <c r="C101" s="35" t="s">
        <v>143</v>
      </c>
      <c r="D101" s="53">
        <v>3000</v>
      </c>
      <c r="E101" s="53"/>
      <c r="F101" s="48">
        <v>0.73</v>
      </c>
      <c r="G101" s="243" t="str">
        <f>INDEX('calcolo base'!$B:$B, MATCH($A101, 'calcolo base'!$A:$A, 0))</f>
        <v>Rame</v>
      </c>
      <c r="H101" s="54" t="str">
        <f t="shared" si="46"/>
        <v>Rame</v>
      </c>
      <c r="I101" s="259">
        <f>IF(  OR(      INDEX('calcolo base'!$D:$D, MATCH($A101, 'calcolo base'!$A:$A, 0)) = 0,
      INDEX('calcolo base'!$D:$D, MATCH($A101, 'calcolo base'!$A:$A, 0)) = ""   ),
   INDEX('calcolo base'!$K:$K, MATCH($A101, 'calcolo base'!$A:$A, 0)),
   INDEX('calcolo base'!$J:$J, MATCH($A101, 'calcolo base'!$A:$A, 0))
) / 1000</f>
        <v>11.401745397707536</v>
      </c>
      <c r="J101" s="50">
        <f t="shared" si="47"/>
        <v>12.131745397707537</v>
      </c>
      <c r="K101" s="50">
        <v>12.53</v>
      </c>
      <c r="L101" s="267">
        <f>INDEX('calcolo base'!$H:$H, MATCH($A101, 'calcolo base'!$A:$A, 0))</f>
        <v>0.05</v>
      </c>
      <c r="M101" s="50">
        <f t="shared" si="48"/>
        <v>0.60658726988537692</v>
      </c>
      <c r="N101" s="50">
        <f t="shared" si="49"/>
        <v>0.18197618096561305</v>
      </c>
      <c r="O101" s="50">
        <f t="shared" si="43"/>
        <v>0</v>
      </c>
      <c r="P101" s="50">
        <f t="shared" si="50"/>
        <v>0</v>
      </c>
      <c r="Q101" s="51">
        <f t="shared" si="51"/>
        <v>545.92854289683919</v>
      </c>
      <c r="R101" s="205">
        <f t="shared" si="52"/>
        <v>0</v>
      </c>
      <c r="S101" s="279">
        <f>IF(R101="si",0,IF(E101="si",0,IF(J101&gt;K101,0,K101-J101))) + IF(INDEX('calcolo base'!$P:$P, MATCH($A101, 'calcolo base'!$A:$A, 0))="SI", ('Commissioni De Angeli'!K101-'Commissioni De Angeli'!J101), 0)</f>
        <v>0.39825460229246268</v>
      </c>
      <c r="T101" s="117">
        <f t="shared" si="53"/>
        <v>477.90552275095524</v>
      </c>
      <c r="U101" s="272">
        <f>IF(Q101=0,'calcolo base'!L2700,(T101+Q101))</f>
        <v>1023.8340656477944</v>
      </c>
      <c r="V101" s="119">
        <v>46147</v>
      </c>
      <c r="Z101" s="118">
        <f t="shared" si="44"/>
        <v>5</v>
      </c>
      <c r="AA101" s="118">
        <f t="shared" si="45"/>
        <v>2026</v>
      </c>
    </row>
    <row r="102" spans="1:27">
      <c r="A102" s="118">
        <v>96</v>
      </c>
      <c r="B102" s="101">
        <v>2600927</v>
      </c>
      <c r="C102" s="35" t="s">
        <v>143</v>
      </c>
      <c r="D102" s="53">
        <v>2500</v>
      </c>
      <c r="E102" s="53"/>
      <c r="F102" s="48">
        <v>0.72</v>
      </c>
      <c r="G102" s="243" t="str">
        <f>INDEX('calcolo base'!$B:$B, MATCH($A102, 'calcolo base'!$A:$A, 0))</f>
        <v>Rame</v>
      </c>
      <c r="H102" s="54" t="str">
        <f t="shared" si="46"/>
        <v>Rame</v>
      </c>
      <c r="I102" s="259">
        <f>IF(  OR(      INDEX('calcolo base'!$D:$D, MATCH($A102, 'calcolo base'!$A:$A, 0)) = 0,
      INDEX('calcolo base'!$D:$D, MATCH($A102, 'calcolo base'!$A:$A, 0)) = ""   ),
   INDEX('calcolo base'!$K:$K, MATCH($A102, 'calcolo base'!$A:$A, 0)),
   INDEX('calcolo base'!$J:$J, MATCH($A102, 'calcolo base'!$A:$A, 0))
) / 1000</f>
        <v>11.401745397707536</v>
      </c>
      <c r="J102" s="50">
        <f t="shared" si="47"/>
        <v>12.121745397707537</v>
      </c>
      <c r="K102" s="50">
        <v>12.28</v>
      </c>
      <c r="L102" s="267">
        <f>INDEX('calcolo base'!$H:$H, MATCH($A102, 'calcolo base'!$A:$A, 0))</f>
        <v>0.05</v>
      </c>
      <c r="M102" s="50">
        <f t="shared" si="48"/>
        <v>0.60608726988537687</v>
      </c>
      <c r="N102" s="50">
        <f t="shared" si="49"/>
        <v>0.18182618096561304</v>
      </c>
      <c r="O102" s="50">
        <f t="shared" si="43"/>
        <v>0</v>
      </c>
      <c r="P102" s="50">
        <f t="shared" si="50"/>
        <v>0</v>
      </c>
      <c r="Q102" s="51">
        <f t="shared" si="51"/>
        <v>454.56545241403262</v>
      </c>
      <c r="R102" s="205">
        <f t="shared" si="52"/>
        <v>0</v>
      </c>
      <c r="S102" s="279">
        <f>IF(R102="si",0,IF(E102="si",0,IF(J102&gt;K102,0,K102-J102))) + IF(INDEX('calcolo base'!$P:$P, MATCH($A102, 'calcolo base'!$A:$A, 0))="SI", ('Commissioni De Angeli'!K102-'Commissioni De Angeli'!J102), 0)</f>
        <v>0.15825460229246247</v>
      </c>
      <c r="T102" s="117">
        <f t="shared" si="53"/>
        <v>158.25460229246247</v>
      </c>
      <c r="U102" s="272">
        <f>IF(Q102=0,'calcolo base'!L2701,(T102+Q102))</f>
        <v>612.82005470649506</v>
      </c>
      <c r="V102" s="119">
        <v>46147</v>
      </c>
      <c r="Z102" s="118">
        <f t="shared" si="44"/>
        <v>5</v>
      </c>
      <c r="AA102" s="118">
        <f t="shared" si="45"/>
        <v>2026</v>
      </c>
    </row>
    <row r="103" spans="1:27">
      <c r="A103" s="118">
        <v>97</v>
      </c>
      <c r="B103" s="101">
        <v>2600927</v>
      </c>
      <c r="C103" s="35" t="s">
        <v>143</v>
      </c>
      <c r="D103" s="53">
        <v>3000</v>
      </c>
      <c r="E103" s="53"/>
      <c r="F103" s="48">
        <v>0.72</v>
      </c>
      <c r="G103" s="243" t="str">
        <f>INDEX('calcolo base'!$B:$B, MATCH($A103, 'calcolo base'!$A:$A, 0))</f>
        <v>Rame</v>
      </c>
      <c r="H103" s="54" t="str">
        <f t="shared" si="46"/>
        <v>Rame</v>
      </c>
      <c r="I103" s="259">
        <f>IF(  OR(      INDEX('calcolo base'!$D:$D, MATCH($A103, 'calcolo base'!$A:$A, 0)) = 0,
      INDEX('calcolo base'!$D:$D, MATCH($A103, 'calcolo base'!$A:$A, 0)) = ""   ),
   INDEX('calcolo base'!$K:$K, MATCH($A103, 'calcolo base'!$A:$A, 0)),
   INDEX('calcolo base'!$J:$J, MATCH($A103, 'calcolo base'!$A:$A, 0))
) / 1000</f>
        <v>11.401745397707536</v>
      </c>
      <c r="J103" s="50">
        <f t="shared" si="47"/>
        <v>12.121745397707537</v>
      </c>
      <c r="K103" s="50">
        <v>12.28</v>
      </c>
      <c r="L103" s="267">
        <f>INDEX('calcolo base'!$H:$H, MATCH($A103, 'calcolo base'!$A:$A, 0))</f>
        <v>0.05</v>
      </c>
      <c r="M103" s="50">
        <f t="shared" si="48"/>
        <v>0.60608726988537687</v>
      </c>
      <c r="N103" s="50">
        <f t="shared" si="49"/>
        <v>0.18182618096561304</v>
      </c>
      <c r="O103" s="50">
        <f t="shared" si="43"/>
        <v>0</v>
      </c>
      <c r="P103" s="50">
        <f t="shared" si="50"/>
        <v>0</v>
      </c>
      <c r="Q103" s="51">
        <f t="shared" si="51"/>
        <v>545.47854289683914</v>
      </c>
      <c r="R103" s="205">
        <f t="shared" si="52"/>
        <v>0</v>
      </c>
      <c r="S103" s="279">
        <f>IF(R103="si",0,IF(E103="si",0,IF(J103&gt;K103,0,K103-J103))) + IF(INDEX('calcolo base'!$P:$P, MATCH($A103, 'calcolo base'!$A:$A, 0))="SI", ('Commissioni De Angeli'!K103-'Commissioni De Angeli'!J103), 0)</f>
        <v>0.15825460229246247</v>
      </c>
      <c r="T103" s="117">
        <f t="shared" si="53"/>
        <v>189.90552275095499</v>
      </c>
      <c r="U103" s="272">
        <f>IF(Q103=0,'calcolo base'!L2702,(T103+Q103))</f>
        <v>735.38406564779416</v>
      </c>
      <c r="V103" s="119">
        <v>46147</v>
      </c>
      <c r="Z103" s="118">
        <f t="shared" si="44"/>
        <v>5</v>
      </c>
      <c r="AA103" s="118">
        <f t="shared" si="45"/>
        <v>2026</v>
      </c>
    </row>
    <row r="104" spans="1:27">
      <c r="A104" s="118">
        <v>98</v>
      </c>
      <c r="B104" s="101">
        <v>2505124</v>
      </c>
      <c r="C104" s="106" t="s">
        <v>146</v>
      </c>
      <c r="D104" s="103">
        <v>764.8</v>
      </c>
      <c r="E104" s="53"/>
      <c r="F104" s="48">
        <v>5.2</v>
      </c>
      <c r="G104" s="243" t="str">
        <f>INDEX('calcolo base'!$B:$B, MATCH($A104, 'calcolo base'!$A:$A, 0))</f>
        <v>Rame</v>
      </c>
      <c r="H104" s="54" t="str">
        <f t="shared" si="46"/>
        <v>Rame</v>
      </c>
      <c r="I104" s="259">
        <f>IF(  OR(      INDEX('calcolo base'!$D:$D, MATCH($A104, 'calcolo base'!$A:$A, 0)) = 0,
      INDEX('calcolo base'!$D:$D, MATCH($A104, 'calcolo base'!$A:$A, 0)) = ""   ),
   INDEX('calcolo base'!$K:$K, MATCH($A104, 'calcolo base'!$A:$A, 0)),
   INDEX('calcolo base'!$J:$J, MATCH($A104, 'calcolo base'!$A:$A, 0))
) / 1000</f>
        <v>11.922195416164051</v>
      </c>
      <c r="J104" s="50">
        <f t="shared" si="47"/>
        <v>17.12219541616405</v>
      </c>
      <c r="K104" s="50">
        <v>17.349</v>
      </c>
      <c r="L104" s="267">
        <f>INDEX('calcolo base'!$H:$H, MATCH($A104, 'calcolo base'!$A:$A, 0))</f>
        <v>0.05</v>
      </c>
      <c r="M104" s="50">
        <f t="shared" si="48"/>
        <v>0.85610977080820261</v>
      </c>
      <c r="N104" s="50">
        <f t="shared" si="49"/>
        <v>0.25683293124246076</v>
      </c>
      <c r="O104" s="50">
        <f t="shared" si="43"/>
        <v>0</v>
      </c>
      <c r="P104" s="50">
        <f t="shared" si="50"/>
        <v>0</v>
      </c>
      <c r="Q104" s="51">
        <f t="shared" si="51"/>
        <v>196.42582581423397</v>
      </c>
      <c r="R104" s="205">
        <f t="shared" si="52"/>
        <v>0</v>
      </c>
      <c r="S104" s="279">
        <f>IF(R104="si",0,IF(E104="si",0,IF(J104&gt;K104,0,K104-J104))) + IF(INDEX('calcolo base'!$P:$P, MATCH($A104, 'calcolo base'!$A:$A, 0))="SI", ('Commissioni De Angeli'!K104-'Commissioni De Angeli'!J104), 0)</f>
        <v>0.22680458383594981</v>
      </c>
      <c r="T104" s="117">
        <f t="shared" si="53"/>
        <v>69.384058287093765</v>
      </c>
      <c r="U104" s="272">
        <f>IF(Q104=0,'calcolo base'!L2703,(T104+Q104))</f>
        <v>265.80988410132773</v>
      </c>
      <c r="V104" s="119"/>
      <c r="W104" s="118" t="s">
        <v>155</v>
      </c>
      <c r="Z104" s="118">
        <f t="shared" si="44"/>
        <v>0</v>
      </c>
      <c r="AA104" s="118">
        <f t="shared" si="45"/>
        <v>0</v>
      </c>
    </row>
    <row r="105" spans="1:27">
      <c r="A105" s="118">
        <v>99</v>
      </c>
      <c r="B105" s="101">
        <v>2601087</v>
      </c>
      <c r="C105" s="35" t="s">
        <v>48</v>
      </c>
      <c r="D105" s="53">
        <v>5000</v>
      </c>
      <c r="E105" s="53"/>
      <c r="F105" s="48">
        <v>0.7</v>
      </c>
      <c r="G105" s="243" t="str">
        <f>INDEX('calcolo base'!$B:$B, MATCH($A105, 'calcolo base'!$A:$A, 0))</f>
        <v>Rame</v>
      </c>
      <c r="H105" s="54" t="str">
        <f t="shared" si="46"/>
        <v>Rame</v>
      </c>
      <c r="I105" s="259">
        <f>IF(  OR(      INDEX('calcolo base'!$D:$D, MATCH($A105, 'calcolo base'!$A:$A, 0)) = 0,
      INDEX('calcolo base'!$D:$D, MATCH($A105, 'calcolo base'!$A:$A, 0)) = ""   ),
   INDEX('calcolo base'!$K:$K, MATCH($A105, 'calcolo base'!$A:$A, 0)),
   INDEX('calcolo base'!$J:$J, MATCH($A105, 'calcolo base'!$A:$A, 0))
) / 1000</f>
        <v>11.912692574000346</v>
      </c>
      <c r="J105" s="50">
        <f t="shared" si="47"/>
        <v>12.612692574000345</v>
      </c>
      <c r="K105" s="50">
        <v>12.6127</v>
      </c>
      <c r="L105" s="267">
        <f>INDEX('calcolo base'!$H:$H, MATCH($A105, 'calcolo base'!$A:$A, 0))</f>
        <v>0.05</v>
      </c>
      <c r="M105" s="50">
        <f t="shared" si="48"/>
        <v>0.6306346287000173</v>
      </c>
      <c r="N105" s="50">
        <f t="shared" si="49"/>
        <v>0.18919038861000517</v>
      </c>
      <c r="O105" s="50">
        <f t="shared" si="43"/>
        <v>0</v>
      </c>
      <c r="P105" s="50">
        <f t="shared" si="50"/>
        <v>0</v>
      </c>
      <c r="Q105" s="51">
        <f t="shared" si="51"/>
        <v>945.95194305002587</v>
      </c>
      <c r="R105" s="205">
        <f t="shared" si="52"/>
        <v>0</v>
      </c>
      <c r="S105" s="279">
        <f>IF(R105="si",0,IF(E105="si",0,IF(J105&gt;K105,0,K105-J105))) + IF(INDEX('calcolo base'!$P:$P, MATCH($A105, 'calcolo base'!$A:$A, 0))="SI", ('Commissioni De Angeli'!K105-'Commissioni De Angeli'!J105), 0)</f>
        <v>7.4259996551973018E-6</v>
      </c>
      <c r="T105" s="117">
        <f t="shared" si="53"/>
        <v>1.4851999310394604E-2</v>
      </c>
      <c r="U105" s="272">
        <f>IF(Q105=0,'calcolo base'!L2704,(T105+Q105))</f>
        <v>945.96679504933627</v>
      </c>
      <c r="V105" s="119">
        <v>46155</v>
      </c>
      <c r="Z105" s="118">
        <f t="shared" si="44"/>
        <v>5</v>
      </c>
      <c r="AA105" s="118">
        <f t="shared" si="45"/>
        <v>2026</v>
      </c>
    </row>
    <row r="106" spans="1:27">
      <c r="A106" s="118">
        <v>100</v>
      </c>
      <c r="B106" s="101">
        <v>2601087</v>
      </c>
      <c r="C106" s="35" t="s">
        <v>48</v>
      </c>
      <c r="D106" s="53">
        <v>1000</v>
      </c>
      <c r="E106" s="53"/>
      <c r="F106" s="48">
        <v>0.7</v>
      </c>
      <c r="G106" s="243" t="str">
        <f>INDEX('calcolo base'!$B:$B, MATCH($A106, 'calcolo base'!$A:$A, 0))</f>
        <v>Rame</v>
      </c>
      <c r="H106" s="54" t="str">
        <f t="shared" si="46"/>
        <v>Rame</v>
      </c>
      <c r="I106" s="259">
        <f>IF(  OR(      INDEX('calcolo base'!$D:$D, MATCH($A106, 'calcolo base'!$A:$A, 0)) = 0,
      INDEX('calcolo base'!$D:$D, MATCH($A106, 'calcolo base'!$A:$A, 0)) = ""   ),
   INDEX('calcolo base'!$K:$K, MATCH($A106, 'calcolo base'!$A:$A, 0)),
   INDEX('calcolo base'!$J:$J, MATCH($A106, 'calcolo base'!$A:$A, 0))
) / 1000</f>
        <v>11.912692574000346</v>
      </c>
      <c r="J106" s="50">
        <f t="shared" si="47"/>
        <v>12.612692574000345</v>
      </c>
      <c r="K106" s="50">
        <v>12.6127</v>
      </c>
      <c r="L106" s="267">
        <f>INDEX('calcolo base'!$H:$H, MATCH($A106, 'calcolo base'!$A:$A, 0))</f>
        <v>0.05</v>
      </c>
      <c r="M106" s="50">
        <f t="shared" si="48"/>
        <v>0.6306346287000173</v>
      </c>
      <c r="N106" s="50">
        <f t="shared" si="49"/>
        <v>0.18919038861000517</v>
      </c>
      <c r="O106" s="50">
        <f t="shared" si="43"/>
        <v>0</v>
      </c>
      <c r="P106" s="50">
        <f t="shared" si="50"/>
        <v>0</v>
      </c>
      <c r="Q106" s="51">
        <f t="shared" si="51"/>
        <v>189.19038861000519</v>
      </c>
      <c r="R106" s="205">
        <f t="shared" si="52"/>
        <v>0</v>
      </c>
      <c r="S106" s="279">
        <f>IF(R106="si",0,IF(E106="si",0,IF(J106&gt;K106,0,K106-J106))) + IF(INDEX('calcolo base'!$P:$P, MATCH($A106, 'calcolo base'!$A:$A, 0))="SI", ('Commissioni De Angeli'!K106-'Commissioni De Angeli'!J106), 0)</f>
        <v>7.4259996551973018E-6</v>
      </c>
      <c r="T106" s="117">
        <f t="shared" si="53"/>
        <v>2.9703998620789207E-3</v>
      </c>
      <c r="U106" s="272">
        <f>IF(Q106=0,'calcolo base'!L2705,(T106+Q106))</f>
        <v>189.19335900986727</v>
      </c>
      <c r="V106" s="119">
        <v>46178</v>
      </c>
      <c r="Z106" s="118">
        <f t="shared" si="44"/>
        <v>6</v>
      </c>
      <c r="AA106" s="118">
        <f t="shared" si="45"/>
        <v>2026</v>
      </c>
    </row>
    <row r="107" spans="1:27">
      <c r="A107" s="118">
        <v>101</v>
      </c>
      <c r="B107" s="101">
        <v>2601115</v>
      </c>
      <c r="C107" s="35" t="s">
        <v>145</v>
      </c>
      <c r="D107" s="53">
        <v>500</v>
      </c>
      <c r="E107" s="53"/>
      <c r="F107" s="48">
        <v>0.7</v>
      </c>
      <c r="G107" s="243" t="str">
        <f>INDEX('calcolo base'!$B:$B, MATCH($A107, 'calcolo base'!$A:$A, 0))</f>
        <v>Rame</v>
      </c>
      <c r="H107" s="54" t="str">
        <f t="shared" si="46"/>
        <v>Rame</v>
      </c>
      <c r="I107" s="259">
        <f>IF(  OR(      INDEX('calcolo base'!$D:$D, MATCH($A107, 'calcolo base'!$A:$A, 0)) = 0,
      INDEX('calcolo base'!$D:$D, MATCH($A107, 'calcolo base'!$A:$A, 0)) = ""   ),
   INDEX('calcolo base'!$K:$K, MATCH($A107, 'calcolo base'!$A:$A, 0)),
   INDEX('calcolo base'!$J:$J, MATCH($A107, 'calcolo base'!$A:$A, 0))
) / 1000</f>
        <v>11.912692574000346</v>
      </c>
      <c r="J107" s="50">
        <f t="shared" si="47"/>
        <v>12.612692574000345</v>
      </c>
      <c r="K107" s="50">
        <v>13</v>
      </c>
      <c r="L107" s="267">
        <f>INDEX('calcolo base'!$H:$H, MATCH($A107, 'calcolo base'!$A:$A, 0))</f>
        <v>0.05</v>
      </c>
      <c r="M107" s="50">
        <f t="shared" si="48"/>
        <v>0.6306346287000173</v>
      </c>
      <c r="N107" s="50">
        <f t="shared" si="49"/>
        <v>0.18919038861000517</v>
      </c>
      <c r="O107" s="50">
        <f t="shared" si="43"/>
        <v>0</v>
      </c>
      <c r="P107" s="50">
        <f t="shared" si="50"/>
        <v>0</v>
      </c>
      <c r="Q107" s="51">
        <f t="shared" si="51"/>
        <v>94.595194305002593</v>
      </c>
      <c r="R107" s="205">
        <f t="shared" si="52"/>
        <v>0</v>
      </c>
      <c r="S107" s="279">
        <f>IF(R107="si",0,IF(E107="si",0,IF(J107&gt;K107,0,K107-J107))) + IF(INDEX('calcolo base'!$P:$P, MATCH($A107, 'calcolo base'!$A:$A, 0))="SI", ('Commissioni De Angeli'!K107-'Commissioni De Angeli'!J107), 0)</f>
        <v>0.38730742599965495</v>
      </c>
      <c r="T107" s="117">
        <f t="shared" si="53"/>
        <v>77.461485199930991</v>
      </c>
      <c r="U107" s="272">
        <f>IF(Q107=0,'calcolo base'!L2706,(T107+Q107))</f>
        <v>172.05667950493358</v>
      </c>
      <c r="V107" s="119">
        <v>46153</v>
      </c>
      <c r="Z107" s="118">
        <f t="shared" si="44"/>
        <v>5</v>
      </c>
      <c r="AA107" s="118">
        <f t="shared" si="45"/>
        <v>2026</v>
      </c>
    </row>
    <row r="108" spans="1:27">
      <c r="A108" s="118">
        <v>102</v>
      </c>
      <c r="B108" s="101">
        <v>2601184</v>
      </c>
      <c r="C108" s="99" t="s">
        <v>50</v>
      </c>
      <c r="D108" s="100">
        <v>960</v>
      </c>
      <c r="E108" s="53"/>
      <c r="F108" s="48">
        <v>0.79</v>
      </c>
      <c r="G108" s="243" t="str">
        <f>INDEX('calcolo base'!$B:$B, MATCH($A108, 'calcolo base'!$A:$A, 0))</f>
        <v>Rame</v>
      </c>
      <c r="H108" s="54" t="str">
        <f t="shared" si="46"/>
        <v>Rame</v>
      </c>
      <c r="I108" s="259">
        <f>IF(  OR(      INDEX('calcolo base'!$D:$D, MATCH($A108, 'calcolo base'!$A:$A, 0)) = 0,
      INDEX('calcolo base'!$D:$D, MATCH($A108, 'calcolo base'!$A:$A, 0)) = ""   ),
   INDEX('calcolo base'!$K:$K, MATCH($A108, 'calcolo base'!$A:$A, 0)),
   INDEX('calcolo base'!$J:$J, MATCH($A108, 'calcolo base'!$A:$A, 0))
) / 1000</f>
        <v>12.046883072154296</v>
      </c>
      <c r="J108" s="50">
        <f t="shared" si="47"/>
        <v>12.836883072154297</v>
      </c>
      <c r="K108" s="50">
        <v>12.8369</v>
      </c>
      <c r="L108" s="267">
        <f>INDEX('calcolo base'!$H:$H, MATCH($A108, 'calcolo base'!$A:$A, 0))</f>
        <v>0.05</v>
      </c>
      <c r="M108" s="50">
        <f t="shared" si="48"/>
        <v>0.64184415360771485</v>
      </c>
      <c r="N108" s="50">
        <f t="shared" si="49"/>
        <v>0.19255324608231444</v>
      </c>
      <c r="O108" s="50">
        <f t="shared" si="43"/>
        <v>0</v>
      </c>
      <c r="P108" s="50">
        <f t="shared" si="50"/>
        <v>0</v>
      </c>
      <c r="Q108" s="51">
        <f t="shared" si="51"/>
        <v>184.85111623902188</v>
      </c>
      <c r="R108" s="205">
        <f t="shared" si="52"/>
        <v>0</v>
      </c>
      <c r="S108" s="279">
        <f>IF(R108="si",0,IF(E108="si",0,IF(J108&gt;K108,0,K108-J108))) + IF(INDEX('calcolo base'!$P:$P, MATCH($A108, 'calcolo base'!$A:$A, 0))="SI", ('Commissioni De Angeli'!K108-'Commissioni De Angeli'!J108), 0)</f>
        <v>1.6927845702952027E-5</v>
      </c>
      <c r="T108" s="117">
        <f t="shared" si="53"/>
        <v>6.5002927499335783E-3</v>
      </c>
      <c r="U108" s="272">
        <f>IF(Q108=0,'calcolo base'!L2707,(T108+Q108))</f>
        <v>184.85761653177181</v>
      </c>
      <c r="V108" s="119">
        <v>46185</v>
      </c>
      <c r="Z108" s="118">
        <f t="shared" si="44"/>
        <v>6</v>
      </c>
      <c r="AA108" s="118">
        <f t="shared" si="45"/>
        <v>2026</v>
      </c>
    </row>
    <row r="109" spans="1:27">
      <c r="A109" s="118">
        <v>103</v>
      </c>
      <c r="B109" s="101">
        <v>2601184</v>
      </c>
      <c r="C109" s="99" t="s">
        <v>50</v>
      </c>
      <c r="D109" s="100">
        <v>3500</v>
      </c>
      <c r="E109" s="53"/>
      <c r="F109" s="48">
        <v>0.77</v>
      </c>
      <c r="G109" s="243" t="str">
        <f>INDEX('calcolo base'!$B:$B, MATCH($A109, 'calcolo base'!$A:$A, 0))</f>
        <v>Rame</v>
      </c>
      <c r="H109" s="54" t="str">
        <f t="shared" si="46"/>
        <v>Rame</v>
      </c>
      <c r="I109" s="259">
        <f>IF(  OR(      INDEX('calcolo base'!$D:$D, MATCH($A109, 'calcolo base'!$A:$A, 0)) = 0,
      INDEX('calcolo base'!$D:$D, MATCH($A109, 'calcolo base'!$A:$A, 0)) = ""   ),
   INDEX('calcolo base'!$K:$K, MATCH($A109, 'calcolo base'!$A:$A, 0)),
   INDEX('calcolo base'!$J:$J, MATCH($A109, 'calcolo base'!$A:$A, 0))
) / 1000</f>
        <v>12.046883072154296</v>
      </c>
      <c r="J109" s="50">
        <f t="shared" si="47"/>
        <v>12.816883072154296</v>
      </c>
      <c r="K109" s="50">
        <v>12.8169</v>
      </c>
      <c r="L109" s="267">
        <f>INDEX('calcolo base'!$H:$H, MATCH($A109, 'calcolo base'!$A:$A, 0))</f>
        <v>0.05</v>
      </c>
      <c r="M109" s="50">
        <f t="shared" si="48"/>
        <v>0.64084415360771485</v>
      </c>
      <c r="N109" s="50">
        <f t="shared" si="49"/>
        <v>0.19225324608231442</v>
      </c>
      <c r="O109" s="50">
        <f t="shared" ref="O109:O140" si="54">IF($I109=0,0,(IF($G109="alluminio",($J109)*3%,0)+IF($G109="alluminio smaltato",($K109)*3%,0)))</f>
        <v>0</v>
      </c>
      <c r="P109" s="50">
        <f t="shared" si="50"/>
        <v>0</v>
      </c>
      <c r="Q109" s="51">
        <f t="shared" si="51"/>
        <v>672.88636128810049</v>
      </c>
      <c r="R109" s="205">
        <f t="shared" si="52"/>
        <v>0</v>
      </c>
      <c r="S109" s="279">
        <f>IF(R109="si",0,IF(E109="si",0,IF(J109&gt;K109,0,K109-J109))) + IF(INDEX('calcolo base'!$P:$P, MATCH($A109, 'calcolo base'!$A:$A, 0))="SI", ('Commissioni De Angeli'!K109-'Commissioni De Angeli'!J109), 0)</f>
        <v>1.6927845704728384E-5</v>
      </c>
      <c r="T109" s="117">
        <f t="shared" si="53"/>
        <v>2.3698983986619737E-2</v>
      </c>
      <c r="U109" s="272">
        <f>IF(Q109=0,'calcolo base'!L2708,(T109+Q109))</f>
        <v>672.91006027208709</v>
      </c>
      <c r="V109" s="119">
        <v>46185</v>
      </c>
      <c r="Z109" s="118">
        <f t="shared" si="44"/>
        <v>6</v>
      </c>
      <c r="AA109" s="118">
        <f t="shared" si="45"/>
        <v>2026</v>
      </c>
    </row>
    <row r="110" spans="1:27">
      <c r="A110" s="118">
        <v>104</v>
      </c>
      <c r="B110" s="101">
        <v>2601186</v>
      </c>
      <c r="C110" s="99" t="s">
        <v>105</v>
      </c>
      <c r="D110" s="100">
        <v>15000</v>
      </c>
      <c r="E110" s="53"/>
      <c r="F110" s="48">
        <v>3.82</v>
      </c>
      <c r="G110" s="243" t="str">
        <f>INDEX('calcolo base'!$B:$B, MATCH($A110, 'calcolo base'!$A:$A, 0))</f>
        <v>Rame</v>
      </c>
      <c r="H110" s="54" t="str">
        <f t="shared" si="46"/>
        <v>Rame</v>
      </c>
      <c r="I110" s="259">
        <f>IF(  OR(      INDEX('calcolo base'!$D:$D, MATCH($A110, 'calcolo base'!$A:$A, 0)) = 0,
      INDEX('calcolo base'!$D:$D, MATCH($A110, 'calcolo base'!$A:$A, 0)) = ""   ),
   INDEX('calcolo base'!$K:$K, MATCH($A110, 'calcolo base'!$A:$A, 0)),
   INDEX('calcolo base'!$J:$J, MATCH($A110, 'calcolo base'!$A:$A, 0))
) / 1000</f>
        <v>11.932150852419495</v>
      </c>
      <c r="J110" s="50">
        <f t="shared" si="47"/>
        <v>15.752150852419495</v>
      </c>
      <c r="K110" s="50">
        <v>15.7522</v>
      </c>
      <c r="L110" s="267">
        <f>INDEX('calcolo base'!$H:$H, MATCH($A110, 'calcolo base'!$A:$A, 0))</f>
        <v>0.04</v>
      </c>
      <c r="M110" s="50">
        <f t="shared" si="48"/>
        <v>0.63008603409677988</v>
      </c>
      <c r="N110" s="50">
        <f t="shared" si="49"/>
        <v>0</v>
      </c>
      <c r="O110" s="50">
        <f t="shared" si="54"/>
        <v>0</v>
      </c>
      <c r="P110" s="50">
        <f t="shared" si="50"/>
        <v>0.30559999999999998</v>
      </c>
      <c r="Q110" s="51">
        <f t="shared" si="51"/>
        <v>4584</v>
      </c>
      <c r="R110" s="205" t="str">
        <f t="shared" si="52"/>
        <v>si</v>
      </c>
      <c r="S110" s="279">
        <f>IF(R110="si",0,IF(E110="si",0,IF(J110&gt;K110,0,K110-J110))) + IF(INDEX('calcolo base'!$P:$P, MATCH($A110, 'calcolo base'!$A:$A, 0))="SI", ('Commissioni De Angeli'!K110-'Commissioni De Angeli'!J110), 0)</f>
        <v>0</v>
      </c>
      <c r="T110" s="117">
        <f t="shared" si="53"/>
        <v>0</v>
      </c>
      <c r="U110" s="272">
        <f>IF(Q110=0,'calcolo base'!L2709,(T110+Q110))</f>
        <v>4584</v>
      </c>
      <c r="V110" s="119">
        <v>46423</v>
      </c>
      <c r="X110" s="123" t="s">
        <v>183</v>
      </c>
      <c r="Z110" s="118">
        <f t="shared" si="44"/>
        <v>2</v>
      </c>
      <c r="AA110" s="118">
        <f t="shared" si="45"/>
        <v>2027</v>
      </c>
    </row>
    <row r="111" spans="1:27">
      <c r="A111" s="118">
        <v>105</v>
      </c>
      <c r="B111" s="101">
        <v>2601186</v>
      </c>
      <c r="C111" s="99" t="s">
        <v>105</v>
      </c>
      <c r="D111" s="100">
        <v>15000</v>
      </c>
      <c r="E111" s="53"/>
      <c r="F111" s="48">
        <v>3.82</v>
      </c>
      <c r="G111" s="243" t="str">
        <f>INDEX('calcolo base'!$B:$B, MATCH($A111, 'calcolo base'!$A:$A, 0))</f>
        <v>Rame</v>
      </c>
      <c r="H111" s="54" t="str">
        <f t="shared" si="46"/>
        <v>Rame</v>
      </c>
      <c r="I111" s="259">
        <f>IF(  OR(      INDEX('calcolo base'!$D:$D, MATCH($A111, 'calcolo base'!$A:$A, 0)) = 0,
      INDEX('calcolo base'!$D:$D, MATCH($A111, 'calcolo base'!$A:$A, 0)) = ""   ),
   INDEX('calcolo base'!$K:$K, MATCH($A111, 'calcolo base'!$A:$A, 0)),
   INDEX('calcolo base'!$J:$J, MATCH($A111, 'calcolo base'!$A:$A, 0))
) / 1000</f>
        <v>11.932150852419495</v>
      </c>
      <c r="J111" s="50">
        <f t="shared" si="47"/>
        <v>15.752150852419495</v>
      </c>
      <c r="K111" s="50">
        <v>15.7522</v>
      </c>
      <c r="L111" s="267">
        <f>INDEX('calcolo base'!$H:$H, MATCH($A111, 'calcolo base'!$A:$A, 0))</f>
        <v>0.04</v>
      </c>
      <c r="M111" s="50">
        <f t="shared" si="48"/>
        <v>0.63008603409677988</v>
      </c>
      <c r="N111" s="50">
        <f t="shared" si="49"/>
        <v>0</v>
      </c>
      <c r="O111" s="50">
        <f t="shared" si="54"/>
        <v>0</v>
      </c>
      <c r="P111" s="50">
        <f t="shared" si="50"/>
        <v>0.30559999999999998</v>
      </c>
      <c r="Q111" s="51">
        <f t="shared" si="51"/>
        <v>4584</v>
      </c>
      <c r="R111" s="205" t="str">
        <f t="shared" si="52"/>
        <v>si</v>
      </c>
      <c r="S111" s="279">
        <f>IF(R111="si",0,IF(E111="si",0,IF(J111&gt;K111,0,K111-J111))) + IF(INDEX('calcolo base'!$P:$P, MATCH($A111, 'calcolo base'!$A:$A, 0))="SI", ('Commissioni De Angeli'!K111-'Commissioni De Angeli'!J111), 0)</f>
        <v>0</v>
      </c>
      <c r="T111" s="117">
        <f t="shared" si="53"/>
        <v>0</v>
      </c>
      <c r="U111" s="272">
        <f>IF(Q111=0,'calcolo base'!L2710,(T111+Q111))</f>
        <v>4584</v>
      </c>
      <c r="V111" s="119">
        <v>46447</v>
      </c>
      <c r="X111" s="123" t="s">
        <v>184</v>
      </c>
      <c r="Z111" s="118">
        <f t="shared" si="44"/>
        <v>3</v>
      </c>
      <c r="AA111" s="118">
        <f t="shared" si="45"/>
        <v>2027</v>
      </c>
    </row>
    <row r="112" spans="1:27">
      <c r="A112" s="118">
        <v>106</v>
      </c>
      <c r="B112" s="101">
        <v>2601212</v>
      </c>
      <c r="C112" s="35" t="s">
        <v>50</v>
      </c>
      <c r="D112" s="53">
        <v>4300</v>
      </c>
      <c r="E112" s="53"/>
      <c r="F112" s="48">
        <v>0.78</v>
      </c>
      <c r="G112" s="243" t="str">
        <f>INDEX('calcolo base'!$B:$B, MATCH($A112, 'calcolo base'!$A:$A, 0))</f>
        <v>Rame</v>
      </c>
      <c r="H112" s="54" t="str">
        <f t="shared" si="46"/>
        <v>Rame</v>
      </c>
      <c r="I112" s="259">
        <f>IF(  OR(      INDEX('calcolo base'!$D:$D, MATCH($A112, 'calcolo base'!$A:$A, 0)) = 0,
      INDEX('calcolo base'!$D:$D, MATCH($A112, 'calcolo base'!$A:$A, 0)) = ""   ),
   INDEX('calcolo base'!$K:$K, MATCH($A112, 'calcolo base'!$A:$A, 0)),
   INDEX('calcolo base'!$J:$J, MATCH($A112, 'calcolo base'!$A:$A, 0))
) / 1000</f>
        <v>12.046883072154296</v>
      </c>
      <c r="J112" s="50">
        <f t="shared" si="47"/>
        <v>12.826883072154295</v>
      </c>
      <c r="K112" s="50">
        <v>12.8269</v>
      </c>
      <c r="L112" s="267">
        <f>INDEX('calcolo base'!$H:$H, MATCH($A112, 'calcolo base'!$A:$A, 0))</f>
        <v>0.05</v>
      </c>
      <c r="M112" s="50">
        <f t="shared" si="48"/>
        <v>0.6413441536077148</v>
      </c>
      <c r="N112" s="50">
        <f t="shared" si="49"/>
        <v>0.19240324608231443</v>
      </c>
      <c r="O112" s="50">
        <f t="shared" si="54"/>
        <v>0</v>
      </c>
      <c r="P112" s="50">
        <f t="shared" si="50"/>
        <v>0</v>
      </c>
      <c r="Q112" s="51">
        <f t="shared" si="51"/>
        <v>827.33395815395204</v>
      </c>
      <c r="R112" s="205">
        <f t="shared" si="52"/>
        <v>0</v>
      </c>
      <c r="S112" s="279">
        <f>IF(R112="si",0,IF(E112="si",0,IF(J112&gt;K112,0,K112-J112))) + IF(INDEX('calcolo base'!$P:$P, MATCH($A112, 'calcolo base'!$A:$A, 0))="SI", ('Commissioni De Angeli'!K112-'Commissioni De Angeli'!J112), 0)</f>
        <v>1.6927845704728384E-5</v>
      </c>
      <c r="T112" s="117">
        <f t="shared" si="53"/>
        <v>2.911589461213282E-2</v>
      </c>
      <c r="U112" s="272">
        <f>IF(Q112=0,'calcolo base'!L2711,(T112+Q112))</f>
        <v>827.36307404856416</v>
      </c>
      <c r="V112" s="119">
        <v>46185</v>
      </c>
      <c r="Z112" s="118">
        <f t="shared" si="44"/>
        <v>6</v>
      </c>
      <c r="AA112" s="118">
        <f t="shared" si="45"/>
        <v>2026</v>
      </c>
    </row>
    <row r="113" spans="1:27">
      <c r="A113" s="118">
        <v>107</v>
      </c>
      <c r="B113" s="101">
        <v>2601302</v>
      </c>
      <c r="C113" s="35" t="s">
        <v>48</v>
      </c>
      <c r="D113" s="53">
        <v>1000</v>
      </c>
      <c r="E113" s="53"/>
      <c r="F113" s="48">
        <v>0.7</v>
      </c>
      <c r="G113" s="243" t="str">
        <f>INDEX('calcolo base'!$B:$B, MATCH($A113, 'calcolo base'!$A:$A, 0))</f>
        <v>Rame</v>
      </c>
      <c r="H113" s="54" t="str">
        <f t="shared" si="46"/>
        <v>Rame</v>
      </c>
      <c r="I113" s="259">
        <f>IF(  OR(      INDEX('calcolo base'!$D:$D, MATCH($A113, 'calcolo base'!$A:$A, 0)) = 0,
      INDEX('calcolo base'!$D:$D, MATCH($A113, 'calcolo base'!$A:$A, 0)) = ""   ),
   INDEX('calcolo base'!$K:$K, MATCH($A113, 'calcolo base'!$A:$A, 0)),
   INDEX('calcolo base'!$J:$J, MATCH($A113, 'calcolo base'!$A:$A, 0))
) / 1000</f>
        <v>12.003987275579572</v>
      </c>
      <c r="J113" s="50">
        <f t="shared" si="47"/>
        <v>12.703987275579571</v>
      </c>
      <c r="K113" s="50">
        <v>12.7</v>
      </c>
      <c r="L113" s="267">
        <f>INDEX('calcolo base'!$H:$H, MATCH($A113, 'calcolo base'!$A:$A, 0))</f>
        <v>0.05</v>
      </c>
      <c r="M113" s="50">
        <f t="shared" si="48"/>
        <v>0.63519936377897857</v>
      </c>
      <c r="N113" s="50">
        <f t="shared" si="49"/>
        <v>0.19055980913369355</v>
      </c>
      <c r="O113" s="50">
        <f t="shared" si="54"/>
        <v>0</v>
      </c>
      <c r="P113" s="50">
        <f t="shared" si="50"/>
        <v>0</v>
      </c>
      <c r="Q113" s="51">
        <f t="shared" si="51"/>
        <v>190.55980913369356</v>
      </c>
      <c r="R113" s="205">
        <f t="shared" si="52"/>
        <v>0</v>
      </c>
      <c r="S113" s="279">
        <f>IF(R113="si",0,IF(E113="si",0,IF(J113&gt;K113,0,K113-J113))) + IF(INDEX('calcolo base'!$P:$P, MATCH($A113, 'calcolo base'!$A:$A, 0))="SI", ('Commissioni De Angeli'!K113-'Commissioni De Angeli'!J113), 0)</f>
        <v>0</v>
      </c>
      <c r="T113" s="117">
        <f t="shared" si="53"/>
        <v>0</v>
      </c>
      <c r="U113" s="272">
        <f>IF(Q113=0,'calcolo base'!L2712,(T113+Q113))</f>
        <v>190.55980913369356</v>
      </c>
      <c r="V113" s="119">
        <v>46178</v>
      </c>
      <c r="Z113" s="118">
        <f t="shared" si="44"/>
        <v>6</v>
      </c>
      <c r="AA113" s="118">
        <f t="shared" si="45"/>
        <v>2026</v>
      </c>
    </row>
    <row r="114" spans="1:27">
      <c r="A114" s="118">
        <v>108</v>
      </c>
      <c r="B114" s="101">
        <v>2601302</v>
      </c>
      <c r="C114" s="35" t="s">
        <v>48</v>
      </c>
      <c r="D114" s="53">
        <v>500</v>
      </c>
      <c r="E114" s="53"/>
      <c r="F114" s="48">
        <v>0.7</v>
      </c>
      <c r="G114" s="243" t="str">
        <f>INDEX('calcolo base'!$B:$B, MATCH($A114, 'calcolo base'!$A:$A, 0))</f>
        <v>Rame</v>
      </c>
      <c r="H114" s="54" t="str">
        <f t="shared" si="46"/>
        <v>Rame</v>
      </c>
      <c r="I114" s="259">
        <f>IF(  OR(      INDEX('calcolo base'!$D:$D, MATCH($A114, 'calcolo base'!$A:$A, 0)) = 0,
      INDEX('calcolo base'!$D:$D, MATCH($A114, 'calcolo base'!$A:$A, 0)) = ""   ),
   INDEX('calcolo base'!$K:$K, MATCH($A114, 'calcolo base'!$A:$A, 0)),
   INDEX('calcolo base'!$J:$J, MATCH($A114, 'calcolo base'!$A:$A, 0))
) / 1000</f>
        <v>12.003987275579572</v>
      </c>
      <c r="J114" s="50">
        <f t="shared" si="47"/>
        <v>12.703987275579571</v>
      </c>
      <c r="K114" s="50">
        <v>12.7</v>
      </c>
      <c r="L114" s="267">
        <f>INDEX('calcolo base'!$H:$H, MATCH($A114, 'calcolo base'!$A:$A, 0))</f>
        <v>0.05</v>
      </c>
      <c r="M114" s="50">
        <f t="shared" si="48"/>
        <v>0.63519936377897857</v>
      </c>
      <c r="N114" s="50">
        <f t="shared" si="49"/>
        <v>0.19055980913369355</v>
      </c>
      <c r="O114" s="50">
        <f t="shared" si="54"/>
        <v>0</v>
      </c>
      <c r="P114" s="50">
        <f t="shared" si="50"/>
        <v>0</v>
      </c>
      <c r="Q114" s="51">
        <f t="shared" si="51"/>
        <v>95.279904566846781</v>
      </c>
      <c r="R114" s="205">
        <f t="shared" si="52"/>
        <v>0</v>
      </c>
      <c r="S114" s="279">
        <f>IF(R114="si",0,IF(E114="si",0,IF(J114&gt;K114,0,K114-J114))) + IF(INDEX('calcolo base'!$P:$P, MATCH($A114, 'calcolo base'!$A:$A, 0))="SI", ('Commissioni De Angeli'!K114-'Commissioni De Angeli'!J114), 0)</f>
        <v>0</v>
      </c>
      <c r="T114" s="117">
        <f t="shared" si="53"/>
        <v>0</v>
      </c>
      <c r="U114" s="272">
        <f>IF(Q114=0,'calcolo base'!L2713,(T114+Q114))</f>
        <v>95.279904566846781</v>
      </c>
      <c r="V114" s="119">
        <v>46178</v>
      </c>
      <c r="Z114" s="118">
        <f t="shared" si="44"/>
        <v>6</v>
      </c>
      <c r="AA114" s="118">
        <f t="shared" si="45"/>
        <v>2026</v>
      </c>
    </row>
    <row r="115" spans="1:27">
      <c r="A115" s="118">
        <v>109</v>
      </c>
      <c r="B115" s="101">
        <v>2601347</v>
      </c>
      <c r="C115" s="35" t="s">
        <v>50</v>
      </c>
      <c r="D115" s="53">
        <v>2200</v>
      </c>
      <c r="E115" s="53"/>
      <c r="F115" s="48">
        <v>0.78</v>
      </c>
      <c r="G115" s="243" t="str">
        <f>INDEX('calcolo base'!$B:$B, MATCH($A115, 'calcolo base'!$A:$A, 0))</f>
        <v>Rame</v>
      </c>
      <c r="H115" s="54" t="str">
        <f t="shared" si="46"/>
        <v>Rame</v>
      </c>
      <c r="I115" s="259">
        <f>IF(  OR(      INDEX('calcolo base'!$D:$D, MATCH($A115, 'calcolo base'!$A:$A, 0)) = 0,
      INDEX('calcolo base'!$D:$D, MATCH($A115, 'calcolo base'!$A:$A, 0)) = ""   ),
   INDEX('calcolo base'!$K:$K, MATCH($A115, 'calcolo base'!$A:$A, 0)),
   INDEX('calcolo base'!$J:$J, MATCH($A115, 'calcolo base'!$A:$A, 0))
) / 1000</f>
        <v>11.973331009238278</v>
      </c>
      <c r="J115" s="50">
        <f t="shared" si="47"/>
        <v>12.753331009238277</v>
      </c>
      <c r="K115" s="50">
        <v>12.753299999999999</v>
      </c>
      <c r="L115" s="267">
        <f>INDEX('calcolo base'!$H:$H, MATCH($A115, 'calcolo base'!$A:$A, 0))</f>
        <v>0.05</v>
      </c>
      <c r="M115" s="50">
        <f t="shared" si="48"/>
        <v>0.63766655046191389</v>
      </c>
      <c r="N115" s="50">
        <f t="shared" si="49"/>
        <v>0.19129996513857414</v>
      </c>
      <c r="O115" s="50">
        <f t="shared" si="54"/>
        <v>0</v>
      </c>
      <c r="P115" s="50">
        <f t="shared" si="50"/>
        <v>0</v>
      </c>
      <c r="Q115" s="51">
        <f t="shared" si="51"/>
        <v>420.85992330486312</v>
      </c>
      <c r="R115" s="205">
        <f t="shared" si="52"/>
        <v>0</v>
      </c>
      <c r="S115" s="279">
        <f>IF(R115="si",0,IF(E115="si",0,IF(J115&gt;K115,0,K115-J115))) + IF(INDEX('calcolo base'!$P:$P, MATCH($A115, 'calcolo base'!$A:$A, 0))="SI", ('Commissioni De Angeli'!K115-'Commissioni De Angeli'!J115), 0)</f>
        <v>0</v>
      </c>
      <c r="T115" s="117">
        <f t="shared" si="53"/>
        <v>0</v>
      </c>
      <c r="U115" s="272">
        <f>IF(Q115=0,'calcolo base'!L2714,(T115+Q115))</f>
        <v>420.85992330486312</v>
      </c>
      <c r="V115" s="119">
        <v>46213</v>
      </c>
      <c r="Z115" s="118">
        <f t="shared" si="44"/>
        <v>7</v>
      </c>
      <c r="AA115" s="118">
        <f t="shared" si="45"/>
        <v>2026</v>
      </c>
    </row>
    <row r="116" spans="1:27">
      <c r="A116" s="118">
        <v>110</v>
      </c>
      <c r="B116" s="101">
        <v>2601374</v>
      </c>
      <c r="C116" s="75" t="s">
        <v>77</v>
      </c>
      <c r="D116" s="53">
        <v>2500</v>
      </c>
      <c r="E116" s="53"/>
      <c r="F116" s="48">
        <v>0.6</v>
      </c>
      <c r="G116" s="243" t="str">
        <f>INDEX('calcolo base'!$B:$B, MATCH($A116, 'calcolo base'!$A:$A, 0))</f>
        <v>Rame</v>
      </c>
      <c r="H116" s="54" t="str">
        <f t="shared" si="46"/>
        <v>Rame</v>
      </c>
      <c r="I116" s="259">
        <f>IF(  OR(      INDEX('calcolo base'!$D:$D, MATCH($A116, 'calcolo base'!$A:$A, 0)) = 0,
      INDEX('calcolo base'!$D:$D, MATCH($A116, 'calcolo base'!$A:$A, 0)) = ""   ),
   INDEX('calcolo base'!$K:$K, MATCH($A116, 'calcolo base'!$A:$A, 0)),
   INDEX('calcolo base'!$J:$J, MATCH($A116, 'calcolo base'!$A:$A, 0))
) / 1000</f>
        <v>11.824683544303797</v>
      </c>
      <c r="J116" s="50">
        <f t="shared" si="47"/>
        <v>12.424683544303797</v>
      </c>
      <c r="K116" s="50">
        <v>12.502000000000001</v>
      </c>
      <c r="L116" s="267">
        <f>INDEX('calcolo base'!$H:$H, MATCH($A116, 'calcolo base'!$A:$A, 0))</f>
        <v>0.05</v>
      </c>
      <c r="M116" s="50">
        <f t="shared" si="48"/>
        <v>0.62123417721518992</v>
      </c>
      <c r="N116" s="50">
        <f t="shared" si="49"/>
        <v>0.18637025316455694</v>
      </c>
      <c r="O116" s="50">
        <f t="shared" si="54"/>
        <v>0</v>
      </c>
      <c r="P116" s="50">
        <f t="shared" si="50"/>
        <v>0</v>
      </c>
      <c r="Q116" s="51">
        <f t="shared" si="51"/>
        <v>465.92563291139237</v>
      </c>
      <c r="R116" s="205">
        <f t="shared" si="52"/>
        <v>0</v>
      </c>
      <c r="S116" s="279">
        <f>IF(R116="si",0,IF(E116="si",0,IF(J116&gt;K116,0,K116-J116))) + IF(INDEX('calcolo base'!$P:$P, MATCH($A116, 'calcolo base'!$A:$A, 0))="SI", ('Commissioni De Angeli'!K116-'Commissioni De Angeli'!J116), 0)</f>
        <v>7.7316455696204045E-2</v>
      </c>
      <c r="T116" s="117">
        <f t="shared" si="53"/>
        <v>77.316455696204059</v>
      </c>
      <c r="U116" s="272">
        <f>IF(Q116=0,'calcolo base'!L2715,(T116+Q116))</f>
        <v>543.24208860759643</v>
      </c>
      <c r="V116" s="119">
        <v>46119</v>
      </c>
      <c r="Z116" s="118">
        <f t="shared" si="44"/>
        <v>4</v>
      </c>
      <c r="AA116" s="118">
        <f t="shared" si="45"/>
        <v>2026</v>
      </c>
    </row>
    <row r="117" spans="1:27">
      <c r="A117" s="118">
        <v>111</v>
      </c>
      <c r="B117" s="101">
        <v>2601374</v>
      </c>
      <c r="C117" s="75" t="s">
        <v>77</v>
      </c>
      <c r="D117" s="53">
        <v>500</v>
      </c>
      <c r="E117" s="53"/>
      <c r="F117" s="48">
        <v>0.66</v>
      </c>
      <c r="G117" s="243" t="str">
        <f>INDEX('calcolo base'!$B:$B, MATCH($A117, 'calcolo base'!$A:$A, 0))</f>
        <v>Rame</v>
      </c>
      <c r="H117" s="54" t="str">
        <f t="shared" si="46"/>
        <v>Rame</v>
      </c>
      <c r="I117" s="259">
        <f>IF(  OR(      INDEX('calcolo base'!$D:$D, MATCH($A117, 'calcolo base'!$A:$A, 0)) = 0,
      INDEX('calcolo base'!$D:$D, MATCH($A117, 'calcolo base'!$A:$A, 0)) = ""   ),
   INDEX('calcolo base'!$K:$K, MATCH($A117, 'calcolo base'!$A:$A, 0)),
   INDEX('calcolo base'!$J:$J, MATCH($A117, 'calcolo base'!$A:$A, 0))
) / 1000</f>
        <v>11.824683544303797</v>
      </c>
      <c r="J117" s="50">
        <f t="shared" si="47"/>
        <v>12.484683544303797</v>
      </c>
      <c r="K117" s="50">
        <v>12.502000000000001</v>
      </c>
      <c r="L117" s="267">
        <f>INDEX('calcolo base'!$H:$H, MATCH($A117, 'calcolo base'!$A:$A, 0))</f>
        <v>0.05</v>
      </c>
      <c r="M117" s="50">
        <f t="shared" si="48"/>
        <v>0.62423417721518992</v>
      </c>
      <c r="N117" s="50">
        <f t="shared" si="49"/>
        <v>0.18727025316455695</v>
      </c>
      <c r="O117" s="50">
        <f t="shared" si="54"/>
        <v>0</v>
      </c>
      <c r="P117" s="50">
        <f t="shared" si="50"/>
        <v>0</v>
      </c>
      <c r="Q117" s="51">
        <f t="shared" si="51"/>
        <v>93.635126582278474</v>
      </c>
      <c r="R117" s="205">
        <f t="shared" si="52"/>
        <v>0</v>
      </c>
      <c r="S117" s="279">
        <f>IF(R117="si",0,IF(E117="si",0,IF(J117&gt;K117,0,K117-J117))) + IF(INDEX('calcolo base'!$P:$P, MATCH($A117, 'calcolo base'!$A:$A, 0))="SI", ('Commissioni De Angeli'!K117-'Commissioni De Angeli'!J117), 0)</f>
        <v>1.7316455696203548E-2</v>
      </c>
      <c r="T117" s="117">
        <f t="shared" si="53"/>
        <v>3.4632911392407095</v>
      </c>
      <c r="U117" s="272">
        <f>IF(Q117=0,'calcolo base'!L2716,(T117+Q117))</f>
        <v>97.098417721519183</v>
      </c>
      <c r="V117" s="119">
        <v>46129</v>
      </c>
      <c r="Z117" s="118">
        <f t="shared" si="44"/>
        <v>4</v>
      </c>
      <c r="AA117" s="118">
        <f t="shared" si="45"/>
        <v>2026</v>
      </c>
    </row>
    <row r="118" spans="1:27">
      <c r="A118" s="118">
        <v>112</v>
      </c>
      <c r="B118" s="101">
        <v>2601374</v>
      </c>
      <c r="C118" s="75" t="s">
        <v>77</v>
      </c>
      <c r="D118" s="53">
        <v>500</v>
      </c>
      <c r="E118" s="53"/>
      <c r="F118" s="48">
        <v>0.66</v>
      </c>
      <c r="G118" s="243" t="str">
        <f>INDEX('calcolo base'!$B:$B, MATCH($A118, 'calcolo base'!$A:$A, 0))</f>
        <v>Rame</v>
      </c>
      <c r="H118" s="54" t="str">
        <f t="shared" si="46"/>
        <v>Rame</v>
      </c>
      <c r="I118" s="259">
        <f>IF(  OR(      INDEX('calcolo base'!$D:$D, MATCH($A118, 'calcolo base'!$A:$A, 0)) = 0,
      INDEX('calcolo base'!$D:$D, MATCH($A118, 'calcolo base'!$A:$A, 0)) = ""   ),
   INDEX('calcolo base'!$K:$K, MATCH($A118, 'calcolo base'!$A:$A, 0)),
   INDEX('calcolo base'!$J:$J, MATCH($A118, 'calcolo base'!$A:$A, 0))
) / 1000</f>
        <v>11.824683544303797</v>
      </c>
      <c r="J118" s="50">
        <f t="shared" si="47"/>
        <v>12.484683544303797</v>
      </c>
      <c r="K118" s="50">
        <v>12.502000000000001</v>
      </c>
      <c r="L118" s="267">
        <f>INDEX('calcolo base'!$H:$H, MATCH($A118, 'calcolo base'!$A:$A, 0))</f>
        <v>0.05</v>
      </c>
      <c r="M118" s="50">
        <f t="shared" si="48"/>
        <v>0.62423417721518992</v>
      </c>
      <c r="N118" s="50">
        <f t="shared" si="49"/>
        <v>0.18727025316455695</v>
      </c>
      <c r="O118" s="50">
        <f t="shared" si="54"/>
        <v>0</v>
      </c>
      <c r="P118" s="50">
        <f t="shared" si="50"/>
        <v>0</v>
      </c>
      <c r="Q118" s="51">
        <f t="shared" si="51"/>
        <v>93.635126582278474</v>
      </c>
      <c r="R118" s="205">
        <f t="shared" si="52"/>
        <v>0</v>
      </c>
      <c r="S118" s="279">
        <f>IF(R118="si",0,IF(E118="si",0,IF(J118&gt;K118,0,K118-J118))) + IF(INDEX('calcolo base'!$P:$P, MATCH($A118, 'calcolo base'!$A:$A, 0))="SI", ('Commissioni De Angeli'!K118-'Commissioni De Angeli'!J118), 0)</f>
        <v>1.7316455696203548E-2</v>
      </c>
      <c r="T118" s="117">
        <f t="shared" si="53"/>
        <v>3.4632911392407095</v>
      </c>
      <c r="U118" s="272">
        <f>IF(Q118=0,'calcolo base'!L2717,(T118+Q118))</f>
        <v>97.098417721519183</v>
      </c>
      <c r="V118" s="119">
        <v>46129</v>
      </c>
      <c r="Z118" s="118">
        <f t="shared" si="44"/>
        <v>4</v>
      </c>
      <c r="AA118" s="118">
        <f t="shared" si="45"/>
        <v>2026</v>
      </c>
    </row>
    <row r="119" spans="1:27">
      <c r="A119" s="118">
        <v>113</v>
      </c>
      <c r="B119" s="101">
        <v>2601374</v>
      </c>
      <c r="C119" s="75" t="s">
        <v>77</v>
      </c>
      <c r="D119" s="53">
        <v>500</v>
      </c>
      <c r="E119" s="53"/>
      <c r="F119" s="48">
        <v>0.66</v>
      </c>
      <c r="G119" s="243" t="str">
        <f>INDEX('calcolo base'!$B:$B, MATCH($A119, 'calcolo base'!$A:$A, 0))</f>
        <v>Rame</v>
      </c>
      <c r="H119" s="54" t="str">
        <f t="shared" si="46"/>
        <v>Rame</v>
      </c>
      <c r="I119" s="259">
        <f>IF(  OR(      INDEX('calcolo base'!$D:$D, MATCH($A119, 'calcolo base'!$A:$A, 0)) = 0,
      INDEX('calcolo base'!$D:$D, MATCH($A119, 'calcolo base'!$A:$A, 0)) = ""   ),
   INDEX('calcolo base'!$K:$K, MATCH($A119, 'calcolo base'!$A:$A, 0)),
   INDEX('calcolo base'!$J:$J, MATCH($A119, 'calcolo base'!$A:$A, 0))
) / 1000</f>
        <v>11.824683544303797</v>
      </c>
      <c r="J119" s="50">
        <f t="shared" si="47"/>
        <v>12.484683544303797</v>
      </c>
      <c r="K119" s="50">
        <v>12.502000000000001</v>
      </c>
      <c r="L119" s="267">
        <f>INDEX('calcolo base'!$H:$H, MATCH($A119, 'calcolo base'!$A:$A, 0))</f>
        <v>0.05</v>
      </c>
      <c r="M119" s="50">
        <f t="shared" si="48"/>
        <v>0.62423417721518992</v>
      </c>
      <c r="N119" s="50">
        <f t="shared" si="49"/>
        <v>0.18727025316455695</v>
      </c>
      <c r="O119" s="50">
        <f t="shared" si="54"/>
        <v>0</v>
      </c>
      <c r="P119" s="50">
        <f t="shared" si="50"/>
        <v>0</v>
      </c>
      <c r="Q119" s="51">
        <f t="shared" si="51"/>
        <v>93.635126582278474</v>
      </c>
      <c r="R119" s="205">
        <f t="shared" si="52"/>
        <v>0</v>
      </c>
      <c r="S119" s="279">
        <f>IF(R119="si",0,IF(E119="si",0,IF(J119&gt;K119,0,K119-J119))) + IF(INDEX('calcolo base'!$P:$P, MATCH($A119, 'calcolo base'!$A:$A, 0))="SI", ('Commissioni De Angeli'!K119-'Commissioni De Angeli'!J119), 0)</f>
        <v>1.7316455696203548E-2</v>
      </c>
      <c r="T119" s="117">
        <f t="shared" si="53"/>
        <v>3.4632911392407095</v>
      </c>
      <c r="U119" s="272">
        <f>IF(Q119=0,'calcolo base'!L2718,(T119+Q119))</f>
        <v>97.098417721519183</v>
      </c>
      <c r="V119" s="119">
        <v>46129</v>
      </c>
      <c r="Z119" s="118">
        <f t="shared" si="44"/>
        <v>4</v>
      </c>
      <c r="AA119" s="118">
        <f t="shared" si="45"/>
        <v>2026</v>
      </c>
    </row>
    <row r="120" spans="1:27">
      <c r="A120" s="118">
        <v>114</v>
      </c>
      <c r="B120" s="101">
        <v>2601374</v>
      </c>
      <c r="C120" s="75" t="s">
        <v>77</v>
      </c>
      <c r="D120" s="53">
        <v>2000</v>
      </c>
      <c r="E120" s="53"/>
      <c r="F120" s="48">
        <v>0.66</v>
      </c>
      <c r="G120" s="243" t="str">
        <f>INDEX('calcolo base'!$B:$B, MATCH($A120, 'calcolo base'!$A:$A, 0))</f>
        <v>Rame</v>
      </c>
      <c r="H120" s="54" t="str">
        <f t="shared" si="46"/>
        <v>Rame</v>
      </c>
      <c r="I120" s="259">
        <f>IF(  OR(      INDEX('calcolo base'!$D:$D, MATCH($A120, 'calcolo base'!$A:$A, 0)) = 0,
      INDEX('calcolo base'!$D:$D, MATCH($A120, 'calcolo base'!$A:$A, 0)) = ""   ),
   INDEX('calcolo base'!$K:$K, MATCH($A120, 'calcolo base'!$A:$A, 0)),
   INDEX('calcolo base'!$J:$J, MATCH($A120, 'calcolo base'!$A:$A, 0))
) / 1000</f>
        <v>11.824683544303797</v>
      </c>
      <c r="J120" s="50">
        <f t="shared" si="47"/>
        <v>12.484683544303797</v>
      </c>
      <c r="K120" s="50">
        <v>12.502000000000001</v>
      </c>
      <c r="L120" s="267">
        <f>INDEX('calcolo base'!$H:$H, MATCH($A120, 'calcolo base'!$A:$A, 0))</f>
        <v>0.05</v>
      </c>
      <c r="M120" s="50">
        <f t="shared" si="48"/>
        <v>0.62423417721518992</v>
      </c>
      <c r="N120" s="50">
        <f t="shared" si="49"/>
        <v>0.18727025316455695</v>
      </c>
      <c r="O120" s="50">
        <f t="shared" si="54"/>
        <v>0</v>
      </c>
      <c r="P120" s="50">
        <f t="shared" si="50"/>
        <v>0</v>
      </c>
      <c r="Q120" s="51">
        <f t="shared" si="51"/>
        <v>374.5405063291139</v>
      </c>
      <c r="R120" s="205">
        <f t="shared" si="52"/>
        <v>0</v>
      </c>
      <c r="S120" s="279">
        <f>IF(R120="si",0,IF(E120="si",0,IF(J120&gt;K120,0,K120-J120))) + IF(INDEX('calcolo base'!$P:$P, MATCH($A120, 'calcolo base'!$A:$A, 0))="SI", ('Commissioni De Angeli'!K120-'Commissioni De Angeli'!J120), 0)</f>
        <v>1.7316455696203548E-2</v>
      </c>
      <c r="T120" s="117">
        <f t="shared" si="53"/>
        <v>13.853164556962838</v>
      </c>
      <c r="U120" s="272">
        <f>IF(Q120=0,'calcolo base'!L2719,(T120+Q120))</f>
        <v>388.39367088607673</v>
      </c>
      <c r="V120" s="119">
        <v>46147</v>
      </c>
      <c r="Z120" s="118">
        <f t="shared" si="44"/>
        <v>5</v>
      </c>
      <c r="AA120" s="118">
        <f t="shared" si="45"/>
        <v>2026</v>
      </c>
    </row>
    <row r="121" spans="1:27">
      <c r="A121" s="118">
        <v>115</v>
      </c>
      <c r="B121" s="101">
        <v>2601508</v>
      </c>
      <c r="C121" s="35" t="s">
        <v>151</v>
      </c>
      <c r="D121" s="53">
        <v>500</v>
      </c>
      <c r="E121" s="53"/>
      <c r="F121" s="48">
        <v>0.7</v>
      </c>
      <c r="G121" s="243" t="str">
        <f>INDEX('calcolo base'!$B:$B, MATCH($A121, 'calcolo base'!$A:$A, 0))</f>
        <v>Rame</v>
      </c>
      <c r="H121" s="54" t="str">
        <f t="shared" si="46"/>
        <v>Rame</v>
      </c>
      <c r="I121" s="259">
        <f>IF(  OR(      INDEX('calcolo base'!$D:$D, MATCH($A121, 'calcolo base'!$A:$A, 0)) = 0,
      INDEX('calcolo base'!$D:$D, MATCH($A121, 'calcolo base'!$A:$A, 0)) = ""   ),
   INDEX('calcolo base'!$K:$K, MATCH($A121, 'calcolo base'!$A:$A, 0)),
   INDEX('calcolo base'!$J:$J, MATCH($A121, 'calcolo base'!$A:$A, 0))
) / 1000</f>
        <v>11.239494163424123</v>
      </c>
      <c r="J121" s="50">
        <f t="shared" si="47"/>
        <v>11.939494163424122</v>
      </c>
      <c r="K121" s="50">
        <v>12.42</v>
      </c>
      <c r="L121" s="267">
        <f>INDEX('calcolo base'!$H:$H, MATCH($A121, 'calcolo base'!$A:$A, 0))</f>
        <v>0.05</v>
      </c>
      <c r="M121" s="50">
        <f t="shared" si="48"/>
        <v>0.59697470817120613</v>
      </c>
      <c r="N121" s="50">
        <f t="shared" si="49"/>
        <v>0.17909241245136182</v>
      </c>
      <c r="O121" s="50">
        <f t="shared" si="54"/>
        <v>0</v>
      </c>
      <c r="P121" s="50">
        <f t="shared" si="50"/>
        <v>0</v>
      </c>
      <c r="Q121" s="51">
        <f t="shared" si="51"/>
        <v>89.546206225680905</v>
      </c>
      <c r="R121" s="205">
        <f t="shared" si="52"/>
        <v>0</v>
      </c>
      <c r="S121" s="279">
        <f>IF(R121="si",0,IF(E121="si",0,IF(J121&gt;K121,0,K121-J121))) + IF(INDEX('calcolo base'!$P:$P, MATCH($A121, 'calcolo base'!$A:$A, 0))="SI", ('Commissioni De Angeli'!K121-'Commissioni De Angeli'!J121), 0)</f>
        <v>0.48050583657587786</v>
      </c>
      <c r="T121" s="117">
        <f t="shared" si="53"/>
        <v>96.101167315175587</v>
      </c>
      <c r="U121" s="272">
        <f>IF(Q121=0,'calcolo base'!L2720,(T121+Q121))</f>
        <v>185.64737354085651</v>
      </c>
      <c r="V121" s="119">
        <v>46152</v>
      </c>
      <c r="Z121" s="118">
        <f t="shared" si="44"/>
        <v>5</v>
      </c>
      <c r="AA121" s="118">
        <f t="shared" si="45"/>
        <v>2026</v>
      </c>
    </row>
    <row r="122" spans="1:27">
      <c r="A122" s="118">
        <v>116</v>
      </c>
      <c r="B122" s="101">
        <v>2601508</v>
      </c>
      <c r="C122" s="35" t="s">
        <v>151</v>
      </c>
      <c r="D122" s="53">
        <v>500</v>
      </c>
      <c r="E122" s="53"/>
      <c r="F122" s="48">
        <v>0.7</v>
      </c>
      <c r="G122" s="243" t="str">
        <f>INDEX('calcolo base'!$B:$B, MATCH($A122, 'calcolo base'!$A:$A, 0))</f>
        <v>Rame</v>
      </c>
      <c r="H122" s="54" t="str">
        <f t="shared" si="46"/>
        <v>Rame</v>
      </c>
      <c r="I122" s="259">
        <f>IF(  OR(      INDEX('calcolo base'!$D:$D, MATCH($A122, 'calcolo base'!$A:$A, 0)) = 0,
      INDEX('calcolo base'!$D:$D, MATCH($A122, 'calcolo base'!$A:$A, 0)) = ""   ),
   INDEX('calcolo base'!$K:$K, MATCH($A122, 'calcolo base'!$A:$A, 0)),
   INDEX('calcolo base'!$J:$J, MATCH($A122, 'calcolo base'!$A:$A, 0))
) / 1000</f>
        <v>11.239494163424123</v>
      </c>
      <c r="J122" s="50">
        <f t="shared" si="47"/>
        <v>11.939494163424122</v>
      </c>
      <c r="K122" s="50">
        <v>12.42</v>
      </c>
      <c r="L122" s="267">
        <f>INDEX('calcolo base'!$H:$H, MATCH($A122, 'calcolo base'!$A:$A, 0))</f>
        <v>0.05</v>
      </c>
      <c r="M122" s="50">
        <f t="shared" si="48"/>
        <v>0.59697470817120613</v>
      </c>
      <c r="N122" s="50">
        <f t="shared" si="49"/>
        <v>0.17909241245136182</v>
      </c>
      <c r="O122" s="50">
        <f t="shared" si="54"/>
        <v>0</v>
      </c>
      <c r="P122" s="50">
        <f t="shared" si="50"/>
        <v>0</v>
      </c>
      <c r="Q122" s="51">
        <f t="shared" si="51"/>
        <v>89.546206225680905</v>
      </c>
      <c r="R122" s="205">
        <f t="shared" si="52"/>
        <v>0</v>
      </c>
      <c r="S122" s="279">
        <f>IF(R122="si",0,IF(E122="si",0,IF(J122&gt;K122,0,K122-J122))) + IF(INDEX('calcolo base'!$P:$P, MATCH($A122, 'calcolo base'!$A:$A, 0))="SI", ('Commissioni De Angeli'!K122-'Commissioni De Angeli'!J122), 0)</f>
        <v>0.48050583657587786</v>
      </c>
      <c r="T122" s="117">
        <f t="shared" si="53"/>
        <v>96.101167315175587</v>
      </c>
      <c r="U122" s="272">
        <f>IF(Q122=0,'calcolo base'!L2721,(T122+Q122))</f>
        <v>185.64737354085651</v>
      </c>
      <c r="V122" s="119">
        <v>46152</v>
      </c>
      <c r="Z122" s="118">
        <f t="shared" si="44"/>
        <v>5</v>
      </c>
      <c r="AA122" s="118">
        <f t="shared" si="45"/>
        <v>2026</v>
      </c>
    </row>
    <row r="123" spans="1:27">
      <c r="A123" s="118">
        <v>117</v>
      </c>
      <c r="B123" s="101">
        <v>2601432</v>
      </c>
      <c r="C123" s="35" t="s">
        <v>48</v>
      </c>
      <c r="D123" s="53">
        <v>1000</v>
      </c>
      <c r="E123" s="53"/>
      <c r="F123" s="48">
        <v>0.7</v>
      </c>
      <c r="G123" s="243" t="str">
        <f>INDEX('calcolo base'!$B:$B, MATCH($A123, 'calcolo base'!$A:$A, 0))</f>
        <v>Rame</v>
      </c>
      <c r="H123" s="54" t="str">
        <f t="shared" si="46"/>
        <v>Rame</v>
      </c>
      <c r="I123" s="259">
        <f>IF(  OR(      INDEX('calcolo base'!$D:$D, MATCH($A123, 'calcolo base'!$A:$A, 0)) = 0,
      INDEX('calcolo base'!$D:$D, MATCH($A123, 'calcolo base'!$A:$A, 0)) = ""   ),
   INDEX('calcolo base'!$K:$K, MATCH($A123, 'calcolo base'!$A:$A, 0)),
   INDEX('calcolo base'!$J:$J, MATCH($A123, 'calcolo base'!$A:$A, 0))
) / 1000</f>
        <v>11.249221116399827</v>
      </c>
      <c r="J123" s="50">
        <f t="shared" si="47"/>
        <v>11.949221116399826</v>
      </c>
      <c r="K123" s="50">
        <v>11.949</v>
      </c>
      <c r="L123" s="267">
        <f>INDEX('calcolo base'!$H:$H, MATCH($A123, 'calcolo base'!$A:$A, 0))</f>
        <v>0.05</v>
      </c>
      <c r="M123" s="50">
        <f t="shared" si="48"/>
        <v>0.59746105581999132</v>
      </c>
      <c r="N123" s="50">
        <f t="shared" si="49"/>
        <v>0.17923831674599738</v>
      </c>
      <c r="O123" s="50">
        <f t="shared" si="54"/>
        <v>0</v>
      </c>
      <c r="P123" s="50">
        <f t="shared" si="50"/>
        <v>0</v>
      </c>
      <c r="Q123" s="51">
        <f t="shared" si="51"/>
        <v>179.23831674599739</v>
      </c>
      <c r="R123" s="205">
        <f t="shared" si="52"/>
        <v>0</v>
      </c>
      <c r="S123" s="279">
        <f>IF(R123="si",0,IF(E123="si",0,IF(J123&gt;K123,0,K123-J123))) + IF(INDEX('calcolo base'!$P:$P, MATCH($A123, 'calcolo base'!$A:$A, 0))="SI", ('Commissioni De Angeli'!K123-'Commissioni De Angeli'!J123), 0)</f>
        <v>0</v>
      </c>
      <c r="T123" s="117">
        <f t="shared" si="53"/>
        <v>0</v>
      </c>
      <c r="U123" s="272">
        <f>IF(Q123=0,'calcolo base'!L2722,(T123+Q123))</f>
        <v>179.23831674599739</v>
      </c>
      <c r="V123" s="119">
        <v>46148</v>
      </c>
      <c r="Z123" s="118">
        <f t="shared" si="44"/>
        <v>5</v>
      </c>
      <c r="AA123" s="118">
        <f t="shared" si="45"/>
        <v>2026</v>
      </c>
    </row>
    <row r="124" spans="1:27">
      <c r="A124" s="118">
        <v>118</v>
      </c>
      <c r="B124" s="101">
        <v>2601429</v>
      </c>
      <c r="C124" s="35" t="s">
        <v>145</v>
      </c>
      <c r="D124" s="53">
        <v>2900</v>
      </c>
      <c r="E124" s="53"/>
      <c r="F124" s="48">
        <v>0.7</v>
      </c>
      <c r="G124" s="243" t="str">
        <f>INDEX('calcolo base'!$B:$B, MATCH($A124, 'calcolo base'!$A:$A, 0))</f>
        <v>Rame</v>
      </c>
      <c r="H124" s="54" t="str">
        <f t="shared" si="46"/>
        <v>Rame</v>
      </c>
      <c r="I124" s="259">
        <f>IF(  OR(      INDEX('calcolo base'!$D:$D, MATCH($A124, 'calcolo base'!$A:$A, 0)) = 0,
      INDEX('calcolo base'!$D:$D, MATCH($A124, 'calcolo base'!$A:$A, 0)) = ""   ),
   INDEX('calcolo base'!$K:$K, MATCH($A124, 'calcolo base'!$A:$A, 0)),
   INDEX('calcolo base'!$J:$J, MATCH($A124, 'calcolo base'!$A:$A, 0))
) / 1000</f>
        <v>11.077906976744186</v>
      </c>
      <c r="J124" s="50">
        <f t="shared" si="47"/>
        <v>11.777906976744186</v>
      </c>
      <c r="K124" s="50">
        <v>12.1</v>
      </c>
      <c r="L124" s="267">
        <f>INDEX('calcolo base'!$H:$H, MATCH($A124, 'calcolo base'!$A:$A, 0))</f>
        <v>0.05</v>
      </c>
      <c r="M124" s="50">
        <f t="shared" si="48"/>
        <v>0.58889534883720929</v>
      </c>
      <c r="N124" s="50">
        <f t="shared" si="49"/>
        <v>0.17666860465116277</v>
      </c>
      <c r="O124" s="50">
        <f t="shared" si="54"/>
        <v>0</v>
      </c>
      <c r="P124" s="50">
        <f t="shared" si="50"/>
        <v>0</v>
      </c>
      <c r="Q124" s="51">
        <f t="shared" si="51"/>
        <v>512.338953488372</v>
      </c>
      <c r="R124" s="205">
        <f t="shared" si="52"/>
        <v>0</v>
      </c>
      <c r="S124" s="279">
        <f>IF(R124="si",0,IF(E124="si",0,IF(J124&gt;K124,0,K124-J124))) + IF(INDEX('calcolo base'!$P:$P, MATCH($A124, 'calcolo base'!$A:$A, 0))="SI", ('Commissioni De Angeli'!K124-'Commissioni De Angeli'!J124), 0)</f>
        <v>0.3220930232558139</v>
      </c>
      <c r="T124" s="117">
        <f t="shared" si="53"/>
        <v>373.62790697674416</v>
      </c>
      <c r="U124" s="272">
        <f>IF(Q124=0,'calcolo base'!L2723,(T124+Q124))</f>
        <v>885.96686046511616</v>
      </c>
      <c r="V124" s="119">
        <v>46178</v>
      </c>
      <c r="Z124" s="118">
        <f t="shared" si="44"/>
        <v>6</v>
      </c>
      <c r="AA124" s="118">
        <f t="shared" si="45"/>
        <v>2026</v>
      </c>
    </row>
    <row r="125" spans="1:27">
      <c r="A125" s="118">
        <v>119</v>
      </c>
      <c r="B125" s="101">
        <v>2601516</v>
      </c>
      <c r="C125" s="99" t="s">
        <v>105</v>
      </c>
      <c r="D125" s="100">
        <v>20000</v>
      </c>
      <c r="E125" s="53"/>
      <c r="F125" s="48">
        <v>3.26</v>
      </c>
      <c r="G125" s="243" t="str">
        <f>INDEX('calcolo base'!$B:$B, MATCH($A125, 'calcolo base'!$A:$A, 0))</f>
        <v>Rame</v>
      </c>
      <c r="H125" s="54" t="str">
        <f t="shared" si="46"/>
        <v>Rame</v>
      </c>
      <c r="I125" s="259">
        <f>IF(  OR(      INDEX('calcolo base'!$D:$D, MATCH($A125, 'calcolo base'!$A:$A, 0)) = 0,
      INDEX('calcolo base'!$D:$D, MATCH($A125, 'calcolo base'!$A:$A, 0)) = ""   ),
   INDEX('calcolo base'!$K:$K, MATCH($A125, 'calcolo base'!$A:$A, 0)),
   INDEX('calcolo base'!$J:$J, MATCH($A125, 'calcolo base'!$A:$A, 0))
) / 1000</f>
        <v>10.972403100775194</v>
      </c>
      <c r="J125" s="50">
        <f t="shared" si="47"/>
        <v>14.232403100775194</v>
      </c>
      <c r="K125" s="50">
        <v>14.2324</v>
      </c>
      <c r="L125" s="267">
        <f>INDEX('calcolo base'!$H:$H, MATCH($A125, 'calcolo base'!$A:$A, 0))</f>
        <v>0.04</v>
      </c>
      <c r="M125" s="50">
        <f t="shared" si="48"/>
        <v>0.56929612403100782</v>
      </c>
      <c r="N125" s="50">
        <f t="shared" si="49"/>
        <v>0</v>
      </c>
      <c r="O125" s="50">
        <f t="shared" si="54"/>
        <v>0</v>
      </c>
      <c r="P125" s="50">
        <f t="shared" si="50"/>
        <v>0.26079999999999998</v>
      </c>
      <c r="Q125" s="51">
        <f t="shared" si="51"/>
        <v>5215.9999999999991</v>
      </c>
      <c r="R125" s="205" t="str">
        <f t="shared" si="52"/>
        <v>si</v>
      </c>
      <c r="S125" s="279">
        <v>0.35</v>
      </c>
      <c r="T125" s="117">
        <f t="shared" si="53"/>
        <v>2800</v>
      </c>
      <c r="U125" s="272">
        <f>IF(Q125=0,'calcolo base'!L2724,(T125+Q125))</f>
        <v>8015.9999999999991</v>
      </c>
      <c r="V125" s="119">
        <v>46349</v>
      </c>
      <c r="Z125" s="118">
        <f t="shared" si="44"/>
        <v>11</v>
      </c>
      <c r="AA125" s="118">
        <f t="shared" si="45"/>
        <v>2026</v>
      </c>
    </row>
    <row r="126" spans="1:27">
      <c r="A126" s="118">
        <v>120</v>
      </c>
      <c r="B126" s="101">
        <v>2601516</v>
      </c>
      <c r="C126" s="99" t="s">
        <v>105</v>
      </c>
      <c r="D126" s="100">
        <v>20000</v>
      </c>
      <c r="E126" s="53"/>
      <c r="F126" s="48">
        <v>3.26</v>
      </c>
      <c r="G126" s="243" t="str">
        <f>INDEX('calcolo base'!$B:$B, MATCH($A126, 'calcolo base'!$A:$A, 0))</f>
        <v>Rame</v>
      </c>
      <c r="H126" s="54" t="str">
        <f t="shared" si="46"/>
        <v>Rame</v>
      </c>
      <c r="I126" s="259">
        <f>IF(  OR(      INDEX('calcolo base'!$D:$D, MATCH($A126, 'calcolo base'!$A:$A, 0)) = 0,
      INDEX('calcolo base'!$D:$D, MATCH($A126, 'calcolo base'!$A:$A, 0)) = ""   ),
   INDEX('calcolo base'!$K:$K, MATCH($A126, 'calcolo base'!$A:$A, 0)),
   INDEX('calcolo base'!$J:$J, MATCH($A126, 'calcolo base'!$A:$A, 0))
) / 1000</f>
        <v>10.972403100775194</v>
      </c>
      <c r="J126" s="50">
        <f t="shared" si="47"/>
        <v>14.232403100775194</v>
      </c>
      <c r="K126" s="50">
        <v>14.2324</v>
      </c>
      <c r="L126" s="267">
        <f>INDEX('calcolo base'!$H:$H, MATCH($A126, 'calcolo base'!$A:$A, 0))</f>
        <v>0.04</v>
      </c>
      <c r="M126" s="50">
        <f t="shared" si="48"/>
        <v>0.56929612403100782</v>
      </c>
      <c r="N126" s="50">
        <f t="shared" si="49"/>
        <v>0</v>
      </c>
      <c r="O126" s="50">
        <f t="shared" si="54"/>
        <v>0</v>
      </c>
      <c r="P126" s="50">
        <f t="shared" si="50"/>
        <v>0.26079999999999998</v>
      </c>
      <c r="Q126" s="51">
        <f t="shared" si="51"/>
        <v>5215.9999999999991</v>
      </c>
      <c r="R126" s="205" t="str">
        <f t="shared" si="52"/>
        <v>si</v>
      </c>
      <c r="S126" s="279">
        <v>0.35</v>
      </c>
      <c r="T126" s="117">
        <f t="shared" si="53"/>
        <v>2800</v>
      </c>
      <c r="U126" s="272">
        <f>IF(Q126=0,'calcolo base'!L2725,(T126+Q126))</f>
        <v>8015.9999999999991</v>
      </c>
      <c r="V126" s="119">
        <v>46398</v>
      </c>
      <c r="Z126" s="118">
        <f t="shared" si="44"/>
        <v>1</v>
      </c>
      <c r="AA126" s="118">
        <f t="shared" si="45"/>
        <v>2027</v>
      </c>
    </row>
    <row r="127" spans="1:27">
      <c r="A127" s="118">
        <v>121</v>
      </c>
      <c r="B127" s="101">
        <v>2601516</v>
      </c>
      <c r="C127" s="99" t="s">
        <v>105</v>
      </c>
      <c r="D127" s="100">
        <v>20000</v>
      </c>
      <c r="E127" s="53"/>
      <c r="F127" s="48">
        <v>3.26</v>
      </c>
      <c r="G127" s="243" t="str">
        <f>INDEX('calcolo base'!$B:$B, MATCH($A127, 'calcolo base'!$A:$A, 0))</f>
        <v>Rame</v>
      </c>
      <c r="H127" s="54" t="str">
        <f t="shared" si="46"/>
        <v>Rame</v>
      </c>
      <c r="I127" s="259">
        <f>IF(  OR(      INDEX('calcolo base'!$D:$D, MATCH($A127, 'calcolo base'!$A:$A, 0)) = 0,
      INDEX('calcolo base'!$D:$D, MATCH($A127, 'calcolo base'!$A:$A, 0)) = ""   ),
   INDEX('calcolo base'!$K:$K, MATCH($A127, 'calcolo base'!$A:$A, 0)),
   INDEX('calcolo base'!$J:$J, MATCH($A127, 'calcolo base'!$A:$A, 0))
) / 1000</f>
        <v>10.972403100775194</v>
      </c>
      <c r="J127" s="50">
        <f t="shared" si="47"/>
        <v>14.232403100775194</v>
      </c>
      <c r="K127" s="50">
        <v>14.2324</v>
      </c>
      <c r="L127" s="267">
        <f>INDEX('calcolo base'!$H:$H, MATCH($A127, 'calcolo base'!$A:$A, 0))</f>
        <v>0.04</v>
      </c>
      <c r="M127" s="50">
        <f t="shared" si="48"/>
        <v>0.56929612403100782</v>
      </c>
      <c r="N127" s="50">
        <f t="shared" si="49"/>
        <v>0</v>
      </c>
      <c r="O127" s="50">
        <f t="shared" si="54"/>
        <v>0</v>
      </c>
      <c r="P127" s="50">
        <f t="shared" si="50"/>
        <v>0.26079999999999998</v>
      </c>
      <c r="Q127" s="51">
        <f t="shared" si="51"/>
        <v>5215.9999999999991</v>
      </c>
      <c r="R127" s="205" t="str">
        <f t="shared" si="52"/>
        <v>si</v>
      </c>
      <c r="S127" s="279">
        <v>0.35</v>
      </c>
      <c r="T127" s="117">
        <f t="shared" si="53"/>
        <v>2800</v>
      </c>
      <c r="U127" s="272">
        <f>IF(Q127=0,'calcolo base'!L2726,(T127+Q127))</f>
        <v>8015.9999999999991</v>
      </c>
      <c r="V127" s="119">
        <v>46492</v>
      </c>
      <c r="Z127" s="118">
        <f t="shared" si="44"/>
        <v>4</v>
      </c>
      <c r="AA127" s="118">
        <f t="shared" si="45"/>
        <v>2027</v>
      </c>
    </row>
    <row r="128" spans="1:27">
      <c r="A128" s="118">
        <v>122</v>
      </c>
      <c r="B128" s="47"/>
      <c r="C128" s="35" t="s">
        <v>83</v>
      </c>
      <c r="D128" s="53">
        <v>200</v>
      </c>
      <c r="E128" s="53"/>
      <c r="F128" s="48">
        <v>4.8</v>
      </c>
      <c r="G128" s="243" t="str">
        <f>INDEX('calcolo base'!$B:$B, MATCH($A128, 'calcolo base'!$A:$A, 0))</f>
        <v>Rame</v>
      </c>
      <c r="H128" s="54" t="str">
        <f t="shared" si="46"/>
        <v>Rame</v>
      </c>
      <c r="I128" s="259">
        <f>IF(  OR(      INDEX('calcolo base'!$D:$D, MATCH($A128, 'calcolo base'!$A:$A, 0)) = 0,
      INDEX('calcolo base'!$D:$D, MATCH($A128, 'calcolo base'!$A:$A, 0)) = ""   ),
   INDEX('calcolo base'!$K:$K, MATCH($A128, 'calcolo base'!$A:$A, 0)),
   INDEX('calcolo base'!$J:$J, MATCH($A128, 'calcolo base'!$A:$A, 0))
) / 1000</f>
        <v>11.087311178247733</v>
      </c>
      <c r="J128" s="50">
        <f t="shared" si="47"/>
        <v>15.887311178247732</v>
      </c>
      <c r="K128" s="50">
        <v>17.3</v>
      </c>
      <c r="L128" s="267">
        <f>INDEX('calcolo base'!$H:$H, MATCH($A128, 'calcolo base'!$A:$A, 0))</f>
        <v>0.05</v>
      </c>
      <c r="M128" s="50">
        <f t="shared" si="48"/>
        <v>0.79436555891238658</v>
      </c>
      <c r="N128" s="50">
        <f t="shared" si="49"/>
        <v>0.23830966767371597</v>
      </c>
      <c r="O128" s="50">
        <f t="shared" si="54"/>
        <v>0</v>
      </c>
      <c r="P128" s="50">
        <f t="shared" si="50"/>
        <v>0</v>
      </c>
      <c r="Q128" s="51">
        <f t="shared" si="51"/>
        <v>47.661933534743198</v>
      </c>
      <c r="R128" s="205">
        <f t="shared" si="52"/>
        <v>0</v>
      </c>
      <c r="S128" s="279">
        <f>IF(R128="si",0,IF(E128="si",0,IF(J128&gt;K128,0,K128-J128))) + IF(INDEX('calcolo base'!$P:$P, MATCH($A128, 'calcolo base'!$A:$A, 0))="SI", ('Commissioni De Angeli'!K128-'Commissioni De Angeli'!J128), 0)</f>
        <v>1.4126888217522691</v>
      </c>
      <c r="T128" s="117">
        <f t="shared" si="53"/>
        <v>113.01510574018153</v>
      </c>
      <c r="U128" s="272">
        <f>IF(Q128=0,'calcolo base'!L2727,(T128+Q128))</f>
        <v>160.67703927492471</v>
      </c>
      <c r="V128" s="119"/>
      <c r="Z128" s="118">
        <f t="shared" si="44"/>
        <v>0</v>
      </c>
      <c r="AA128" s="118">
        <f t="shared" si="45"/>
        <v>0</v>
      </c>
    </row>
    <row r="129" spans="1:27">
      <c r="A129" s="118">
        <v>123</v>
      </c>
      <c r="B129" s="101">
        <v>2601512</v>
      </c>
      <c r="C129" s="35" t="s">
        <v>153</v>
      </c>
      <c r="D129" s="53">
        <v>700</v>
      </c>
      <c r="E129" s="53"/>
      <c r="F129" s="48">
        <v>3.13</v>
      </c>
      <c r="G129" s="243" t="str">
        <f>INDEX('calcolo base'!$B:$B, MATCH($A129, 'calcolo base'!$A:$A, 0))</f>
        <v>Rame</v>
      </c>
      <c r="H129" s="54" t="str">
        <f t="shared" si="46"/>
        <v>Rame</v>
      </c>
      <c r="I129" s="259">
        <f>IF(  OR(      INDEX('calcolo base'!$D:$D, MATCH($A129, 'calcolo base'!$A:$A, 0)) = 0,
      INDEX('calcolo base'!$D:$D, MATCH($A129, 'calcolo base'!$A:$A, 0)) = ""   ),
   INDEX('calcolo base'!$K:$K, MATCH($A129, 'calcolo base'!$A:$A, 0)),
   INDEX('calcolo base'!$J:$J, MATCH($A129, 'calcolo base'!$A:$A, 0))
) / 1000</f>
        <v>11.28419452887538</v>
      </c>
      <c r="J129" s="50">
        <f t="shared" si="47"/>
        <v>14.414194528875381</v>
      </c>
      <c r="K129" s="50">
        <v>15.2842</v>
      </c>
      <c r="L129" s="267">
        <f>INDEX('calcolo base'!$H:$H, MATCH($A129, 'calcolo base'!$A:$A, 0))</f>
        <v>0.05</v>
      </c>
      <c r="M129" s="50">
        <f t="shared" si="48"/>
        <v>0.72070972644376907</v>
      </c>
      <c r="N129" s="50">
        <f t="shared" si="49"/>
        <v>0.21621291793313072</v>
      </c>
      <c r="O129" s="50">
        <f t="shared" si="54"/>
        <v>0</v>
      </c>
      <c r="P129" s="50">
        <f t="shared" si="50"/>
        <v>0</v>
      </c>
      <c r="Q129" s="51">
        <f t="shared" si="51"/>
        <v>151.34904255319151</v>
      </c>
      <c r="R129" s="205">
        <f t="shared" si="52"/>
        <v>0</v>
      </c>
      <c r="S129" s="279">
        <f>IF(R129="si",0,IF(E129="si",0,IF(J129&gt;K129,0,K129-J129))) + IF(INDEX('calcolo base'!$P:$P, MATCH($A129, 'calcolo base'!$A:$A, 0))="SI", ('Commissioni De Angeli'!K129-'Commissioni De Angeli'!J129), 0)</f>
        <v>0.87000547112461923</v>
      </c>
      <c r="T129" s="117">
        <f t="shared" si="53"/>
        <v>243.6015319148934</v>
      </c>
      <c r="U129" s="272">
        <f>IF(Q129=0,'calcolo base'!L2728,(T129+Q129))</f>
        <v>394.95057446808494</v>
      </c>
      <c r="V129" s="119">
        <v>46146</v>
      </c>
      <c r="Z129" s="118">
        <f t="shared" si="44"/>
        <v>5</v>
      </c>
      <c r="AA129" s="118">
        <f t="shared" si="45"/>
        <v>2026</v>
      </c>
    </row>
    <row r="130" spans="1:27">
      <c r="A130" s="118">
        <v>124</v>
      </c>
      <c r="B130" s="101">
        <v>2601645</v>
      </c>
      <c r="C130" s="99" t="s">
        <v>158</v>
      </c>
      <c r="D130" s="100">
        <v>1000</v>
      </c>
      <c r="E130" s="53"/>
      <c r="F130" s="48">
        <v>0.74</v>
      </c>
      <c r="G130" s="243" t="str">
        <f>INDEX('calcolo base'!$B:$B, MATCH($A130, 'calcolo base'!$A:$A, 0))</f>
        <v>Rame</v>
      </c>
      <c r="H130" s="54" t="str">
        <f t="shared" si="46"/>
        <v>Rame</v>
      </c>
      <c r="I130" s="259">
        <f>IF(  OR(      INDEX('calcolo base'!$D:$D, MATCH($A130, 'calcolo base'!$A:$A, 0)) = 0,
      INDEX('calcolo base'!$D:$D, MATCH($A130, 'calcolo base'!$A:$A, 0)) = ""   ),
   INDEX('calcolo base'!$K:$K, MATCH($A130, 'calcolo base'!$A:$A, 0)),
   INDEX('calcolo base'!$J:$J, MATCH($A130, 'calcolo base'!$A:$A, 0))
) / 1000</f>
        <v>11.455859576664947</v>
      </c>
      <c r="J130" s="50">
        <f t="shared" si="47"/>
        <v>12.195859576664947</v>
      </c>
      <c r="K130" s="50">
        <v>12.635899999999999</v>
      </c>
      <c r="L130" s="267">
        <f>INDEX('calcolo base'!$H:$H, MATCH($A130, 'calcolo base'!$A:$A, 0))</f>
        <v>0.05</v>
      </c>
      <c r="M130" s="50">
        <f t="shared" si="48"/>
        <v>0.60979297883324746</v>
      </c>
      <c r="N130" s="50">
        <f t="shared" si="49"/>
        <v>0.1829378936499742</v>
      </c>
      <c r="O130" s="50">
        <f t="shared" si="54"/>
        <v>0</v>
      </c>
      <c r="P130" s="50">
        <f t="shared" si="50"/>
        <v>0</v>
      </c>
      <c r="Q130" s="51">
        <f t="shared" si="51"/>
        <v>182.9378936499742</v>
      </c>
      <c r="R130" s="205">
        <f t="shared" si="52"/>
        <v>0</v>
      </c>
      <c r="S130" s="279">
        <f>IF(R130="si",0,IF(E130="si",0,IF(J130&gt;K130,0,K130-J130))) + IF(INDEX('calcolo base'!$P:$P, MATCH($A130, 'calcolo base'!$A:$A, 0))="SI", ('Commissioni De Angeli'!K130-'Commissioni De Angeli'!J130), 0)</f>
        <v>0.44004042333505211</v>
      </c>
      <c r="T130" s="117">
        <f t="shared" si="53"/>
        <v>176.01616933402084</v>
      </c>
      <c r="U130" s="272">
        <f>IF(Q130=0,'calcolo base'!L2729,(T130+Q130))</f>
        <v>358.95406298399507</v>
      </c>
      <c r="V130" s="119">
        <v>46156</v>
      </c>
      <c r="Z130" s="118">
        <f t="shared" si="44"/>
        <v>5</v>
      </c>
      <c r="AA130" s="118">
        <f t="shared" si="45"/>
        <v>2026</v>
      </c>
    </row>
    <row r="131" spans="1:27">
      <c r="A131" s="118">
        <v>125</v>
      </c>
      <c r="B131" s="101">
        <v>2601645</v>
      </c>
      <c r="C131" s="99" t="s">
        <v>158</v>
      </c>
      <c r="D131" s="100">
        <v>2000</v>
      </c>
      <c r="E131" s="53"/>
      <c r="F131" s="48">
        <v>0.67</v>
      </c>
      <c r="G131" s="243" t="str">
        <f>INDEX('calcolo base'!$B:$B, MATCH($A131, 'calcolo base'!$A:$A, 0))</f>
        <v>Rame</v>
      </c>
      <c r="H131" s="54" t="str">
        <f t="shared" si="46"/>
        <v>Rame</v>
      </c>
      <c r="I131" s="259">
        <f>IF(  OR(      INDEX('calcolo base'!$D:$D, MATCH($A131, 'calcolo base'!$A:$A, 0)) = 0,
      INDEX('calcolo base'!$D:$D, MATCH($A131, 'calcolo base'!$A:$A, 0)) = ""   ),
   INDEX('calcolo base'!$K:$K, MATCH($A131, 'calcolo base'!$A:$A, 0)),
   INDEX('calcolo base'!$J:$J, MATCH($A131, 'calcolo base'!$A:$A, 0))
) / 1000</f>
        <v>11.455859576664947</v>
      </c>
      <c r="J131" s="50">
        <f t="shared" si="47"/>
        <v>12.125859576664947</v>
      </c>
      <c r="K131" s="50">
        <v>12.555899999999999</v>
      </c>
      <c r="L131" s="267">
        <f>INDEX('calcolo base'!$H:$H, MATCH($A131, 'calcolo base'!$A:$A, 0))</f>
        <v>0.05</v>
      </c>
      <c r="M131" s="50">
        <f t="shared" si="48"/>
        <v>0.6062929788332474</v>
      </c>
      <c r="N131" s="50">
        <f t="shared" si="49"/>
        <v>0.18188789364997421</v>
      </c>
      <c r="O131" s="50">
        <f t="shared" si="54"/>
        <v>0</v>
      </c>
      <c r="P131" s="50">
        <f t="shared" si="50"/>
        <v>0</v>
      </c>
      <c r="Q131" s="51">
        <f t="shared" si="51"/>
        <v>363.77578729994843</v>
      </c>
      <c r="R131" s="205">
        <f t="shared" si="52"/>
        <v>0</v>
      </c>
      <c r="S131" s="279">
        <f>IF(R131="si",0,IF(E131="si",0,IF(J131&gt;K131,0,K131-J131))) + IF(INDEX('calcolo base'!$P:$P, MATCH($A131, 'calcolo base'!$A:$A, 0))="SI", ('Commissioni De Angeli'!K131-'Commissioni De Angeli'!J131), 0)</f>
        <v>0.43004042333505232</v>
      </c>
      <c r="T131" s="117">
        <f t="shared" si="53"/>
        <v>344.03233866804186</v>
      </c>
      <c r="U131" s="272">
        <f>IF(Q131=0,'calcolo base'!L2730,(T131+Q131))</f>
        <v>707.80812596799024</v>
      </c>
      <c r="V131" s="119">
        <v>46156</v>
      </c>
      <c r="Z131" s="118">
        <f t="shared" si="44"/>
        <v>5</v>
      </c>
      <c r="AA131" s="118">
        <f t="shared" si="45"/>
        <v>2026</v>
      </c>
    </row>
    <row r="132" spans="1:27">
      <c r="A132" s="118">
        <v>126</v>
      </c>
      <c r="B132" s="101">
        <v>2601645</v>
      </c>
      <c r="C132" s="99" t="s">
        <v>158</v>
      </c>
      <c r="D132" s="100">
        <v>2000</v>
      </c>
      <c r="E132" s="53"/>
      <c r="F132" s="48">
        <v>0.74</v>
      </c>
      <c r="G132" s="243" t="str">
        <f>INDEX('calcolo base'!$B:$B, MATCH($A132, 'calcolo base'!$A:$A, 0))</f>
        <v>Rame</v>
      </c>
      <c r="H132" s="54" t="str">
        <f t="shared" si="46"/>
        <v>Rame</v>
      </c>
      <c r="I132" s="259">
        <f>IF(  OR(      INDEX('calcolo base'!$D:$D, MATCH($A132, 'calcolo base'!$A:$A, 0)) = 0,
      INDEX('calcolo base'!$D:$D, MATCH($A132, 'calcolo base'!$A:$A, 0)) = ""   ),
   INDEX('calcolo base'!$K:$K, MATCH($A132, 'calcolo base'!$A:$A, 0)),
   INDEX('calcolo base'!$J:$J, MATCH($A132, 'calcolo base'!$A:$A, 0))
) / 1000</f>
        <v>11.455859576664947</v>
      </c>
      <c r="J132" s="50">
        <f t="shared" si="47"/>
        <v>12.195859576664947</v>
      </c>
      <c r="K132" s="50">
        <v>12.5359</v>
      </c>
      <c r="L132" s="267">
        <f>INDEX('calcolo base'!$H:$H, MATCH($A132, 'calcolo base'!$A:$A, 0))</f>
        <v>0.05</v>
      </c>
      <c r="M132" s="50">
        <f t="shared" si="48"/>
        <v>0.60979297883324746</v>
      </c>
      <c r="N132" s="50">
        <f t="shared" si="49"/>
        <v>0.1829378936499742</v>
      </c>
      <c r="O132" s="50">
        <f t="shared" si="54"/>
        <v>0</v>
      </c>
      <c r="P132" s="50">
        <f t="shared" si="50"/>
        <v>0</v>
      </c>
      <c r="Q132" s="51">
        <f t="shared" si="51"/>
        <v>365.8757872999484</v>
      </c>
      <c r="R132" s="205">
        <f t="shared" si="52"/>
        <v>0</v>
      </c>
      <c r="S132" s="279">
        <f>IF(R132="si",0,IF(E132="si",0,IF(J132&gt;K132,0,K132-J132))) + IF(INDEX('calcolo base'!$P:$P, MATCH($A132, 'calcolo base'!$A:$A, 0))="SI", ('Commissioni De Angeli'!K132-'Commissioni De Angeli'!J132), 0)</f>
        <v>0.34004042333505247</v>
      </c>
      <c r="T132" s="117">
        <f t="shared" si="53"/>
        <v>272.03233866804197</v>
      </c>
      <c r="U132" s="272">
        <f>IF(Q132=0,'calcolo base'!L2731,(T132+Q132))</f>
        <v>637.90812596799037</v>
      </c>
      <c r="V132" s="119">
        <v>46156</v>
      </c>
      <c r="Z132" s="118">
        <f t="shared" si="44"/>
        <v>5</v>
      </c>
      <c r="AA132" s="118">
        <f t="shared" si="45"/>
        <v>2026</v>
      </c>
    </row>
    <row r="133" spans="1:27">
      <c r="A133" s="118">
        <v>127</v>
      </c>
      <c r="B133" s="101">
        <v>2601651</v>
      </c>
      <c r="C133" s="99" t="s">
        <v>50</v>
      </c>
      <c r="D133" s="100">
        <v>1800</v>
      </c>
      <c r="E133" s="53"/>
      <c r="F133" s="48">
        <v>0.78</v>
      </c>
      <c r="G133" s="243" t="str">
        <f>INDEX('calcolo base'!$B:$B, MATCH($A133, 'calcolo base'!$A:$A, 0))</f>
        <v>Rame</v>
      </c>
      <c r="H133" s="54" t="str">
        <f t="shared" si="46"/>
        <v>Rame</v>
      </c>
      <c r="I133" s="259">
        <f>IF(  OR(      INDEX('calcolo base'!$D:$D, MATCH($A133, 'calcolo base'!$A:$A, 0)) = 0,
      INDEX('calcolo base'!$D:$D, MATCH($A133, 'calcolo base'!$A:$A, 0)) = ""   ),
   INDEX('calcolo base'!$K:$K, MATCH($A133, 'calcolo base'!$A:$A, 0)),
   INDEX('calcolo base'!$J:$J, MATCH($A133, 'calcolo base'!$A:$A, 0))
) / 1000</f>
        <v>11.416107382550335</v>
      </c>
      <c r="J133" s="50">
        <f t="shared" si="47"/>
        <v>12.196107382550334</v>
      </c>
      <c r="K133" s="50">
        <v>12.196099999999999</v>
      </c>
      <c r="L133" s="267">
        <f>INDEX('calcolo base'!$H:$H, MATCH($A133, 'calcolo base'!$A:$A, 0))</f>
        <v>0.05</v>
      </c>
      <c r="M133" s="50">
        <f t="shared" si="48"/>
        <v>0.60980536912751671</v>
      </c>
      <c r="N133" s="50">
        <f t="shared" si="49"/>
        <v>0.18294161073825502</v>
      </c>
      <c r="O133" s="50">
        <f t="shared" si="54"/>
        <v>0</v>
      </c>
      <c r="P133" s="50">
        <f t="shared" si="50"/>
        <v>0</v>
      </c>
      <c r="Q133" s="51">
        <f t="shared" si="51"/>
        <v>329.294899328859</v>
      </c>
      <c r="R133" s="205">
        <f t="shared" si="52"/>
        <v>0</v>
      </c>
      <c r="S133" s="279">
        <f>IF(R133="si",0,IF(E133="si",0,IF(J133&gt;K133,0,K133-J133))) + IF(INDEX('calcolo base'!$P:$P, MATCH($A133, 'calcolo base'!$A:$A, 0))="SI", ('Commissioni De Angeli'!K133-'Commissioni De Angeli'!J133), 0)</f>
        <v>0</v>
      </c>
      <c r="T133" s="117">
        <f t="shared" si="53"/>
        <v>0</v>
      </c>
      <c r="U133" s="272">
        <f>IF(Q133=0,'calcolo base'!L2732,(T133+Q133))</f>
        <v>329.294899328859</v>
      </c>
      <c r="V133" s="119">
        <v>46206</v>
      </c>
      <c r="Z133" s="118">
        <f t="shared" si="44"/>
        <v>7</v>
      </c>
      <c r="AA133" s="118">
        <f t="shared" si="45"/>
        <v>2026</v>
      </c>
    </row>
    <row r="134" spans="1:27">
      <c r="A134" s="118">
        <v>128</v>
      </c>
      <c r="B134" s="101">
        <v>2601653</v>
      </c>
      <c r="C134" s="75" t="s">
        <v>146</v>
      </c>
      <c r="D134" s="53">
        <v>3000</v>
      </c>
      <c r="E134" s="53"/>
      <c r="F134" s="48">
        <v>5.2</v>
      </c>
      <c r="G134" s="243" t="str">
        <f>INDEX('calcolo base'!$B:$B, MATCH($A134, 'calcolo base'!$A:$A, 0))</f>
        <v>Rame</v>
      </c>
      <c r="H134" s="54" t="str">
        <f t="shared" si="46"/>
        <v>Rame</v>
      </c>
      <c r="I134" s="259">
        <f>IF(  OR(      INDEX('calcolo base'!$D:$D, MATCH($A134, 'calcolo base'!$A:$A, 0)) = 0,
      INDEX('calcolo base'!$D:$D, MATCH($A134, 'calcolo base'!$A:$A, 0)) = ""   ),
   INDEX('calcolo base'!$K:$K, MATCH($A134, 'calcolo base'!$A:$A, 0)),
   INDEX('calcolo base'!$J:$J, MATCH($A134, 'calcolo base'!$A:$A, 0))
) / 1000</f>
        <v>11.39284164859002</v>
      </c>
      <c r="J134" s="50">
        <f t="shared" si="47"/>
        <v>16.592841648590021</v>
      </c>
      <c r="K134" s="50">
        <v>16.817</v>
      </c>
      <c r="L134" s="267">
        <f>INDEX('calcolo base'!$H:$H, MATCH($A134, 'calcolo base'!$A:$A, 0))</f>
        <v>0.05</v>
      </c>
      <c r="M134" s="50">
        <f t="shared" si="48"/>
        <v>0.8296420824295011</v>
      </c>
      <c r="N134" s="50">
        <f t="shared" si="49"/>
        <v>0.24889262472885029</v>
      </c>
      <c r="O134" s="50">
        <f t="shared" si="54"/>
        <v>0</v>
      </c>
      <c r="P134" s="50">
        <f t="shared" si="50"/>
        <v>0</v>
      </c>
      <c r="Q134" s="51">
        <f t="shared" si="51"/>
        <v>746.67787418655087</v>
      </c>
      <c r="R134" s="205">
        <f t="shared" si="52"/>
        <v>0</v>
      </c>
      <c r="S134" s="279">
        <f>IF(R134="si",0,IF(E134="si",0,IF(J134&gt;K134,0,K134-J134))) + IF(INDEX('calcolo base'!$P:$P, MATCH($A134, 'calcolo base'!$A:$A, 0))="SI", ('Commissioni De Angeli'!K134-'Commissioni De Angeli'!J134), 0)</f>
        <v>0.22415835140997942</v>
      </c>
      <c r="T134" s="117">
        <f t="shared" si="53"/>
        <v>268.9900216919753</v>
      </c>
      <c r="U134" s="272">
        <f>IF(Q134=0,'calcolo base'!L2733,(T134+Q134))</f>
        <v>1015.6678958785262</v>
      </c>
      <c r="V134" s="119">
        <v>46167</v>
      </c>
      <c r="Z134" s="118">
        <f t="shared" si="44"/>
        <v>5</v>
      </c>
      <c r="AA134" s="118">
        <f t="shared" si="45"/>
        <v>2026</v>
      </c>
    </row>
    <row r="135" spans="1:27">
      <c r="A135" s="118">
        <v>129</v>
      </c>
      <c r="B135" s="101">
        <v>2601653</v>
      </c>
      <c r="C135" s="75" t="s">
        <v>146</v>
      </c>
      <c r="D135" s="53">
        <v>3000</v>
      </c>
      <c r="E135" s="53"/>
      <c r="F135" s="48">
        <v>5.2</v>
      </c>
      <c r="G135" s="243" t="str">
        <f>INDEX('calcolo base'!$B:$B, MATCH($A135, 'calcolo base'!$A:$A, 0))</f>
        <v>Rame</v>
      </c>
      <c r="H135" s="54" t="str">
        <f t="shared" si="46"/>
        <v>Rame</v>
      </c>
      <c r="I135" s="259">
        <f>IF(  OR(      INDEX('calcolo base'!$D:$D, MATCH($A135, 'calcolo base'!$A:$A, 0)) = 0,
      INDEX('calcolo base'!$D:$D, MATCH($A135, 'calcolo base'!$A:$A, 0)) = ""   ),
   INDEX('calcolo base'!$K:$K, MATCH($A135, 'calcolo base'!$A:$A, 0)),
   INDEX('calcolo base'!$J:$J, MATCH($A135, 'calcolo base'!$A:$A, 0))
) / 1000</f>
        <v>11.39284164859002</v>
      </c>
      <c r="J135" s="50">
        <f t="shared" si="47"/>
        <v>16.592841648590021</v>
      </c>
      <c r="K135" s="50">
        <v>16.817</v>
      </c>
      <c r="L135" s="267">
        <f>INDEX('calcolo base'!$H:$H, MATCH($A135, 'calcolo base'!$A:$A, 0))</f>
        <v>0.05</v>
      </c>
      <c r="M135" s="50">
        <f t="shared" si="48"/>
        <v>0.8296420824295011</v>
      </c>
      <c r="N135" s="50">
        <f t="shared" si="49"/>
        <v>0.24889262472885029</v>
      </c>
      <c r="O135" s="50">
        <f t="shared" si="54"/>
        <v>0</v>
      </c>
      <c r="P135" s="50">
        <f t="shared" si="50"/>
        <v>0</v>
      </c>
      <c r="Q135" s="51">
        <f t="shared" si="51"/>
        <v>746.67787418655087</v>
      </c>
      <c r="R135" s="205">
        <f t="shared" si="52"/>
        <v>0</v>
      </c>
      <c r="S135" s="279">
        <f>IF(R135="si",0,IF(E135="si",0,IF(J135&gt;K135,0,K135-J135))) + IF(INDEX('calcolo base'!$P:$P, MATCH($A135, 'calcolo base'!$A:$A, 0))="SI", ('Commissioni De Angeli'!K135-'Commissioni De Angeli'!J135), 0)</f>
        <v>0.22415835140997942</v>
      </c>
      <c r="T135" s="117">
        <f t="shared" si="53"/>
        <v>268.9900216919753</v>
      </c>
      <c r="U135" s="272">
        <f>IF(Q135=0,'calcolo base'!L2734,(T135+Q135))</f>
        <v>1015.6678958785262</v>
      </c>
      <c r="V135" s="119">
        <v>46188</v>
      </c>
      <c r="Z135" s="118">
        <f t="shared" si="44"/>
        <v>6</v>
      </c>
      <c r="AA135" s="118">
        <f t="shared" si="45"/>
        <v>2026</v>
      </c>
    </row>
    <row r="136" spans="1:27">
      <c r="A136" s="118">
        <v>130</v>
      </c>
      <c r="B136" s="101">
        <v>2505787</v>
      </c>
      <c r="C136" s="109" t="s">
        <v>75</v>
      </c>
      <c r="D136" s="103">
        <v>717.3</v>
      </c>
      <c r="E136" s="53"/>
      <c r="F136" s="48">
        <v>2.6</v>
      </c>
      <c r="G136" s="243" t="str">
        <f>INDEX('calcolo base'!$B:$B, MATCH($A136, 'calcolo base'!$A:$A, 0))</f>
        <v>Rame</v>
      </c>
      <c r="H136" s="54" t="str">
        <f t="shared" si="46"/>
        <v>Rame</v>
      </c>
      <c r="I136" s="259">
        <f>IF(  OR(      INDEX('calcolo base'!$D:$D, MATCH($A136, 'calcolo base'!$A:$A, 0)) = 0,
      INDEX('calcolo base'!$D:$D, MATCH($A136, 'calcolo base'!$A:$A, 0)) = ""   ),
   INDEX('calcolo base'!$K:$K, MATCH($A136, 'calcolo base'!$A:$A, 0)),
   INDEX('calcolo base'!$J:$J, MATCH($A136, 'calcolo base'!$A:$A, 0))
) / 1000</f>
        <v>10.441254949216734</v>
      </c>
      <c r="J136" s="50">
        <f t="shared" si="47"/>
        <v>13.041254949216734</v>
      </c>
      <c r="K136" s="50">
        <v>13.35</v>
      </c>
      <c r="L136" s="267">
        <f>INDEX('calcolo base'!$H:$H, MATCH($A136, 'calcolo base'!$A:$A, 0))</f>
        <v>0.05</v>
      </c>
      <c r="M136" s="50">
        <f t="shared" si="48"/>
        <v>0.6520627474608367</v>
      </c>
      <c r="N136" s="50">
        <f t="shared" si="49"/>
        <v>0.195618824238251</v>
      </c>
      <c r="O136" s="50">
        <f t="shared" si="54"/>
        <v>0</v>
      </c>
      <c r="P136" s="50">
        <f t="shared" si="50"/>
        <v>0</v>
      </c>
      <c r="Q136" s="51">
        <f t="shared" si="51"/>
        <v>140.31738262609744</v>
      </c>
      <c r="R136" s="205">
        <f t="shared" si="52"/>
        <v>0</v>
      </c>
      <c r="S136" s="279">
        <f>IF(R136="si",0,IF(E136="si",0,IF(J136&gt;K136,0,K136-J136))) + IF(INDEX('calcolo base'!$P:$P, MATCH($A136, 'calcolo base'!$A:$A, 0))="SI", ('Commissioni De Angeli'!K136-'Commissioni De Angeli'!J136), 0)</f>
        <v>0.30874505078326564</v>
      </c>
      <c r="T136" s="117">
        <f t="shared" si="53"/>
        <v>88.58512997073457</v>
      </c>
      <c r="U136" s="272">
        <f>IF(Q136=0,'calcolo base'!L2735,(T136+Q136))</f>
        <v>228.90251259683203</v>
      </c>
      <c r="V136" s="119"/>
      <c r="W136" s="118" t="s">
        <v>155</v>
      </c>
      <c r="Z136" s="118">
        <f t="shared" si="44"/>
        <v>0</v>
      </c>
      <c r="AA136" s="118">
        <f t="shared" si="45"/>
        <v>0</v>
      </c>
    </row>
    <row r="137" spans="1:27">
      <c r="A137" s="118">
        <v>131</v>
      </c>
      <c r="B137" s="101">
        <v>2505787</v>
      </c>
      <c r="C137" s="109" t="s">
        <v>75</v>
      </c>
      <c r="D137" s="103">
        <v>406.9</v>
      </c>
      <c r="E137" s="53"/>
      <c r="F137" s="48">
        <v>2.6</v>
      </c>
      <c r="G137" s="243" t="str">
        <f>INDEX('calcolo base'!$B:$B, MATCH($A137, 'calcolo base'!$A:$A, 0))</f>
        <v>Rame</v>
      </c>
      <c r="H137" s="54" t="str">
        <f t="shared" si="46"/>
        <v>Rame</v>
      </c>
      <c r="I137" s="259">
        <f>IF(  OR(      INDEX('calcolo base'!$D:$D, MATCH($A137, 'calcolo base'!$A:$A, 0)) = 0,
      INDEX('calcolo base'!$D:$D, MATCH($A137, 'calcolo base'!$A:$A, 0)) = ""   ),
   INDEX('calcolo base'!$K:$K, MATCH($A137, 'calcolo base'!$A:$A, 0)),
   INDEX('calcolo base'!$J:$J, MATCH($A137, 'calcolo base'!$A:$A, 0))
) / 1000</f>
        <v>10.441254949216734</v>
      </c>
      <c r="J137" s="50">
        <f t="shared" si="47"/>
        <v>13.041254949216734</v>
      </c>
      <c r="K137" s="50">
        <v>13.35</v>
      </c>
      <c r="L137" s="267">
        <f>INDEX('calcolo base'!$H:$H, MATCH($A137, 'calcolo base'!$A:$A, 0))</f>
        <v>0.05</v>
      </c>
      <c r="M137" s="50">
        <f t="shared" si="48"/>
        <v>0.6520627474608367</v>
      </c>
      <c r="N137" s="50">
        <f t="shared" si="49"/>
        <v>0.195618824238251</v>
      </c>
      <c r="O137" s="50">
        <f t="shared" si="54"/>
        <v>0</v>
      </c>
      <c r="P137" s="50">
        <f t="shared" si="50"/>
        <v>0</v>
      </c>
      <c r="Q137" s="51">
        <f t="shared" si="51"/>
        <v>79.597299582544323</v>
      </c>
      <c r="R137" s="205">
        <f t="shared" si="52"/>
        <v>0</v>
      </c>
      <c r="S137" s="279">
        <f>IF(R137="si",0,IF(E137="si",0,IF(J137&gt;K137,0,K137-J137))) + IF(INDEX('calcolo base'!$P:$P, MATCH($A137, 'calcolo base'!$A:$A, 0))="SI", ('Commissioni De Angeli'!K137-'Commissioni De Angeli'!J137), 0)</f>
        <v>0.30874505078326564</v>
      </c>
      <c r="T137" s="117">
        <f t="shared" si="53"/>
        <v>50.251344465484316</v>
      </c>
      <c r="U137" s="272">
        <f>IF(Q137=0,'calcolo base'!L2736,(T137+Q137))</f>
        <v>129.84864404802863</v>
      </c>
      <c r="V137" s="119"/>
      <c r="W137" s="118" t="s">
        <v>155</v>
      </c>
      <c r="Z137" s="118">
        <f t="shared" si="44"/>
        <v>0</v>
      </c>
      <c r="AA137" s="118">
        <f t="shared" si="45"/>
        <v>0</v>
      </c>
    </row>
    <row r="138" spans="1:27">
      <c r="A138" s="118">
        <v>132</v>
      </c>
      <c r="B138" s="101">
        <v>2601685</v>
      </c>
      <c r="C138" s="75" t="s">
        <v>48</v>
      </c>
      <c r="D138" s="53">
        <v>1000</v>
      </c>
      <c r="E138" s="53"/>
      <c r="F138" s="48">
        <v>0.7</v>
      </c>
      <c r="G138" s="243" t="str">
        <f>INDEX('calcolo base'!$B:$B, MATCH($A138, 'calcolo base'!$A:$A, 0))</f>
        <v>Rame</v>
      </c>
      <c r="H138" s="54" t="str">
        <f t="shared" si="46"/>
        <v>Rame</v>
      </c>
      <c r="I138" s="259">
        <f>IF(  OR(      INDEX('calcolo base'!$D:$D, MATCH($A138, 'calcolo base'!$A:$A, 0)) = 0,
      INDEX('calcolo base'!$D:$D, MATCH($A138, 'calcolo base'!$A:$A, 0)) = ""   ),
   INDEX('calcolo base'!$K:$K, MATCH($A138, 'calcolo base'!$A:$A, 0)),
   INDEX('calcolo base'!$J:$J, MATCH($A138, 'calcolo base'!$A:$A, 0))
) / 1000</f>
        <v>11.672295277943812</v>
      </c>
      <c r="J138" s="50">
        <f t="shared" si="47"/>
        <v>12.372295277943811</v>
      </c>
      <c r="K138" s="50">
        <v>12.372299999999999</v>
      </c>
      <c r="L138" s="267">
        <f>INDEX('calcolo base'!$H:$H, MATCH($A138, 'calcolo base'!$A:$A, 0))</f>
        <v>0.05</v>
      </c>
      <c r="M138" s="50">
        <f t="shared" si="48"/>
        <v>0.61861476389719061</v>
      </c>
      <c r="N138" s="50">
        <f t="shared" si="49"/>
        <v>0.18558442916915716</v>
      </c>
      <c r="O138" s="50">
        <f t="shared" si="54"/>
        <v>0</v>
      </c>
      <c r="P138" s="50">
        <f t="shared" si="50"/>
        <v>0</v>
      </c>
      <c r="Q138" s="51">
        <f t="shared" si="51"/>
        <v>185.58442916915715</v>
      </c>
      <c r="R138" s="205">
        <f t="shared" si="52"/>
        <v>0</v>
      </c>
      <c r="S138" s="279">
        <f>IF(R138="si",0,IF(E138="si",0,IF(J138&gt;K138,0,+K138-J138)))+IF('calcolo base'!P1598="SI",('Commissioni De Angeli'!K138-'Commissioni De Angeli'!J138),0)</f>
        <v>4.7220561878447143E-6</v>
      </c>
      <c r="T138" s="117">
        <f t="shared" si="53"/>
        <v>1.8888224751378857E-3</v>
      </c>
      <c r="U138" s="272">
        <f>IF(Q138=0,'calcolo base'!L2737,(T138+Q138))</f>
        <v>185.58631799163228</v>
      </c>
      <c r="V138" s="119">
        <v>46181</v>
      </c>
      <c r="Z138" s="118">
        <f t="shared" si="44"/>
        <v>6</v>
      </c>
      <c r="AA138" s="118">
        <f t="shared" si="45"/>
        <v>2026</v>
      </c>
    </row>
    <row r="139" spans="1:27">
      <c r="A139" s="118">
        <v>133</v>
      </c>
      <c r="B139" s="101">
        <v>2601676</v>
      </c>
      <c r="C139" s="99" t="s">
        <v>50</v>
      </c>
      <c r="D139" s="100">
        <v>350</v>
      </c>
      <c r="E139" s="53"/>
      <c r="F139" s="48">
        <v>0.8</v>
      </c>
      <c r="G139" s="243" t="str">
        <f>INDEX('calcolo base'!$B:$B, MATCH($A139, 'calcolo base'!$A:$A, 0))</f>
        <v>Rame</v>
      </c>
      <c r="H139" s="54" t="str">
        <f t="shared" si="46"/>
        <v>Rame</v>
      </c>
      <c r="I139" s="259">
        <f>IF(  OR(      INDEX('calcolo base'!$D:$D, MATCH($A139, 'calcolo base'!$A:$A, 0)) = 0,
      INDEX('calcolo base'!$D:$D, MATCH($A139, 'calcolo base'!$A:$A, 0)) = ""   ),
   INDEX('calcolo base'!$K:$K, MATCH($A139, 'calcolo base'!$A:$A, 0)),
   INDEX('calcolo base'!$J:$J, MATCH($A139, 'calcolo base'!$A:$A, 0))
) / 1000</f>
        <v>11.642707710699344</v>
      </c>
      <c r="J139" s="50">
        <f t="shared" si="47"/>
        <v>12.442707710699345</v>
      </c>
      <c r="K139" s="50"/>
      <c r="L139" s="267">
        <f>INDEX('calcolo base'!$H:$H, MATCH($A139, 'calcolo base'!$A:$A, 0))</f>
        <v>0.05</v>
      </c>
      <c r="M139" s="50">
        <f t="shared" si="48"/>
        <v>0.62213538553496728</v>
      </c>
      <c r="N139" s="50">
        <f t="shared" si="49"/>
        <v>0.18664061566049017</v>
      </c>
      <c r="O139" s="50">
        <f t="shared" si="54"/>
        <v>0</v>
      </c>
      <c r="P139" s="50">
        <f t="shared" si="50"/>
        <v>0</v>
      </c>
      <c r="Q139" s="51">
        <f t="shared" si="51"/>
        <v>65.324215481171564</v>
      </c>
      <c r="R139" s="205">
        <f t="shared" si="52"/>
        <v>0</v>
      </c>
      <c r="S139" s="279">
        <f>IF(R139="si",0,IF(E139="si",0,IF(J139&gt;K139,0,+K139-J139)))+IF('calcolo base'!P1599="SI",('Commissioni De Angeli'!K139-'Commissioni De Angeli'!J139),0)</f>
        <v>0</v>
      </c>
      <c r="T139" s="117">
        <f t="shared" si="53"/>
        <v>0</v>
      </c>
      <c r="U139" s="272">
        <f>IF(Q139=0,'calcolo base'!L2738,(T139+Q139))</f>
        <v>65.324215481171564</v>
      </c>
      <c r="V139" s="119">
        <v>46269</v>
      </c>
      <c r="Z139" s="118">
        <f t="shared" si="44"/>
        <v>9</v>
      </c>
      <c r="AA139" s="118">
        <f t="shared" si="45"/>
        <v>2026</v>
      </c>
    </row>
    <row r="140" spans="1:27">
      <c r="A140" s="118">
        <v>134</v>
      </c>
      <c r="B140" s="47"/>
      <c r="C140" s="35" t="s">
        <v>78</v>
      </c>
      <c r="D140" s="53">
        <v>1500</v>
      </c>
      <c r="E140" s="53"/>
      <c r="F140" s="48">
        <v>0.85</v>
      </c>
      <c r="G140" s="243" t="str">
        <f>INDEX('calcolo base'!$B:$B, MATCH($A140, 'calcolo base'!$A:$A, 0))</f>
        <v>Rame</v>
      </c>
      <c r="H140" s="54" t="str">
        <f t="shared" si="46"/>
        <v>Rame</v>
      </c>
      <c r="I140" s="259">
        <f>IF(  OR(      INDEX('calcolo base'!$D:$D, MATCH($A140, 'calcolo base'!$A:$A, 0)) = 0,
      INDEX('calcolo base'!$D:$D, MATCH($A140, 'calcolo base'!$A:$A, 0)) = ""   ),
   INDEX('calcolo base'!$K:$K, MATCH($A140, 'calcolo base'!$A:$A, 0)),
   INDEX('calcolo base'!$J:$J, MATCH($A140, 'calcolo base'!$A:$A, 0))
) / 1000</f>
        <v>0</v>
      </c>
      <c r="J140" s="50">
        <f t="shared" si="47"/>
        <v>0.85</v>
      </c>
      <c r="K140" s="50">
        <v>1.2</v>
      </c>
      <c r="L140" s="269">
        <v>0</v>
      </c>
      <c r="M140" s="50">
        <f t="shared" si="48"/>
        <v>0</v>
      </c>
      <c r="N140" s="50">
        <f t="shared" si="49"/>
        <v>0</v>
      </c>
      <c r="O140" s="50">
        <f t="shared" si="54"/>
        <v>0</v>
      </c>
      <c r="P140" s="50">
        <f t="shared" si="50"/>
        <v>6.8000000000000005E-2</v>
      </c>
      <c r="Q140" s="51">
        <f t="shared" si="51"/>
        <v>102.00000000000001</v>
      </c>
      <c r="R140" s="205" t="str">
        <f t="shared" si="52"/>
        <v>si</v>
      </c>
      <c r="S140" s="279">
        <v>0.35</v>
      </c>
      <c r="T140" s="117">
        <f t="shared" si="53"/>
        <v>210</v>
      </c>
      <c r="U140" s="272">
        <f>IF(Q140=0,'calcolo base'!L2739,(T140+Q140))</f>
        <v>312</v>
      </c>
      <c r="V140" s="119"/>
      <c r="Z140" s="118">
        <f t="shared" si="44"/>
        <v>0</v>
      </c>
      <c r="AA140" s="118">
        <f t="shared" si="45"/>
        <v>0</v>
      </c>
    </row>
    <row r="141" spans="1:27">
      <c r="A141" s="118">
        <v>135</v>
      </c>
      <c r="B141" s="47"/>
      <c r="C141" s="35" t="s">
        <v>78</v>
      </c>
      <c r="D141" s="53">
        <v>1500</v>
      </c>
      <c r="E141" s="53"/>
      <c r="F141" s="48">
        <v>0.85</v>
      </c>
      <c r="G141" s="243" t="str">
        <f>INDEX('calcolo base'!$B:$B, MATCH($A141, 'calcolo base'!$A:$A, 0))</f>
        <v>Rame</v>
      </c>
      <c r="H141" s="54" t="str">
        <f t="shared" si="46"/>
        <v>Rame</v>
      </c>
      <c r="I141" s="259">
        <f>IF(  OR(      INDEX('calcolo base'!$D:$D, MATCH($A141, 'calcolo base'!$A:$A, 0)) = 0,
      INDEX('calcolo base'!$D:$D, MATCH($A141, 'calcolo base'!$A:$A, 0)) = ""   ),
   INDEX('calcolo base'!$K:$K, MATCH($A141, 'calcolo base'!$A:$A, 0)),
   INDEX('calcolo base'!$J:$J, MATCH($A141, 'calcolo base'!$A:$A, 0))
) / 1000</f>
        <v>0</v>
      </c>
      <c r="J141" s="50">
        <f t="shared" si="47"/>
        <v>0.85</v>
      </c>
      <c r="K141" s="50">
        <v>1.2</v>
      </c>
      <c r="L141" s="269">
        <v>0</v>
      </c>
      <c r="M141" s="50">
        <f t="shared" si="48"/>
        <v>0</v>
      </c>
      <c r="N141" s="50">
        <f t="shared" si="49"/>
        <v>0</v>
      </c>
      <c r="O141" s="50">
        <f t="shared" ref="O141:O171" si="55">IF($I141=0,0,(IF($G141="alluminio",($J141)*3%,0)+IF($G141="alluminio smaltato",($K141)*3%,0)))</f>
        <v>0</v>
      </c>
      <c r="P141" s="50">
        <f t="shared" si="50"/>
        <v>6.8000000000000005E-2</v>
      </c>
      <c r="Q141" s="51">
        <f t="shared" si="51"/>
        <v>102.00000000000001</v>
      </c>
      <c r="R141" s="205" t="str">
        <f t="shared" si="52"/>
        <v>si</v>
      </c>
      <c r="S141" s="279">
        <v>0.35</v>
      </c>
      <c r="T141" s="117">
        <f t="shared" si="53"/>
        <v>210</v>
      </c>
      <c r="U141" s="272">
        <f>IF(Q141=0,'calcolo base'!L2740,(T141+Q141))</f>
        <v>312</v>
      </c>
      <c r="V141" s="119"/>
      <c r="Z141" s="118">
        <f t="shared" si="44"/>
        <v>0</v>
      </c>
      <c r="AA141" s="118">
        <f t="shared" si="45"/>
        <v>0</v>
      </c>
    </row>
    <row r="142" spans="1:27">
      <c r="A142" s="118">
        <v>136</v>
      </c>
      <c r="B142" s="47"/>
      <c r="C142" s="35" t="s">
        <v>78</v>
      </c>
      <c r="D142" s="53">
        <v>3000</v>
      </c>
      <c r="E142" s="53"/>
      <c r="F142" s="48">
        <v>0.85</v>
      </c>
      <c r="G142" s="243" t="str">
        <f>INDEX('calcolo base'!$B:$B, MATCH($A142, 'calcolo base'!$A:$A, 0))</f>
        <v>Rame</v>
      </c>
      <c r="H142" s="54" t="str">
        <f t="shared" si="46"/>
        <v>Rame</v>
      </c>
      <c r="I142" s="259">
        <f>IF(  OR(      INDEX('calcolo base'!$D:$D, MATCH($A142, 'calcolo base'!$A:$A, 0)) = 0,
      INDEX('calcolo base'!$D:$D, MATCH($A142, 'calcolo base'!$A:$A, 0)) = ""   ),
   INDEX('calcolo base'!$K:$K, MATCH($A142, 'calcolo base'!$A:$A, 0)),
   INDEX('calcolo base'!$J:$J, MATCH($A142, 'calcolo base'!$A:$A, 0))
) / 1000</f>
        <v>0</v>
      </c>
      <c r="J142" s="50">
        <f t="shared" si="47"/>
        <v>0.85</v>
      </c>
      <c r="K142" s="50">
        <v>1.2</v>
      </c>
      <c r="L142" s="269">
        <v>0</v>
      </c>
      <c r="M142" s="50">
        <f t="shared" si="48"/>
        <v>0</v>
      </c>
      <c r="N142" s="50">
        <f t="shared" si="49"/>
        <v>0</v>
      </c>
      <c r="O142" s="50">
        <f t="shared" si="55"/>
        <v>0</v>
      </c>
      <c r="P142" s="50">
        <f t="shared" si="50"/>
        <v>6.8000000000000005E-2</v>
      </c>
      <c r="Q142" s="51">
        <f t="shared" si="51"/>
        <v>204.00000000000003</v>
      </c>
      <c r="R142" s="205" t="str">
        <f t="shared" si="52"/>
        <v>si</v>
      </c>
      <c r="S142" s="279">
        <v>0.35</v>
      </c>
      <c r="T142" s="117">
        <f t="shared" si="53"/>
        <v>420</v>
      </c>
      <c r="U142" s="272">
        <f>IF(Q142=0,'calcolo base'!L2741,(T142+Q142))</f>
        <v>624</v>
      </c>
      <c r="V142" s="119"/>
      <c r="Z142" s="118">
        <f t="shared" si="44"/>
        <v>0</v>
      </c>
      <c r="AA142" s="118">
        <f t="shared" si="45"/>
        <v>0</v>
      </c>
    </row>
    <row r="143" spans="1:27">
      <c r="A143" s="118">
        <v>137</v>
      </c>
      <c r="B143" s="47"/>
      <c r="C143" s="35" t="s">
        <v>78</v>
      </c>
      <c r="D143" s="53">
        <v>1500</v>
      </c>
      <c r="E143" s="53"/>
      <c r="F143" s="48">
        <v>0.85</v>
      </c>
      <c r="G143" s="243" t="str">
        <f>INDEX('calcolo base'!$B:$B, MATCH($A143, 'calcolo base'!$A:$A, 0))</f>
        <v>Rame</v>
      </c>
      <c r="H143" s="54" t="str">
        <f t="shared" si="46"/>
        <v>Rame</v>
      </c>
      <c r="I143" s="259">
        <f>IF(  OR(      INDEX('calcolo base'!$D:$D, MATCH($A143, 'calcolo base'!$A:$A, 0)) = 0,
      INDEX('calcolo base'!$D:$D, MATCH($A143, 'calcolo base'!$A:$A, 0)) = ""   ),
   INDEX('calcolo base'!$K:$K, MATCH($A143, 'calcolo base'!$A:$A, 0)),
   INDEX('calcolo base'!$J:$J, MATCH($A143, 'calcolo base'!$A:$A, 0))
) / 1000</f>
        <v>0</v>
      </c>
      <c r="J143" s="50">
        <f t="shared" si="47"/>
        <v>0.85</v>
      </c>
      <c r="K143" s="50">
        <v>1.2</v>
      </c>
      <c r="L143" s="269">
        <v>0</v>
      </c>
      <c r="M143" s="50">
        <f t="shared" si="48"/>
        <v>0</v>
      </c>
      <c r="N143" s="50">
        <f t="shared" si="49"/>
        <v>0</v>
      </c>
      <c r="O143" s="50">
        <f t="shared" si="55"/>
        <v>0</v>
      </c>
      <c r="P143" s="50">
        <f t="shared" si="50"/>
        <v>6.8000000000000005E-2</v>
      </c>
      <c r="Q143" s="51">
        <f t="shared" si="51"/>
        <v>102.00000000000001</v>
      </c>
      <c r="R143" s="205" t="str">
        <f t="shared" si="52"/>
        <v>si</v>
      </c>
      <c r="S143" s="279">
        <v>0.35</v>
      </c>
      <c r="T143" s="117">
        <f>+(S143)*D143*40%</f>
        <v>210</v>
      </c>
      <c r="U143" s="272">
        <f>IF(Q143=0,'calcolo base'!L2742,(T143+Q143))</f>
        <v>312</v>
      </c>
      <c r="V143" s="119"/>
      <c r="Z143" s="118">
        <f t="shared" si="44"/>
        <v>0</v>
      </c>
      <c r="AA143" s="118">
        <f t="shared" si="45"/>
        <v>0</v>
      </c>
    </row>
    <row r="144" spans="1:27">
      <c r="B144" s="47"/>
      <c r="C144" s="35"/>
      <c r="D144" s="53"/>
      <c r="E144" s="53"/>
      <c r="F144" s="48"/>
      <c r="G144" s="243" t="e">
        <f>INDEX('calcolo base'!$B:$B, MATCH($A144, 'calcolo base'!$A:$A, 0))</f>
        <v>#N/A</v>
      </c>
      <c r="H144" s="54" t="e">
        <f t="shared" si="46"/>
        <v>#N/A</v>
      </c>
      <c r="I144" s="259" t="e">
        <f>IF(  OR(      INDEX('calcolo base'!$D:$D, MATCH($A144, 'calcolo base'!$A:$A, 0)) = 0,
      INDEX('calcolo base'!$D:$D, MATCH($A144, 'calcolo base'!$A:$A, 0)) = ""   ),
   INDEX('calcolo base'!$K:$K, MATCH($A144, 'calcolo base'!$A:$A, 0)),
   INDEX('calcolo base'!$J:$J, MATCH($A144, 'calcolo base'!$A:$A, 0))
) / 1000</f>
        <v>#N/A</v>
      </c>
      <c r="J144" s="50" t="e">
        <f t="shared" si="47"/>
        <v>#N/A</v>
      </c>
      <c r="K144" s="50"/>
      <c r="L144" s="267" t="e">
        <f>INDEX('calcolo base'!$H:$H, MATCH($A144, 'calcolo base'!$A:$A, 0))</f>
        <v>#N/A</v>
      </c>
      <c r="M144" s="50" t="e">
        <f t="shared" si="48"/>
        <v>#N/A</v>
      </c>
      <c r="N144" s="50" t="e">
        <f t="shared" si="49"/>
        <v>#N/A</v>
      </c>
      <c r="O144" s="50" t="e">
        <f t="shared" si="55"/>
        <v>#N/A</v>
      </c>
      <c r="P144" s="50" t="e">
        <f t="shared" si="50"/>
        <v>#N/A</v>
      </c>
      <c r="Q144" s="51" t="e">
        <f t="shared" si="51"/>
        <v>#N/A</v>
      </c>
      <c r="R144" s="205" t="e">
        <f t="shared" si="52"/>
        <v>#N/A</v>
      </c>
      <c r="S144" s="279" t="e">
        <f>IF(R144="si",0,IF(E144="si",0,IF(J144&gt;K144,0,+K144-J144)))+IF('calcolo base'!P1604="SI",('Commissioni De Angeli'!K144-'Commissioni De Angeli'!J144),0)</f>
        <v>#N/A</v>
      </c>
      <c r="T144" s="117" t="e">
        <f t="shared" si="53"/>
        <v>#N/A</v>
      </c>
      <c r="U144" s="272" t="e">
        <f>IF(Q144=0,'calcolo base'!L2743,(T144+Q144))</f>
        <v>#N/A</v>
      </c>
      <c r="V144" s="119"/>
      <c r="Z144" s="118">
        <f t="shared" si="44"/>
        <v>0</v>
      </c>
      <c r="AA144" s="118">
        <f t="shared" si="45"/>
        <v>0</v>
      </c>
    </row>
    <row r="145" spans="2:27">
      <c r="B145" s="47"/>
      <c r="C145" s="35"/>
      <c r="D145" s="53"/>
      <c r="E145" s="53"/>
      <c r="F145" s="48"/>
      <c r="G145" s="243" t="e">
        <f>INDEX('calcolo base'!$B:$B, MATCH($A145, 'calcolo base'!$A:$A, 0))</f>
        <v>#N/A</v>
      </c>
      <c r="H145" s="54" t="e">
        <f t="shared" si="46"/>
        <v>#N/A</v>
      </c>
      <c r="I145" s="259" t="e">
        <f>IF(  OR(      INDEX('calcolo base'!$D:$D, MATCH($A145, 'calcolo base'!$A:$A, 0)) = 0,
      INDEX('calcolo base'!$D:$D, MATCH($A145, 'calcolo base'!$A:$A, 0)) = ""   ),
   INDEX('calcolo base'!$K:$K, MATCH($A145, 'calcolo base'!$A:$A, 0)),
   INDEX('calcolo base'!$J:$J, MATCH($A145, 'calcolo base'!$A:$A, 0))
) / 1000</f>
        <v>#N/A</v>
      </c>
      <c r="J145" s="50" t="e">
        <f t="shared" si="47"/>
        <v>#N/A</v>
      </c>
      <c r="K145" s="50"/>
      <c r="L145" s="267" t="e">
        <f>INDEX('calcolo base'!$H:$H, MATCH($A145, 'calcolo base'!$A:$A, 0))</f>
        <v>#N/A</v>
      </c>
      <c r="M145" s="50" t="e">
        <f t="shared" si="48"/>
        <v>#N/A</v>
      </c>
      <c r="N145" s="50" t="e">
        <f t="shared" si="49"/>
        <v>#N/A</v>
      </c>
      <c r="O145" s="50" t="e">
        <f t="shared" si="55"/>
        <v>#N/A</v>
      </c>
      <c r="P145" s="50" t="e">
        <f t="shared" si="50"/>
        <v>#N/A</v>
      </c>
      <c r="Q145" s="51" t="e">
        <f t="shared" si="51"/>
        <v>#N/A</v>
      </c>
      <c r="R145" s="205" t="e">
        <f t="shared" si="52"/>
        <v>#N/A</v>
      </c>
      <c r="S145" s="279" t="e">
        <f>IF(R145="si",0,IF(E145="si",0,IF(J145&gt;K145,0,+K145-J145)))+IF('calcolo base'!P1605="SI",('Commissioni De Angeli'!K145-'Commissioni De Angeli'!J145),0)</f>
        <v>#N/A</v>
      </c>
      <c r="T145" s="117" t="e">
        <f t="shared" si="53"/>
        <v>#N/A</v>
      </c>
      <c r="U145" s="272" t="e">
        <f>IF(Q145=0,'calcolo base'!L2744,(T145+Q145))</f>
        <v>#N/A</v>
      </c>
      <c r="V145" s="119"/>
      <c r="Z145" s="118">
        <f t="shared" si="44"/>
        <v>0</v>
      </c>
      <c r="AA145" s="118">
        <f t="shared" si="45"/>
        <v>0</v>
      </c>
    </row>
    <row r="146" spans="2:27">
      <c r="B146" s="47"/>
      <c r="C146" s="35"/>
      <c r="D146" s="53"/>
      <c r="E146" s="53"/>
      <c r="F146" s="48"/>
      <c r="G146" s="243" t="e">
        <f>INDEX('calcolo base'!$B:$B, MATCH($A146, 'calcolo base'!$A:$A, 0))</f>
        <v>#N/A</v>
      </c>
      <c r="H146" s="54" t="e">
        <f t="shared" si="46"/>
        <v>#N/A</v>
      </c>
      <c r="I146" s="259" t="e">
        <f>IF(  OR(      INDEX('calcolo base'!$D:$D, MATCH($A146, 'calcolo base'!$A:$A, 0)) = 0,
      INDEX('calcolo base'!$D:$D, MATCH($A146, 'calcolo base'!$A:$A, 0)) = ""   ),
   INDEX('calcolo base'!$K:$K, MATCH($A146, 'calcolo base'!$A:$A, 0)),
   INDEX('calcolo base'!$J:$J, MATCH($A146, 'calcolo base'!$A:$A, 0))
) / 1000</f>
        <v>#N/A</v>
      </c>
      <c r="J146" s="50" t="e">
        <f t="shared" si="47"/>
        <v>#N/A</v>
      </c>
      <c r="K146" s="50"/>
      <c r="L146" s="267" t="e">
        <f>INDEX('calcolo base'!$H:$H, MATCH($A146, 'calcolo base'!$A:$A, 0))</f>
        <v>#N/A</v>
      </c>
      <c r="M146" s="50" t="e">
        <f t="shared" si="48"/>
        <v>#N/A</v>
      </c>
      <c r="N146" s="50" t="e">
        <f t="shared" si="49"/>
        <v>#N/A</v>
      </c>
      <c r="O146" s="50" t="e">
        <f t="shared" si="55"/>
        <v>#N/A</v>
      </c>
      <c r="P146" s="50" t="e">
        <f t="shared" si="50"/>
        <v>#N/A</v>
      </c>
      <c r="Q146" s="51" t="e">
        <f t="shared" si="51"/>
        <v>#N/A</v>
      </c>
      <c r="R146" s="205" t="e">
        <f t="shared" si="52"/>
        <v>#N/A</v>
      </c>
      <c r="S146" s="279" t="e">
        <f>IF(R146="si",0,IF(E146="si",0,IF(J146&gt;K146,0,+K146-J146)))+IF('calcolo base'!P1606="SI",('Commissioni De Angeli'!K146-'Commissioni De Angeli'!J146),0)</f>
        <v>#N/A</v>
      </c>
      <c r="T146" s="117" t="e">
        <f t="shared" si="53"/>
        <v>#N/A</v>
      </c>
      <c r="U146" s="272" t="e">
        <f>IF(Q146=0,'calcolo base'!L2745,(T146+Q146))</f>
        <v>#N/A</v>
      </c>
      <c r="V146" s="119"/>
      <c r="Z146" s="118">
        <f t="shared" si="44"/>
        <v>0</v>
      </c>
      <c r="AA146" s="118">
        <f t="shared" si="45"/>
        <v>0</v>
      </c>
    </row>
    <row r="147" spans="2:27">
      <c r="B147" s="47"/>
      <c r="C147" s="35"/>
      <c r="D147" s="53"/>
      <c r="E147" s="53"/>
      <c r="F147" s="48"/>
      <c r="G147" s="243" t="e">
        <f>INDEX('calcolo base'!$B:$B, MATCH($A147, 'calcolo base'!$A:$A, 0))</f>
        <v>#N/A</v>
      </c>
      <c r="H147" s="54" t="e">
        <f t="shared" si="46"/>
        <v>#N/A</v>
      </c>
      <c r="I147" s="259" t="e">
        <f>IF(  OR(      INDEX('calcolo base'!$D:$D, MATCH($A147, 'calcolo base'!$A:$A, 0)) = 0,
      INDEX('calcolo base'!$D:$D, MATCH($A147, 'calcolo base'!$A:$A, 0)) = ""   ),
   INDEX('calcolo base'!$K:$K, MATCH($A147, 'calcolo base'!$A:$A, 0)),
   INDEX('calcolo base'!$J:$J, MATCH($A147, 'calcolo base'!$A:$A, 0))
) / 1000</f>
        <v>#N/A</v>
      </c>
      <c r="J147" s="50" t="e">
        <f t="shared" si="47"/>
        <v>#N/A</v>
      </c>
      <c r="K147" s="50"/>
      <c r="L147" s="267" t="e">
        <f>INDEX('calcolo base'!$H:$H, MATCH($A147, 'calcolo base'!$A:$A, 0))</f>
        <v>#N/A</v>
      </c>
      <c r="M147" s="50" t="e">
        <f t="shared" si="48"/>
        <v>#N/A</v>
      </c>
      <c r="N147" s="50" t="e">
        <f t="shared" si="49"/>
        <v>#N/A</v>
      </c>
      <c r="O147" s="50" t="e">
        <f t="shared" si="55"/>
        <v>#N/A</v>
      </c>
      <c r="P147" s="50" t="e">
        <f t="shared" si="50"/>
        <v>#N/A</v>
      </c>
      <c r="Q147" s="51" t="e">
        <f t="shared" si="51"/>
        <v>#N/A</v>
      </c>
      <c r="R147" s="205" t="e">
        <f t="shared" si="52"/>
        <v>#N/A</v>
      </c>
      <c r="S147" s="279" t="e">
        <f>IF(R147="si",0,IF(E147="si",0,IF(J147&gt;K147,0,+K147-J147)))+IF('calcolo base'!P1607="SI",('Commissioni De Angeli'!K147-'Commissioni De Angeli'!J147),0)</f>
        <v>#N/A</v>
      </c>
      <c r="T147" s="117" t="e">
        <f t="shared" si="53"/>
        <v>#N/A</v>
      </c>
      <c r="U147" s="272" t="e">
        <f>IF(Q147=0,'calcolo base'!L2746,(T147+Q147))</f>
        <v>#N/A</v>
      </c>
      <c r="V147" s="119"/>
      <c r="Z147" s="118">
        <f t="shared" si="44"/>
        <v>0</v>
      </c>
      <c r="AA147" s="118">
        <f t="shared" si="45"/>
        <v>0</v>
      </c>
    </row>
    <row r="148" spans="2:27">
      <c r="B148" s="47"/>
      <c r="C148" s="35"/>
      <c r="D148" s="53"/>
      <c r="E148" s="53"/>
      <c r="F148" s="48"/>
      <c r="G148" s="243" t="e">
        <f>INDEX('calcolo base'!$B:$B, MATCH($A148, 'calcolo base'!$A:$A, 0))</f>
        <v>#N/A</v>
      </c>
      <c r="H148" s="54" t="e">
        <f t="shared" si="46"/>
        <v>#N/A</v>
      </c>
      <c r="I148" s="259" t="e">
        <f>IF(  OR(      INDEX('calcolo base'!$D:$D, MATCH($A148, 'calcolo base'!$A:$A, 0)) = 0,
      INDEX('calcolo base'!$D:$D, MATCH($A148, 'calcolo base'!$A:$A, 0)) = ""   ),
   INDEX('calcolo base'!$K:$K, MATCH($A148, 'calcolo base'!$A:$A, 0)),
   INDEX('calcolo base'!$J:$J, MATCH($A148, 'calcolo base'!$A:$A, 0))
) / 1000</f>
        <v>#N/A</v>
      </c>
      <c r="J148" s="50" t="e">
        <f t="shared" si="47"/>
        <v>#N/A</v>
      </c>
      <c r="K148" s="50"/>
      <c r="L148" s="267" t="e">
        <f>INDEX('calcolo base'!$H:$H, MATCH($A148, 'calcolo base'!$A:$A, 0))</f>
        <v>#N/A</v>
      </c>
      <c r="M148" s="50" t="e">
        <f t="shared" si="48"/>
        <v>#N/A</v>
      </c>
      <c r="N148" s="50" t="e">
        <f t="shared" si="49"/>
        <v>#N/A</v>
      </c>
      <c r="O148" s="50" t="e">
        <f t="shared" si="55"/>
        <v>#N/A</v>
      </c>
      <c r="P148" s="50" t="e">
        <f t="shared" si="50"/>
        <v>#N/A</v>
      </c>
      <c r="Q148" s="51" t="e">
        <f t="shared" si="51"/>
        <v>#N/A</v>
      </c>
      <c r="R148" s="205" t="e">
        <f t="shared" si="52"/>
        <v>#N/A</v>
      </c>
      <c r="S148" s="279" t="e">
        <f>IF(R148="si",0,IF(E148="si",0,IF(J148&gt;K148,0,+K148-J148)))+IF('calcolo base'!P1608="SI",('Commissioni De Angeli'!K148-'Commissioni De Angeli'!J148),0)</f>
        <v>#N/A</v>
      </c>
      <c r="T148" s="117" t="e">
        <f t="shared" si="53"/>
        <v>#N/A</v>
      </c>
      <c r="U148" s="272" t="e">
        <f>IF(Q148=0,'calcolo base'!L2747,(T148+Q148))</f>
        <v>#N/A</v>
      </c>
      <c r="V148" s="119"/>
      <c r="Z148" s="118">
        <f t="shared" si="44"/>
        <v>0</v>
      </c>
      <c r="AA148" s="118">
        <f t="shared" si="45"/>
        <v>0</v>
      </c>
    </row>
    <row r="149" spans="2:27">
      <c r="B149" s="47"/>
      <c r="C149" s="35"/>
      <c r="D149" s="53"/>
      <c r="E149" s="53"/>
      <c r="F149" s="48"/>
      <c r="G149" s="243" t="e">
        <f>INDEX('calcolo base'!$B:$B, MATCH($A149, 'calcolo base'!$A:$A, 0))</f>
        <v>#N/A</v>
      </c>
      <c r="H149" s="54" t="e">
        <f t="shared" si="46"/>
        <v>#N/A</v>
      </c>
      <c r="I149" s="259" t="e">
        <f>IF(  OR(      INDEX('calcolo base'!$D:$D, MATCH($A149, 'calcolo base'!$A:$A, 0)) = 0,
      INDEX('calcolo base'!$D:$D, MATCH($A149, 'calcolo base'!$A:$A, 0)) = ""   ),
   INDEX('calcolo base'!$K:$K, MATCH($A149, 'calcolo base'!$A:$A, 0)),
   INDEX('calcolo base'!$J:$J, MATCH($A149, 'calcolo base'!$A:$A, 0))
) / 1000</f>
        <v>#N/A</v>
      </c>
      <c r="J149" s="50" t="e">
        <f t="shared" si="47"/>
        <v>#N/A</v>
      </c>
      <c r="K149" s="50"/>
      <c r="L149" s="267" t="e">
        <f>INDEX('calcolo base'!$H:$H, MATCH($A149, 'calcolo base'!$A:$A, 0))</f>
        <v>#N/A</v>
      </c>
      <c r="M149" s="50" t="e">
        <f t="shared" si="48"/>
        <v>#N/A</v>
      </c>
      <c r="N149" s="50" t="e">
        <f t="shared" si="49"/>
        <v>#N/A</v>
      </c>
      <c r="O149" s="50" t="e">
        <f t="shared" si="55"/>
        <v>#N/A</v>
      </c>
      <c r="P149" s="50" t="e">
        <f t="shared" si="50"/>
        <v>#N/A</v>
      </c>
      <c r="Q149" s="51" t="e">
        <f t="shared" si="51"/>
        <v>#N/A</v>
      </c>
      <c r="R149" s="205" t="e">
        <f t="shared" si="52"/>
        <v>#N/A</v>
      </c>
      <c r="S149" s="279" t="e">
        <f>IF(R149="si",0,IF(E149="si",0,IF(J149&gt;K149,0,+K149-J149)))+IF('calcolo base'!P1609="SI",('Commissioni De Angeli'!K149-'Commissioni De Angeli'!J149),0)</f>
        <v>#N/A</v>
      </c>
      <c r="T149" s="117" t="e">
        <f t="shared" si="53"/>
        <v>#N/A</v>
      </c>
      <c r="U149" s="272" t="e">
        <f>IF(Q149=0,'calcolo base'!L2748,(T149+Q149))</f>
        <v>#N/A</v>
      </c>
      <c r="V149" s="119"/>
      <c r="Z149" s="118">
        <f t="shared" ref="Z149:Z171" si="56">IF(V149="",0,MONTH(V149))</f>
        <v>0</v>
      </c>
      <c r="AA149" s="118">
        <f t="shared" ref="AA149:AA171" si="57">IF(V149="",0,YEAR(V149))</f>
        <v>0</v>
      </c>
    </row>
    <row r="150" spans="2:27">
      <c r="B150" s="47"/>
      <c r="C150" s="35"/>
      <c r="D150" s="53"/>
      <c r="E150" s="53"/>
      <c r="F150" s="48"/>
      <c r="G150" s="243" t="e">
        <f>INDEX('calcolo base'!$B:$B, MATCH($A150, 'calcolo base'!$A:$A, 0))</f>
        <v>#N/A</v>
      </c>
      <c r="H150" s="54" t="e">
        <f t="shared" si="46"/>
        <v>#N/A</v>
      </c>
      <c r="I150" s="259" t="e">
        <f>IF(  OR(      INDEX('calcolo base'!$D:$D, MATCH($A150, 'calcolo base'!$A:$A, 0)) = 0,
      INDEX('calcolo base'!$D:$D, MATCH($A150, 'calcolo base'!$A:$A, 0)) = ""   ),
   INDEX('calcolo base'!$K:$K, MATCH($A150, 'calcolo base'!$A:$A, 0)),
   INDEX('calcolo base'!$J:$J, MATCH($A150, 'calcolo base'!$A:$A, 0))
) / 1000</f>
        <v>#N/A</v>
      </c>
      <c r="J150" s="50" t="e">
        <f t="shared" si="47"/>
        <v>#N/A</v>
      </c>
      <c r="K150" s="50"/>
      <c r="L150" s="267" t="e">
        <f>INDEX('calcolo base'!$H:$H, MATCH($A150, 'calcolo base'!$A:$A, 0))</f>
        <v>#N/A</v>
      </c>
      <c r="M150" s="50" t="e">
        <f t="shared" si="48"/>
        <v>#N/A</v>
      </c>
      <c r="N150" s="50" t="e">
        <f t="shared" si="49"/>
        <v>#N/A</v>
      </c>
      <c r="O150" s="50" t="e">
        <f t="shared" si="55"/>
        <v>#N/A</v>
      </c>
      <c r="P150" s="50" t="e">
        <f t="shared" si="50"/>
        <v>#N/A</v>
      </c>
      <c r="Q150" s="51" t="e">
        <f t="shared" si="51"/>
        <v>#N/A</v>
      </c>
      <c r="R150" s="205" t="e">
        <f t="shared" si="52"/>
        <v>#N/A</v>
      </c>
      <c r="S150" s="279" t="e">
        <f>IF(R150="si",0,IF(E150="si",0,IF(J150&gt;K150,0,+K150-J150)))+IF('calcolo base'!P1610="SI",('Commissioni De Angeli'!K150-'Commissioni De Angeli'!J150),0)</f>
        <v>#N/A</v>
      </c>
      <c r="T150" s="117" t="e">
        <f t="shared" si="53"/>
        <v>#N/A</v>
      </c>
      <c r="U150" s="272" t="e">
        <f>IF(Q150=0,'calcolo base'!L2749,(T150+Q150))</f>
        <v>#N/A</v>
      </c>
      <c r="V150" s="119"/>
      <c r="Z150" s="118">
        <f t="shared" si="56"/>
        <v>0</v>
      </c>
      <c r="AA150" s="118">
        <f t="shared" si="57"/>
        <v>0</v>
      </c>
    </row>
    <row r="151" spans="2:27">
      <c r="B151" s="47"/>
      <c r="C151" s="35"/>
      <c r="D151" s="53"/>
      <c r="E151" s="53"/>
      <c r="F151" s="48"/>
      <c r="G151" s="243" t="e">
        <f>INDEX('calcolo base'!$B:$B, MATCH($A151, 'calcolo base'!$A:$A, 0))</f>
        <v>#N/A</v>
      </c>
      <c r="H151" s="54" t="e">
        <f t="shared" si="46"/>
        <v>#N/A</v>
      </c>
      <c r="I151" s="259" t="e">
        <f>IF(  OR(      INDEX('calcolo base'!$D:$D, MATCH($A151, 'calcolo base'!$A:$A, 0)) = 0,
      INDEX('calcolo base'!$D:$D, MATCH($A151, 'calcolo base'!$A:$A, 0)) = ""   ),
   INDEX('calcolo base'!$K:$K, MATCH($A151, 'calcolo base'!$A:$A, 0)),
   INDEX('calcolo base'!$J:$J, MATCH($A151, 'calcolo base'!$A:$A, 0))
) / 1000</f>
        <v>#N/A</v>
      </c>
      <c r="J151" s="50" t="e">
        <f t="shared" si="47"/>
        <v>#N/A</v>
      </c>
      <c r="K151" s="50"/>
      <c r="L151" s="267" t="e">
        <f>INDEX('calcolo base'!$H:$H, MATCH($A151, 'calcolo base'!$A:$A, 0))</f>
        <v>#N/A</v>
      </c>
      <c r="M151" s="50" t="e">
        <f t="shared" si="48"/>
        <v>#N/A</v>
      </c>
      <c r="N151" s="50" t="e">
        <f t="shared" si="49"/>
        <v>#N/A</v>
      </c>
      <c r="O151" s="50" t="e">
        <f t="shared" si="55"/>
        <v>#N/A</v>
      </c>
      <c r="P151" s="50" t="e">
        <f t="shared" si="50"/>
        <v>#N/A</v>
      </c>
      <c r="Q151" s="51" t="e">
        <f t="shared" si="51"/>
        <v>#N/A</v>
      </c>
      <c r="R151" s="205" t="e">
        <f t="shared" si="52"/>
        <v>#N/A</v>
      </c>
      <c r="S151" s="279" t="e">
        <f>IF(R151="si",0,IF(E151="si",0,IF(J151&gt;K151,0,+K151-J151)))+IF('calcolo base'!P1611="SI",('Commissioni De Angeli'!K151-'Commissioni De Angeli'!J151),0)</f>
        <v>#N/A</v>
      </c>
      <c r="T151" s="117" t="e">
        <f t="shared" si="53"/>
        <v>#N/A</v>
      </c>
      <c r="U151" s="272" t="e">
        <f>IF(Q151=0,'calcolo base'!L2750,(T151+Q151))</f>
        <v>#N/A</v>
      </c>
      <c r="V151" s="119"/>
      <c r="Z151" s="118">
        <f t="shared" si="56"/>
        <v>0</v>
      </c>
      <c r="AA151" s="118">
        <f t="shared" si="57"/>
        <v>0</v>
      </c>
    </row>
    <row r="152" spans="2:27">
      <c r="B152" s="47"/>
      <c r="C152" s="35"/>
      <c r="D152" s="53"/>
      <c r="E152" s="53"/>
      <c r="F152" s="48"/>
      <c r="G152" s="243" t="e">
        <f>INDEX('calcolo base'!$B:$B, MATCH($A152, 'calcolo base'!$A:$A, 0))</f>
        <v>#N/A</v>
      </c>
      <c r="H152" s="54" t="e">
        <f t="shared" si="46"/>
        <v>#N/A</v>
      </c>
      <c r="I152" s="259" t="e">
        <f>IF(  OR(      INDEX('calcolo base'!$D:$D, MATCH($A152, 'calcolo base'!$A:$A, 0)) = 0,
      INDEX('calcolo base'!$D:$D, MATCH($A152, 'calcolo base'!$A:$A, 0)) = ""   ),
   INDEX('calcolo base'!$K:$K, MATCH($A152, 'calcolo base'!$A:$A, 0)),
   INDEX('calcolo base'!$J:$J, MATCH($A152, 'calcolo base'!$A:$A, 0))
) / 1000</f>
        <v>#N/A</v>
      </c>
      <c r="J152" s="50" t="e">
        <f t="shared" si="47"/>
        <v>#N/A</v>
      </c>
      <c r="K152" s="50"/>
      <c r="L152" s="267" t="e">
        <f>INDEX('calcolo base'!$H:$H, MATCH($A152, 'calcolo base'!$A:$A, 0))</f>
        <v>#N/A</v>
      </c>
      <c r="M152" s="50" t="e">
        <f t="shared" si="48"/>
        <v>#N/A</v>
      </c>
      <c r="N152" s="50" t="e">
        <f t="shared" si="49"/>
        <v>#N/A</v>
      </c>
      <c r="O152" s="50" t="e">
        <f t="shared" si="55"/>
        <v>#N/A</v>
      </c>
      <c r="P152" s="50" t="e">
        <f t="shared" si="50"/>
        <v>#N/A</v>
      </c>
      <c r="Q152" s="51" t="e">
        <f t="shared" si="51"/>
        <v>#N/A</v>
      </c>
      <c r="R152" s="205" t="e">
        <f t="shared" si="52"/>
        <v>#N/A</v>
      </c>
      <c r="S152" s="279" t="e">
        <f>IF(R152="si",0,IF(E152="si",0,IF(J152&gt;K152,0,+K152-J152)))+IF('calcolo base'!P1612="SI",('Commissioni De Angeli'!K152-'Commissioni De Angeli'!J152),0)</f>
        <v>#N/A</v>
      </c>
      <c r="T152" s="117" t="e">
        <f t="shared" si="53"/>
        <v>#N/A</v>
      </c>
      <c r="U152" s="272" t="e">
        <f>IF(Q152=0,'calcolo base'!L2751,(T152+Q152))</f>
        <v>#N/A</v>
      </c>
      <c r="V152" s="119"/>
      <c r="Z152" s="118">
        <f t="shared" si="56"/>
        <v>0</v>
      </c>
      <c r="AA152" s="118">
        <f t="shared" si="57"/>
        <v>0</v>
      </c>
    </row>
    <row r="153" spans="2:27">
      <c r="B153" s="47"/>
      <c r="C153" s="35"/>
      <c r="D153" s="53"/>
      <c r="E153" s="53"/>
      <c r="F153" s="48"/>
      <c r="G153" s="243" t="e">
        <f>INDEX('calcolo base'!$B:$B, MATCH($A153, 'calcolo base'!$A:$A, 0))</f>
        <v>#N/A</v>
      </c>
      <c r="H153" s="54" t="e">
        <f t="shared" si="46"/>
        <v>#N/A</v>
      </c>
      <c r="I153" s="259" t="e">
        <f>IF(  OR(      INDEX('calcolo base'!$D:$D, MATCH($A153, 'calcolo base'!$A:$A, 0)) = 0,
      INDEX('calcolo base'!$D:$D, MATCH($A153, 'calcolo base'!$A:$A, 0)) = ""   ),
   INDEX('calcolo base'!$K:$K, MATCH($A153, 'calcolo base'!$A:$A, 0)),
   INDEX('calcolo base'!$J:$J, MATCH($A153, 'calcolo base'!$A:$A, 0))
) / 1000</f>
        <v>#N/A</v>
      </c>
      <c r="J153" s="50" t="e">
        <f t="shared" si="47"/>
        <v>#N/A</v>
      </c>
      <c r="K153" s="50"/>
      <c r="L153" s="267" t="e">
        <f>INDEX('calcolo base'!$H:$H, MATCH($A153, 'calcolo base'!$A:$A, 0))</f>
        <v>#N/A</v>
      </c>
      <c r="M153" s="50" t="e">
        <f t="shared" si="48"/>
        <v>#N/A</v>
      </c>
      <c r="N153" s="50" t="e">
        <f t="shared" si="49"/>
        <v>#N/A</v>
      </c>
      <c r="O153" s="50" t="e">
        <f t="shared" si="55"/>
        <v>#N/A</v>
      </c>
      <c r="P153" s="50" t="e">
        <f t="shared" si="50"/>
        <v>#N/A</v>
      </c>
      <c r="Q153" s="51" t="e">
        <f t="shared" si="51"/>
        <v>#N/A</v>
      </c>
      <c r="R153" s="205" t="e">
        <f t="shared" si="52"/>
        <v>#N/A</v>
      </c>
      <c r="S153" s="279" t="e">
        <f>IF(R153="si",0,IF(E153="si",0,IF(J153&gt;K153,0,+K153-J153)))+IF('calcolo base'!P1613="SI",('Commissioni De Angeli'!K153-'Commissioni De Angeli'!J153),0)</f>
        <v>#N/A</v>
      </c>
      <c r="T153" s="117" t="e">
        <f t="shared" si="53"/>
        <v>#N/A</v>
      </c>
      <c r="U153" s="272" t="e">
        <f>IF(Q153=0,'calcolo base'!L2752,(T153+Q153))</f>
        <v>#N/A</v>
      </c>
      <c r="V153" s="119"/>
      <c r="Z153" s="118">
        <f t="shared" si="56"/>
        <v>0</v>
      </c>
      <c r="AA153" s="118">
        <f t="shared" si="57"/>
        <v>0</v>
      </c>
    </row>
    <row r="154" spans="2:27">
      <c r="B154" s="47"/>
      <c r="C154" s="35"/>
      <c r="D154" s="53"/>
      <c r="E154" s="53"/>
      <c r="F154" s="48"/>
      <c r="G154" s="243" t="e">
        <f>INDEX('calcolo base'!$B:$B, MATCH($A154, 'calcolo base'!$A:$A, 0))</f>
        <v>#N/A</v>
      </c>
      <c r="H154" s="54" t="e">
        <f t="shared" si="46"/>
        <v>#N/A</v>
      </c>
      <c r="I154" s="259" t="e">
        <f>IF(  OR(      INDEX('calcolo base'!$D:$D, MATCH($A154, 'calcolo base'!$A:$A, 0)) = 0,
      INDEX('calcolo base'!$D:$D, MATCH($A154, 'calcolo base'!$A:$A, 0)) = ""   ),
   INDEX('calcolo base'!$K:$K, MATCH($A154, 'calcolo base'!$A:$A, 0)),
   INDEX('calcolo base'!$J:$J, MATCH($A154, 'calcolo base'!$A:$A, 0))
) / 1000</f>
        <v>#N/A</v>
      </c>
      <c r="J154" s="50" t="e">
        <f t="shared" si="47"/>
        <v>#N/A</v>
      </c>
      <c r="K154" s="50"/>
      <c r="L154" s="267" t="e">
        <f>INDEX('calcolo base'!$H:$H, MATCH($A154, 'calcolo base'!$A:$A, 0))</f>
        <v>#N/A</v>
      </c>
      <c r="M154" s="50" t="e">
        <f t="shared" si="48"/>
        <v>#N/A</v>
      </c>
      <c r="N154" s="50" t="e">
        <f t="shared" si="49"/>
        <v>#N/A</v>
      </c>
      <c r="O154" s="50" t="e">
        <f t="shared" si="55"/>
        <v>#N/A</v>
      </c>
      <c r="P154" s="50" t="e">
        <f t="shared" si="50"/>
        <v>#N/A</v>
      </c>
      <c r="Q154" s="51" t="e">
        <f t="shared" si="51"/>
        <v>#N/A</v>
      </c>
      <c r="R154" s="205" t="e">
        <f t="shared" si="52"/>
        <v>#N/A</v>
      </c>
      <c r="S154" s="279" t="e">
        <f>IF(R154="si",0,IF(E154="si",0,IF(J154&gt;K154,0,+K154-J154)))+IF('calcolo base'!P1614="SI",('Commissioni De Angeli'!K154-'Commissioni De Angeli'!J154),0)</f>
        <v>#N/A</v>
      </c>
      <c r="T154" s="117" t="e">
        <f t="shared" si="53"/>
        <v>#N/A</v>
      </c>
      <c r="U154" s="272" t="e">
        <f>IF(Q154=0,'calcolo base'!L2753,(T154+Q154))</f>
        <v>#N/A</v>
      </c>
      <c r="V154" s="119"/>
      <c r="Z154" s="118">
        <f t="shared" si="56"/>
        <v>0</v>
      </c>
      <c r="AA154" s="118">
        <f t="shared" si="57"/>
        <v>0</v>
      </c>
    </row>
    <row r="155" spans="2:27">
      <c r="B155" s="47"/>
      <c r="C155" s="35"/>
      <c r="D155" s="53"/>
      <c r="E155" s="53"/>
      <c r="F155" s="48"/>
      <c r="G155" s="243" t="e">
        <f>INDEX('calcolo base'!$B:$B, MATCH($A155, 'calcolo base'!$A:$A, 0))</f>
        <v>#N/A</v>
      </c>
      <c r="H155" s="54" t="e">
        <f t="shared" si="46"/>
        <v>#N/A</v>
      </c>
      <c r="I155" s="259" t="e">
        <f>IF(  OR(      INDEX('calcolo base'!$D:$D, MATCH($A155, 'calcolo base'!$A:$A, 0)) = 0,
      INDEX('calcolo base'!$D:$D, MATCH($A155, 'calcolo base'!$A:$A, 0)) = ""   ),
   INDEX('calcolo base'!$K:$K, MATCH($A155, 'calcolo base'!$A:$A, 0)),
   INDEX('calcolo base'!$J:$J, MATCH($A155, 'calcolo base'!$A:$A, 0))
) / 1000</f>
        <v>#N/A</v>
      </c>
      <c r="J155" s="50" t="e">
        <f t="shared" si="47"/>
        <v>#N/A</v>
      </c>
      <c r="K155" s="50"/>
      <c r="L155" s="267" t="e">
        <f>INDEX('calcolo base'!$H:$H, MATCH($A155, 'calcolo base'!$A:$A, 0))</f>
        <v>#N/A</v>
      </c>
      <c r="M155" s="50" t="e">
        <f t="shared" si="48"/>
        <v>#N/A</v>
      </c>
      <c r="N155" s="50" t="e">
        <f t="shared" si="49"/>
        <v>#N/A</v>
      </c>
      <c r="O155" s="50" t="e">
        <f t="shared" si="55"/>
        <v>#N/A</v>
      </c>
      <c r="P155" s="50" t="e">
        <f t="shared" si="50"/>
        <v>#N/A</v>
      </c>
      <c r="Q155" s="51" t="e">
        <f t="shared" si="51"/>
        <v>#N/A</v>
      </c>
      <c r="R155" s="205" t="e">
        <f t="shared" si="52"/>
        <v>#N/A</v>
      </c>
      <c r="S155" s="279" t="e">
        <f>IF(R155="si",0,IF(E155="si",0,IF(J155&gt;K155,0,+K155-J155)))+IF('calcolo base'!P1615="SI",('Commissioni De Angeli'!K155-'Commissioni De Angeli'!J155),0)</f>
        <v>#N/A</v>
      </c>
      <c r="T155" s="117" t="e">
        <f t="shared" si="53"/>
        <v>#N/A</v>
      </c>
      <c r="U155" s="272" t="e">
        <f>IF(Q155=0,'calcolo base'!L2754,(T155+Q155))</f>
        <v>#N/A</v>
      </c>
      <c r="V155" s="119"/>
      <c r="Z155" s="118">
        <f t="shared" si="56"/>
        <v>0</v>
      </c>
      <c r="AA155" s="118">
        <f t="shared" si="57"/>
        <v>0</v>
      </c>
    </row>
    <row r="156" spans="2:27">
      <c r="B156" s="47"/>
      <c r="C156" s="35"/>
      <c r="D156" s="53"/>
      <c r="E156" s="53"/>
      <c r="F156" s="48"/>
      <c r="G156" s="243" t="e">
        <f>INDEX('calcolo base'!$B:$B, MATCH($A156, 'calcolo base'!$A:$A, 0))</f>
        <v>#N/A</v>
      </c>
      <c r="H156" s="54" t="e">
        <f t="shared" ref="H156:H171" si="58">IF(G156=0,"",+G156)</f>
        <v>#N/A</v>
      </c>
      <c r="I156" s="259" t="e">
        <f>IF(  OR(      INDEX('calcolo base'!$D:$D, MATCH($A156, 'calcolo base'!$A:$A, 0)) = 0,
      INDEX('calcolo base'!$D:$D, MATCH($A156, 'calcolo base'!$A:$A, 0)) = ""   ),
   INDEX('calcolo base'!$K:$K, MATCH($A156, 'calcolo base'!$A:$A, 0)),
   INDEX('calcolo base'!$J:$J, MATCH($A156, 'calcolo base'!$A:$A, 0))
) / 1000</f>
        <v>#N/A</v>
      </c>
      <c r="J156" s="50" t="e">
        <f t="shared" ref="J156:J171" si="59">+F156+I156</f>
        <v>#N/A</v>
      </c>
      <c r="K156" s="50"/>
      <c r="L156" s="267" t="e">
        <f>INDEX('calcolo base'!$H:$H, MATCH($A156, 'calcolo base'!$A:$A, 0))</f>
        <v>#N/A</v>
      </c>
      <c r="M156" s="50" t="e">
        <f t="shared" ref="M156:M171" si="60">IF(L156=0,0,J156*L156)</f>
        <v>#N/A</v>
      </c>
      <c r="N156" s="50" t="e">
        <f t="shared" ref="N156:N171" si="61">IF(E156="si",K156*1.5%,IF($L156&gt;=5%,IF($I156=0,0,(IF($G156="RAME",($J156)*1.5%,0)+IF($G156="rame smaltato",($K156)*1.5%,0))),0))</f>
        <v>#N/A</v>
      </c>
      <c r="O156" s="50" t="e">
        <f t="shared" si="55"/>
        <v>#N/A</v>
      </c>
      <c r="P156" s="50" t="e">
        <f t="shared" ref="P156:P171" si="62">IF(H156="alluminio",0,IF(L156&lt;5%,F156*8%,0))</f>
        <v>#N/A</v>
      </c>
      <c r="Q156" s="51" t="e">
        <f t="shared" ref="Q156:Q171" si="63">+(N156*D156)+(O156*D156)+(P156*D156)</f>
        <v>#N/A</v>
      </c>
      <c r="R156" s="205" t="e">
        <f t="shared" ref="R156:R171" si="64">IF(H156="ALLUMINIO",0,IF(L156&lt;5%,"si",0))</f>
        <v>#N/A</v>
      </c>
      <c r="S156" s="279" t="e">
        <f>IF(R156="si",0,IF(E156="si",0,IF(J156&gt;K156,0,+K156-J156)))+IF('calcolo base'!P1616="SI",('Commissioni De Angeli'!K156-'Commissioni De Angeli'!J156),0)</f>
        <v>#N/A</v>
      </c>
      <c r="T156" s="117" t="e">
        <f t="shared" ref="T156:T171" si="65">+(S156)*D156*40%</f>
        <v>#N/A</v>
      </c>
      <c r="U156" s="272" t="e">
        <f>IF(Q156=0,'calcolo base'!L2755,(T156+Q156))</f>
        <v>#N/A</v>
      </c>
      <c r="V156" s="119"/>
      <c r="Z156" s="118">
        <f t="shared" si="56"/>
        <v>0</v>
      </c>
      <c r="AA156" s="118">
        <f t="shared" si="57"/>
        <v>0</v>
      </c>
    </row>
    <row r="157" spans="2:27">
      <c r="B157" s="47"/>
      <c r="C157" s="35"/>
      <c r="D157" s="53"/>
      <c r="E157" s="53"/>
      <c r="F157" s="48"/>
      <c r="G157" s="243" t="e">
        <f>INDEX('calcolo base'!$B:$B, MATCH($A157, 'calcolo base'!$A:$A, 0))</f>
        <v>#N/A</v>
      </c>
      <c r="H157" s="54" t="e">
        <f t="shared" si="58"/>
        <v>#N/A</v>
      </c>
      <c r="I157" s="259" t="e">
        <f>IF(  OR(      INDEX('calcolo base'!$D:$D, MATCH($A157, 'calcolo base'!$A:$A, 0)) = 0,
      INDEX('calcolo base'!$D:$D, MATCH($A157, 'calcolo base'!$A:$A, 0)) = ""   ),
   INDEX('calcolo base'!$K:$K, MATCH($A157, 'calcolo base'!$A:$A, 0)),
   INDEX('calcolo base'!$J:$J, MATCH($A157, 'calcolo base'!$A:$A, 0))
) / 1000</f>
        <v>#N/A</v>
      </c>
      <c r="J157" s="50" t="e">
        <f t="shared" si="59"/>
        <v>#N/A</v>
      </c>
      <c r="K157" s="50"/>
      <c r="L157" s="267" t="e">
        <f>INDEX('calcolo base'!$H:$H, MATCH($A157, 'calcolo base'!$A:$A, 0))</f>
        <v>#N/A</v>
      </c>
      <c r="M157" s="50" t="e">
        <f t="shared" si="60"/>
        <v>#N/A</v>
      </c>
      <c r="N157" s="50" t="e">
        <f t="shared" si="61"/>
        <v>#N/A</v>
      </c>
      <c r="O157" s="50" t="e">
        <f t="shared" si="55"/>
        <v>#N/A</v>
      </c>
      <c r="P157" s="50" t="e">
        <f t="shared" si="62"/>
        <v>#N/A</v>
      </c>
      <c r="Q157" s="51" t="e">
        <f t="shared" si="63"/>
        <v>#N/A</v>
      </c>
      <c r="R157" s="205" t="e">
        <f t="shared" si="64"/>
        <v>#N/A</v>
      </c>
      <c r="S157" s="279" t="e">
        <f>IF(R157="si",0,IF(E157="si",0,IF(J157&gt;K157,0,+K157-J157)))+IF('calcolo base'!P1617="SI",('Commissioni De Angeli'!K157-'Commissioni De Angeli'!J157),0)</f>
        <v>#N/A</v>
      </c>
      <c r="T157" s="117" t="e">
        <f t="shared" si="65"/>
        <v>#N/A</v>
      </c>
      <c r="U157" s="272" t="e">
        <f>IF(Q157=0,'calcolo base'!L2756,(T157+Q157))</f>
        <v>#N/A</v>
      </c>
      <c r="V157" s="119"/>
      <c r="Z157" s="118">
        <f t="shared" si="56"/>
        <v>0</v>
      </c>
      <c r="AA157" s="118">
        <f t="shared" si="57"/>
        <v>0</v>
      </c>
    </row>
    <row r="158" spans="2:27">
      <c r="B158" s="47"/>
      <c r="C158" s="35"/>
      <c r="D158" s="53"/>
      <c r="E158" s="53"/>
      <c r="F158" s="48"/>
      <c r="G158" s="243" t="e">
        <f>INDEX('calcolo base'!$B:$B, MATCH($A158, 'calcolo base'!$A:$A, 0))</f>
        <v>#N/A</v>
      </c>
      <c r="H158" s="54" t="e">
        <f t="shared" si="58"/>
        <v>#N/A</v>
      </c>
      <c r="I158" s="259" t="e">
        <f>IF(  OR(      INDEX('calcolo base'!$D:$D, MATCH($A158, 'calcolo base'!$A:$A, 0)) = 0,
      INDEX('calcolo base'!$D:$D, MATCH($A158, 'calcolo base'!$A:$A, 0)) = ""   ),
   INDEX('calcolo base'!$K:$K, MATCH($A158, 'calcolo base'!$A:$A, 0)),
   INDEX('calcolo base'!$J:$J, MATCH($A158, 'calcolo base'!$A:$A, 0))
) / 1000</f>
        <v>#N/A</v>
      </c>
      <c r="J158" s="50" t="e">
        <f t="shared" si="59"/>
        <v>#N/A</v>
      </c>
      <c r="K158" s="50"/>
      <c r="L158" s="267" t="e">
        <f>INDEX('calcolo base'!$H:$H, MATCH($A158, 'calcolo base'!$A:$A, 0))</f>
        <v>#N/A</v>
      </c>
      <c r="M158" s="50" t="e">
        <f t="shared" si="60"/>
        <v>#N/A</v>
      </c>
      <c r="N158" s="50" t="e">
        <f t="shared" si="61"/>
        <v>#N/A</v>
      </c>
      <c r="O158" s="50" t="e">
        <f t="shared" si="55"/>
        <v>#N/A</v>
      </c>
      <c r="P158" s="50" t="e">
        <f t="shared" si="62"/>
        <v>#N/A</v>
      </c>
      <c r="Q158" s="51" t="e">
        <f t="shared" si="63"/>
        <v>#N/A</v>
      </c>
      <c r="R158" s="205" t="e">
        <f t="shared" si="64"/>
        <v>#N/A</v>
      </c>
      <c r="S158" s="279" t="e">
        <f>IF(R158="si",0,IF(E158="si",0,IF(J158&gt;K158,0,+K158-J158)))+IF('calcolo base'!P1618="SI",('Commissioni De Angeli'!K158-'Commissioni De Angeli'!J158),0)</f>
        <v>#N/A</v>
      </c>
      <c r="T158" s="117" t="e">
        <f t="shared" si="65"/>
        <v>#N/A</v>
      </c>
      <c r="U158" s="272" t="e">
        <f>IF(Q158=0,'calcolo base'!L2757,(T158+Q158))</f>
        <v>#N/A</v>
      </c>
      <c r="V158" s="119"/>
      <c r="Z158" s="118">
        <f t="shared" si="56"/>
        <v>0</v>
      </c>
      <c r="AA158" s="118">
        <f t="shared" si="57"/>
        <v>0</v>
      </c>
    </row>
    <row r="159" spans="2:27">
      <c r="B159" s="47"/>
      <c r="C159" s="35"/>
      <c r="D159" s="53"/>
      <c r="E159" s="53"/>
      <c r="F159" s="48"/>
      <c r="G159" s="243" t="e">
        <f>INDEX('calcolo base'!$B:$B, MATCH($A159, 'calcolo base'!$A:$A, 0))</f>
        <v>#N/A</v>
      </c>
      <c r="H159" s="54" t="e">
        <f t="shared" si="58"/>
        <v>#N/A</v>
      </c>
      <c r="I159" s="259" t="e">
        <f>IF(  OR(      INDEX('calcolo base'!$D:$D, MATCH($A159, 'calcolo base'!$A:$A, 0)) = 0,
      INDEX('calcolo base'!$D:$D, MATCH($A159, 'calcolo base'!$A:$A, 0)) = ""   ),
   INDEX('calcolo base'!$K:$K, MATCH($A159, 'calcolo base'!$A:$A, 0)),
   INDEX('calcolo base'!$J:$J, MATCH($A159, 'calcolo base'!$A:$A, 0))
) / 1000</f>
        <v>#N/A</v>
      </c>
      <c r="J159" s="50" t="e">
        <f t="shared" si="59"/>
        <v>#N/A</v>
      </c>
      <c r="K159" s="50"/>
      <c r="L159" s="267" t="e">
        <f>INDEX('calcolo base'!$H:$H, MATCH($A159, 'calcolo base'!$A:$A, 0))</f>
        <v>#N/A</v>
      </c>
      <c r="M159" s="50" t="e">
        <f t="shared" si="60"/>
        <v>#N/A</v>
      </c>
      <c r="N159" s="50" t="e">
        <f t="shared" si="61"/>
        <v>#N/A</v>
      </c>
      <c r="O159" s="50" t="e">
        <f t="shared" si="55"/>
        <v>#N/A</v>
      </c>
      <c r="P159" s="50" t="e">
        <f t="shared" si="62"/>
        <v>#N/A</v>
      </c>
      <c r="Q159" s="51" t="e">
        <f t="shared" si="63"/>
        <v>#N/A</v>
      </c>
      <c r="R159" s="205" t="e">
        <f t="shared" si="64"/>
        <v>#N/A</v>
      </c>
      <c r="S159" s="279" t="e">
        <f>IF(R159="si",0,IF(E159="si",0,IF(J159&gt;K159,0,+K159-J159)))+IF('calcolo base'!P1619="SI",('Commissioni De Angeli'!K159-'Commissioni De Angeli'!J159),0)</f>
        <v>#N/A</v>
      </c>
      <c r="T159" s="117" t="e">
        <f t="shared" si="65"/>
        <v>#N/A</v>
      </c>
      <c r="U159" s="272" t="e">
        <f>IF(Q159=0,'calcolo base'!L2758,(T159+Q159))</f>
        <v>#N/A</v>
      </c>
      <c r="V159" s="119"/>
      <c r="Z159" s="118">
        <f t="shared" si="56"/>
        <v>0</v>
      </c>
      <c r="AA159" s="118">
        <f t="shared" si="57"/>
        <v>0</v>
      </c>
    </row>
    <row r="160" spans="2:27">
      <c r="B160" s="47"/>
      <c r="C160" s="35"/>
      <c r="D160" s="53"/>
      <c r="E160" s="53"/>
      <c r="F160" s="48"/>
      <c r="G160" s="243" t="e">
        <f>INDEX('calcolo base'!$B:$B, MATCH($A160, 'calcolo base'!$A:$A, 0))</f>
        <v>#N/A</v>
      </c>
      <c r="H160" s="54" t="e">
        <f t="shared" si="58"/>
        <v>#N/A</v>
      </c>
      <c r="I160" s="259" t="e">
        <f>IF(  OR(      INDEX('calcolo base'!$D:$D, MATCH($A160, 'calcolo base'!$A:$A, 0)) = 0,
      INDEX('calcolo base'!$D:$D, MATCH($A160, 'calcolo base'!$A:$A, 0)) = ""   ),
   INDEX('calcolo base'!$K:$K, MATCH($A160, 'calcolo base'!$A:$A, 0)),
   INDEX('calcolo base'!$J:$J, MATCH($A160, 'calcolo base'!$A:$A, 0))
) / 1000</f>
        <v>#N/A</v>
      </c>
      <c r="J160" s="50" t="e">
        <f t="shared" si="59"/>
        <v>#N/A</v>
      </c>
      <c r="K160" s="50"/>
      <c r="L160" s="267" t="e">
        <f>INDEX('calcolo base'!$H:$H, MATCH($A160, 'calcolo base'!$A:$A, 0))</f>
        <v>#N/A</v>
      </c>
      <c r="M160" s="50" t="e">
        <f t="shared" si="60"/>
        <v>#N/A</v>
      </c>
      <c r="N160" s="50" t="e">
        <f t="shared" si="61"/>
        <v>#N/A</v>
      </c>
      <c r="O160" s="50" t="e">
        <f t="shared" si="55"/>
        <v>#N/A</v>
      </c>
      <c r="P160" s="50" t="e">
        <f t="shared" si="62"/>
        <v>#N/A</v>
      </c>
      <c r="Q160" s="51" t="e">
        <f t="shared" si="63"/>
        <v>#N/A</v>
      </c>
      <c r="R160" s="205" t="e">
        <f t="shared" si="64"/>
        <v>#N/A</v>
      </c>
      <c r="S160" s="279" t="e">
        <f>IF(R160="si",0,IF(E160="si",0,IF(J160&gt;K160,0,+K160-J160)))+IF('calcolo base'!P1620="SI",('Commissioni De Angeli'!K160-'Commissioni De Angeli'!J160),0)</f>
        <v>#N/A</v>
      </c>
      <c r="T160" s="117" t="e">
        <f t="shared" si="65"/>
        <v>#N/A</v>
      </c>
      <c r="U160" s="272" t="e">
        <f>IF(Q160=0,'calcolo base'!L2759,(T160+Q160))</f>
        <v>#N/A</v>
      </c>
      <c r="V160" s="119"/>
      <c r="Z160" s="118">
        <f t="shared" si="56"/>
        <v>0</v>
      </c>
      <c r="AA160" s="118">
        <f t="shared" si="57"/>
        <v>0</v>
      </c>
    </row>
    <row r="161" spans="2:27">
      <c r="B161" s="47"/>
      <c r="C161" s="35"/>
      <c r="D161" s="53"/>
      <c r="E161" s="53"/>
      <c r="F161" s="48"/>
      <c r="G161" s="243" t="e">
        <f>INDEX('calcolo base'!$B:$B, MATCH($A161, 'calcolo base'!$A:$A, 0))</f>
        <v>#N/A</v>
      </c>
      <c r="H161" s="54" t="e">
        <f t="shared" si="58"/>
        <v>#N/A</v>
      </c>
      <c r="I161" s="259" t="e">
        <f>IF(  OR(      INDEX('calcolo base'!$D:$D, MATCH($A161, 'calcolo base'!$A:$A, 0)) = 0,
      INDEX('calcolo base'!$D:$D, MATCH($A161, 'calcolo base'!$A:$A, 0)) = ""   ),
   INDEX('calcolo base'!$K:$K, MATCH($A161, 'calcolo base'!$A:$A, 0)),
   INDEX('calcolo base'!$J:$J, MATCH($A161, 'calcolo base'!$A:$A, 0))
) / 1000</f>
        <v>#N/A</v>
      </c>
      <c r="J161" s="50" t="e">
        <f t="shared" si="59"/>
        <v>#N/A</v>
      </c>
      <c r="K161" s="50"/>
      <c r="L161" s="267" t="e">
        <f>INDEX('calcolo base'!$H:$H, MATCH($A161, 'calcolo base'!$A:$A, 0))</f>
        <v>#N/A</v>
      </c>
      <c r="M161" s="50" t="e">
        <f t="shared" si="60"/>
        <v>#N/A</v>
      </c>
      <c r="N161" s="50" t="e">
        <f t="shared" si="61"/>
        <v>#N/A</v>
      </c>
      <c r="O161" s="50" t="e">
        <f t="shared" si="55"/>
        <v>#N/A</v>
      </c>
      <c r="P161" s="50" t="e">
        <f t="shared" si="62"/>
        <v>#N/A</v>
      </c>
      <c r="Q161" s="51" t="e">
        <f t="shared" si="63"/>
        <v>#N/A</v>
      </c>
      <c r="R161" s="205" t="e">
        <f t="shared" si="64"/>
        <v>#N/A</v>
      </c>
      <c r="S161" s="279" t="e">
        <f>IF(R161="si",0,IF(E161="si",0,IF(J161&gt;K161,0,+K161-J161)))+IF('calcolo base'!P1621="SI",('Commissioni De Angeli'!K161-'Commissioni De Angeli'!J161),0)</f>
        <v>#N/A</v>
      </c>
      <c r="T161" s="117" t="e">
        <f t="shared" si="65"/>
        <v>#N/A</v>
      </c>
      <c r="U161" s="272" t="e">
        <f>IF(Q161=0,'calcolo base'!L2760,(T161+Q161))</f>
        <v>#N/A</v>
      </c>
      <c r="V161" s="119"/>
      <c r="Z161" s="118">
        <f t="shared" si="56"/>
        <v>0</v>
      </c>
      <c r="AA161" s="118">
        <f t="shared" si="57"/>
        <v>0</v>
      </c>
    </row>
    <row r="162" spans="2:27">
      <c r="B162" s="47"/>
      <c r="C162" s="35"/>
      <c r="D162" s="53"/>
      <c r="E162" s="53"/>
      <c r="F162" s="48"/>
      <c r="G162" s="243" t="e">
        <f>INDEX('calcolo base'!$B:$B, MATCH($A162, 'calcolo base'!$A:$A, 0))</f>
        <v>#N/A</v>
      </c>
      <c r="H162" s="54" t="e">
        <f t="shared" si="58"/>
        <v>#N/A</v>
      </c>
      <c r="I162" s="259" t="e">
        <f>IF(  OR(      INDEX('calcolo base'!$D:$D, MATCH($A162, 'calcolo base'!$A:$A, 0)) = 0,
      INDEX('calcolo base'!$D:$D, MATCH($A162, 'calcolo base'!$A:$A, 0)) = ""   ),
   INDEX('calcolo base'!$K:$K, MATCH($A162, 'calcolo base'!$A:$A, 0)),
   INDEX('calcolo base'!$J:$J, MATCH($A162, 'calcolo base'!$A:$A, 0))
) / 1000</f>
        <v>#N/A</v>
      </c>
      <c r="J162" s="50" t="e">
        <f t="shared" si="59"/>
        <v>#N/A</v>
      </c>
      <c r="K162" s="50"/>
      <c r="L162" s="267" t="e">
        <f>INDEX('calcolo base'!$H:$H, MATCH($A162, 'calcolo base'!$A:$A, 0))</f>
        <v>#N/A</v>
      </c>
      <c r="M162" s="50" t="e">
        <f t="shared" si="60"/>
        <v>#N/A</v>
      </c>
      <c r="N162" s="50" t="e">
        <f t="shared" si="61"/>
        <v>#N/A</v>
      </c>
      <c r="O162" s="50" t="e">
        <f t="shared" si="55"/>
        <v>#N/A</v>
      </c>
      <c r="P162" s="50" t="e">
        <f t="shared" si="62"/>
        <v>#N/A</v>
      </c>
      <c r="Q162" s="51" t="e">
        <f t="shared" si="63"/>
        <v>#N/A</v>
      </c>
      <c r="R162" s="205" t="e">
        <f t="shared" si="64"/>
        <v>#N/A</v>
      </c>
      <c r="S162" s="279" t="e">
        <f>IF(R162="si",0,IF(E162="si",0,IF(J162&gt;K162,0,+K162-J162)))+IF('calcolo base'!P1622="SI",('Commissioni De Angeli'!K162-'Commissioni De Angeli'!J162),0)</f>
        <v>#N/A</v>
      </c>
      <c r="T162" s="117" t="e">
        <f t="shared" si="65"/>
        <v>#N/A</v>
      </c>
      <c r="U162" s="272" t="e">
        <f>IF(Q162=0,'calcolo base'!L2761,(T162+Q162))</f>
        <v>#N/A</v>
      </c>
      <c r="V162" s="119"/>
      <c r="Z162" s="118">
        <f t="shared" si="56"/>
        <v>0</v>
      </c>
      <c r="AA162" s="118">
        <f t="shared" si="57"/>
        <v>0</v>
      </c>
    </row>
    <row r="163" spans="2:27">
      <c r="B163" s="47"/>
      <c r="C163" s="35"/>
      <c r="D163" s="53"/>
      <c r="E163" s="53"/>
      <c r="F163" s="48"/>
      <c r="G163" s="243" t="e">
        <f>INDEX('calcolo base'!$B:$B, MATCH($A163, 'calcolo base'!$A:$A, 0))</f>
        <v>#N/A</v>
      </c>
      <c r="H163" s="54" t="e">
        <f t="shared" si="58"/>
        <v>#N/A</v>
      </c>
      <c r="I163" s="259" t="e">
        <f>IF(  OR(      INDEX('calcolo base'!$D:$D, MATCH($A163, 'calcolo base'!$A:$A, 0)) = 0,
      INDEX('calcolo base'!$D:$D, MATCH($A163, 'calcolo base'!$A:$A, 0)) = ""   ),
   INDEX('calcolo base'!$K:$K, MATCH($A163, 'calcolo base'!$A:$A, 0)),
   INDEX('calcolo base'!$J:$J, MATCH($A163, 'calcolo base'!$A:$A, 0))
) / 1000</f>
        <v>#N/A</v>
      </c>
      <c r="J163" s="50" t="e">
        <f t="shared" si="59"/>
        <v>#N/A</v>
      </c>
      <c r="K163" s="50"/>
      <c r="L163" s="267" t="e">
        <f>INDEX('calcolo base'!$H:$H, MATCH($A163, 'calcolo base'!$A:$A, 0))</f>
        <v>#N/A</v>
      </c>
      <c r="M163" s="50" t="e">
        <f t="shared" si="60"/>
        <v>#N/A</v>
      </c>
      <c r="N163" s="50" t="e">
        <f t="shared" si="61"/>
        <v>#N/A</v>
      </c>
      <c r="O163" s="50" t="e">
        <f t="shared" si="55"/>
        <v>#N/A</v>
      </c>
      <c r="P163" s="50" t="e">
        <f t="shared" si="62"/>
        <v>#N/A</v>
      </c>
      <c r="Q163" s="51" t="e">
        <f t="shared" si="63"/>
        <v>#N/A</v>
      </c>
      <c r="R163" s="205" t="e">
        <f t="shared" si="64"/>
        <v>#N/A</v>
      </c>
      <c r="S163" s="279" t="e">
        <f>IF(R163="si",0,IF(E163="si",0,IF(J163&gt;K163,0,+K163-J163)))+IF('calcolo base'!P1623="SI",('Commissioni De Angeli'!K163-'Commissioni De Angeli'!J163),0)</f>
        <v>#N/A</v>
      </c>
      <c r="T163" s="117" t="e">
        <f t="shared" si="65"/>
        <v>#N/A</v>
      </c>
      <c r="U163" s="272" t="e">
        <f>IF(Q163=0,'calcolo base'!L2762,(T163+Q163))</f>
        <v>#N/A</v>
      </c>
      <c r="V163" s="119"/>
      <c r="Z163" s="118">
        <f t="shared" si="56"/>
        <v>0</v>
      </c>
      <c r="AA163" s="118">
        <f t="shared" si="57"/>
        <v>0</v>
      </c>
    </row>
    <row r="164" spans="2:27">
      <c r="B164" s="47"/>
      <c r="C164" s="35"/>
      <c r="D164" s="53"/>
      <c r="E164" s="53"/>
      <c r="F164" s="48"/>
      <c r="G164" s="243" t="e">
        <f>INDEX('calcolo base'!$B:$B, MATCH($A164, 'calcolo base'!$A:$A, 0))</f>
        <v>#N/A</v>
      </c>
      <c r="H164" s="54" t="e">
        <f t="shared" si="58"/>
        <v>#N/A</v>
      </c>
      <c r="I164" s="259" t="e">
        <f>IF(  OR(      INDEX('calcolo base'!$D:$D, MATCH($A164, 'calcolo base'!$A:$A, 0)) = 0,
      INDEX('calcolo base'!$D:$D, MATCH($A164, 'calcolo base'!$A:$A, 0)) = ""   ),
   INDEX('calcolo base'!$K:$K, MATCH($A164, 'calcolo base'!$A:$A, 0)),
   INDEX('calcolo base'!$J:$J, MATCH($A164, 'calcolo base'!$A:$A, 0))
) / 1000</f>
        <v>#N/A</v>
      </c>
      <c r="J164" s="50" t="e">
        <f t="shared" si="59"/>
        <v>#N/A</v>
      </c>
      <c r="K164" s="50"/>
      <c r="L164" s="267" t="e">
        <f>INDEX('calcolo base'!$H:$H, MATCH($A164, 'calcolo base'!$A:$A, 0))</f>
        <v>#N/A</v>
      </c>
      <c r="M164" s="50" t="e">
        <f t="shared" si="60"/>
        <v>#N/A</v>
      </c>
      <c r="N164" s="50" t="e">
        <f t="shared" si="61"/>
        <v>#N/A</v>
      </c>
      <c r="O164" s="50" t="e">
        <f t="shared" si="55"/>
        <v>#N/A</v>
      </c>
      <c r="P164" s="50" t="e">
        <f t="shared" si="62"/>
        <v>#N/A</v>
      </c>
      <c r="Q164" s="51" t="e">
        <f t="shared" si="63"/>
        <v>#N/A</v>
      </c>
      <c r="R164" s="205" t="e">
        <f t="shared" si="64"/>
        <v>#N/A</v>
      </c>
      <c r="S164" s="279" t="e">
        <f>IF(R164="si",0,IF(E164="si",0,IF(J164&gt;K164,0,+K164-J164)))+IF('calcolo base'!P1624="SI",('Commissioni De Angeli'!K164-'Commissioni De Angeli'!J164),0)</f>
        <v>#N/A</v>
      </c>
      <c r="T164" s="117" t="e">
        <f t="shared" si="65"/>
        <v>#N/A</v>
      </c>
      <c r="U164" s="272" t="e">
        <f>IF(Q164=0,'calcolo base'!L2763,(T164+Q164))</f>
        <v>#N/A</v>
      </c>
      <c r="V164" s="119"/>
      <c r="Z164" s="118">
        <f t="shared" si="56"/>
        <v>0</v>
      </c>
      <c r="AA164" s="118">
        <f t="shared" si="57"/>
        <v>0</v>
      </c>
    </row>
    <row r="165" spans="2:27">
      <c r="B165" s="47"/>
      <c r="C165" s="35"/>
      <c r="D165" s="53"/>
      <c r="E165" s="53"/>
      <c r="F165" s="48"/>
      <c r="G165" s="243" t="e">
        <f>INDEX('calcolo base'!$B:$B, MATCH($A165, 'calcolo base'!$A:$A, 0))</f>
        <v>#N/A</v>
      </c>
      <c r="H165" s="54" t="e">
        <f t="shared" si="58"/>
        <v>#N/A</v>
      </c>
      <c r="I165" s="259" t="e">
        <f>IF(  OR(      INDEX('calcolo base'!$D:$D, MATCH($A165, 'calcolo base'!$A:$A, 0)) = 0,
      INDEX('calcolo base'!$D:$D, MATCH($A165, 'calcolo base'!$A:$A, 0)) = ""   ),
   INDEX('calcolo base'!$K:$K, MATCH($A165, 'calcolo base'!$A:$A, 0)),
   INDEX('calcolo base'!$J:$J, MATCH($A165, 'calcolo base'!$A:$A, 0))
) / 1000</f>
        <v>#N/A</v>
      </c>
      <c r="J165" s="50" t="e">
        <f t="shared" si="59"/>
        <v>#N/A</v>
      </c>
      <c r="K165" s="50"/>
      <c r="L165" s="267" t="e">
        <f>INDEX('calcolo base'!$H:$H, MATCH($A165, 'calcolo base'!$A:$A, 0))</f>
        <v>#N/A</v>
      </c>
      <c r="M165" s="50" t="e">
        <f t="shared" si="60"/>
        <v>#N/A</v>
      </c>
      <c r="N165" s="50" t="e">
        <f t="shared" si="61"/>
        <v>#N/A</v>
      </c>
      <c r="O165" s="50" t="e">
        <f t="shared" si="55"/>
        <v>#N/A</v>
      </c>
      <c r="P165" s="50" t="e">
        <f t="shared" si="62"/>
        <v>#N/A</v>
      </c>
      <c r="Q165" s="51" t="e">
        <f t="shared" si="63"/>
        <v>#N/A</v>
      </c>
      <c r="R165" s="205" t="e">
        <f t="shared" si="64"/>
        <v>#N/A</v>
      </c>
      <c r="S165" s="279" t="e">
        <f>IF(R165="si",0,IF(E165="si",0,IF(J165&gt;K165,0,+K165-J165)))+IF('calcolo base'!P1625="SI",('Commissioni De Angeli'!K165-'Commissioni De Angeli'!J165),0)</f>
        <v>#N/A</v>
      </c>
      <c r="T165" s="117" t="e">
        <f t="shared" si="65"/>
        <v>#N/A</v>
      </c>
      <c r="U165" s="272" t="e">
        <f>IF(Q165=0,'calcolo base'!L2764,(T165+Q165))</f>
        <v>#N/A</v>
      </c>
      <c r="V165" s="119"/>
      <c r="Z165" s="118">
        <f t="shared" si="56"/>
        <v>0</v>
      </c>
      <c r="AA165" s="118">
        <f t="shared" si="57"/>
        <v>0</v>
      </c>
    </row>
    <row r="166" spans="2:27">
      <c r="B166" s="47"/>
      <c r="C166" s="35"/>
      <c r="D166" s="53"/>
      <c r="E166" s="53"/>
      <c r="F166" s="48"/>
      <c r="G166" s="243" t="e">
        <f>INDEX('calcolo base'!$B:$B, MATCH($A166, 'calcolo base'!$A:$A, 0))</f>
        <v>#N/A</v>
      </c>
      <c r="H166" s="54" t="e">
        <f t="shared" si="58"/>
        <v>#N/A</v>
      </c>
      <c r="I166" s="259" t="e">
        <f>IF(  OR(      INDEX('calcolo base'!$D:$D, MATCH($A166, 'calcolo base'!$A:$A, 0)) = 0,
      INDEX('calcolo base'!$D:$D, MATCH($A166, 'calcolo base'!$A:$A, 0)) = ""   ),
   INDEX('calcolo base'!$K:$K, MATCH($A166, 'calcolo base'!$A:$A, 0)),
   INDEX('calcolo base'!$J:$J, MATCH($A166, 'calcolo base'!$A:$A, 0))
) / 1000</f>
        <v>#N/A</v>
      </c>
      <c r="J166" s="50" t="e">
        <f t="shared" si="59"/>
        <v>#N/A</v>
      </c>
      <c r="K166" s="50"/>
      <c r="L166" s="267" t="e">
        <f>INDEX('calcolo base'!$H:$H, MATCH($A166, 'calcolo base'!$A:$A, 0))</f>
        <v>#N/A</v>
      </c>
      <c r="M166" s="50" t="e">
        <f t="shared" si="60"/>
        <v>#N/A</v>
      </c>
      <c r="N166" s="50" t="e">
        <f t="shared" si="61"/>
        <v>#N/A</v>
      </c>
      <c r="O166" s="50" t="e">
        <f t="shared" si="55"/>
        <v>#N/A</v>
      </c>
      <c r="P166" s="50" t="e">
        <f t="shared" si="62"/>
        <v>#N/A</v>
      </c>
      <c r="Q166" s="51" t="e">
        <f t="shared" si="63"/>
        <v>#N/A</v>
      </c>
      <c r="R166" s="205" t="e">
        <f t="shared" si="64"/>
        <v>#N/A</v>
      </c>
      <c r="S166" s="279" t="e">
        <f>IF(R166="si",0,IF(E166="si",0,IF(J166&gt;K166,0,+K166-J166)))+IF('calcolo base'!P1626="SI",('Commissioni De Angeli'!K166-'Commissioni De Angeli'!J166),0)</f>
        <v>#N/A</v>
      </c>
      <c r="T166" s="117" t="e">
        <f t="shared" si="65"/>
        <v>#N/A</v>
      </c>
      <c r="U166" s="272" t="e">
        <f>IF(Q166=0,'calcolo base'!L2765,(T166+Q166))</f>
        <v>#N/A</v>
      </c>
      <c r="V166" s="119"/>
      <c r="Z166" s="118">
        <f t="shared" si="56"/>
        <v>0</v>
      </c>
      <c r="AA166" s="118">
        <f t="shared" si="57"/>
        <v>0</v>
      </c>
    </row>
    <row r="167" spans="2:27">
      <c r="B167" s="47"/>
      <c r="C167" s="35"/>
      <c r="D167" s="53"/>
      <c r="E167" s="53"/>
      <c r="F167" s="48"/>
      <c r="G167" s="243" t="e">
        <f>INDEX('calcolo base'!$B:$B, MATCH($A167, 'calcolo base'!$A:$A, 0))</f>
        <v>#N/A</v>
      </c>
      <c r="H167" s="54" t="e">
        <f t="shared" si="58"/>
        <v>#N/A</v>
      </c>
      <c r="I167" s="259" t="e">
        <f>IF(  OR(      INDEX('calcolo base'!$D:$D, MATCH($A167, 'calcolo base'!$A:$A, 0)) = 0,
      INDEX('calcolo base'!$D:$D, MATCH($A167, 'calcolo base'!$A:$A, 0)) = ""   ),
   INDEX('calcolo base'!$K:$K, MATCH($A167, 'calcolo base'!$A:$A, 0)),
   INDEX('calcolo base'!$J:$J, MATCH($A167, 'calcolo base'!$A:$A, 0))
) / 1000</f>
        <v>#N/A</v>
      </c>
      <c r="J167" s="50" t="e">
        <f t="shared" si="59"/>
        <v>#N/A</v>
      </c>
      <c r="K167" s="50"/>
      <c r="L167" s="267" t="e">
        <f>INDEX('calcolo base'!$H:$H, MATCH($A167, 'calcolo base'!$A:$A, 0))</f>
        <v>#N/A</v>
      </c>
      <c r="M167" s="50" t="e">
        <f t="shared" si="60"/>
        <v>#N/A</v>
      </c>
      <c r="N167" s="50" t="e">
        <f t="shared" si="61"/>
        <v>#N/A</v>
      </c>
      <c r="O167" s="50" t="e">
        <f t="shared" si="55"/>
        <v>#N/A</v>
      </c>
      <c r="P167" s="50" t="e">
        <f t="shared" si="62"/>
        <v>#N/A</v>
      </c>
      <c r="Q167" s="51" t="e">
        <f t="shared" si="63"/>
        <v>#N/A</v>
      </c>
      <c r="R167" s="205" t="e">
        <f t="shared" si="64"/>
        <v>#N/A</v>
      </c>
      <c r="S167" s="279" t="e">
        <f>IF(R167="si",0,IF(E167="si",0,IF(J167&gt;K167,0,+K167-J167)))+IF('calcolo base'!P1627="SI",('Commissioni De Angeli'!K167-'Commissioni De Angeli'!J167),0)</f>
        <v>#N/A</v>
      </c>
      <c r="T167" s="117" t="e">
        <f t="shared" si="65"/>
        <v>#N/A</v>
      </c>
      <c r="U167" s="272" t="e">
        <f>IF(Q167=0,'calcolo base'!L2766,(T167+Q167))</f>
        <v>#N/A</v>
      </c>
      <c r="V167" s="119"/>
      <c r="Z167" s="118">
        <f t="shared" si="56"/>
        <v>0</v>
      </c>
      <c r="AA167" s="118">
        <f t="shared" si="57"/>
        <v>0</v>
      </c>
    </row>
    <row r="168" spans="2:27">
      <c r="B168" s="47"/>
      <c r="C168" s="35"/>
      <c r="D168" s="53"/>
      <c r="E168" s="53"/>
      <c r="F168" s="48"/>
      <c r="G168" s="243" t="e">
        <f>INDEX('calcolo base'!$B:$B, MATCH($A168, 'calcolo base'!$A:$A, 0))</f>
        <v>#N/A</v>
      </c>
      <c r="H168" s="54" t="e">
        <f t="shared" si="58"/>
        <v>#N/A</v>
      </c>
      <c r="I168" s="259" t="e">
        <f>IF(  OR(      INDEX('calcolo base'!$D:$D, MATCH($A168, 'calcolo base'!$A:$A, 0)) = 0,
      INDEX('calcolo base'!$D:$D, MATCH($A168, 'calcolo base'!$A:$A, 0)) = ""   ),
   INDEX('calcolo base'!$K:$K, MATCH($A168, 'calcolo base'!$A:$A, 0)),
   INDEX('calcolo base'!$J:$J, MATCH($A168, 'calcolo base'!$A:$A, 0))
) / 1000</f>
        <v>#N/A</v>
      </c>
      <c r="J168" s="50" t="e">
        <f t="shared" si="59"/>
        <v>#N/A</v>
      </c>
      <c r="K168" s="50"/>
      <c r="L168" s="267" t="e">
        <f>INDEX('calcolo base'!$H:$H, MATCH($A168, 'calcolo base'!$A:$A, 0))</f>
        <v>#N/A</v>
      </c>
      <c r="M168" s="50" t="e">
        <f t="shared" si="60"/>
        <v>#N/A</v>
      </c>
      <c r="N168" s="50" t="e">
        <f t="shared" si="61"/>
        <v>#N/A</v>
      </c>
      <c r="O168" s="50" t="e">
        <f t="shared" si="55"/>
        <v>#N/A</v>
      </c>
      <c r="P168" s="50" t="e">
        <f t="shared" si="62"/>
        <v>#N/A</v>
      </c>
      <c r="Q168" s="51" t="e">
        <f t="shared" si="63"/>
        <v>#N/A</v>
      </c>
      <c r="R168" s="205" t="e">
        <f t="shared" si="64"/>
        <v>#N/A</v>
      </c>
      <c r="S168" s="279" t="e">
        <f>IF(R168="si",0,IF(E168="si",0,IF(J168&gt;K168,0,+K168-J168)))+IF('calcolo base'!P1628="SI",('Commissioni De Angeli'!K168-'Commissioni De Angeli'!J168),0)</f>
        <v>#N/A</v>
      </c>
      <c r="T168" s="117" t="e">
        <f t="shared" si="65"/>
        <v>#N/A</v>
      </c>
      <c r="U168" s="272" t="e">
        <f>IF(Q168=0,'calcolo base'!L2767,(T168+Q168))</f>
        <v>#N/A</v>
      </c>
      <c r="V168" s="119"/>
      <c r="Z168" s="118">
        <f t="shared" si="56"/>
        <v>0</v>
      </c>
      <c r="AA168" s="118">
        <f t="shared" si="57"/>
        <v>0</v>
      </c>
    </row>
    <row r="169" spans="2:27">
      <c r="B169" s="47"/>
      <c r="C169" s="35"/>
      <c r="D169" s="53"/>
      <c r="E169" s="53"/>
      <c r="F169" s="48"/>
      <c r="G169" s="243" t="e">
        <f>INDEX('calcolo base'!$B:$B, MATCH($A169, 'calcolo base'!$A:$A, 0))</f>
        <v>#N/A</v>
      </c>
      <c r="H169" s="54" t="e">
        <f t="shared" si="58"/>
        <v>#N/A</v>
      </c>
      <c r="I169" s="259" t="e">
        <f>IF(  OR(      INDEX('calcolo base'!$D:$D, MATCH($A169, 'calcolo base'!$A:$A, 0)) = 0,
      INDEX('calcolo base'!$D:$D, MATCH($A169, 'calcolo base'!$A:$A, 0)) = ""   ),
   INDEX('calcolo base'!$K:$K, MATCH($A169, 'calcolo base'!$A:$A, 0)),
   INDEX('calcolo base'!$J:$J, MATCH($A169, 'calcolo base'!$A:$A, 0))
) / 1000</f>
        <v>#N/A</v>
      </c>
      <c r="J169" s="50" t="e">
        <f t="shared" si="59"/>
        <v>#N/A</v>
      </c>
      <c r="K169" s="50"/>
      <c r="L169" s="267" t="e">
        <f>INDEX('calcolo base'!$H:$H, MATCH($A169, 'calcolo base'!$A:$A, 0))</f>
        <v>#N/A</v>
      </c>
      <c r="M169" s="50" t="e">
        <f t="shared" si="60"/>
        <v>#N/A</v>
      </c>
      <c r="N169" s="50" t="e">
        <f t="shared" si="61"/>
        <v>#N/A</v>
      </c>
      <c r="O169" s="50" t="e">
        <f t="shared" si="55"/>
        <v>#N/A</v>
      </c>
      <c r="P169" s="50" t="e">
        <f t="shared" si="62"/>
        <v>#N/A</v>
      </c>
      <c r="Q169" s="51" t="e">
        <f t="shared" si="63"/>
        <v>#N/A</v>
      </c>
      <c r="R169" s="205" t="e">
        <f t="shared" si="64"/>
        <v>#N/A</v>
      </c>
      <c r="S169" s="279" t="e">
        <f>IF(R169="si",0,IF(E169="si",0,IF(J169&gt;K169,0,+K169-J169)))+IF('calcolo base'!P1629="SI",('Commissioni De Angeli'!K169-'Commissioni De Angeli'!J169),0)</f>
        <v>#N/A</v>
      </c>
      <c r="T169" s="117" t="e">
        <f t="shared" si="65"/>
        <v>#N/A</v>
      </c>
      <c r="U169" s="272" t="e">
        <f>IF(Q169=0,'calcolo base'!L2768,(T169+Q169))</f>
        <v>#N/A</v>
      </c>
      <c r="V169" s="119"/>
      <c r="Z169" s="118">
        <f t="shared" si="56"/>
        <v>0</v>
      </c>
      <c r="AA169" s="118">
        <f t="shared" si="57"/>
        <v>0</v>
      </c>
    </row>
    <row r="170" spans="2:27">
      <c r="B170" s="47"/>
      <c r="C170" s="35"/>
      <c r="D170" s="53"/>
      <c r="E170" s="53"/>
      <c r="F170" s="48"/>
      <c r="G170" s="243" t="e">
        <f>INDEX('calcolo base'!$B:$B, MATCH($A170, 'calcolo base'!$A:$A, 0))</f>
        <v>#N/A</v>
      </c>
      <c r="H170" s="54" t="e">
        <f t="shared" si="58"/>
        <v>#N/A</v>
      </c>
      <c r="I170" s="259" t="e">
        <f>IF(  OR(      INDEX('calcolo base'!$D:$D, MATCH($A170, 'calcolo base'!$A:$A, 0)) = 0,
      INDEX('calcolo base'!$D:$D, MATCH($A170, 'calcolo base'!$A:$A, 0)) = ""   ),
   INDEX('calcolo base'!$K:$K, MATCH($A170, 'calcolo base'!$A:$A, 0)),
   INDEX('calcolo base'!$J:$J, MATCH($A170, 'calcolo base'!$A:$A, 0))
) / 1000</f>
        <v>#N/A</v>
      </c>
      <c r="J170" s="50" t="e">
        <f t="shared" si="59"/>
        <v>#N/A</v>
      </c>
      <c r="K170" s="50"/>
      <c r="L170" s="267" t="e">
        <f>INDEX('calcolo base'!$H:$H, MATCH($A170, 'calcolo base'!$A:$A, 0))</f>
        <v>#N/A</v>
      </c>
      <c r="M170" s="50" t="e">
        <f t="shared" si="60"/>
        <v>#N/A</v>
      </c>
      <c r="N170" s="50" t="e">
        <f t="shared" si="61"/>
        <v>#N/A</v>
      </c>
      <c r="O170" s="50" t="e">
        <f t="shared" si="55"/>
        <v>#N/A</v>
      </c>
      <c r="P170" s="50" t="e">
        <f t="shared" si="62"/>
        <v>#N/A</v>
      </c>
      <c r="Q170" s="51" t="e">
        <f t="shared" si="63"/>
        <v>#N/A</v>
      </c>
      <c r="R170" s="205" t="e">
        <f t="shared" si="64"/>
        <v>#N/A</v>
      </c>
      <c r="S170" s="279" t="e">
        <f>IF(R170="si",0,IF(E170="si",0,IF(J170&gt;K170,0,+K170-J170)))+IF('calcolo base'!P1630="SI",('Commissioni De Angeli'!K170-'Commissioni De Angeli'!J170),0)</f>
        <v>#N/A</v>
      </c>
      <c r="T170" s="117" t="e">
        <f t="shared" si="65"/>
        <v>#N/A</v>
      </c>
      <c r="U170" s="272" t="e">
        <f>IF(Q170=0,'calcolo base'!L2769,(T170+Q170))</f>
        <v>#N/A</v>
      </c>
      <c r="V170" s="119"/>
      <c r="Z170" s="118">
        <f t="shared" si="56"/>
        <v>0</v>
      </c>
      <c r="AA170" s="118">
        <f t="shared" si="57"/>
        <v>0</v>
      </c>
    </row>
    <row r="171" spans="2:27">
      <c r="B171" s="47"/>
      <c r="C171" s="35"/>
      <c r="D171" s="53"/>
      <c r="E171" s="53"/>
      <c r="F171" s="48"/>
      <c r="G171" s="243" t="e">
        <f>INDEX('calcolo base'!$B:$B, MATCH($A171, 'calcolo base'!$A:$A, 0))</f>
        <v>#N/A</v>
      </c>
      <c r="H171" s="54" t="e">
        <f t="shared" si="58"/>
        <v>#N/A</v>
      </c>
      <c r="I171" s="259" t="e">
        <f>IF(  OR(      INDEX('calcolo base'!$D:$D, MATCH($A171, 'calcolo base'!$A:$A, 0)) = 0,
      INDEX('calcolo base'!$D:$D, MATCH($A171, 'calcolo base'!$A:$A, 0)) = ""   ),
   INDEX('calcolo base'!$K:$K, MATCH($A171, 'calcolo base'!$A:$A, 0)),
   INDEX('calcolo base'!$J:$J, MATCH($A171, 'calcolo base'!$A:$A, 0))
) / 1000</f>
        <v>#N/A</v>
      </c>
      <c r="J171" s="50" t="e">
        <f t="shared" si="59"/>
        <v>#N/A</v>
      </c>
      <c r="K171" s="50"/>
      <c r="L171" s="267" t="e">
        <f>INDEX('calcolo base'!$H:$H, MATCH($A171, 'calcolo base'!$A:$A, 0))</f>
        <v>#N/A</v>
      </c>
      <c r="M171" s="50" t="e">
        <f t="shared" si="60"/>
        <v>#N/A</v>
      </c>
      <c r="N171" s="50" t="e">
        <f t="shared" si="61"/>
        <v>#N/A</v>
      </c>
      <c r="O171" s="50" t="e">
        <f t="shared" si="55"/>
        <v>#N/A</v>
      </c>
      <c r="P171" s="50" t="e">
        <f t="shared" si="62"/>
        <v>#N/A</v>
      </c>
      <c r="Q171" s="51" t="e">
        <f t="shared" si="63"/>
        <v>#N/A</v>
      </c>
      <c r="R171" s="205" t="e">
        <f t="shared" si="64"/>
        <v>#N/A</v>
      </c>
      <c r="S171" s="279" t="e">
        <f>IF(R171="si",0,IF(E171="si",0,IF(J171&gt;K171,0,+K171-J171)))+IF('calcolo base'!P1631="SI",('Commissioni De Angeli'!K171-'Commissioni De Angeli'!J171),0)</f>
        <v>#N/A</v>
      </c>
      <c r="T171" s="117" t="e">
        <f t="shared" si="65"/>
        <v>#N/A</v>
      </c>
      <c r="U171" s="272" t="e">
        <f>IF(Q171=0,'calcolo base'!L2770,(T171+Q171))</f>
        <v>#N/A</v>
      </c>
      <c r="V171" s="119"/>
      <c r="Z171" s="118">
        <f t="shared" si="56"/>
        <v>0</v>
      </c>
      <c r="AA171" s="118">
        <f t="shared" si="57"/>
        <v>0</v>
      </c>
    </row>
    <row r="172" spans="2:27">
      <c r="B172" s="47"/>
      <c r="C172" s="35"/>
      <c r="D172" s="53"/>
      <c r="E172" s="53"/>
      <c r="F172" s="48"/>
      <c r="G172" s="243" t="e">
        <f>INDEX('calcolo base'!$B:$B, MATCH($A172, 'calcolo base'!$A:$A, 0))</f>
        <v>#N/A</v>
      </c>
      <c r="H172" s="54" t="e">
        <f t="shared" ref="H172:H235" si="66">IF(G172=0,"",+G172)</f>
        <v>#N/A</v>
      </c>
      <c r="I172" s="259" t="e">
        <f>IF(  OR(      INDEX('calcolo base'!$D:$D, MATCH($A172, 'calcolo base'!$A:$A, 0)) = 0,
      INDEX('calcolo base'!$D:$D, MATCH($A172, 'calcolo base'!$A:$A, 0)) = ""   ),
   INDEX('calcolo base'!$K:$K, MATCH($A172, 'calcolo base'!$A:$A, 0)),
   INDEX('calcolo base'!$J:$J, MATCH($A172, 'calcolo base'!$A:$A, 0))
) / 1000</f>
        <v>#N/A</v>
      </c>
      <c r="J172" s="50" t="e">
        <f t="shared" ref="J172:J235" si="67">+F172+I172</f>
        <v>#N/A</v>
      </c>
      <c r="K172" s="50"/>
      <c r="L172" s="267" t="e">
        <f>INDEX('calcolo base'!$H:$H, MATCH($A172, 'calcolo base'!$A:$A, 0))</f>
        <v>#N/A</v>
      </c>
      <c r="M172" s="50" t="e">
        <f t="shared" ref="M172:M235" si="68">IF(L172=0,0,J172*L172)</f>
        <v>#N/A</v>
      </c>
      <c r="N172" s="50" t="e">
        <f t="shared" ref="N172:N235" si="69">IF(E172="si",K172*1.5%,IF($L172&gt;=5%,IF($I172=0,0,(IF($G172="RAME",($J172)*1.5%,0)+IF($G172="rame smaltato",($K172)*1.5%,0))),0))</f>
        <v>#N/A</v>
      </c>
      <c r="O172" s="50" t="e">
        <f t="shared" ref="O172:O235" si="70">IF($I172=0,0,(IF($G172="alluminio",($J172)*3%,0)+IF($G172="alluminio smaltato",($K172)*3%,0)))</f>
        <v>#N/A</v>
      </c>
      <c r="P172" s="50" t="e">
        <f t="shared" ref="P172:P235" si="71">IF(H172="alluminio",0,IF(L172&lt;5%,F172*8%,0))</f>
        <v>#N/A</v>
      </c>
      <c r="Q172" s="51" t="e">
        <f t="shared" ref="Q172:Q235" si="72">+(N172*D172)+(O172*D172)+(P172*D172)</f>
        <v>#N/A</v>
      </c>
      <c r="R172" s="205" t="e">
        <f t="shared" ref="R172:R235" si="73">IF(H172="ALLUMINIO",0,IF(L172&lt;5%,"si",0))</f>
        <v>#N/A</v>
      </c>
      <c r="S172" s="279" t="e">
        <f>IF(R172="si",0,IF(E172="si",0,IF(J172&gt;K172,0,+K172-J172)))+IF('calcolo base'!P1632="SI",('Commissioni De Angeli'!K172-'Commissioni De Angeli'!J172),0)</f>
        <v>#N/A</v>
      </c>
      <c r="T172" s="117" t="e">
        <f t="shared" ref="T172:T235" si="74">+(S172)*D172*40%</f>
        <v>#N/A</v>
      </c>
      <c r="U172" s="272" t="e">
        <f>IF(Q172=0,'calcolo base'!L2771,(T172+Q172))</f>
        <v>#N/A</v>
      </c>
      <c r="V172" s="119"/>
    </row>
    <row r="173" spans="2:27">
      <c r="B173" s="47"/>
      <c r="C173" s="35"/>
      <c r="D173" s="53"/>
      <c r="E173" s="53"/>
      <c r="F173" s="48"/>
      <c r="G173" s="243" t="e">
        <f>INDEX('calcolo base'!$B:$B, MATCH($A173, 'calcolo base'!$A:$A, 0))</f>
        <v>#N/A</v>
      </c>
      <c r="H173" s="54" t="e">
        <f t="shared" si="66"/>
        <v>#N/A</v>
      </c>
      <c r="I173" s="259" t="e">
        <f>IF(  OR(      INDEX('calcolo base'!$D:$D, MATCH($A173, 'calcolo base'!$A:$A, 0)) = 0,
      INDEX('calcolo base'!$D:$D, MATCH($A173, 'calcolo base'!$A:$A, 0)) = ""   ),
   INDEX('calcolo base'!$K:$K, MATCH($A173, 'calcolo base'!$A:$A, 0)),
   INDEX('calcolo base'!$J:$J, MATCH($A173, 'calcolo base'!$A:$A, 0))
) / 1000</f>
        <v>#N/A</v>
      </c>
      <c r="J173" s="50" t="e">
        <f t="shared" si="67"/>
        <v>#N/A</v>
      </c>
      <c r="K173" s="50"/>
      <c r="L173" s="267" t="e">
        <f>INDEX('calcolo base'!$H:$H, MATCH($A173, 'calcolo base'!$A:$A, 0))</f>
        <v>#N/A</v>
      </c>
      <c r="M173" s="50" t="e">
        <f t="shared" si="68"/>
        <v>#N/A</v>
      </c>
      <c r="N173" s="50" t="e">
        <f t="shared" si="69"/>
        <v>#N/A</v>
      </c>
      <c r="O173" s="50" t="e">
        <f t="shared" si="70"/>
        <v>#N/A</v>
      </c>
      <c r="P173" s="50" t="e">
        <f t="shared" si="71"/>
        <v>#N/A</v>
      </c>
      <c r="Q173" s="51" t="e">
        <f t="shared" si="72"/>
        <v>#N/A</v>
      </c>
      <c r="R173" s="205" t="e">
        <f t="shared" si="73"/>
        <v>#N/A</v>
      </c>
      <c r="S173" s="279" t="e">
        <f>IF(R173="si",0,IF(E173="si",0,IF(J173&gt;K173,0,+K173-J173)))+IF('calcolo base'!P1633="SI",('Commissioni De Angeli'!K173-'Commissioni De Angeli'!J173),0)</f>
        <v>#N/A</v>
      </c>
      <c r="T173" s="117" t="e">
        <f t="shared" si="74"/>
        <v>#N/A</v>
      </c>
      <c r="U173" s="272" t="e">
        <f>IF(Q173=0,'calcolo base'!L2772,(T173+Q173))</f>
        <v>#N/A</v>
      </c>
      <c r="V173" s="119"/>
    </row>
    <row r="174" spans="2:27">
      <c r="B174" s="47"/>
      <c r="C174" s="35"/>
      <c r="D174" s="53"/>
      <c r="E174" s="53"/>
      <c r="F174" s="48"/>
      <c r="G174" s="243" t="e">
        <f>INDEX('calcolo base'!$B:$B, MATCH($A174, 'calcolo base'!$A:$A, 0))</f>
        <v>#N/A</v>
      </c>
      <c r="H174" s="54" t="e">
        <f t="shared" si="66"/>
        <v>#N/A</v>
      </c>
      <c r="I174" s="259" t="e">
        <f>IF(  OR(      INDEX('calcolo base'!$D:$D, MATCH($A174, 'calcolo base'!$A:$A, 0)) = 0,
      INDEX('calcolo base'!$D:$D, MATCH($A174, 'calcolo base'!$A:$A, 0)) = ""   ),
   INDEX('calcolo base'!$K:$K, MATCH($A174, 'calcolo base'!$A:$A, 0)),
   INDEX('calcolo base'!$J:$J, MATCH($A174, 'calcolo base'!$A:$A, 0))
) / 1000</f>
        <v>#N/A</v>
      </c>
      <c r="J174" s="50" t="e">
        <f t="shared" si="67"/>
        <v>#N/A</v>
      </c>
      <c r="K174" s="50"/>
      <c r="L174" s="267" t="e">
        <f>INDEX('calcolo base'!$H:$H, MATCH($A174, 'calcolo base'!$A:$A, 0))</f>
        <v>#N/A</v>
      </c>
      <c r="M174" s="50" t="e">
        <f t="shared" si="68"/>
        <v>#N/A</v>
      </c>
      <c r="N174" s="50" t="e">
        <f t="shared" si="69"/>
        <v>#N/A</v>
      </c>
      <c r="O174" s="50" t="e">
        <f t="shared" si="70"/>
        <v>#N/A</v>
      </c>
      <c r="P174" s="50" t="e">
        <f t="shared" si="71"/>
        <v>#N/A</v>
      </c>
      <c r="Q174" s="51" t="e">
        <f t="shared" si="72"/>
        <v>#N/A</v>
      </c>
      <c r="R174" s="205" t="e">
        <f t="shared" si="73"/>
        <v>#N/A</v>
      </c>
      <c r="S174" s="279" t="e">
        <f>IF(R174="si",0,IF(E174="si",0,IF(J174&gt;K174,0,+K174-J174)))+IF('calcolo base'!P1634="SI",('Commissioni De Angeli'!K174-'Commissioni De Angeli'!J174),0)</f>
        <v>#N/A</v>
      </c>
      <c r="T174" s="117" t="e">
        <f t="shared" si="74"/>
        <v>#N/A</v>
      </c>
      <c r="U174" s="272" t="e">
        <f>IF(Q174=0,'calcolo base'!L2773,(T174+Q174))</f>
        <v>#N/A</v>
      </c>
      <c r="V174" s="119"/>
    </row>
    <row r="175" spans="2:27">
      <c r="B175" s="47"/>
      <c r="C175" s="35"/>
      <c r="D175" s="53"/>
      <c r="E175" s="53"/>
      <c r="F175" s="48"/>
      <c r="G175" s="243" t="e">
        <f>INDEX('calcolo base'!$B:$B, MATCH($A175, 'calcolo base'!$A:$A, 0))</f>
        <v>#N/A</v>
      </c>
      <c r="H175" s="54" t="e">
        <f t="shared" si="66"/>
        <v>#N/A</v>
      </c>
      <c r="I175" s="259" t="e">
        <f>IF(  OR(      INDEX('calcolo base'!$D:$D, MATCH($A175, 'calcolo base'!$A:$A, 0)) = 0,
      INDEX('calcolo base'!$D:$D, MATCH($A175, 'calcolo base'!$A:$A, 0)) = ""   ),
   INDEX('calcolo base'!$K:$K, MATCH($A175, 'calcolo base'!$A:$A, 0)),
   INDEX('calcolo base'!$J:$J, MATCH($A175, 'calcolo base'!$A:$A, 0))
) / 1000</f>
        <v>#N/A</v>
      </c>
      <c r="J175" s="50" t="e">
        <f t="shared" si="67"/>
        <v>#N/A</v>
      </c>
      <c r="K175" s="50"/>
      <c r="L175" s="267" t="e">
        <f>INDEX('calcolo base'!$H:$H, MATCH($A175, 'calcolo base'!$A:$A, 0))</f>
        <v>#N/A</v>
      </c>
      <c r="M175" s="50" t="e">
        <f t="shared" si="68"/>
        <v>#N/A</v>
      </c>
      <c r="N175" s="50" t="e">
        <f t="shared" si="69"/>
        <v>#N/A</v>
      </c>
      <c r="O175" s="50" t="e">
        <f t="shared" si="70"/>
        <v>#N/A</v>
      </c>
      <c r="P175" s="50" t="e">
        <f t="shared" si="71"/>
        <v>#N/A</v>
      </c>
      <c r="Q175" s="51" t="e">
        <f t="shared" si="72"/>
        <v>#N/A</v>
      </c>
      <c r="R175" s="205" t="e">
        <f t="shared" si="73"/>
        <v>#N/A</v>
      </c>
      <c r="S175" s="279" t="e">
        <f>IF(R175="si",0,IF(E175="si",0,IF(J175&gt;K175,0,+K175-J175)))+IF('calcolo base'!P1635="SI",('Commissioni De Angeli'!K175-'Commissioni De Angeli'!J175),0)</f>
        <v>#N/A</v>
      </c>
      <c r="T175" s="117" t="e">
        <f t="shared" si="74"/>
        <v>#N/A</v>
      </c>
      <c r="U175" s="272" t="e">
        <f>IF(Q175=0,'calcolo base'!L2774,(T175+Q175))</f>
        <v>#N/A</v>
      </c>
      <c r="V175" s="119"/>
    </row>
    <row r="176" spans="2:27">
      <c r="B176" s="47"/>
      <c r="C176" s="35"/>
      <c r="D176" s="53"/>
      <c r="E176" s="53"/>
      <c r="F176" s="48"/>
      <c r="G176" s="243" t="e">
        <f>INDEX('calcolo base'!$B:$B, MATCH($A176, 'calcolo base'!$A:$A, 0))</f>
        <v>#N/A</v>
      </c>
      <c r="H176" s="54" t="e">
        <f t="shared" si="66"/>
        <v>#N/A</v>
      </c>
      <c r="I176" s="259" t="e">
        <f>IF(  OR(      INDEX('calcolo base'!$D:$D, MATCH($A176, 'calcolo base'!$A:$A, 0)) = 0,
      INDEX('calcolo base'!$D:$D, MATCH($A176, 'calcolo base'!$A:$A, 0)) = ""   ),
   INDEX('calcolo base'!$K:$K, MATCH($A176, 'calcolo base'!$A:$A, 0)),
   INDEX('calcolo base'!$J:$J, MATCH($A176, 'calcolo base'!$A:$A, 0))
) / 1000</f>
        <v>#N/A</v>
      </c>
      <c r="J176" s="50" t="e">
        <f t="shared" si="67"/>
        <v>#N/A</v>
      </c>
      <c r="K176" s="50"/>
      <c r="L176" s="267" t="e">
        <f>INDEX('calcolo base'!$H:$H, MATCH($A176, 'calcolo base'!$A:$A, 0))</f>
        <v>#N/A</v>
      </c>
      <c r="M176" s="50" t="e">
        <f t="shared" si="68"/>
        <v>#N/A</v>
      </c>
      <c r="N176" s="50" t="e">
        <f t="shared" si="69"/>
        <v>#N/A</v>
      </c>
      <c r="O176" s="50" t="e">
        <f t="shared" si="70"/>
        <v>#N/A</v>
      </c>
      <c r="P176" s="50" t="e">
        <f t="shared" si="71"/>
        <v>#N/A</v>
      </c>
      <c r="Q176" s="51" t="e">
        <f t="shared" si="72"/>
        <v>#N/A</v>
      </c>
      <c r="R176" s="205" t="e">
        <f t="shared" si="73"/>
        <v>#N/A</v>
      </c>
      <c r="S176" s="279" t="e">
        <f>IF(R176="si",0,IF(E176="si",0,IF(J176&gt;K176,0,+K176-J176)))+IF('calcolo base'!P1636="SI",('Commissioni De Angeli'!K176-'Commissioni De Angeli'!J176),0)</f>
        <v>#N/A</v>
      </c>
      <c r="T176" s="117" t="e">
        <f t="shared" si="74"/>
        <v>#N/A</v>
      </c>
      <c r="U176" s="272" t="e">
        <f>IF(Q176=0,'calcolo base'!L2775,(T176+Q176))</f>
        <v>#N/A</v>
      </c>
      <c r="V176" s="119"/>
    </row>
    <row r="177" spans="2:22">
      <c r="B177" s="47"/>
      <c r="C177" s="35"/>
      <c r="D177" s="53"/>
      <c r="E177" s="53"/>
      <c r="F177" s="48"/>
      <c r="G177" s="243" t="e">
        <f>INDEX('calcolo base'!$B:$B, MATCH($A177, 'calcolo base'!$A:$A, 0))</f>
        <v>#N/A</v>
      </c>
      <c r="H177" s="54" t="e">
        <f t="shared" si="66"/>
        <v>#N/A</v>
      </c>
      <c r="I177" s="259" t="e">
        <f>IF(  OR(      INDEX('calcolo base'!$D:$D, MATCH($A177, 'calcolo base'!$A:$A, 0)) = 0,
      INDEX('calcolo base'!$D:$D, MATCH($A177, 'calcolo base'!$A:$A, 0)) = ""   ),
   INDEX('calcolo base'!$K:$K, MATCH($A177, 'calcolo base'!$A:$A, 0)),
   INDEX('calcolo base'!$J:$J, MATCH($A177, 'calcolo base'!$A:$A, 0))
) / 1000</f>
        <v>#N/A</v>
      </c>
      <c r="J177" s="50" t="e">
        <f t="shared" si="67"/>
        <v>#N/A</v>
      </c>
      <c r="K177" s="50"/>
      <c r="L177" s="267" t="e">
        <f>INDEX('calcolo base'!$H:$H, MATCH($A177, 'calcolo base'!$A:$A, 0))</f>
        <v>#N/A</v>
      </c>
      <c r="M177" s="50" t="e">
        <f t="shared" si="68"/>
        <v>#N/A</v>
      </c>
      <c r="N177" s="50" t="e">
        <f t="shared" si="69"/>
        <v>#N/A</v>
      </c>
      <c r="O177" s="50" t="e">
        <f t="shared" si="70"/>
        <v>#N/A</v>
      </c>
      <c r="P177" s="50" t="e">
        <f t="shared" si="71"/>
        <v>#N/A</v>
      </c>
      <c r="Q177" s="51" t="e">
        <f t="shared" si="72"/>
        <v>#N/A</v>
      </c>
      <c r="R177" s="205" t="e">
        <f t="shared" si="73"/>
        <v>#N/A</v>
      </c>
      <c r="S177" s="279" t="e">
        <f>IF(R177="si",0,IF(E177="si",0,IF(J177&gt;K177,0,+K177-J177)))+IF('calcolo base'!P1637="SI",('Commissioni De Angeli'!K177-'Commissioni De Angeli'!J177),0)</f>
        <v>#N/A</v>
      </c>
      <c r="T177" s="117" t="e">
        <f t="shared" si="74"/>
        <v>#N/A</v>
      </c>
      <c r="U177" s="272" t="e">
        <f>IF(Q177=0,'calcolo base'!L2776,(T177+Q177))</f>
        <v>#N/A</v>
      </c>
      <c r="V177" s="119"/>
    </row>
    <row r="178" spans="2:22">
      <c r="B178" s="47"/>
      <c r="C178" s="35"/>
      <c r="D178" s="53"/>
      <c r="E178" s="53"/>
      <c r="F178" s="48"/>
      <c r="G178" s="243" t="e">
        <f>INDEX('calcolo base'!$B:$B, MATCH($A178, 'calcolo base'!$A:$A, 0))</f>
        <v>#N/A</v>
      </c>
      <c r="H178" s="54" t="e">
        <f t="shared" si="66"/>
        <v>#N/A</v>
      </c>
      <c r="I178" s="259" t="e">
        <f>IF(  OR(      INDEX('calcolo base'!$D:$D, MATCH($A178, 'calcolo base'!$A:$A, 0)) = 0,
      INDEX('calcolo base'!$D:$D, MATCH($A178, 'calcolo base'!$A:$A, 0)) = ""   ),
   INDEX('calcolo base'!$K:$K, MATCH($A178, 'calcolo base'!$A:$A, 0)),
   INDEX('calcolo base'!$J:$J, MATCH($A178, 'calcolo base'!$A:$A, 0))
) / 1000</f>
        <v>#N/A</v>
      </c>
      <c r="J178" s="50" t="e">
        <f t="shared" si="67"/>
        <v>#N/A</v>
      </c>
      <c r="K178" s="50"/>
      <c r="L178" s="267" t="e">
        <f>INDEX('calcolo base'!$H:$H, MATCH($A178, 'calcolo base'!$A:$A, 0))</f>
        <v>#N/A</v>
      </c>
      <c r="M178" s="50" t="e">
        <f t="shared" si="68"/>
        <v>#N/A</v>
      </c>
      <c r="N178" s="50" t="e">
        <f t="shared" si="69"/>
        <v>#N/A</v>
      </c>
      <c r="O178" s="50" t="e">
        <f t="shared" si="70"/>
        <v>#N/A</v>
      </c>
      <c r="P178" s="50" t="e">
        <f t="shared" si="71"/>
        <v>#N/A</v>
      </c>
      <c r="Q178" s="51" t="e">
        <f t="shared" si="72"/>
        <v>#N/A</v>
      </c>
      <c r="R178" s="205" t="e">
        <f t="shared" si="73"/>
        <v>#N/A</v>
      </c>
      <c r="S178" s="279" t="e">
        <f>IF(R178="si",0,IF(E178="si",0,IF(J178&gt;K178,0,+K178-J178)))+IF('calcolo base'!P1638="SI",('Commissioni De Angeli'!K178-'Commissioni De Angeli'!J178),0)</f>
        <v>#N/A</v>
      </c>
      <c r="T178" s="117" t="e">
        <f t="shared" si="74"/>
        <v>#N/A</v>
      </c>
      <c r="U178" s="272" t="e">
        <f>IF(Q178=0,'calcolo base'!L2777,(T178+Q178))</f>
        <v>#N/A</v>
      </c>
      <c r="V178" s="119"/>
    </row>
    <row r="179" spans="2:22">
      <c r="B179" s="47"/>
      <c r="C179" s="35"/>
      <c r="D179" s="53"/>
      <c r="E179" s="53"/>
      <c r="F179" s="48"/>
      <c r="G179" s="243" t="e">
        <f>INDEX('calcolo base'!$B:$B, MATCH($A179, 'calcolo base'!$A:$A, 0))</f>
        <v>#N/A</v>
      </c>
      <c r="H179" s="54" t="e">
        <f t="shared" si="66"/>
        <v>#N/A</v>
      </c>
      <c r="I179" s="259" t="e">
        <f>IF(  OR(      INDEX('calcolo base'!$D:$D, MATCH($A179, 'calcolo base'!$A:$A, 0)) = 0,
      INDEX('calcolo base'!$D:$D, MATCH($A179, 'calcolo base'!$A:$A, 0)) = ""   ),
   INDEX('calcolo base'!$K:$K, MATCH($A179, 'calcolo base'!$A:$A, 0)),
   INDEX('calcolo base'!$J:$J, MATCH($A179, 'calcolo base'!$A:$A, 0))
) / 1000</f>
        <v>#N/A</v>
      </c>
      <c r="J179" s="50" t="e">
        <f t="shared" si="67"/>
        <v>#N/A</v>
      </c>
      <c r="K179" s="50"/>
      <c r="L179" s="267" t="e">
        <f>INDEX('calcolo base'!$H:$H, MATCH($A179, 'calcolo base'!$A:$A, 0))</f>
        <v>#N/A</v>
      </c>
      <c r="M179" s="50" t="e">
        <f t="shared" si="68"/>
        <v>#N/A</v>
      </c>
      <c r="N179" s="50" t="e">
        <f t="shared" si="69"/>
        <v>#N/A</v>
      </c>
      <c r="O179" s="50" t="e">
        <f t="shared" si="70"/>
        <v>#N/A</v>
      </c>
      <c r="P179" s="50" t="e">
        <f t="shared" si="71"/>
        <v>#N/A</v>
      </c>
      <c r="Q179" s="51" t="e">
        <f t="shared" si="72"/>
        <v>#N/A</v>
      </c>
      <c r="R179" s="205" t="e">
        <f t="shared" si="73"/>
        <v>#N/A</v>
      </c>
      <c r="S179" s="279" t="e">
        <f>IF(R179="si",0,IF(E179="si",0,IF(J179&gt;K179,0,+K179-J179)))+IF('calcolo base'!P1639="SI",('Commissioni De Angeli'!K179-'Commissioni De Angeli'!J179),0)</f>
        <v>#N/A</v>
      </c>
      <c r="T179" s="117" t="e">
        <f t="shared" si="74"/>
        <v>#N/A</v>
      </c>
      <c r="U179" s="272" t="e">
        <f>IF(Q179=0,'calcolo base'!L2778,(T179+Q179))</f>
        <v>#N/A</v>
      </c>
      <c r="V179" s="119"/>
    </row>
    <row r="180" spans="2:22">
      <c r="B180" s="47"/>
      <c r="C180" s="35"/>
      <c r="D180" s="53"/>
      <c r="E180" s="53"/>
      <c r="F180" s="48"/>
      <c r="G180" s="243" t="e">
        <f>INDEX('calcolo base'!$B:$B, MATCH($A180, 'calcolo base'!$A:$A, 0))</f>
        <v>#N/A</v>
      </c>
      <c r="H180" s="54" t="e">
        <f t="shared" si="66"/>
        <v>#N/A</v>
      </c>
      <c r="I180" s="259" t="e">
        <f>IF(  OR(      INDEX('calcolo base'!$D:$D, MATCH($A180, 'calcolo base'!$A:$A, 0)) = 0,
      INDEX('calcolo base'!$D:$D, MATCH($A180, 'calcolo base'!$A:$A, 0)) = ""   ),
   INDEX('calcolo base'!$K:$K, MATCH($A180, 'calcolo base'!$A:$A, 0)),
   INDEX('calcolo base'!$J:$J, MATCH($A180, 'calcolo base'!$A:$A, 0))
) / 1000</f>
        <v>#N/A</v>
      </c>
      <c r="J180" s="50" t="e">
        <f t="shared" si="67"/>
        <v>#N/A</v>
      </c>
      <c r="K180" s="50"/>
      <c r="L180" s="267" t="e">
        <f>INDEX('calcolo base'!$H:$H, MATCH($A180, 'calcolo base'!$A:$A, 0))</f>
        <v>#N/A</v>
      </c>
      <c r="M180" s="50" t="e">
        <f t="shared" si="68"/>
        <v>#N/A</v>
      </c>
      <c r="N180" s="50" t="e">
        <f t="shared" si="69"/>
        <v>#N/A</v>
      </c>
      <c r="O180" s="50" t="e">
        <f t="shared" si="70"/>
        <v>#N/A</v>
      </c>
      <c r="P180" s="50" t="e">
        <f t="shared" si="71"/>
        <v>#N/A</v>
      </c>
      <c r="Q180" s="51" t="e">
        <f t="shared" si="72"/>
        <v>#N/A</v>
      </c>
      <c r="R180" s="205" t="e">
        <f t="shared" si="73"/>
        <v>#N/A</v>
      </c>
      <c r="S180" s="279" t="e">
        <f>IF(R180="si",0,IF(E180="si",0,IF(J180&gt;K180,0,+K180-J180)))+IF('calcolo base'!P1640="SI",('Commissioni De Angeli'!K180-'Commissioni De Angeli'!J180),0)</f>
        <v>#N/A</v>
      </c>
      <c r="T180" s="117" t="e">
        <f t="shared" si="74"/>
        <v>#N/A</v>
      </c>
      <c r="U180" s="272" t="e">
        <f>IF(Q180=0,'calcolo base'!L2779,(T180+Q180))</f>
        <v>#N/A</v>
      </c>
      <c r="V180" s="119"/>
    </row>
    <row r="181" spans="2:22">
      <c r="B181" s="47"/>
      <c r="C181" s="35"/>
      <c r="D181" s="53"/>
      <c r="E181" s="53"/>
      <c r="F181" s="48"/>
      <c r="G181" s="243" t="e">
        <f>INDEX('calcolo base'!$B:$B, MATCH($A181, 'calcolo base'!$A:$A, 0))</f>
        <v>#N/A</v>
      </c>
      <c r="H181" s="54" t="e">
        <f t="shared" si="66"/>
        <v>#N/A</v>
      </c>
      <c r="I181" s="259" t="e">
        <f>IF(  OR(      INDEX('calcolo base'!$D:$D, MATCH($A181, 'calcolo base'!$A:$A, 0)) = 0,
      INDEX('calcolo base'!$D:$D, MATCH($A181, 'calcolo base'!$A:$A, 0)) = ""   ),
   INDEX('calcolo base'!$K:$K, MATCH($A181, 'calcolo base'!$A:$A, 0)),
   INDEX('calcolo base'!$J:$J, MATCH($A181, 'calcolo base'!$A:$A, 0))
) / 1000</f>
        <v>#N/A</v>
      </c>
      <c r="J181" s="50" t="e">
        <f t="shared" si="67"/>
        <v>#N/A</v>
      </c>
      <c r="K181" s="50"/>
      <c r="L181" s="267" t="e">
        <f>INDEX('calcolo base'!$H:$H, MATCH($A181, 'calcolo base'!$A:$A, 0))</f>
        <v>#N/A</v>
      </c>
      <c r="M181" s="50" t="e">
        <f t="shared" si="68"/>
        <v>#N/A</v>
      </c>
      <c r="N181" s="50" t="e">
        <f t="shared" si="69"/>
        <v>#N/A</v>
      </c>
      <c r="O181" s="50" t="e">
        <f t="shared" si="70"/>
        <v>#N/A</v>
      </c>
      <c r="P181" s="50" t="e">
        <f t="shared" si="71"/>
        <v>#N/A</v>
      </c>
      <c r="Q181" s="51" t="e">
        <f t="shared" si="72"/>
        <v>#N/A</v>
      </c>
      <c r="R181" s="205" t="e">
        <f t="shared" si="73"/>
        <v>#N/A</v>
      </c>
      <c r="S181" s="279" t="e">
        <f>IF(R181="si",0,IF(E181="si",0,IF(J181&gt;K181,0,+K181-J181)))+IF('calcolo base'!P1641="SI",('Commissioni De Angeli'!K181-'Commissioni De Angeli'!J181),0)</f>
        <v>#N/A</v>
      </c>
      <c r="T181" s="117" t="e">
        <f t="shared" si="74"/>
        <v>#N/A</v>
      </c>
      <c r="U181" s="272" t="e">
        <f>IF(Q181=0,'calcolo base'!L2780,(T181+Q181))</f>
        <v>#N/A</v>
      </c>
      <c r="V181" s="119"/>
    </row>
    <row r="182" spans="2:22">
      <c r="B182" s="47"/>
      <c r="C182" s="35"/>
      <c r="D182" s="53"/>
      <c r="E182" s="53"/>
      <c r="F182" s="48"/>
      <c r="G182" s="243" t="e">
        <f>INDEX('calcolo base'!$B:$B, MATCH($A182, 'calcolo base'!$A:$A, 0))</f>
        <v>#N/A</v>
      </c>
      <c r="H182" s="54" t="e">
        <f t="shared" si="66"/>
        <v>#N/A</v>
      </c>
      <c r="I182" s="259" t="e">
        <f>IF(  OR(      INDEX('calcolo base'!$D:$D, MATCH($A182, 'calcolo base'!$A:$A, 0)) = 0,
      INDEX('calcolo base'!$D:$D, MATCH($A182, 'calcolo base'!$A:$A, 0)) = ""   ),
   INDEX('calcolo base'!$K:$K, MATCH($A182, 'calcolo base'!$A:$A, 0)),
   INDEX('calcolo base'!$J:$J, MATCH($A182, 'calcolo base'!$A:$A, 0))
) / 1000</f>
        <v>#N/A</v>
      </c>
      <c r="J182" s="50" t="e">
        <f t="shared" si="67"/>
        <v>#N/A</v>
      </c>
      <c r="K182" s="50"/>
      <c r="L182" s="267" t="e">
        <f>INDEX('calcolo base'!$H:$H, MATCH($A182, 'calcolo base'!$A:$A, 0))</f>
        <v>#N/A</v>
      </c>
      <c r="M182" s="50" t="e">
        <f t="shared" si="68"/>
        <v>#N/A</v>
      </c>
      <c r="N182" s="50" t="e">
        <f t="shared" si="69"/>
        <v>#N/A</v>
      </c>
      <c r="O182" s="50" t="e">
        <f t="shared" si="70"/>
        <v>#N/A</v>
      </c>
      <c r="P182" s="50" t="e">
        <f t="shared" si="71"/>
        <v>#N/A</v>
      </c>
      <c r="Q182" s="51" t="e">
        <f t="shared" si="72"/>
        <v>#N/A</v>
      </c>
      <c r="R182" s="205" t="e">
        <f t="shared" si="73"/>
        <v>#N/A</v>
      </c>
      <c r="S182" s="279" t="e">
        <f>IF(R182="si",0,IF(E182="si",0,IF(J182&gt;K182,0,+K182-J182)))+IF('calcolo base'!P1642="SI",('Commissioni De Angeli'!K182-'Commissioni De Angeli'!J182),0)</f>
        <v>#N/A</v>
      </c>
      <c r="T182" s="117" t="e">
        <f t="shared" si="74"/>
        <v>#N/A</v>
      </c>
      <c r="U182" s="272" t="e">
        <f>IF(Q182=0,'calcolo base'!L2781,(T182+Q182))</f>
        <v>#N/A</v>
      </c>
      <c r="V182" s="119"/>
    </row>
    <row r="183" spans="2:22">
      <c r="B183" s="47"/>
      <c r="C183" s="35"/>
      <c r="D183" s="53"/>
      <c r="E183" s="53"/>
      <c r="F183" s="48"/>
      <c r="G183" s="243" t="e">
        <f>INDEX('calcolo base'!$B:$B, MATCH($A183, 'calcolo base'!$A:$A, 0))</f>
        <v>#N/A</v>
      </c>
      <c r="H183" s="54" t="e">
        <f t="shared" si="66"/>
        <v>#N/A</v>
      </c>
      <c r="I183" s="259" t="e">
        <f>IF(  OR(      INDEX('calcolo base'!$D:$D, MATCH($A183, 'calcolo base'!$A:$A, 0)) = 0,
      INDEX('calcolo base'!$D:$D, MATCH($A183, 'calcolo base'!$A:$A, 0)) = ""   ),
   INDEX('calcolo base'!$K:$K, MATCH($A183, 'calcolo base'!$A:$A, 0)),
   INDEX('calcolo base'!$J:$J, MATCH($A183, 'calcolo base'!$A:$A, 0))
) / 1000</f>
        <v>#N/A</v>
      </c>
      <c r="J183" s="50" t="e">
        <f t="shared" si="67"/>
        <v>#N/A</v>
      </c>
      <c r="K183" s="50"/>
      <c r="L183" s="267" t="e">
        <f>INDEX('calcolo base'!$H:$H, MATCH($A183, 'calcolo base'!$A:$A, 0))</f>
        <v>#N/A</v>
      </c>
      <c r="M183" s="50" t="e">
        <f t="shared" si="68"/>
        <v>#N/A</v>
      </c>
      <c r="N183" s="50" t="e">
        <f t="shared" si="69"/>
        <v>#N/A</v>
      </c>
      <c r="O183" s="50" t="e">
        <f t="shared" si="70"/>
        <v>#N/A</v>
      </c>
      <c r="P183" s="50" t="e">
        <f t="shared" si="71"/>
        <v>#N/A</v>
      </c>
      <c r="Q183" s="51" t="e">
        <f t="shared" si="72"/>
        <v>#N/A</v>
      </c>
      <c r="R183" s="205" t="e">
        <f t="shared" si="73"/>
        <v>#N/A</v>
      </c>
      <c r="S183" s="279" t="e">
        <f>IF(R183="si",0,IF(E183="si",0,IF(J183&gt;K183,0,+K183-J183)))+IF('calcolo base'!P1643="SI",('Commissioni De Angeli'!K183-'Commissioni De Angeli'!J183),0)</f>
        <v>#N/A</v>
      </c>
      <c r="T183" s="117" t="e">
        <f t="shared" si="74"/>
        <v>#N/A</v>
      </c>
      <c r="U183" s="272" t="e">
        <f>IF(Q183=0,'calcolo base'!L2782,(T183+Q183))</f>
        <v>#N/A</v>
      </c>
      <c r="V183" s="119"/>
    </row>
    <row r="184" spans="2:22">
      <c r="B184" s="47"/>
      <c r="C184" s="35"/>
      <c r="D184" s="53"/>
      <c r="E184" s="53"/>
      <c r="F184" s="48"/>
      <c r="G184" s="243" t="e">
        <f>INDEX('calcolo base'!$B:$B, MATCH($A184, 'calcolo base'!$A:$A, 0))</f>
        <v>#N/A</v>
      </c>
      <c r="H184" s="54" t="e">
        <f t="shared" si="66"/>
        <v>#N/A</v>
      </c>
      <c r="I184" s="259" t="e">
        <f>IF(  OR(      INDEX('calcolo base'!$D:$D, MATCH($A184, 'calcolo base'!$A:$A, 0)) = 0,
      INDEX('calcolo base'!$D:$D, MATCH($A184, 'calcolo base'!$A:$A, 0)) = ""   ),
   INDEX('calcolo base'!$K:$K, MATCH($A184, 'calcolo base'!$A:$A, 0)),
   INDEX('calcolo base'!$J:$J, MATCH($A184, 'calcolo base'!$A:$A, 0))
) / 1000</f>
        <v>#N/A</v>
      </c>
      <c r="J184" s="50" t="e">
        <f t="shared" si="67"/>
        <v>#N/A</v>
      </c>
      <c r="K184" s="50"/>
      <c r="L184" s="267" t="e">
        <f>INDEX('calcolo base'!$H:$H, MATCH($A184, 'calcolo base'!$A:$A, 0))</f>
        <v>#N/A</v>
      </c>
      <c r="M184" s="50" t="e">
        <f t="shared" si="68"/>
        <v>#N/A</v>
      </c>
      <c r="N184" s="50" t="e">
        <f t="shared" si="69"/>
        <v>#N/A</v>
      </c>
      <c r="O184" s="50" t="e">
        <f t="shared" si="70"/>
        <v>#N/A</v>
      </c>
      <c r="P184" s="50" t="e">
        <f t="shared" si="71"/>
        <v>#N/A</v>
      </c>
      <c r="Q184" s="51" t="e">
        <f t="shared" si="72"/>
        <v>#N/A</v>
      </c>
      <c r="R184" s="205" t="e">
        <f t="shared" si="73"/>
        <v>#N/A</v>
      </c>
      <c r="S184" s="279" t="e">
        <f>IF(R184="si",0,IF(E184="si",0,IF(J184&gt;K184,0,+K184-J184)))+IF('calcolo base'!P1644="SI",('Commissioni De Angeli'!K184-'Commissioni De Angeli'!J184),0)</f>
        <v>#N/A</v>
      </c>
      <c r="T184" s="117" t="e">
        <f t="shared" si="74"/>
        <v>#N/A</v>
      </c>
      <c r="U184" s="272" t="e">
        <f>IF(Q184=0,'calcolo base'!L2783,(T184+Q184))</f>
        <v>#N/A</v>
      </c>
      <c r="V184" s="119"/>
    </row>
    <row r="185" spans="2:22">
      <c r="B185" s="47"/>
      <c r="C185" s="35"/>
      <c r="D185" s="53"/>
      <c r="E185" s="53"/>
      <c r="F185" s="48"/>
      <c r="G185" s="243" t="e">
        <f>INDEX('calcolo base'!$B:$B, MATCH($A185, 'calcolo base'!$A:$A, 0))</f>
        <v>#N/A</v>
      </c>
      <c r="H185" s="54" t="e">
        <f t="shared" si="66"/>
        <v>#N/A</v>
      </c>
      <c r="I185" s="259" t="e">
        <f>IF(  OR(      INDEX('calcolo base'!$D:$D, MATCH($A185, 'calcolo base'!$A:$A, 0)) = 0,
      INDEX('calcolo base'!$D:$D, MATCH($A185, 'calcolo base'!$A:$A, 0)) = ""   ),
   INDEX('calcolo base'!$K:$K, MATCH($A185, 'calcolo base'!$A:$A, 0)),
   INDEX('calcolo base'!$J:$J, MATCH($A185, 'calcolo base'!$A:$A, 0))
) / 1000</f>
        <v>#N/A</v>
      </c>
      <c r="J185" s="50" t="e">
        <f t="shared" si="67"/>
        <v>#N/A</v>
      </c>
      <c r="K185" s="50"/>
      <c r="L185" s="267" t="e">
        <f>INDEX('calcolo base'!$H:$H, MATCH($A185, 'calcolo base'!$A:$A, 0))</f>
        <v>#N/A</v>
      </c>
      <c r="M185" s="50" t="e">
        <f t="shared" si="68"/>
        <v>#N/A</v>
      </c>
      <c r="N185" s="50" t="e">
        <f t="shared" si="69"/>
        <v>#N/A</v>
      </c>
      <c r="O185" s="50" t="e">
        <f t="shared" si="70"/>
        <v>#N/A</v>
      </c>
      <c r="P185" s="50" t="e">
        <f t="shared" si="71"/>
        <v>#N/A</v>
      </c>
      <c r="Q185" s="51" t="e">
        <f t="shared" si="72"/>
        <v>#N/A</v>
      </c>
      <c r="R185" s="205" t="e">
        <f t="shared" si="73"/>
        <v>#N/A</v>
      </c>
      <c r="S185" s="279" t="e">
        <f>IF(R185="si",0,IF(E185="si",0,IF(J185&gt;K185,0,+K185-J185)))+IF('calcolo base'!P1645="SI",('Commissioni De Angeli'!K185-'Commissioni De Angeli'!J185),0)</f>
        <v>#N/A</v>
      </c>
      <c r="T185" s="117" t="e">
        <f t="shared" si="74"/>
        <v>#N/A</v>
      </c>
      <c r="U185" s="272" t="e">
        <f>IF(Q185=0,'calcolo base'!L2784,(T185+Q185))</f>
        <v>#N/A</v>
      </c>
      <c r="V185" s="119"/>
    </row>
    <row r="186" spans="2:22">
      <c r="B186" s="47"/>
      <c r="C186" s="35"/>
      <c r="D186" s="53"/>
      <c r="E186" s="53"/>
      <c r="F186" s="48"/>
      <c r="G186" s="243" t="e">
        <f>INDEX('calcolo base'!$B:$B, MATCH($A186, 'calcolo base'!$A:$A, 0))</f>
        <v>#N/A</v>
      </c>
      <c r="H186" s="54" t="e">
        <f t="shared" si="66"/>
        <v>#N/A</v>
      </c>
      <c r="I186" s="259" t="e">
        <f>IF(  OR(      INDEX('calcolo base'!$D:$D, MATCH($A186, 'calcolo base'!$A:$A, 0)) = 0,
      INDEX('calcolo base'!$D:$D, MATCH($A186, 'calcolo base'!$A:$A, 0)) = ""   ),
   INDEX('calcolo base'!$K:$K, MATCH($A186, 'calcolo base'!$A:$A, 0)),
   INDEX('calcolo base'!$J:$J, MATCH($A186, 'calcolo base'!$A:$A, 0))
) / 1000</f>
        <v>#N/A</v>
      </c>
      <c r="J186" s="50" t="e">
        <f t="shared" si="67"/>
        <v>#N/A</v>
      </c>
      <c r="K186" s="50"/>
      <c r="L186" s="267" t="e">
        <f>INDEX('calcolo base'!$H:$H, MATCH($A186, 'calcolo base'!$A:$A, 0))</f>
        <v>#N/A</v>
      </c>
      <c r="M186" s="50" t="e">
        <f t="shared" si="68"/>
        <v>#N/A</v>
      </c>
      <c r="N186" s="50" t="e">
        <f t="shared" si="69"/>
        <v>#N/A</v>
      </c>
      <c r="O186" s="50" t="e">
        <f t="shared" si="70"/>
        <v>#N/A</v>
      </c>
      <c r="P186" s="50" t="e">
        <f t="shared" si="71"/>
        <v>#N/A</v>
      </c>
      <c r="Q186" s="51" t="e">
        <f t="shared" si="72"/>
        <v>#N/A</v>
      </c>
      <c r="R186" s="205" t="e">
        <f t="shared" si="73"/>
        <v>#N/A</v>
      </c>
      <c r="S186" s="279" t="e">
        <f>IF(R186="si",0,IF(E186="si",0,IF(J186&gt;K186,0,+K186-J186)))+IF('calcolo base'!P1646="SI",('Commissioni De Angeli'!K186-'Commissioni De Angeli'!J186),0)</f>
        <v>#N/A</v>
      </c>
      <c r="T186" s="117" t="e">
        <f t="shared" si="74"/>
        <v>#N/A</v>
      </c>
      <c r="U186" s="272" t="e">
        <f>IF(Q186=0,'calcolo base'!L2785,(T186+Q186))</f>
        <v>#N/A</v>
      </c>
      <c r="V186" s="119"/>
    </row>
    <row r="187" spans="2:22">
      <c r="B187" s="47"/>
      <c r="C187" s="35"/>
      <c r="D187" s="53"/>
      <c r="E187" s="53"/>
      <c r="F187" s="48"/>
      <c r="G187" s="243" t="e">
        <f>INDEX('calcolo base'!$B:$B, MATCH($A187, 'calcolo base'!$A:$A, 0))</f>
        <v>#N/A</v>
      </c>
      <c r="H187" s="54" t="e">
        <f t="shared" si="66"/>
        <v>#N/A</v>
      </c>
      <c r="I187" s="259" t="e">
        <f>IF(  OR(      INDEX('calcolo base'!$D:$D, MATCH($A187, 'calcolo base'!$A:$A, 0)) = 0,
      INDEX('calcolo base'!$D:$D, MATCH($A187, 'calcolo base'!$A:$A, 0)) = ""   ),
   INDEX('calcolo base'!$K:$K, MATCH($A187, 'calcolo base'!$A:$A, 0)),
   INDEX('calcolo base'!$J:$J, MATCH($A187, 'calcolo base'!$A:$A, 0))
) / 1000</f>
        <v>#N/A</v>
      </c>
      <c r="J187" s="50" t="e">
        <f t="shared" si="67"/>
        <v>#N/A</v>
      </c>
      <c r="K187" s="50"/>
      <c r="L187" s="267" t="e">
        <f>INDEX('calcolo base'!$H:$H, MATCH($A187, 'calcolo base'!$A:$A, 0))</f>
        <v>#N/A</v>
      </c>
      <c r="M187" s="50" t="e">
        <f t="shared" si="68"/>
        <v>#N/A</v>
      </c>
      <c r="N187" s="50" t="e">
        <f t="shared" si="69"/>
        <v>#N/A</v>
      </c>
      <c r="O187" s="50" t="e">
        <f t="shared" si="70"/>
        <v>#N/A</v>
      </c>
      <c r="P187" s="50" t="e">
        <f t="shared" si="71"/>
        <v>#N/A</v>
      </c>
      <c r="Q187" s="51" t="e">
        <f t="shared" si="72"/>
        <v>#N/A</v>
      </c>
      <c r="R187" s="205" t="e">
        <f t="shared" si="73"/>
        <v>#N/A</v>
      </c>
      <c r="S187" s="279" t="e">
        <f>IF(R187="si",0,IF(E187="si",0,IF(J187&gt;K187,0,+K187-J187)))+IF('calcolo base'!P1647="SI",('Commissioni De Angeli'!K187-'Commissioni De Angeli'!J187),0)</f>
        <v>#N/A</v>
      </c>
      <c r="T187" s="117" t="e">
        <f t="shared" si="74"/>
        <v>#N/A</v>
      </c>
      <c r="U187" s="272" t="e">
        <f>IF(Q187=0,'calcolo base'!L2786,(T187+Q187))</f>
        <v>#N/A</v>
      </c>
      <c r="V187" s="119"/>
    </row>
    <row r="188" spans="2:22">
      <c r="B188" s="47"/>
      <c r="C188" s="35"/>
      <c r="D188" s="53"/>
      <c r="E188" s="53"/>
      <c r="F188" s="48"/>
      <c r="G188" s="243" t="e">
        <f>INDEX('calcolo base'!$B:$B, MATCH($A188, 'calcolo base'!$A:$A, 0))</f>
        <v>#N/A</v>
      </c>
      <c r="H188" s="54" t="e">
        <f t="shared" si="66"/>
        <v>#N/A</v>
      </c>
      <c r="I188" s="259" t="e">
        <f>IF(  OR(      INDEX('calcolo base'!$D:$D, MATCH($A188, 'calcolo base'!$A:$A, 0)) = 0,
      INDEX('calcolo base'!$D:$D, MATCH($A188, 'calcolo base'!$A:$A, 0)) = ""   ),
   INDEX('calcolo base'!$K:$K, MATCH($A188, 'calcolo base'!$A:$A, 0)),
   INDEX('calcolo base'!$J:$J, MATCH($A188, 'calcolo base'!$A:$A, 0))
) / 1000</f>
        <v>#N/A</v>
      </c>
      <c r="J188" s="50" t="e">
        <f t="shared" si="67"/>
        <v>#N/A</v>
      </c>
      <c r="K188" s="50"/>
      <c r="L188" s="267" t="e">
        <f>INDEX('calcolo base'!$H:$H, MATCH($A188, 'calcolo base'!$A:$A, 0))</f>
        <v>#N/A</v>
      </c>
      <c r="M188" s="50" t="e">
        <f t="shared" si="68"/>
        <v>#N/A</v>
      </c>
      <c r="N188" s="50" t="e">
        <f t="shared" si="69"/>
        <v>#N/A</v>
      </c>
      <c r="O188" s="50" t="e">
        <f t="shared" si="70"/>
        <v>#N/A</v>
      </c>
      <c r="P188" s="50" t="e">
        <f t="shared" si="71"/>
        <v>#N/A</v>
      </c>
      <c r="Q188" s="51" t="e">
        <f t="shared" si="72"/>
        <v>#N/A</v>
      </c>
      <c r="R188" s="205" t="e">
        <f t="shared" si="73"/>
        <v>#N/A</v>
      </c>
      <c r="S188" s="279" t="e">
        <f>IF(R188="si",0,IF(E188="si",0,IF(J188&gt;K188,0,+K188-J188)))+IF('calcolo base'!P1648="SI",('Commissioni De Angeli'!K188-'Commissioni De Angeli'!J188),0)</f>
        <v>#N/A</v>
      </c>
      <c r="T188" s="117" t="e">
        <f t="shared" si="74"/>
        <v>#N/A</v>
      </c>
      <c r="U188" s="272" t="e">
        <f>IF(Q188=0,'calcolo base'!L2787,(T188+Q188))</f>
        <v>#N/A</v>
      </c>
      <c r="V188" s="119"/>
    </row>
    <row r="189" spans="2:22">
      <c r="B189" s="47"/>
      <c r="C189" s="35"/>
      <c r="D189" s="53"/>
      <c r="E189" s="53"/>
      <c r="F189" s="48"/>
      <c r="G189" s="243" t="e">
        <f>INDEX('calcolo base'!$B:$B, MATCH($A189, 'calcolo base'!$A:$A, 0))</f>
        <v>#N/A</v>
      </c>
      <c r="H189" s="54" t="e">
        <f t="shared" si="66"/>
        <v>#N/A</v>
      </c>
      <c r="I189" s="259" t="e">
        <f>IF(  OR(      INDEX('calcolo base'!$D:$D, MATCH($A189, 'calcolo base'!$A:$A, 0)) = 0,
      INDEX('calcolo base'!$D:$D, MATCH($A189, 'calcolo base'!$A:$A, 0)) = ""   ),
   INDEX('calcolo base'!$K:$K, MATCH($A189, 'calcolo base'!$A:$A, 0)),
   INDEX('calcolo base'!$J:$J, MATCH($A189, 'calcolo base'!$A:$A, 0))
) / 1000</f>
        <v>#N/A</v>
      </c>
      <c r="J189" s="50" t="e">
        <f t="shared" si="67"/>
        <v>#N/A</v>
      </c>
      <c r="K189" s="50"/>
      <c r="L189" s="267" t="e">
        <f>INDEX('calcolo base'!$H:$H, MATCH($A189, 'calcolo base'!$A:$A, 0))</f>
        <v>#N/A</v>
      </c>
      <c r="M189" s="50" t="e">
        <f t="shared" si="68"/>
        <v>#N/A</v>
      </c>
      <c r="N189" s="50" t="e">
        <f t="shared" si="69"/>
        <v>#N/A</v>
      </c>
      <c r="O189" s="50" t="e">
        <f t="shared" si="70"/>
        <v>#N/A</v>
      </c>
      <c r="P189" s="50" t="e">
        <f t="shared" si="71"/>
        <v>#N/A</v>
      </c>
      <c r="Q189" s="51" t="e">
        <f t="shared" si="72"/>
        <v>#N/A</v>
      </c>
      <c r="R189" s="205" t="e">
        <f t="shared" si="73"/>
        <v>#N/A</v>
      </c>
      <c r="S189" s="279" t="e">
        <f>IF(R189="si",0,IF(E189="si",0,IF(J189&gt;K189,0,+K189-J189)))+IF('calcolo base'!P1649="SI",('Commissioni De Angeli'!K189-'Commissioni De Angeli'!J189),0)</f>
        <v>#N/A</v>
      </c>
      <c r="T189" s="117" t="e">
        <f t="shared" si="74"/>
        <v>#N/A</v>
      </c>
      <c r="U189" s="272" t="e">
        <f>IF(Q189=0,'calcolo base'!L2788,(T189+Q189))</f>
        <v>#N/A</v>
      </c>
      <c r="V189" s="119"/>
    </row>
    <row r="190" spans="2:22">
      <c r="B190" s="47"/>
      <c r="C190" s="35"/>
      <c r="D190" s="53"/>
      <c r="E190" s="53"/>
      <c r="F190" s="48"/>
      <c r="G190" s="243" t="e">
        <f>INDEX('calcolo base'!$B:$B, MATCH($A190, 'calcolo base'!$A:$A, 0))</f>
        <v>#N/A</v>
      </c>
      <c r="H190" s="54" t="e">
        <f t="shared" si="66"/>
        <v>#N/A</v>
      </c>
      <c r="I190" s="259" t="e">
        <f>IF(  OR(      INDEX('calcolo base'!$D:$D, MATCH($A190, 'calcolo base'!$A:$A, 0)) = 0,
      INDEX('calcolo base'!$D:$D, MATCH($A190, 'calcolo base'!$A:$A, 0)) = ""   ),
   INDEX('calcolo base'!$K:$K, MATCH($A190, 'calcolo base'!$A:$A, 0)),
   INDEX('calcolo base'!$J:$J, MATCH($A190, 'calcolo base'!$A:$A, 0))
) / 1000</f>
        <v>#N/A</v>
      </c>
      <c r="J190" s="50" t="e">
        <f t="shared" si="67"/>
        <v>#N/A</v>
      </c>
      <c r="K190" s="50"/>
      <c r="L190" s="267" t="e">
        <f>INDEX('calcolo base'!$H:$H, MATCH($A190, 'calcolo base'!$A:$A, 0))</f>
        <v>#N/A</v>
      </c>
      <c r="M190" s="50" t="e">
        <f t="shared" si="68"/>
        <v>#N/A</v>
      </c>
      <c r="N190" s="50" t="e">
        <f t="shared" si="69"/>
        <v>#N/A</v>
      </c>
      <c r="O190" s="50" t="e">
        <f t="shared" si="70"/>
        <v>#N/A</v>
      </c>
      <c r="P190" s="50" t="e">
        <f t="shared" si="71"/>
        <v>#N/A</v>
      </c>
      <c r="Q190" s="51" t="e">
        <f t="shared" si="72"/>
        <v>#N/A</v>
      </c>
      <c r="R190" s="205" t="e">
        <f t="shared" si="73"/>
        <v>#N/A</v>
      </c>
      <c r="S190" s="279" t="e">
        <f>IF(R190="si",0,IF(E190="si",0,IF(J190&gt;K190,0,+K190-J190)))+IF('calcolo base'!P1650="SI",('Commissioni De Angeli'!K190-'Commissioni De Angeli'!J190),0)</f>
        <v>#N/A</v>
      </c>
      <c r="T190" s="117" t="e">
        <f t="shared" si="74"/>
        <v>#N/A</v>
      </c>
      <c r="U190" s="272" t="e">
        <f>IF(Q190=0,'calcolo base'!L2789,(T190+Q190))</f>
        <v>#N/A</v>
      </c>
      <c r="V190" s="119"/>
    </row>
    <row r="191" spans="2:22">
      <c r="B191" s="47"/>
      <c r="C191" s="35"/>
      <c r="D191" s="53"/>
      <c r="E191" s="53"/>
      <c r="F191" s="48"/>
      <c r="G191" s="243" t="e">
        <f>INDEX('calcolo base'!$B:$B, MATCH($A191, 'calcolo base'!$A:$A, 0))</f>
        <v>#N/A</v>
      </c>
      <c r="H191" s="54" t="e">
        <f t="shared" si="66"/>
        <v>#N/A</v>
      </c>
      <c r="I191" s="259" t="e">
        <f>IF(  OR(      INDEX('calcolo base'!$D:$D, MATCH($A191, 'calcolo base'!$A:$A, 0)) = 0,
      INDEX('calcolo base'!$D:$D, MATCH($A191, 'calcolo base'!$A:$A, 0)) = ""   ),
   INDEX('calcolo base'!$K:$K, MATCH($A191, 'calcolo base'!$A:$A, 0)),
   INDEX('calcolo base'!$J:$J, MATCH($A191, 'calcolo base'!$A:$A, 0))
) / 1000</f>
        <v>#N/A</v>
      </c>
      <c r="J191" s="50" t="e">
        <f t="shared" si="67"/>
        <v>#N/A</v>
      </c>
      <c r="K191" s="50"/>
      <c r="L191" s="267" t="e">
        <f>INDEX('calcolo base'!$H:$H, MATCH($A191, 'calcolo base'!$A:$A, 0))</f>
        <v>#N/A</v>
      </c>
      <c r="M191" s="50" t="e">
        <f t="shared" si="68"/>
        <v>#N/A</v>
      </c>
      <c r="N191" s="50" t="e">
        <f t="shared" si="69"/>
        <v>#N/A</v>
      </c>
      <c r="O191" s="50" t="e">
        <f t="shared" si="70"/>
        <v>#N/A</v>
      </c>
      <c r="P191" s="50" t="e">
        <f t="shared" si="71"/>
        <v>#N/A</v>
      </c>
      <c r="Q191" s="51" t="e">
        <f t="shared" si="72"/>
        <v>#N/A</v>
      </c>
      <c r="R191" s="205" t="e">
        <f t="shared" si="73"/>
        <v>#N/A</v>
      </c>
      <c r="S191" s="279" t="e">
        <f>IF(R191="si",0,IF(E191="si",0,IF(J191&gt;K191,0,+K191-J191)))+IF('calcolo base'!P1651="SI",('Commissioni De Angeli'!K191-'Commissioni De Angeli'!J191),0)</f>
        <v>#N/A</v>
      </c>
      <c r="T191" s="117" t="e">
        <f t="shared" si="74"/>
        <v>#N/A</v>
      </c>
      <c r="U191" s="272" t="e">
        <f>IF(Q191=0,'calcolo base'!L2790,(T191+Q191))</f>
        <v>#N/A</v>
      </c>
      <c r="V191" s="119"/>
    </row>
    <row r="192" spans="2:22">
      <c r="B192" s="47"/>
      <c r="C192" s="35"/>
      <c r="D192" s="53"/>
      <c r="E192" s="53"/>
      <c r="F192" s="48"/>
      <c r="G192" s="243" t="e">
        <f>INDEX('calcolo base'!$B:$B, MATCH($A192, 'calcolo base'!$A:$A, 0))</f>
        <v>#N/A</v>
      </c>
      <c r="H192" s="54" t="e">
        <f t="shared" si="66"/>
        <v>#N/A</v>
      </c>
      <c r="I192" s="259" t="e">
        <f>IF(  OR(      INDEX('calcolo base'!$D:$D, MATCH($A192, 'calcolo base'!$A:$A, 0)) = 0,
      INDEX('calcolo base'!$D:$D, MATCH($A192, 'calcolo base'!$A:$A, 0)) = ""   ),
   INDEX('calcolo base'!$K:$K, MATCH($A192, 'calcolo base'!$A:$A, 0)),
   INDEX('calcolo base'!$J:$J, MATCH($A192, 'calcolo base'!$A:$A, 0))
) / 1000</f>
        <v>#N/A</v>
      </c>
      <c r="J192" s="50" t="e">
        <f t="shared" si="67"/>
        <v>#N/A</v>
      </c>
      <c r="K192" s="50"/>
      <c r="L192" s="267" t="e">
        <f>INDEX('calcolo base'!$H:$H, MATCH($A192, 'calcolo base'!$A:$A, 0))</f>
        <v>#N/A</v>
      </c>
      <c r="M192" s="50" t="e">
        <f t="shared" si="68"/>
        <v>#N/A</v>
      </c>
      <c r="N192" s="50" t="e">
        <f t="shared" si="69"/>
        <v>#N/A</v>
      </c>
      <c r="O192" s="50" t="e">
        <f t="shared" si="70"/>
        <v>#N/A</v>
      </c>
      <c r="P192" s="50" t="e">
        <f t="shared" si="71"/>
        <v>#N/A</v>
      </c>
      <c r="Q192" s="51" t="e">
        <f t="shared" si="72"/>
        <v>#N/A</v>
      </c>
      <c r="R192" s="205" t="e">
        <f t="shared" si="73"/>
        <v>#N/A</v>
      </c>
      <c r="S192" s="279" t="e">
        <f>IF(R192="si",0,IF(E192="si",0,IF(J192&gt;K192,0,+K192-J192)))+IF('calcolo base'!P1652="SI",('Commissioni De Angeli'!K192-'Commissioni De Angeli'!J192),0)</f>
        <v>#N/A</v>
      </c>
      <c r="T192" s="117" t="e">
        <f t="shared" si="74"/>
        <v>#N/A</v>
      </c>
      <c r="U192" s="272" t="e">
        <f>IF(Q192=0,'calcolo base'!L2791,(T192+Q192))</f>
        <v>#N/A</v>
      </c>
      <c r="V192" s="119"/>
    </row>
    <row r="193" spans="2:22">
      <c r="B193" s="47"/>
      <c r="C193" s="35"/>
      <c r="D193" s="53"/>
      <c r="E193" s="53"/>
      <c r="F193" s="48"/>
      <c r="G193" s="243" t="e">
        <f>INDEX('calcolo base'!$B:$B, MATCH($A193, 'calcolo base'!$A:$A, 0))</f>
        <v>#N/A</v>
      </c>
      <c r="H193" s="54" t="e">
        <f t="shared" si="66"/>
        <v>#N/A</v>
      </c>
      <c r="I193" s="259" t="e">
        <f>IF(  OR(      INDEX('calcolo base'!$D:$D, MATCH($A193, 'calcolo base'!$A:$A, 0)) = 0,
      INDEX('calcolo base'!$D:$D, MATCH($A193, 'calcolo base'!$A:$A, 0)) = ""   ),
   INDEX('calcolo base'!$K:$K, MATCH($A193, 'calcolo base'!$A:$A, 0)),
   INDEX('calcolo base'!$J:$J, MATCH($A193, 'calcolo base'!$A:$A, 0))
) / 1000</f>
        <v>#N/A</v>
      </c>
      <c r="J193" s="50" t="e">
        <f t="shared" si="67"/>
        <v>#N/A</v>
      </c>
      <c r="K193" s="50"/>
      <c r="L193" s="267" t="e">
        <f>INDEX('calcolo base'!$H:$H, MATCH($A193, 'calcolo base'!$A:$A, 0))</f>
        <v>#N/A</v>
      </c>
      <c r="M193" s="50" t="e">
        <f t="shared" si="68"/>
        <v>#N/A</v>
      </c>
      <c r="N193" s="50" t="e">
        <f t="shared" si="69"/>
        <v>#N/A</v>
      </c>
      <c r="O193" s="50" t="e">
        <f t="shared" si="70"/>
        <v>#N/A</v>
      </c>
      <c r="P193" s="50" t="e">
        <f t="shared" si="71"/>
        <v>#N/A</v>
      </c>
      <c r="Q193" s="51" t="e">
        <f t="shared" si="72"/>
        <v>#N/A</v>
      </c>
      <c r="R193" s="205" t="e">
        <f t="shared" si="73"/>
        <v>#N/A</v>
      </c>
      <c r="S193" s="279" t="e">
        <f>IF(R193="si",0,IF(E193="si",0,IF(J193&gt;K193,0,+K193-J193)))+IF('calcolo base'!P1653="SI",('Commissioni De Angeli'!K193-'Commissioni De Angeli'!J193),0)</f>
        <v>#N/A</v>
      </c>
      <c r="T193" s="117" t="e">
        <f t="shared" si="74"/>
        <v>#N/A</v>
      </c>
      <c r="U193" s="272" t="e">
        <f>IF(Q193=0,'calcolo base'!L2792,(T193+Q193))</f>
        <v>#N/A</v>
      </c>
      <c r="V193" s="119"/>
    </row>
    <row r="194" spans="2:22">
      <c r="B194" s="47"/>
      <c r="C194" s="35"/>
      <c r="D194" s="53"/>
      <c r="E194" s="53"/>
      <c r="F194" s="48"/>
      <c r="G194" s="243" t="e">
        <f>INDEX('calcolo base'!$B:$B, MATCH($A194, 'calcolo base'!$A:$A, 0))</f>
        <v>#N/A</v>
      </c>
      <c r="H194" s="54" t="e">
        <f t="shared" si="66"/>
        <v>#N/A</v>
      </c>
      <c r="I194" s="259" t="e">
        <f>IF(  OR(      INDEX('calcolo base'!$D:$D, MATCH($A194, 'calcolo base'!$A:$A, 0)) = 0,
      INDEX('calcolo base'!$D:$D, MATCH($A194, 'calcolo base'!$A:$A, 0)) = ""   ),
   INDEX('calcolo base'!$K:$K, MATCH($A194, 'calcolo base'!$A:$A, 0)),
   INDEX('calcolo base'!$J:$J, MATCH($A194, 'calcolo base'!$A:$A, 0))
) / 1000</f>
        <v>#N/A</v>
      </c>
      <c r="J194" s="50" t="e">
        <f t="shared" si="67"/>
        <v>#N/A</v>
      </c>
      <c r="K194" s="50"/>
      <c r="L194" s="267" t="e">
        <f>INDEX('calcolo base'!$H:$H, MATCH($A194, 'calcolo base'!$A:$A, 0))</f>
        <v>#N/A</v>
      </c>
      <c r="M194" s="50" t="e">
        <f t="shared" si="68"/>
        <v>#N/A</v>
      </c>
      <c r="N194" s="50" t="e">
        <f t="shared" si="69"/>
        <v>#N/A</v>
      </c>
      <c r="O194" s="50" t="e">
        <f t="shared" si="70"/>
        <v>#N/A</v>
      </c>
      <c r="P194" s="50" t="e">
        <f t="shared" si="71"/>
        <v>#N/A</v>
      </c>
      <c r="Q194" s="51" t="e">
        <f t="shared" si="72"/>
        <v>#N/A</v>
      </c>
      <c r="R194" s="205" t="e">
        <f t="shared" si="73"/>
        <v>#N/A</v>
      </c>
      <c r="S194" s="279" t="e">
        <f>IF(R194="si",0,IF(E194="si",0,IF(J194&gt;K194,0,+K194-J194)))+IF('calcolo base'!P1654="SI",('Commissioni De Angeli'!K194-'Commissioni De Angeli'!J194),0)</f>
        <v>#N/A</v>
      </c>
      <c r="T194" s="117" t="e">
        <f t="shared" si="74"/>
        <v>#N/A</v>
      </c>
      <c r="U194" s="272" t="e">
        <f>IF(Q194=0,'calcolo base'!L2793,(T194+Q194))</f>
        <v>#N/A</v>
      </c>
      <c r="V194" s="119"/>
    </row>
    <row r="195" spans="2:22">
      <c r="B195" s="47"/>
      <c r="C195" s="35"/>
      <c r="D195" s="53"/>
      <c r="E195" s="53"/>
      <c r="F195" s="48"/>
      <c r="G195" s="243" t="e">
        <f>INDEX('calcolo base'!$B:$B, MATCH($A195, 'calcolo base'!$A:$A, 0))</f>
        <v>#N/A</v>
      </c>
      <c r="H195" s="54" t="e">
        <f t="shared" si="66"/>
        <v>#N/A</v>
      </c>
      <c r="I195" s="259" t="e">
        <f>IF(  OR(      INDEX('calcolo base'!$D:$D, MATCH($A195, 'calcolo base'!$A:$A, 0)) = 0,
      INDEX('calcolo base'!$D:$D, MATCH($A195, 'calcolo base'!$A:$A, 0)) = ""   ),
   INDEX('calcolo base'!$K:$K, MATCH($A195, 'calcolo base'!$A:$A, 0)),
   INDEX('calcolo base'!$J:$J, MATCH($A195, 'calcolo base'!$A:$A, 0))
) / 1000</f>
        <v>#N/A</v>
      </c>
      <c r="J195" s="50" t="e">
        <f t="shared" si="67"/>
        <v>#N/A</v>
      </c>
      <c r="K195" s="50"/>
      <c r="L195" s="267" t="e">
        <f>INDEX('calcolo base'!$H:$H, MATCH($A195, 'calcolo base'!$A:$A, 0))</f>
        <v>#N/A</v>
      </c>
      <c r="M195" s="50" t="e">
        <f t="shared" si="68"/>
        <v>#N/A</v>
      </c>
      <c r="N195" s="50" t="e">
        <f t="shared" si="69"/>
        <v>#N/A</v>
      </c>
      <c r="O195" s="50" t="e">
        <f t="shared" si="70"/>
        <v>#N/A</v>
      </c>
      <c r="P195" s="50" t="e">
        <f t="shared" si="71"/>
        <v>#N/A</v>
      </c>
      <c r="Q195" s="51" t="e">
        <f t="shared" si="72"/>
        <v>#N/A</v>
      </c>
      <c r="R195" s="205" t="e">
        <f t="shared" si="73"/>
        <v>#N/A</v>
      </c>
      <c r="S195" s="279" t="e">
        <f>IF(R195="si",0,IF(E195="si",0,IF(J195&gt;K195,0,+K195-J195)))+IF('calcolo base'!P1655="SI",('Commissioni De Angeli'!K195-'Commissioni De Angeli'!J195),0)</f>
        <v>#N/A</v>
      </c>
      <c r="T195" s="117" t="e">
        <f t="shared" si="74"/>
        <v>#N/A</v>
      </c>
      <c r="U195" s="272" t="e">
        <f>IF(Q195=0,'calcolo base'!L2794,(T195+Q195))</f>
        <v>#N/A</v>
      </c>
      <c r="V195" s="119"/>
    </row>
    <row r="196" spans="2:22">
      <c r="B196" s="47"/>
      <c r="C196" s="35"/>
      <c r="D196" s="53"/>
      <c r="E196" s="53"/>
      <c r="F196" s="48"/>
      <c r="G196" s="243" t="e">
        <f>INDEX('calcolo base'!$B:$B, MATCH($A196, 'calcolo base'!$A:$A, 0))</f>
        <v>#N/A</v>
      </c>
      <c r="H196" s="54" t="e">
        <f t="shared" si="66"/>
        <v>#N/A</v>
      </c>
      <c r="I196" s="259" t="e">
        <f>IF(  OR(      INDEX('calcolo base'!$D:$D, MATCH($A196, 'calcolo base'!$A:$A, 0)) = 0,
      INDEX('calcolo base'!$D:$D, MATCH($A196, 'calcolo base'!$A:$A, 0)) = ""   ),
   INDEX('calcolo base'!$K:$K, MATCH($A196, 'calcolo base'!$A:$A, 0)),
   INDEX('calcolo base'!$J:$J, MATCH($A196, 'calcolo base'!$A:$A, 0))
) / 1000</f>
        <v>#N/A</v>
      </c>
      <c r="J196" s="50" t="e">
        <f t="shared" si="67"/>
        <v>#N/A</v>
      </c>
      <c r="K196" s="50"/>
      <c r="L196" s="267" t="e">
        <f>INDEX('calcolo base'!$H:$H, MATCH($A196, 'calcolo base'!$A:$A, 0))</f>
        <v>#N/A</v>
      </c>
      <c r="M196" s="50" t="e">
        <f t="shared" si="68"/>
        <v>#N/A</v>
      </c>
      <c r="N196" s="50" t="e">
        <f t="shared" si="69"/>
        <v>#N/A</v>
      </c>
      <c r="O196" s="50" t="e">
        <f t="shared" si="70"/>
        <v>#N/A</v>
      </c>
      <c r="P196" s="50" t="e">
        <f t="shared" si="71"/>
        <v>#N/A</v>
      </c>
      <c r="Q196" s="51" t="e">
        <f t="shared" si="72"/>
        <v>#N/A</v>
      </c>
      <c r="R196" s="205" t="e">
        <f t="shared" si="73"/>
        <v>#N/A</v>
      </c>
      <c r="S196" s="279" t="e">
        <f>IF(R196="si",0,IF(E196="si",0,IF(J196&gt;K196,0,+K196-J196)))+IF('calcolo base'!P1656="SI",('Commissioni De Angeli'!K196-'Commissioni De Angeli'!J196),0)</f>
        <v>#N/A</v>
      </c>
      <c r="T196" s="117" t="e">
        <f t="shared" si="74"/>
        <v>#N/A</v>
      </c>
      <c r="U196" s="272" t="e">
        <f>IF(Q196=0,'calcolo base'!L2795,(T196+Q196))</f>
        <v>#N/A</v>
      </c>
      <c r="V196" s="119"/>
    </row>
    <row r="197" spans="2:22">
      <c r="B197" s="47"/>
      <c r="C197" s="35"/>
      <c r="D197" s="53"/>
      <c r="E197" s="53"/>
      <c r="F197" s="48"/>
      <c r="G197" s="243" t="e">
        <f>INDEX('calcolo base'!$B:$B, MATCH($A197, 'calcolo base'!$A:$A, 0))</f>
        <v>#N/A</v>
      </c>
      <c r="H197" s="54" t="e">
        <f t="shared" si="66"/>
        <v>#N/A</v>
      </c>
      <c r="I197" s="259" t="e">
        <f>IF(  OR(      INDEX('calcolo base'!$D:$D, MATCH($A197, 'calcolo base'!$A:$A, 0)) = 0,
      INDEX('calcolo base'!$D:$D, MATCH($A197, 'calcolo base'!$A:$A, 0)) = ""   ),
   INDEX('calcolo base'!$K:$K, MATCH($A197, 'calcolo base'!$A:$A, 0)),
   INDEX('calcolo base'!$J:$J, MATCH($A197, 'calcolo base'!$A:$A, 0))
) / 1000</f>
        <v>#N/A</v>
      </c>
      <c r="J197" s="50" t="e">
        <f t="shared" si="67"/>
        <v>#N/A</v>
      </c>
      <c r="K197" s="50"/>
      <c r="L197" s="267" t="e">
        <f>INDEX('calcolo base'!$H:$H, MATCH($A197, 'calcolo base'!$A:$A, 0))</f>
        <v>#N/A</v>
      </c>
      <c r="M197" s="50" t="e">
        <f t="shared" si="68"/>
        <v>#N/A</v>
      </c>
      <c r="N197" s="50" t="e">
        <f t="shared" si="69"/>
        <v>#N/A</v>
      </c>
      <c r="O197" s="50" t="e">
        <f t="shared" si="70"/>
        <v>#N/A</v>
      </c>
      <c r="P197" s="50" t="e">
        <f t="shared" si="71"/>
        <v>#N/A</v>
      </c>
      <c r="Q197" s="51" t="e">
        <f t="shared" si="72"/>
        <v>#N/A</v>
      </c>
      <c r="R197" s="205" t="e">
        <f t="shared" si="73"/>
        <v>#N/A</v>
      </c>
      <c r="S197" s="279" t="e">
        <f>IF(R197="si",0,IF(E197="si",0,IF(J197&gt;K197,0,+K197-J197)))+IF('calcolo base'!P1657="SI",('Commissioni De Angeli'!K197-'Commissioni De Angeli'!J197),0)</f>
        <v>#N/A</v>
      </c>
      <c r="T197" s="117" t="e">
        <f t="shared" si="74"/>
        <v>#N/A</v>
      </c>
      <c r="U197" s="272" t="e">
        <f>IF(Q197=0,'calcolo base'!L2796,(T197+Q197))</f>
        <v>#N/A</v>
      </c>
      <c r="V197" s="119"/>
    </row>
    <row r="198" spans="2:22">
      <c r="B198" s="47"/>
      <c r="C198" s="35"/>
      <c r="D198" s="53"/>
      <c r="E198" s="53"/>
      <c r="F198" s="48"/>
      <c r="G198" s="243" t="e">
        <f>INDEX('calcolo base'!$B:$B, MATCH($A198, 'calcolo base'!$A:$A, 0))</f>
        <v>#N/A</v>
      </c>
      <c r="H198" s="54" t="e">
        <f t="shared" si="66"/>
        <v>#N/A</v>
      </c>
      <c r="I198" s="259" t="e">
        <f>IF(  OR(      INDEX('calcolo base'!$D:$D, MATCH($A198, 'calcolo base'!$A:$A, 0)) = 0,
      INDEX('calcolo base'!$D:$D, MATCH($A198, 'calcolo base'!$A:$A, 0)) = ""   ),
   INDEX('calcolo base'!$K:$K, MATCH($A198, 'calcolo base'!$A:$A, 0)),
   INDEX('calcolo base'!$J:$J, MATCH($A198, 'calcolo base'!$A:$A, 0))
) / 1000</f>
        <v>#N/A</v>
      </c>
      <c r="J198" s="50" t="e">
        <f t="shared" si="67"/>
        <v>#N/A</v>
      </c>
      <c r="K198" s="50"/>
      <c r="L198" s="267" t="e">
        <f>INDEX('calcolo base'!$H:$H, MATCH($A198, 'calcolo base'!$A:$A, 0))</f>
        <v>#N/A</v>
      </c>
      <c r="M198" s="50" t="e">
        <f t="shared" si="68"/>
        <v>#N/A</v>
      </c>
      <c r="N198" s="50" t="e">
        <f t="shared" si="69"/>
        <v>#N/A</v>
      </c>
      <c r="O198" s="50" t="e">
        <f t="shared" si="70"/>
        <v>#N/A</v>
      </c>
      <c r="P198" s="50" t="e">
        <f t="shared" si="71"/>
        <v>#N/A</v>
      </c>
      <c r="Q198" s="51" t="e">
        <f t="shared" si="72"/>
        <v>#N/A</v>
      </c>
      <c r="R198" s="205" t="e">
        <f t="shared" si="73"/>
        <v>#N/A</v>
      </c>
      <c r="S198" s="279" t="e">
        <f>IF(R198="si",0,IF(E198="si",0,IF(J198&gt;K198,0,+K198-J198)))+IF('calcolo base'!P1658="SI",('Commissioni De Angeli'!K198-'Commissioni De Angeli'!J198),0)</f>
        <v>#N/A</v>
      </c>
      <c r="T198" s="117" t="e">
        <f t="shared" si="74"/>
        <v>#N/A</v>
      </c>
      <c r="U198" s="272" t="e">
        <f>IF(Q198=0,'calcolo base'!L2797,(T198+Q198))</f>
        <v>#N/A</v>
      </c>
      <c r="V198" s="119"/>
    </row>
    <row r="199" spans="2:22">
      <c r="B199" s="47"/>
      <c r="C199" s="35"/>
      <c r="D199" s="53"/>
      <c r="E199" s="53"/>
      <c r="F199" s="48"/>
      <c r="G199" s="243" t="e">
        <f>INDEX('calcolo base'!$B:$B, MATCH($A199, 'calcolo base'!$A:$A, 0))</f>
        <v>#N/A</v>
      </c>
      <c r="H199" s="54" t="e">
        <f t="shared" si="66"/>
        <v>#N/A</v>
      </c>
      <c r="I199" s="259" t="e">
        <f>IF(  OR(      INDEX('calcolo base'!$D:$D, MATCH($A199, 'calcolo base'!$A:$A, 0)) = 0,
      INDEX('calcolo base'!$D:$D, MATCH($A199, 'calcolo base'!$A:$A, 0)) = ""   ),
   INDEX('calcolo base'!$K:$K, MATCH($A199, 'calcolo base'!$A:$A, 0)),
   INDEX('calcolo base'!$J:$J, MATCH($A199, 'calcolo base'!$A:$A, 0))
) / 1000</f>
        <v>#N/A</v>
      </c>
      <c r="J199" s="50" t="e">
        <f t="shared" si="67"/>
        <v>#N/A</v>
      </c>
      <c r="K199" s="50"/>
      <c r="L199" s="267" t="e">
        <f>INDEX('calcolo base'!$H:$H, MATCH($A199, 'calcolo base'!$A:$A, 0))</f>
        <v>#N/A</v>
      </c>
      <c r="M199" s="50" t="e">
        <f t="shared" si="68"/>
        <v>#N/A</v>
      </c>
      <c r="N199" s="50" t="e">
        <f t="shared" si="69"/>
        <v>#N/A</v>
      </c>
      <c r="O199" s="50" t="e">
        <f t="shared" si="70"/>
        <v>#N/A</v>
      </c>
      <c r="P199" s="50" t="e">
        <f t="shared" si="71"/>
        <v>#N/A</v>
      </c>
      <c r="Q199" s="51" t="e">
        <f t="shared" si="72"/>
        <v>#N/A</v>
      </c>
      <c r="R199" s="205" t="e">
        <f t="shared" si="73"/>
        <v>#N/A</v>
      </c>
      <c r="S199" s="279" t="e">
        <f>IF(R199="si",0,IF(E199="si",0,IF(J199&gt;K199,0,+K199-J199)))+IF('calcolo base'!P1659="SI",('Commissioni De Angeli'!K199-'Commissioni De Angeli'!J199),0)</f>
        <v>#N/A</v>
      </c>
      <c r="T199" s="117" t="e">
        <f t="shared" si="74"/>
        <v>#N/A</v>
      </c>
      <c r="U199" s="272" t="e">
        <f>IF(Q199=0,'calcolo base'!L2798,(T199+Q199))</f>
        <v>#N/A</v>
      </c>
      <c r="V199" s="119"/>
    </row>
    <row r="200" spans="2:22">
      <c r="B200" s="47"/>
      <c r="C200" s="35"/>
      <c r="D200" s="53"/>
      <c r="E200" s="53"/>
      <c r="F200" s="48"/>
      <c r="G200" s="243" t="e">
        <f>INDEX('calcolo base'!$B:$B, MATCH($A200, 'calcolo base'!$A:$A, 0))</f>
        <v>#N/A</v>
      </c>
      <c r="H200" s="54" t="e">
        <f t="shared" si="66"/>
        <v>#N/A</v>
      </c>
      <c r="I200" s="259" t="e">
        <f>IF(  OR(      INDEX('calcolo base'!$D:$D, MATCH($A200, 'calcolo base'!$A:$A, 0)) = 0,
      INDEX('calcolo base'!$D:$D, MATCH($A200, 'calcolo base'!$A:$A, 0)) = ""   ),
   INDEX('calcolo base'!$K:$K, MATCH($A200, 'calcolo base'!$A:$A, 0)),
   INDEX('calcolo base'!$J:$J, MATCH($A200, 'calcolo base'!$A:$A, 0))
) / 1000</f>
        <v>#N/A</v>
      </c>
      <c r="J200" s="50" t="e">
        <f t="shared" si="67"/>
        <v>#N/A</v>
      </c>
      <c r="K200" s="50"/>
      <c r="L200" s="267" t="e">
        <f>INDEX('calcolo base'!$H:$H, MATCH($A200, 'calcolo base'!$A:$A, 0))</f>
        <v>#N/A</v>
      </c>
      <c r="M200" s="50" t="e">
        <f t="shared" si="68"/>
        <v>#N/A</v>
      </c>
      <c r="N200" s="50" t="e">
        <f t="shared" si="69"/>
        <v>#N/A</v>
      </c>
      <c r="O200" s="50" t="e">
        <f t="shared" si="70"/>
        <v>#N/A</v>
      </c>
      <c r="P200" s="50" t="e">
        <f t="shared" si="71"/>
        <v>#N/A</v>
      </c>
      <c r="Q200" s="51" t="e">
        <f t="shared" si="72"/>
        <v>#N/A</v>
      </c>
      <c r="R200" s="205" t="e">
        <f t="shared" si="73"/>
        <v>#N/A</v>
      </c>
      <c r="S200" s="279" t="e">
        <f>IF(R200="si",0,IF(E200="si",0,IF(J200&gt;K200,0,+K200-J200)))+IF('calcolo base'!P1660="SI",('Commissioni De Angeli'!K200-'Commissioni De Angeli'!J200),0)</f>
        <v>#N/A</v>
      </c>
      <c r="T200" s="117" t="e">
        <f t="shared" si="74"/>
        <v>#N/A</v>
      </c>
      <c r="U200" s="272" t="e">
        <f>IF(Q200=0,'calcolo base'!L2799,(T200+Q200))</f>
        <v>#N/A</v>
      </c>
      <c r="V200" s="119"/>
    </row>
    <row r="201" spans="2:22">
      <c r="B201" s="47"/>
      <c r="C201" s="35"/>
      <c r="D201" s="53"/>
      <c r="E201" s="53"/>
      <c r="F201" s="48"/>
      <c r="G201" s="243" t="e">
        <f>INDEX('calcolo base'!$B:$B, MATCH($A201, 'calcolo base'!$A:$A, 0))</f>
        <v>#N/A</v>
      </c>
      <c r="H201" s="54" t="e">
        <f t="shared" si="66"/>
        <v>#N/A</v>
      </c>
      <c r="I201" s="259" t="e">
        <f>IF(  OR(      INDEX('calcolo base'!$D:$D, MATCH($A201, 'calcolo base'!$A:$A, 0)) = 0,
      INDEX('calcolo base'!$D:$D, MATCH($A201, 'calcolo base'!$A:$A, 0)) = ""   ),
   INDEX('calcolo base'!$K:$K, MATCH($A201, 'calcolo base'!$A:$A, 0)),
   INDEX('calcolo base'!$J:$J, MATCH($A201, 'calcolo base'!$A:$A, 0))
) / 1000</f>
        <v>#N/A</v>
      </c>
      <c r="J201" s="50" t="e">
        <f t="shared" si="67"/>
        <v>#N/A</v>
      </c>
      <c r="K201" s="50"/>
      <c r="L201" s="267" t="e">
        <f>INDEX('calcolo base'!$H:$H, MATCH($A201, 'calcolo base'!$A:$A, 0))</f>
        <v>#N/A</v>
      </c>
      <c r="M201" s="50" t="e">
        <f t="shared" si="68"/>
        <v>#N/A</v>
      </c>
      <c r="N201" s="50" t="e">
        <f t="shared" si="69"/>
        <v>#N/A</v>
      </c>
      <c r="O201" s="50" t="e">
        <f t="shared" si="70"/>
        <v>#N/A</v>
      </c>
      <c r="P201" s="50" t="e">
        <f t="shared" si="71"/>
        <v>#N/A</v>
      </c>
      <c r="Q201" s="51" t="e">
        <f t="shared" si="72"/>
        <v>#N/A</v>
      </c>
      <c r="R201" s="205" t="e">
        <f t="shared" si="73"/>
        <v>#N/A</v>
      </c>
      <c r="S201" s="279" t="e">
        <f>IF(R201="si",0,IF(E201="si",0,IF(J201&gt;K201,0,+K201-J201)))+IF('calcolo base'!P1661="SI",('Commissioni De Angeli'!K201-'Commissioni De Angeli'!J201),0)</f>
        <v>#N/A</v>
      </c>
      <c r="T201" s="117" t="e">
        <f t="shared" si="74"/>
        <v>#N/A</v>
      </c>
      <c r="U201" s="272" t="e">
        <f>IF(Q201=0,'calcolo base'!L2800,(T201+Q201))</f>
        <v>#N/A</v>
      </c>
      <c r="V201" s="119"/>
    </row>
    <row r="202" spans="2:22">
      <c r="B202" s="47"/>
      <c r="C202" s="35"/>
      <c r="D202" s="53"/>
      <c r="E202" s="53"/>
      <c r="F202" s="48"/>
      <c r="G202" s="243" t="e">
        <f>INDEX('calcolo base'!$B:$B, MATCH($A202, 'calcolo base'!$A:$A, 0))</f>
        <v>#N/A</v>
      </c>
      <c r="H202" s="54" t="e">
        <f t="shared" si="66"/>
        <v>#N/A</v>
      </c>
      <c r="I202" s="259" t="e">
        <f>IF(  OR(      INDEX('calcolo base'!$D:$D, MATCH($A202, 'calcolo base'!$A:$A, 0)) = 0,
      INDEX('calcolo base'!$D:$D, MATCH($A202, 'calcolo base'!$A:$A, 0)) = ""   ),
   INDEX('calcolo base'!$K:$K, MATCH($A202, 'calcolo base'!$A:$A, 0)),
   INDEX('calcolo base'!$J:$J, MATCH($A202, 'calcolo base'!$A:$A, 0))
) / 1000</f>
        <v>#N/A</v>
      </c>
      <c r="J202" s="50" t="e">
        <f t="shared" si="67"/>
        <v>#N/A</v>
      </c>
      <c r="K202" s="50"/>
      <c r="L202" s="267" t="e">
        <f>INDEX('calcolo base'!$H:$H, MATCH($A202, 'calcolo base'!$A:$A, 0))</f>
        <v>#N/A</v>
      </c>
      <c r="M202" s="50" t="e">
        <f t="shared" si="68"/>
        <v>#N/A</v>
      </c>
      <c r="N202" s="50" t="e">
        <f t="shared" si="69"/>
        <v>#N/A</v>
      </c>
      <c r="O202" s="50" t="e">
        <f t="shared" si="70"/>
        <v>#N/A</v>
      </c>
      <c r="P202" s="50" t="e">
        <f t="shared" si="71"/>
        <v>#N/A</v>
      </c>
      <c r="Q202" s="51" t="e">
        <f t="shared" si="72"/>
        <v>#N/A</v>
      </c>
      <c r="R202" s="205" t="e">
        <f t="shared" si="73"/>
        <v>#N/A</v>
      </c>
      <c r="S202" s="279" t="e">
        <f>IF(R202="si",0,IF(E202="si",0,IF(J202&gt;K202,0,+K202-J202)))+IF('calcolo base'!P1662="SI",('Commissioni De Angeli'!K202-'Commissioni De Angeli'!J202),0)</f>
        <v>#N/A</v>
      </c>
      <c r="T202" s="117" t="e">
        <f t="shared" si="74"/>
        <v>#N/A</v>
      </c>
      <c r="U202" s="272" t="e">
        <f>IF(Q202=0,'calcolo base'!L2801,(T202+Q202))</f>
        <v>#N/A</v>
      </c>
      <c r="V202" s="119"/>
    </row>
    <row r="203" spans="2:22">
      <c r="B203" s="47"/>
      <c r="C203" s="35"/>
      <c r="D203" s="53"/>
      <c r="E203" s="53"/>
      <c r="F203" s="48"/>
      <c r="G203" s="243" t="e">
        <f>INDEX('calcolo base'!$B:$B, MATCH($A203, 'calcolo base'!$A:$A, 0))</f>
        <v>#N/A</v>
      </c>
      <c r="H203" s="54" t="e">
        <f t="shared" si="66"/>
        <v>#N/A</v>
      </c>
      <c r="I203" s="259" t="e">
        <f>IF(  OR(      INDEX('calcolo base'!$D:$D, MATCH($A203, 'calcolo base'!$A:$A, 0)) = 0,
      INDEX('calcolo base'!$D:$D, MATCH($A203, 'calcolo base'!$A:$A, 0)) = ""   ),
   INDEX('calcolo base'!$K:$K, MATCH($A203, 'calcolo base'!$A:$A, 0)),
   INDEX('calcolo base'!$J:$J, MATCH($A203, 'calcolo base'!$A:$A, 0))
) / 1000</f>
        <v>#N/A</v>
      </c>
      <c r="J203" s="50" t="e">
        <f t="shared" si="67"/>
        <v>#N/A</v>
      </c>
      <c r="K203" s="50"/>
      <c r="L203" s="267" t="e">
        <f>INDEX('calcolo base'!$H:$H, MATCH($A203, 'calcolo base'!$A:$A, 0))</f>
        <v>#N/A</v>
      </c>
      <c r="M203" s="50" t="e">
        <f t="shared" si="68"/>
        <v>#N/A</v>
      </c>
      <c r="N203" s="50" t="e">
        <f t="shared" si="69"/>
        <v>#N/A</v>
      </c>
      <c r="O203" s="50" t="e">
        <f t="shared" si="70"/>
        <v>#N/A</v>
      </c>
      <c r="P203" s="50" t="e">
        <f t="shared" si="71"/>
        <v>#N/A</v>
      </c>
      <c r="Q203" s="51" t="e">
        <f t="shared" si="72"/>
        <v>#N/A</v>
      </c>
      <c r="R203" s="205" t="e">
        <f t="shared" si="73"/>
        <v>#N/A</v>
      </c>
      <c r="S203" s="279" t="e">
        <f>IF(R203="si",0,IF(E203="si",0,IF(J203&gt;K203,0,+K203-J203)))+IF('calcolo base'!P1663="SI",('Commissioni De Angeli'!K203-'Commissioni De Angeli'!J203),0)</f>
        <v>#N/A</v>
      </c>
      <c r="T203" s="117" t="e">
        <f t="shared" si="74"/>
        <v>#N/A</v>
      </c>
      <c r="U203" s="272" t="e">
        <f>IF(Q203=0,'calcolo base'!L2802,(T203+Q203))</f>
        <v>#N/A</v>
      </c>
      <c r="V203" s="119"/>
    </row>
    <row r="204" spans="2:22">
      <c r="B204" s="47"/>
      <c r="C204" s="35"/>
      <c r="D204" s="53"/>
      <c r="E204" s="53"/>
      <c r="F204" s="48"/>
      <c r="G204" s="243" t="e">
        <f>INDEX('calcolo base'!$B:$B, MATCH($A204, 'calcolo base'!$A:$A, 0))</f>
        <v>#N/A</v>
      </c>
      <c r="H204" s="54" t="e">
        <f t="shared" si="66"/>
        <v>#N/A</v>
      </c>
      <c r="I204" s="259" t="e">
        <f>IF(  OR(      INDEX('calcolo base'!$D:$D, MATCH($A204, 'calcolo base'!$A:$A, 0)) = 0,
      INDEX('calcolo base'!$D:$D, MATCH($A204, 'calcolo base'!$A:$A, 0)) = ""   ),
   INDEX('calcolo base'!$K:$K, MATCH($A204, 'calcolo base'!$A:$A, 0)),
   INDEX('calcolo base'!$J:$J, MATCH($A204, 'calcolo base'!$A:$A, 0))
) / 1000</f>
        <v>#N/A</v>
      </c>
      <c r="J204" s="50" t="e">
        <f t="shared" si="67"/>
        <v>#N/A</v>
      </c>
      <c r="K204" s="50"/>
      <c r="L204" s="267" t="e">
        <f>INDEX('calcolo base'!$H:$H, MATCH($A204, 'calcolo base'!$A:$A, 0))</f>
        <v>#N/A</v>
      </c>
      <c r="M204" s="50" t="e">
        <f t="shared" si="68"/>
        <v>#N/A</v>
      </c>
      <c r="N204" s="50" t="e">
        <f t="shared" si="69"/>
        <v>#N/A</v>
      </c>
      <c r="O204" s="50" t="e">
        <f t="shared" si="70"/>
        <v>#N/A</v>
      </c>
      <c r="P204" s="50" t="e">
        <f t="shared" si="71"/>
        <v>#N/A</v>
      </c>
      <c r="Q204" s="51" t="e">
        <f t="shared" si="72"/>
        <v>#N/A</v>
      </c>
      <c r="R204" s="205" t="e">
        <f t="shared" si="73"/>
        <v>#N/A</v>
      </c>
      <c r="S204" s="279" t="e">
        <f>IF(R204="si",0,IF(E204="si",0,IF(J204&gt;K204,0,+K204-J204)))+IF('calcolo base'!P1664="SI",('Commissioni De Angeli'!K204-'Commissioni De Angeli'!J204),0)</f>
        <v>#N/A</v>
      </c>
      <c r="T204" s="117" t="e">
        <f t="shared" si="74"/>
        <v>#N/A</v>
      </c>
      <c r="U204" s="272" t="e">
        <f>IF(Q204=0,'calcolo base'!L2803,(T204+Q204))</f>
        <v>#N/A</v>
      </c>
      <c r="V204" s="119"/>
    </row>
    <row r="205" spans="2:22">
      <c r="B205" s="47"/>
      <c r="C205" s="35"/>
      <c r="D205" s="53"/>
      <c r="E205" s="53"/>
      <c r="F205" s="48"/>
      <c r="G205" s="243" t="e">
        <f>INDEX('calcolo base'!$B:$B, MATCH($A205, 'calcolo base'!$A:$A, 0))</f>
        <v>#N/A</v>
      </c>
      <c r="H205" s="54" t="e">
        <f t="shared" si="66"/>
        <v>#N/A</v>
      </c>
      <c r="I205" s="259" t="e">
        <f>IF(  OR(      INDEX('calcolo base'!$D:$D, MATCH($A205, 'calcolo base'!$A:$A, 0)) = 0,
      INDEX('calcolo base'!$D:$D, MATCH($A205, 'calcolo base'!$A:$A, 0)) = ""   ),
   INDEX('calcolo base'!$K:$K, MATCH($A205, 'calcolo base'!$A:$A, 0)),
   INDEX('calcolo base'!$J:$J, MATCH($A205, 'calcolo base'!$A:$A, 0))
) / 1000</f>
        <v>#N/A</v>
      </c>
      <c r="J205" s="50" t="e">
        <f t="shared" si="67"/>
        <v>#N/A</v>
      </c>
      <c r="K205" s="50"/>
      <c r="L205" s="267" t="e">
        <f>INDEX('calcolo base'!$H:$H, MATCH($A205, 'calcolo base'!$A:$A, 0))</f>
        <v>#N/A</v>
      </c>
      <c r="M205" s="50" t="e">
        <f t="shared" si="68"/>
        <v>#N/A</v>
      </c>
      <c r="N205" s="50" t="e">
        <f t="shared" si="69"/>
        <v>#N/A</v>
      </c>
      <c r="O205" s="50" t="e">
        <f t="shared" si="70"/>
        <v>#N/A</v>
      </c>
      <c r="P205" s="50" t="e">
        <f t="shared" si="71"/>
        <v>#N/A</v>
      </c>
      <c r="Q205" s="51" t="e">
        <f t="shared" si="72"/>
        <v>#N/A</v>
      </c>
      <c r="R205" s="205" t="e">
        <f t="shared" si="73"/>
        <v>#N/A</v>
      </c>
      <c r="S205" s="279" t="e">
        <f>IF(R205="si",0,IF(E205="si",0,IF(J205&gt;K205,0,+K205-J205)))+IF('calcolo base'!P1665="SI",('Commissioni De Angeli'!K205-'Commissioni De Angeli'!J205),0)</f>
        <v>#N/A</v>
      </c>
      <c r="T205" s="117" t="e">
        <f t="shared" si="74"/>
        <v>#N/A</v>
      </c>
      <c r="U205" s="272" t="e">
        <f>IF(Q205=0,'calcolo base'!L2804,(T205+Q205))</f>
        <v>#N/A</v>
      </c>
      <c r="V205" s="119"/>
    </row>
    <row r="206" spans="2:22">
      <c r="B206" s="47"/>
      <c r="C206" s="35"/>
      <c r="D206" s="53"/>
      <c r="E206" s="53"/>
      <c r="F206" s="48"/>
      <c r="G206" s="243" t="e">
        <f>INDEX('calcolo base'!$B:$B, MATCH($A206, 'calcolo base'!$A:$A, 0))</f>
        <v>#N/A</v>
      </c>
      <c r="H206" s="54" t="e">
        <f t="shared" si="66"/>
        <v>#N/A</v>
      </c>
      <c r="I206" s="259" t="e">
        <f>IF(  OR(      INDEX('calcolo base'!$D:$D, MATCH($A206, 'calcolo base'!$A:$A, 0)) = 0,
      INDEX('calcolo base'!$D:$D, MATCH($A206, 'calcolo base'!$A:$A, 0)) = ""   ),
   INDEX('calcolo base'!$K:$K, MATCH($A206, 'calcolo base'!$A:$A, 0)),
   INDEX('calcolo base'!$J:$J, MATCH($A206, 'calcolo base'!$A:$A, 0))
) / 1000</f>
        <v>#N/A</v>
      </c>
      <c r="J206" s="50" t="e">
        <f t="shared" si="67"/>
        <v>#N/A</v>
      </c>
      <c r="K206" s="50"/>
      <c r="L206" s="267" t="e">
        <f>INDEX('calcolo base'!$H:$H, MATCH($A206, 'calcolo base'!$A:$A, 0))</f>
        <v>#N/A</v>
      </c>
      <c r="M206" s="50" t="e">
        <f t="shared" si="68"/>
        <v>#N/A</v>
      </c>
      <c r="N206" s="50" t="e">
        <f t="shared" si="69"/>
        <v>#N/A</v>
      </c>
      <c r="O206" s="50" t="e">
        <f t="shared" si="70"/>
        <v>#N/A</v>
      </c>
      <c r="P206" s="50" t="e">
        <f t="shared" si="71"/>
        <v>#N/A</v>
      </c>
      <c r="Q206" s="51" t="e">
        <f t="shared" si="72"/>
        <v>#N/A</v>
      </c>
      <c r="R206" s="205" t="e">
        <f t="shared" si="73"/>
        <v>#N/A</v>
      </c>
      <c r="S206" s="279" t="e">
        <f>IF(R206="si",0,IF(E206="si",0,IF(J206&gt;K206,0,+K206-J206)))+IF('calcolo base'!P1666="SI",('Commissioni De Angeli'!K206-'Commissioni De Angeli'!J206),0)</f>
        <v>#N/A</v>
      </c>
      <c r="T206" s="117" t="e">
        <f t="shared" si="74"/>
        <v>#N/A</v>
      </c>
      <c r="U206" s="272" t="e">
        <f>IF(Q206=0,'calcolo base'!L2805,(T206+Q206))</f>
        <v>#N/A</v>
      </c>
      <c r="V206" s="119"/>
    </row>
    <row r="207" spans="2:22">
      <c r="B207" s="47"/>
      <c r="C207" s="35"/>
      <c r="D207" s="53"/>
      <c r="E207" s="53"/>
      <c r="F207" s="48"/>
      <c r="G207" s="243" t="e">
        <f>INDEX('calcolo base'!$B:$B, MATCH($A207, 'calcolo base'!$A:$A, 0))</f>
        <v>#N/A</v>
      </c>
      <c r="H207" s="54" t="e">
        <f t="shared" si="66"/>
        <v>#N/A</v>
      </c>
      <c r="I207" s="259" t="e">
        <f>IF(  OR(      INDEX('calcolo base'!$D:$D, MATCH($A207, 'calcolo base'!$A:$A, 0)) = 0,
      INDEX('calcolo base'!$D:$D, MATCH($A207, 'calcolo base'!$A:$A, 0)) = ""   ),
   INDEX('calcolo base'!$K:$K, MATCH($A207, 'calcolo base'!$A:$A, 0)),
   INDEX('calcolo base'!$J:$J, MATCH($A207, 'calcolo base'!$A:$A, 0))
) / 1000</f>
        <v>#N/A</v>
      </c>
      <c r="J207" s="50" t="e">
        <f t="shared" si="67"/>
        <v>#N/A</v>
      </c>
      <c r="K207" s="50"/>
      <c r="L207" s="267" t="e">
        <f>INDEX('calcolo base'!$H:$H, MATCH($A207, 'calcolo base'!$A:$A, 0))</f>
        <v>#N/A</v>
      </c>
      <c r="M207" s="50" t="e">
        <f t="shared" si="68"/>
        <v>#N/A</v>
      </c>
      <c r="N207" s="50" t="e">
        <f t="shared" si="69"/>
        <v>#N/A</v>
      </c>
      <c r="O207" s="50" t="e">
        <f t="shared" si="70"/>
        <v>#N/A</v>
      </c>
      <c r="P207" s="50" t="e">
        <f t="shared" si="71"/>
        <v>#N/A</v>
      </c>
      <c r="Q207" s="51" t="e">
        <f t="shared" si="72"/>
        <v>#N/A</v>
      </c>
      <c r="R207" s="205" t="e">
        <f t="shared" si="73"/>
        <v>#N/A</v>
      </c>
      <c r="S207" s="279" t="e">
        <f>IF(R207="si",0,IF(E207="si",0,IF(J207&gt;K207,0,+K207-J207)))+IF('calcolo base'!P1667="SI",('Commissioni De Angeli'!K207-'Commissioni De Angeli'!J207),0)</f>
        <v>#N/A</v>
      </c>
      <c r="T207" s="117" t="e">
        <f t="shared" si="74"/>
        <v>#N/A</v>
      </c>
      <c r="U207" s="272" t="e">
        <f>IF(Q207=0,'calcolo base'!L2806,(T207+Q207))</f>
        <v>#N/A</v>
      </c>
      <c r="V207" s="119"/>
    </row>
    <row r="208" spans="2:22">
      <c r="B208" s="47"/>
      <c r="C208" s="35"/>
      <c r="D208" s="53"/>
      <c r="E208" s="53"/>
      <c r="F208" s="48"/>
      <c r="G208" s="243" t="e">
        <f>INDEX('calcolo base'!$B:$B, MATCH($A208, 'calcolo base'!$A:$A, 0))</f>
        <v>#N/A</v>
      </c>
      <c r="H208" s="54" t="e">
        <f t="shared" si="66"/>
        <v>#N/A</v>
      </c>
      <c r="I208" s="259" t="e">
        <f>IF(  OR(      INDEX('calcolo base'!$D:$D, MATCH($A208, 'calcolo base'!$A:$A, 0)) = 0,
      INDEX('calcolo base'!$D:$D, MATCH($A208, 'calcolo base'!$A:$A, 0)) = ""   ),
   INDEX('calcolo base'!$K:$K, MATCH($A208, 'calcolo base'!$A:$A, 0)),
   INDEX('calcolo base'!$J:$J, MATCH($A208, 'calcolo base'!$A:$A, 0))
) / 1000</f>
        <v>#N/A</v>
      </c>
      <c r="J208" s="50" t="e">
        <f t="shared" si="67"/>
        <v>#N/A</v>
      </c>
      <c r="K208" s="50"/>
      <c r="L208" s="267" t="e">
        <f>INDEX('calcolo base'!$H:$H, MATCH($A208, 'calcolo base'!$A:$A, 0))</f>
        <v>#N/A</v>
      </c>
      <c r="M208" s="50" t="e">
        <f t="shared" si="68"/>
        <v>#N/A</v>
      </c>
      <c r="N208" s="50" t="e">
        <f t="shared" si="69"/>
        <v>#N/A</v>
      </c>
      <c r="O208" s="50" t="e">
        <f t="shared" si="70"/>
        <v>#N/A</v>
      </c>
      <c r="P208" s="50" t="e">
        <f t="shared" si="71"/>
        <v>#N/A</v>
      </c>
      <c r="Q208" s="51" t="e">
        <f t="shared" si="72"/>
        <v>#N/A</v>
      </c>
      <c r="R208" s="205" t="e">
        <f t="shared" si="73"/>
        <v>#N/A</v>
      </c>
      <c r="S208" s="279" t="e">
        <f>IF(R208="si",0,IF(E208="si",0,IF(J208&gt;K208,0,+K208-J208)))+IF('calcolo base'!P1668="SI",('Commissioni De Angeli'!K208-'Commissioni De Angeli'!J208),0)</f>
        <v>#N/A</v>
      </c>
      <c r="T208" s="117" t="e">
        <f t="shared" si="74"/>
        <v>#N/A</v>
      </c>
      <c r="U208" s="272" t="e">
        <f>IF(Q208=0,'calcolo base'!L2807,(T208+Q208))</f>
        <v>#N/A</v>
      </c>
      <c r="V208" s="119"/>
    </row>
    <row r="209" spans="2:22">
      <c r="B209" s="47"/>
      <c r="C209" s="35"/>
      <c r="D209" s="53"/>
      <c r="E209" s="53"/>
      <c r="F209" s="48"/>
      <c r="G209" s="243" t="e">
        <f>INDEX('calcolo base'!$B:$B, MATCH($A209, 'calcolo base'!$A:$A, 0))</f>
        <v>#N/A</v>
      </c>
      <c r="H209" s="54" t="e">
        <f t="shared" si="66"/>
        <v>#N/A</v>
      </c>
      <c r="I209" s="259" t="e">
        <f>IF(  OR(      INDEX('calcolo base'!$D:$D, MATCH($A209, 'calcolo base'!$A:$A, 0)) = 0,
      INDEX('calcolo base'!$D:$D, MATCH($A209, 'calcolo base'!$A:$A, 0)) = ""   ),
   INDEX('calcolo base'!$K:$K, MATCH($A209, 'calcolo base'!$A:$A, 0)),
   INDEX('calcolo base'!$J:$J, MATCH($A209, 'calcolo base'!$A:$A, 0))
) / 1000</f>
        <v>#N/A</v>
      </c>
      <c r="J209" s="50" t="e">
        <f t="shared" si="67"/>
        <v>#N/A</v>
      </c>
      <c r="K209" s="50"/>
      <c r="L209" s="267" t="e">
        <f>INDEX('calcolo base'!$H:$H, MATCH($A209, 'calcolo base'!$A:$A, 0))</f>
        <v>#N/A</v>
      </c>
      <c r="M209" s="50" t="e">
        <f t="shared" si="68"/>
        <v>#N/A</v>
      </c>
      <c r="N209" s="50" t="e">
        <f t="shared" si="69"/>
        <v>#N/A</v>
      </c>
      <c r="O209" s="50" t="e">
        <f t="shared" si="70"/>
        <v>#N/A</v>
      </c>
      <c r="P209" s="50" t="e">
        <f t="shared" si="71"/>
        <v>#N/A</v>
      </c>
      <c r="Q209" s="51" t="e">
        <f t="shared" si="72"/>
        <v>#N/A</v>
      </c>
      <c r="R209" s="205" t="e">
        <f t="shared" si="73"/>
        <v>#N/A</v>
      </c>
      <c r="S209" s="279" t="e">
        <f>IF(R209="si",0,IF(E209="si",0,IF(J209&gt;K209,0,+K209-J209)))+IF('calcolo base'!P1669="SI",('Commissioni De Angeli'!K209-'Commissioni De Angeli'!J209),0)</f>
        <v>#N/A</v>
      </c>
      <c r="T209" s="117" t="e">
        <f t="shared" si="74"/>
        <v>#N/A</v>
      </c>
      <c r="U209" s="272" t="e">
        <f>IF(Q209=0,'calcolo base'!L2808,(T209+Q209))</f>
        <v>#N/A</v>
      </c>
      <c r="V209" s="119"/>
    </row>
    <row r="210" spans="2:22">
      <c r="B210" s="47"/>
      <c r="C210" s="35"/>
      <c r="D210" s="53"/>
      <c r="E210" s="53"/>
      <c r="F210" s="48"/>
      <c r="G210" s="243" t="e">
        <f>INDEX('calcolo base'!$B:$B, MATCH($A210, 'calcolo base'!$A:$A, 0))</f>
        <v>#N/A</v>
      </c>
      <c r="H210" s="54" t="e">
        <f t="shared" si="66"/>
        <v>#N/A</v>
      </c>
      <c r="I210" s="259" t="e">
        <f>IF(  OR(      INDEX('calcolo base'!$D:$D, MATCH($A210, 'calcolo base'!$A:$A, 0)) = 0,
      INDEX('calcolo base'!$D:$D, MATCH($A210, 'calcolo base'!$A:$A, 0)) = ""   ),
   INDEX('calcolo base'!$K:$K, MATCH($A210, 'calcolo base'!$A:$A, 0)),
   INDEX('calcolo base'!$J:$J, MATCH($A210, 'calcolo base'!$A:$A, 0))
) / 1000</f>
        <v>#N/A</v>
      </c>
      <c r="J210" s="50" t="e">
        <f t="shared" si="67"/>
        <v>#N/A</v>
      </c>
      <c r="K210" s="50"/>
      <c r="L210" s="267" t="e">
        <f>INDEX('calcolo base'!$H:$H, MATCH($A210, 'calcolo base'!$A:$A, 0))</f>
        <v>#N/A</v>
      </c>
      <c r="M210" s="50" t="e">
        <f t="shared" si="68"/>
        <v>#N/A</v>
      </c>
      <c r="N210" s="50" t="e">
        <f t="shared" si="69"/>
        <v>#N/A</v>
      </c>
      <c r="O210" s="50" t="e">
        <f t="shared" si="70"/>
        <v>#N/A</v>
      </c>
      <c r="P210" s="50" t="e">
        <f t="shared" si="71"/>
        <v>#N/A</v>
      </c>
      <c r="Q210" s="51" t="e">
        <f t="shared" si="72"/>
        <v>#N/A</v>
      </c>
      <c r="R210" s="205" t="e">
        <f t="shared" si="73"/>
        <v>#N/A</v>
      </c>
      <c r="S210" s="279" t="e">
        <f>IF(R210="si",0,IF(E210="si",0,IF(J210&gt;K210,0,+K210-J210)))+IF('calcolo base'!P1670="SI",('Commissioni De Angeli'!K210-'Commissioni De Angeli'!J210),0)</f>
        <v>#N/A</v>
      </c>
      <c r="T210" s="117" t="e">
        <f t="shared" si="74"/>
        <v>#N/A</v>
      </c>
      <c r="U210" s="272" t="e">
        <f>IF(Q210=0,'calcolo base'!L2809,(T210+Q210))</f>
        <v>#N/A</v>
      </c>
      <c r="V210" s="119"/>
    </row>
    <row r="211" spans="2:22">
      <c r="B211" s="47"/>
      <c r="C211" s="35"/>
      <c r="D211" s="53"/>
      <c r="E211" s="53"/>
      <c r="F211" s="48"/>
      <c r="G211" s="243" t="e">
        <f>INDEX('calcolo base'!$B:$B, MATCH($A211, 'calcolo base'!$A:$A, 0))</f>
        <v>#N/A</v>
      </c>
      <c r="H211" s="54" t="e">
        <f t="shared" si="66"/>
        <v>#N/A</v>
      </c>
      <c r="I211" s="259" t="e">
        <f>IF(  OR(      INDEX('calcolo base'!$D:$D, MATCH($A211, 'calcolo base'!$A:$A, 0)) = 0,
      INDEX('calcolo base'!$D:$D, MATCH($A211, 'calcolo base'!$A:$A, 0)) = ""   ),
   INDEX('calcolo base'!$K:$K, MATCH($A211, 'calcolo base'!$A:$A, 0)),
   INDEX('calcolo base'!$J:$J, MATCH($A211, 'calcolo base'!$A:$A, 0))
) / 1000</f>
        <v>#N/A</v>
      </c>
      <c r="J211" s="50" t="e">
        <f t="shared" si="67"/>
        <v>#N/A</v>
      </c>
      <c r="K211" s="50"/>
      <c r="L211" s="267" t="e">
        <f>INDEX('calcolo base'!$H:$H, MATCH($A211, 'calcolo base'!$A:$A, 0))</f>
        <v>#N/A</v>
      </c>
      <c r="M211" s="50" t="e">
        <f t="shared" si="68"/>
        <v>#N/A</v>
      </c>
      <c r="N211" s="50" t="e">
        <f t="shared" si="69"/>
        <v>#N/A</v>
      </c>
      <c r="O211" s="50" t="e">
        <f t="shared" si="70"/>
        <v>#N/A</v>
      </c>
      <c r="P211" s="50" t="e">
        <f t="shared" si="71"/>
        <v>#N/A</v>
      </c>
      <c r="Q211" s="51" t="e">
        <f t="shared" si="72"/>
        <v>#N/A</v>
      </c>
      <c r="R211" s="205" t="e">
        <f t="shared" si="73"/>
        <v>#N/A</v>
      </c>
      <c r="S211" s="279" t="e">
        <f>IF(R211="si",0,IF(E211="si",0,IF(J211&gt;K211,0,+K211-J211)))+IF('calcolo base'!P1671="SI",('Commissioni De Angeli'!K211-'Commissioni De Angeli'!J211),0)</f>
        <v>#N/A</v>
      </c>
      <c r="T211" s="117" t="e">
        <f t="shared" si="74"/>
        <v>#N/A</v>
      </c>
      <c r="U211" s="272" t="e">
        <f>IF(Q211=0,'calcolo base'!L2810,(T211+Q211))</f>
        <v>#N/A</v>
      </c>
      <c r="V211" s="119"/>
    </row>
    <row r="212" spans="2:22">
      <c r="B212" s="47"/>
      <c r="C212" s="35"/>
      <c r="D212" s="53"/>
      <c r="E212" s="53"/>
      <c r="F212" s="48"/>
      <c r="G212" s="243" t="e">
        <f>INDEX('calcolo base'!$B:$B, MATCH($A212, 'calcolo base'!$A:$A, 0))</f>
        <v>#N/A</v>
      </c>
      <c r="H212" s="54" t="e">
        <f t="shared" si="66"/>
        <v>#N/A</v>
      </c>
      <c r="I212" s="259" t="e">
        <f>IF(  OR(      INDEX('calcolo base'!$D:$D, MATCH($A212, 'calcolo base'!$A:$A, 0)) = 0,
      INDEX('calcolo base'!$D:$D, MATCH($A212, 'calcolo base'!$A:$A, 0)) = ""   ),
   INDEX('calcolo base'!$K:$K, MATCH($A212, 'calcolo base'!$A:$A, 0)),
   INDEX('calcolo base'!$J:$J, MATCH($A212, 'calcolo base'!$A:$A, 0))
) / 1000</f>
        <v>#N/A</v>
      </c>
      <c r="J212" s="50" t="e">
        <f t="shared" si="67"/>
        <v>#N/A</v>
      </c>
      <c r="K212" s="50"/>
      <c r="L212" s="267" t="e">
        <f>INDEX('calcolo base'!$H:$H, MATCH($A212, 'calcolo base'!$A:$A, 0))</f>
        <v>#N/A</v>
      </c>
      <c r="M212" s="50" t="e">
        <f t="shared" si="68"/>
        <v>#N/A</v>
      </c>
      <c r="N212" s="50" t="e">
        <f t="shared" si="69"/>
        <v>#N/A</v>
      </c>
      <c r="O212" s="50" t="e">
        <f t="shared" si="70"/>
        <v>#N/A</v>
      </c>
      <c r="P212" s="50" t="e">
        <f t="shared" si="71"/>
        <v>#N/A</v>
      </c>
      <c r="Q212" s="51" t="e">
        <f t="shared" si="72"/>
        <v>#N/A</v>
      </c>
      <c r="R212" s="205" t="e">
        <f t="shared" si="73"/>
        <v>#N/A</v>
      </c>
      <c r="S212" s="279" t="e">
        <f>IF(R212="si",0,IF(E212="si",0,IF(J212&gt;K212,0,+K212-J212)))+IF('calcolo base'!P1672="SI",('Commissioni De Angeli'!K212-'Commissioni De Angeli'!J212),0)</f>
        <v>#N/A</v>
      </c>
      <c r="T212" s="117" t="e">
        <f t="shared" si="74"/>
        <v>#N/A</v>
      </c>
      <c r="U212" s="272" t="e">
        <f>IF(Q212=0,'calcolo base'!L2811,(T212+Q212))</f>
        <v>#N/A</v>
      </c>
      <c r="V212" s="119"/>
    </row>
    <row r="213" spans="2:22">
      <c r="B213" s="47"/>
      <c r="C213" s="35"/>
      <c r="D213" s="53"/>
      <c r="E213" s="53"/>
      <c r="F213" s="48"/>
      <c r="G213" s="243" t="e">
        <f>INDEX('calcolo base'!$B:$B, MATCH($A213, 'calcolo base'!$A:$A, 0))</f>
        <v>#N/A</v>
      </c>
      <c r="H213" s="54" t="e">
        <f t="shared" si="66"/>
        <v>#N/A</v>
      </c>
      <c r="I213" s="259" t="e">
        <f>IF(  OR(      INDEX('calcolo base'!$D:$D, MATCH($A213, 'calcolo base'!$A:$A, 0)) = 0,
      INDEX('calcolo base'!$D:$D, MATCH($A213, 'calcolo base'!$A:$A, 0)) = ""   ),
   INDEX('calcolo base'!$K:$K, MATCH($A213, 'calcolo base'!$A:$A, 0)),
   INDEX('calcolo base'!$J:$J, MATCH($A213, 'calcolo base'!$A:$A, 0))
) / 1000</f>
        <v>#N/A</v>
      </c>
      <c r="J213" s="50" t="e">
        <f t="shared" si="67"/>
        <v>#N/A</v>
      </c>
      <c r="K213" s="50"/>
      <c r="L213" s="267" t="e">
        <f>INDEX('calcolo base'!$H:$H, MATCH($A213, 'calcolo base'!$A:$A, 0))</f>
        <v>#N/A</v>
      </c>
      <c r="M213" s="50" t="e">
        <f t="shared" si="68"/>
        <v>#N/A</v>
      </c>
      <c r="N213" s="50" t="e">
        <f t="shared" si="69"/>
        <v>#N/A</v>
      </c>
      <c r="O213" s="50" t="e">
        <f t="shared" si="70"/>
        <v>#N/A</v>
      </c>
      <c r="P213" s="50" t="e">
        <f t="shared" si="71"/>
        <v>#N/A</v>
      </c>
      <c r="Q213" s="51" t="e">
        <f t="shared" si="72"/>
        <v>#N/A</v>
      </c>
      <c r="R213" s="205" t="e">
        <f t="shared" si="73"/>
        <v>#N/A</v>
      </c>
      <c r="S213" s="279" t="e">
        <f>IF(R213="si",0,IF(E213="si",0,IF(J213&gt;K213,0,+K213-J213)))+IF('calcolo base'!P1673="SI",('Commissioni De Angeli'!K213-'Commissioni De Angeli'!J213),0)</f>
        <v>#N/A</v>
      </c>
      <c r="T213" s="117" t="e">
        <f t="shared" si="74"/>
        <v>#N/A</v>
      </c>
      <c r="U213" s="272" t="e">
        <f>IF(Q213=0,'calcolo base'!L2812,(T213+Q213))</f>
        <v>#N/A</v>
      </c>
      <c r="V213" s="119"/>
    </row>
    <row r="214" spans="2:22">
      <c r="B214" s="47"/>
      <c r="C214" s="35"/>
      <c r="D214" s="53"/>
      <c r="E214" s="53"/>
      <c r="F214" s="48"/>
      <c r="G214" s="243" t="e">
        <f>INDEX('calcolo base'!$B:$B, MATCH($A214, 'calcolo base'!$A:$A, 0))</f>
        <v>#N/A</v>
      </c>
      <c r="H214" s="54" t="e">
        <f t="shared" si="66"/>
        <v>#N/A</v>
      </c>
      <c r="I214" s="259" t="e">
        <f>IF(  OR(      INDEX('calcolo base'!$D:$D, MATCH($A214, 'calcolo base'!$A:$A, 0)) = 0,
      INDEX('calcolo base'!$D:$D, MATCH($A214, 'calcolo base'!$A:$A, 0)) = ""   ),
   INDEX('calcolo base'!$K:$K, MATCH($A214, 'calcolo base'!$A:$A, 0)),
   INDEX('calcolo base'!$J:$J, MATCH($A214, 'calcolo base'!$A:$A, 0))
) / 1000</f>
        <v>#N/A</v>
      </c>
      <c r="J214" s="50" t="e">
        <f t="shared" si="67"/>
        <v>#N/A</v>
      </c>
      <c r="K214" s="50"/>
      <c r="L214" s="267" t="e">
        <f>INDEX('calcolo base'!$H:$H, MATCH($A214, 'calcolo base'!$A:$A, 0))</f>
        <v>#N/A</v>
      </c>
      <c r="M214" s="50" t="e">
        <f t="shared" si="68"/>
        <v>#N/A</v>
      </c>
      <c r="N214" s="50" t="e">
        <f t="shared" si="69"/>
        <v>#N/A</v>
      </c>
      <c r="O214" s="50" t="e">
        <f t="shared" si="70"/>
        <v>#N/A</v>
      </c>
      <c r="P214" s="50" t="e">
        <f t="shared" si="71"/>
        <v>#N/A</v>
      </c>
      <c r="Q214" s="51" t="e">
        <f t="shared" si="72"/>
        <v>#N/A</v>
      </c>
      <c r="R214" s="205" t="e">
        <f t="shared" si="73"/>
        <v>#N/A</v>
      </c>
      <c r="S214" s="279" t="e">
        <f>IF(R214="si",0,IF(E214="si",0,IF(J214&gt;K214,0,+K214-J214)))+IF('calcolo base'!P1674="SI",('Commissioni De Angeli'!K214-'Commissioni De Angeli'!J214),0)</f>
        <v>#N/A</v>
      </c>
      <c r="T214" s="117" t="e">
        <f t="shared" si="74"/>
        <v>#N/A</v>
      </c>
      <c r="U214" s="272" t="e">
        <f>IF(Q214=0,'calcolo base'!L2813,(T214+Q214))</f>
        <v>#N/A</v>
      </c>
      <c r="V214" s="119"/>
    </row>
    <row r="215" spans="2:22">
      <c r="B215" s="47"/>
      <c r="C215" s="35"/>
      <c r="D215" s="53"/>
      <c r="E215" s="53"/>
      <c r="F215" s="48"/>
      <c r="G215" s="243" t="e">
        <f>INDEX('calcolo base'!$B:$B, MATCH($A215, 'calcolo base'!$A:$A, 0))</f>
        <v>#N/A</v>
      </c>
      <c r="H215" s="54" t="e">
        <f t="shared" si="66"/>
        <v>#N/A</v>
      </c>
      <c r="I215" s="259" t="e">
        <f>IF(  OR(      INDEX('calcolo base'!$D:$D, MATCH($A215, 'calcolo base'!$A:$A, 0)) = 0,
      INDEX('calcolo base'!$D:$D, MATCH($A215, 'calcolo base'!$A:$A, 0)) = ""   ),
   INDEX('calcolo base'!$K:$K, MATCH($A215, 'calcolo base'!$A:$A, 0)),
   INDEX('calcolo base'!$J:$J, MATCH($A215, 'calcolo base'!$A:$A, 0))
) / 1000</f>
        <v>#N/A</v>
      </c>
      <c r="J215" s="50" t="e">
        <f t="shared" si="67"/>
        <v>#N/A</v>
      </c>
      <c r="K215" s="50"/>
      <c r="L215" s="267" t="e">
        <f>INDEX('calcolo base'!$H:$H, MATCH($A215, 'calcolo base'!$A:$A, 0))</f>
        <v>#N/A</v>
      </c>
      <c r="M215" s="50" t="e">
        <f t="shared" si="68"/>
        <v>#N/A</v>
      </c>
      <c r="N215" s="50" t="e">
        <f t="shared" si="69"/>
        <v>#N/A</v>
      </c>
      <c r="O215" s="50" t="e">
        <f t="shared" si="70"/>
        <v>#N/A</v>
      </c>
      <c r="P215" s="50" t="e">
        <f t="shared" si="71"/>
        <v>#N/A</v>
      </c>
      <c r="Q215" s="51" t="e">
        <f t="shared" si="72"/>
        <v>#N/A</v>
      </c>
      <c r="R215" s="205" t="e">
        <f t="shared" si="73"/>
        <v>#N/A</v>
      </c>
      <c r="S215" s="279" t="e">
        <f>IF(R215="si",0,IF(E215="si",0,IF(J215&gt;K215,0,+K215-J215)))+IF('calcolo base'!P1675="SI",('Commissioni De Angeli'!K215-'Commissioni De Angeli'!J215),0)</f>
        <v>#N/A</v>
      </c>
      <c r="T215" s="117" t="e">
        <f t="shared" si="74"/>
        <v>#N/A</v>
      </c>
      <c r="U215" s="272" t="e">
        <f>IF(Q215=0,'calcolo base'!L2814,(T215+Q215))</f>
        <v>#N/A</v>
      </c>
      <c r="V215" s="119"/>
    </row>
    <row r="216" spans="2:22">
      <c r="B216" s="47"/>
      <c r="C216" s="35"/>
      <c r="D216" s="53"/>
      <c r="E216" s="53"/>
      <c r="F216" s="48"/>
      <c r="G216" s="243" t="e">
        <f>INDEX('calcolo base'!$B:$B, MATCH($A216, 'calcolo base'!$A:$A, 0))</f>
        <v>#N/A</v>
      </c>
      <c r="H216" s="54" t="e">
        <f t="shared" si="66"/>
        <v>#N/A</v>
      </c>
      <c r="I216" s="259" t="e">
        <f>IF(  OR(      INDEX('calcolo base'!$D:$D, MATCH($A216, 'calcolo base'!$A:$A, 0)) = 0,
      INDEX('calcolo base'!$D:$D, MATCH($A216, 'calcolo base'!$A:$A, 0)) = ""   ),
   INDEX('calcolo base'!$K:$K, MATCH($A216, 'calcolo base'!$A:$A, 0)),
   INDEX('calcolo base'!$J:$J, MATCH($A216, 'calcolo base'!$A:$A, 0))
) / 1000</f>
        <v>#N/A</v>
      </c>
      <c r="J216" s="50" t="e">
        <f t="shared" si="67"/>
        <v>#N/A</v>
      </c>
      <c r="K216" s="50"/>
      <c r="L216" s="267" t="e">
        <f>INDEX('calcolo base'!$H:$H, MATCH($A216, 'calcolo base'!$A:$A, 0))</f>
        <v>#N/A</v>
      </c>
      <c r="M216" s="50" t="e">
        <f t="shared" si="68"/>
        <v>#N/A</v>
      </c>
      <c r="N216" s="50" t="e">
        <f t="shared" si="69"/>
        <v>#N/A</v>
      </c>
      <c r="O216" s="50" t="e">
        <f t="shared" si="70"/>
        <v>#N/A</v>
      </c>
      <c r="P216" s="50" t="e">
        <f t="shared" si="71"/>
        <v>#N/A</v>
      </c>
      <c r="Q216" s="51" t="e">
        <f t="shared" si="72"/>
        <v>#N/A</v>
      </c>
      <c r="R216" s="205" t="e">
        <f t="shared" si="73"/>
        <v>#N/A</v>
      </c>
      <c r="S216" s="279" t="e">
        <f>IF(R216="si",0,IF(E216="si",0,IF(J216&gt;K216,0,+K216-J216)))+IF('calcolo base'!P1676="SI",('Commissioni De Angeli'!K216-'Commissioni De Angeli'!J216),0)</f>
        <v>#N/A</v>
      </c>
      <c r="T216" s="117" t="e">
        <f t="shared" si="74"/>
        <v>#N/A</v>
      </c>
      <c r="U216" s="272" t="e">
        <f>IF(Q216=0,'calcolo base'!L2815,(T216+Q216))</f>
        <v>#N/A</v>
      </c>
      <c r="V216" s="119"/>
    </row>
    <row r="217" spans="2:22">
      <c r="B217" s="47"/>
      <c r="C217" s="35"/>
      <c r="D217" s="53"/>
      <c r="E217" s="53"/>
      <c r="F217" s="48"/>
      <c r="G217" s="243" t="e">
        <f>INDEX('calcolo base'!$B:$B, MATCH($A217, 'calcolo base'!$A:$A, 0))</f>
        <v>#N/A</v>
      </c>
      <c r="H217" s="54" t="e">
        <f t="shared" si="66"/>
        <v>#N/A</v>
      </c>
      <c r="I217" s="259" t="e">
        <f>IF(  OR(      INDEX('calcolo base'!$D:$D, MATCH($A217, 'calcolo base'!$A:$A, 0)) = 0,
      INDEX('calcolo base'!$D:$D, MATCH($A217, 'calcolo base'!$A:$A, 0)) = ""   ),
   INDEX('calcolo base'!$K:$K, MATCH($A217, 'calcolo base'!$A:$A, 0)),
   INDEX('calcolo base'!$J:$J, MATCH($A217, 'calcolo base'!$A:$A, 0))
) / 1000</f>
        <v>#N/A</v>
      </c>
      <c r="J217" s="50" t="e">
        <f t="shared" si="67"/>
        <v>#N/A</v>
      </c>
      <c r="K217" s="50"/>
      <c r="L217" s="267" t="e">
        <f>INDEX('calcolo base'!$H:$H, MATCH($A217, 'calcolo base'!$A:$A, 0))</f>
        <v>#N/A</v>
      </c>
      <c r="M217" s="50" t="e">
        <f t="shared" si="68"/>
        <v>#N/A</v>
      </c>
      <c r="N217" s="50" t="e">
        <f t="shared" si="69"/>
        <v>#N/A</v>
      </c>
      <c r="O217" s="50" t="e">
        <f t="shared" si="70"/>
        <v>#N/A</v>
      </c>
      <c r="P217" s="50" t="e">
        <f t="shared" si="71"/>
        <v>#N/A</v>
      </c>
      <c r="Q217" s="51" t="e">
        <f t="shared" si="72"/>
        <v>#N/A</v>
      </c>
      <c r="R217" s="205" t="e">
        <f t="shared" si="73"/>
        <v>#N/A</v>
      </c>
      <c r="S217" s="279" t="e">
        <f>IF(R217="si",0,IF(E217="si",0,IF(J217&gt;K217,0,+K217-J217)))+IF('calcolo base'!P1677="SI",('Commissioni De Angeli'!K217-'Commissioni De Angeli'!J217),0)</f>
        <v>#N/A</v>
      </c>
      <c r="T217" s="117" t="e">
        <f t="shared" si="74"/>
        <v>#N/A</v>
      </c>
      <c r="U217" s="272" t="e">
        <f>IF(Q217=0,'calcolo base'!L2816,(T217+Q217))</f>
        <v>#N/A</v>
      </c>
      <c r="V217" s="119"/>
    </row>
    <row r="218" spans="2:22">
      <c r="B218" s="47"/>
      <c r="C218" s="35"/>
      <c r="D218" s="53"/>
      <c r="E218" s="53"/>
      <c r="F218" s="48"/>
      <c r="G218" s="243" t="e">
        <f>INDEX('calcolo base'!$B:$B, MATCH($A218, 'calcolo base'!$A:$A, 0))</f>
        <v>#N/A</v>
      </c>
      <c r="H218" s="54" t="e">
        <f t="shared" si="66"/>
        <v>#N/A</v>
      </c>
      <c r="I218" s="259" t="e">
        <f>IF(  OR(      INDEX('calcolo base'!$D:$D, MATCH($A218, 'calcolo base'!$A:$A, 0)) = 0,
      INDEX('calcolo base'!$D:$D, MATCH($A218, 'calcolo base'!$A:$A, 0)) = ""   ),
   INDEX('calcolo base'!$K:$K, MATCH($A218, 'calcolo base'!$A:$A, 0)),
   INDEX('calcolo base'!$J:$J, MATCH($A218, 'calcolo base'!$A:$A, 0))
) / 1000</f>
        <v>#N/A</v>
      </c>
      <c r="J218" s="50" t="e">
        <f t="shared" si="67"/>
        <v>#N/A</v>
      </c>
      <c r="K218" s="50"/>
      <c r="L218" s="267" t="e">
        <f>INDEX('calcolo base'!$H:$H, MATCH($A218, 'calcolo base'!$A:$A, 0))</f>
        <v>#N/A</v>
      </c>
      <c r="M218" s="50" t="e">
        <f t="shared" si="68"/>
        <v>#N/A</v>
      </c>
      <c r="N218" s="50" t="e">
        <f t="shared" si="69"/>
        <v>#N/A</v>
      </c>
      <c r="O218" s="50" t="e">
        <f t="shared" si="70"/>
        <v>#N/A</v>
      </c>
      <c r="P218" s="50" t="e">
        <f t="shared" si="71"/>
        <v>#N/A</v>
      </c>
      <c r="Q218" s="51" t="e">
        <f t="shared" si="72"/>
        <v>#N/A</v>
      </c>
      <c r="R218" s="205" t="e">
        <f t="shared" si="73"/>
        <v>#N/A</v>
      </c>
      <c r="S218" s="279" t="e">
        <f>IF(R218="si",0,IF(E218="si",0,IF(J218&gt;K218,0,+K218-J218)))+IF('calcolo base'!P1678="SI",('Commissioni De Angeli'!K218-'Commissioni De Angeli'!J218),0)</f>
        <v>#N/A</v>
      </c>
      <c r="T218" s="117" t="e">
        <f t="shared" si="74"/>
        <v>#N/A</v>
      </c>
      <c r="U218" s="272" t="e">
        <f>IF(Q218=0,'calcolo base'!L2817,(T218+Q218))</f>
        <v>#N/A</v>
      </c>
      <c r="V218" s="119"/>
    </row>
    <row r="219" spans="2:22">
      <c r="B219" s="47"/>
      <c r="C219" s="35"/>
      <c r="D219" s="53"/>
      <c r="E219" s="53"/>
      <c r="F219" s="48"/>
      <c r="G219" s="243" t="e">
        <f>INDEX('calcolo base'!$B:$B, MATCH($A219, 'calcolo base'!$A:$A, 0))</f>
        <v>#N/A</v>
      </c>
      <c r="H219" s="54" t="e">
        <f t="shared" si="66"/>
        <v>#N/A</v>
      </c>
      <c r="I219" s="259" t="e">
        <f>IF(  OR(      INDEX('calcolo base'!$D:$D, MATCH($A219, 'calcolo base'!$A:$A, 0)) = 0,
      INDEX('calcolo base'!$D:$D, MATCH($A219, 'calcolo base'!$A:$A, 0)) = ""   ),
   INDEX('calcolo base'!$K:$K, MATCH($A219, 'calcolo base'!$A:$A, 0)),
   INDEX('calcolo base'!$J:$J, MATCH($A219, 'calcolo base'!$A:$A, 0))
) / 1000</f>
        <v>#N/A</v>
      </c>
      <c r="J219" s="50" t="e">
        <f t="shared" si="67"/>
        <v>#N/A</v>
      </c>
      <c r="K219" s="50"/>
      <c r="L219" s="267" t="e">
        <f>INDEX('calcolo base'!$H:$H, MATCH($A219, 'calcolo base'!$A:$A, 0))</f>
        <v>#N/A</v>
      </c>
      <c r="M219" s="50" t="e">
        <f t="shared" si="68"/>
        <v>#N/A</v>
      </c>
      <c r="N219" s="50" t="e">
        <f t="shared" si="69"/>
        <v>#N/A</v>
      </c>
      <c r="O219" s="50" t="e">
        <f t="shared" si="70"/>
        <v>#N/A</v>
      </c>
      <c r="P219" s="50" t="e">
        <f t="shared" si="71"/>
        <v>#N/A</v>
      </c>
      <c r="Q219" s="51" t="e">
        <f t="shared" si="72"/>
        <v>#N/A</v>
      </c>
      <c r="R219" s="205" t="e">
        <f t="shared" si="73"/>
        <v>#N/A</v>
      </c>
      <c r="S219" s="279" t="e">
        <f>IF(R219="si",0,IF(E219="si",0,IF(J219&gt;K219,0,+K219-J219)))+IF('calcolo base'!P1679="SI",('Commissioni De Angeli'!K219-'Commissioni De Angeli'!J219),0)</f>
        <v>#N/A</v>
      </c>
      <c r="T219" s="117" t="e">
        <f t="shared" si="74"/>
        <v>#N/A</v>
      </c>
      <c r="U219" s="272" t="e">
        <f>IF(Q219=0,'calcolo base'!L2818,(T219+Q219))</f>
        <v>#N/A</v>
      </c>
      <c r="V219" s="119"/>
    </row>
    <row r="220" spans="2:22">
      <c r="B220" s="47"/>
      <c r="C220" s="35"/>
      <c r="D220" s="53"/>
      <c r="E220" s="53"/>
      <c r="F220" s="48"/>
      <c r="G220" s="243" t="e">
        <f>INDEX('calcolo base'!$B:$B, MATCH($A220, 'calcolo base'!$A:$A, 0))</f>
        <v>#N/A</v>
      </c>
      <c r="H220" s="54" t="e">
        <f t="shared" si="66"/>
        <v>#N/A</v>
      </c>
      <c r="I220" s="259" t="e">
        <f>IF(  OR(      INDEX('calcolo base'!$D:$D, MATCH($A220, 'calcolo base'!$A:$A, 0)) = 0,
      INDEX('calcolo base'!$D:$D, MATCH($A220, 'calcolo base'!$A:$A, 0)) = ""   ),
   INDEX('calcolo base'!$K:$K, MATCH($A220, 'calcolo base'!$A:$A, 0)),
   INDEX('calcolo base'!$J:$J, MATCH($A220, 'calcolo base'!$A:$A, 0))
) / 1000</f>
        <v>#N/A</v>
      </c>
      <c r="J220" s="50" t="e">
        <f t="shared" si="67"/>
        <v>#N/A</v>
      </c>
      <c r="K220" s="50"/>
      <c r="L220" s="267" t="e">
        <f>INDEX('calcolo base'!$H:$H, MATCH($A220, 'calcolo base'!$A:$A, 0))</f>
        <v>#N/A</v>
      </c>
      <c r="M220" s="50" t="e">
        <f t="shared" si="68"/>
        <v>#N/A</v>
      </c>
      <c r="N220" s="50" t="e">
        <f t="shared" si="69"/>
        <v>#N/A</v>
      </c>
      <c r="O220" s="50" t="e">
        <f t="shared" si="70"/>
        <v>#N/A</v>
      </c>
      <c r="P220" s="50" t="e">
        <f t="shared" si="71"/>
        <v>#N/A</v>
      </c>
      <c r="Q220" s="51" t="e">
        <f t="shared" si="72"/>
        <v>#N/A</v>
      </c>
      <c r="R220" s="205" t="e">
        <f t="shared" si="73"/>
        <v>#N/A</v>
      </c>
      <c r="S220" s="279" t="e">
        <f>IF(R220="si",0,IF(E220="si",0,IF(J220&gt;K220,0,+K220-J220)))+IF('calcolo base'!P1680="SI",('Commissioni De Angeli'!K220-'Commissioni De Angeli'!J220),0)</f>
        <v>#N/A</v>
      </c>
      <c r="T220" s="117" t="e">
        <f t="shared" si="74"/>
        <v>#N/A</v>
      </c>
      <c r="U220" s="272" t="e">
        <f>IF(Q220=0,'calcolo base'!L2819,(T220+Q220))</f>
        <v>#N/A</v>
      </c>
      <c r="V220" s="119"/>
    </row>
    <row r="221" spans="2:22">
      <c r="B221" s="47"/>
      <c r="C221" s="35"/>
      <c r="D221" s="53"/>
      <c r="E221" s="53"/>
      <c r="F221" s="48"/>
      <c r="G221" s="243" t="e">
        <f>INDEX('calcolo base'!$B:$B, MATCH($A221, 'calcolo base'!$A:$A, 0))</f>
        <v>#N/A</v>
      </c>
      <c r="H221" s="54" t="e">
        <f t="shared" si="66"/>
        <v>#N/A</v>
      </c>
      <c r="I221" s="259" t="e">
        <f>IF(  OR(      INDEX('calcolo base'!$D:$D, MATCH($A221, 'calcolo base'!$A:$A, 0)) = 0,
      INDEX('calcolo base'!$D:$D, MATCH($A221, 'calcolo base'!$A:$A, 0)) = ""   ),
   INDEX('calcolo base'!$K:$K, MATCH($A221, 'calcolo base'!$A:$A, 0)),
   INDEX('calcolo base'!$J:$J, MATCH($A221, 'calcolo base'!$A:$A, 0))
) / 1000</f>
        <v>#N/A</v>
      </c>
      <c r="J221" s="50" t="e">
        <f t="shared" si="67"/>
        <v>#N/A</v>
      </c>
      <c r="K221" s="50"/>
      <c r="L221" s="267" t="e">
        <f>INDEX('calcolo base'!$H:$H, MATCH($A221, 'calcolo base'!$A:$A, 0))</f>
        <v>#N/A</v>
      </c>
      <c r="M221" s="50" t="e">
        <f t="shared" si="68"/>
        <v>#N/A</v>
      </c>
      <c r="N221" s="50" t="e">
        <f t="shared" si="69"/>
        <v>#N/A</v>
      </c>
      <c r="O221" s="50" t="e">
        <f t="shared" si="70"/>
        <v>#N/A</v>
      </c>
      <c r="P221" s="50" t="e">
        <f t="shared" si="71"/>
        <v>#N/A</v>
      </c>
      <c r="Q221" s="51" t="e">
        <f t="shared" si="72"/>
        <v>#N/A</v>
      </c>
      <c r="R221" s="205" t="e">
        <f t="shared" si="73"/>
        <v>#N/A</v>
      </c>
      <c r="S221" s="279" t="e">
        <f>IF(R221="si",0,IF(E221="si",0,IF(J221&gt;K221,0,+K221-J221)))+IF('calcolo base'!P1681="SI",('Commissioni De Angeli'!K221-'Commissioni De Angeli'!J221),0)</f>
        <v>#N/A</v>
      </c>
      <c r="T221" s="117" t="e">
        <f t="shared" si="74"/>
        <v>#N/A</v>
      </c>
      <c r="U221" s="272" t="e">
        <f>IF(Q221=0,'calcolo base'!L2820,(T221+Q221))</f>
        <v>#N/A</v>
      </c>
      <c r="V221" s="119"/>
    </row>
    <row r="222" spans="2:22">
      <c r="B222" s="47"/>
      <c r="C222" s="35"/>
      <c r="D222" s="53"/>
      <c r="E222" s="53"/>
      <c r="F222" s="48"/>
      <c r="G222" s="243" t="e">
        <f>INDEX('calcolo base'!$B:$B, MATCH($A222, 'calcolo base'!$A:$A, 0))</f>
        <v>#N/A</v>
      </c>
      <c r="H222" s="54" t="e">
        <f t="shared" si="66"/>
        <v>#N/A</v>
      </c>
      <c r="I222" s="259" t="e">
        <f>IF(  OR(      INDEX('calcolo base'!$D:$D, MATCH($A222, 'calcolo base'!$A:$A, 0)) = 0,
      INDEX('calcolo base'!$D:$D, MATCH($A222, 'calcolo base'!$A:$A, 0)) = ""   ),
   INDEX('calcolo base'!$K:$K, MATCH($A222, 'calcolo base'!$A:$A, 0)),
   INDEX('calcolo base'!$J:$J, MATCH($A222, 'calcolo base'!$A:$A, 0))
) / 1000</f>
        <v>#N/A</v>
      </c>
      <c r="J222" s="50" t="e">
        <f t="shared" si="67"/>
        <v>#N/A</v>
      </c>
      <c r="K222" s="50"/>
      <c r="L222" s="267" t="e">
        <f>INDEX('calcolo base'!$H:$H, MATCH($A222, 'calcolo base'!$A:$A, 0))</f>
        <v>#N/A</v>
      </c>
      <c r="M222" s="50" t="e">
        <f t="shared" si="68"/>
        <v>#N/A</v>
      </c>
      <c r="N222" s="50" t="e">
        <f t="shared" si="69"/>
        <v>#N/A</v>
      </c>
      <c r="O222" s="50" t="e">
        <f t="shared" si="70"/>
        <v>#N/A</v>
      </c>
      <c r="P222" s="50" t="e">
        <f t="shared" si="71"/>
        <v>#N/A</v>
      </c>
      <c r="Q222" s="51" t="e">
        <f t="shared" si="72"/>
        <v>#N/A</v>
      </c>
      <c r="R222" s="205" t="e">
        <f t="shared" si="73"/>
        <v>#N/A</v>
      </c>
      <c r="S222" s="279" t="e">
        <f>IF(R222="si",0,IF(E222="si",0,IF(J222&gt;K222,0,+K222-J222)))+IF('calcolo base'!P1682="SI",('Commissioni De Angeli'!K222-'Commissioni De Angeli'!J222),0)</f>
        <v>#N/A</v>
      </c>
      <c r="T222" s="117" t="e">
        <f t="shared" si="74"/>
        <v>#N/A</v>
      </c>
      <c r="U222" s="272" t="e">
        <f>IF(Q222=0,'calcolo base'!L2821,(T222+Q222))</f>
        <v>#N/A</v>
      </c>
      <c r="V222" s="119"/>
    </row>
    <row r="223" spans="2:22">
      <c r="B223" s="47"/>
      <c r="C223" s="35"/>
      <c r="D223" s="53"/>
      <c r="E223" s="53"/>
      <c r="F223" s="48"/>
      <c r="G223" s="243" t="e">
        <f>INDEX('calcolo base'!$B:$B, MATCH($A223, 'calcolo base'!$A:$A, 0))</f>
        <v>#N/A</v>
      </c>
      <c r="H223" s="54" t="e">
        <f t="shared" si="66"/>
        <v>#N/A</v>
      </c>
      <c r="I223" s="259" t="e">
        <f>IF(  OR(      INDEX('calcolo base'!$D:$D, MATCH($A223, 'calcolo base'!$A:$A, 0)) = 0,
      INDEX('calcolo base'!$D:$D, MATCH($A223, 'calcolo base'!$A:$A, 0)) = ""   ),
   INDEX('calcolo base'!$K:$K, MATCH($A223, 'calcolo base'!$A:$A, 0)),
   INDEX('calcolo base'!$J:$J, MATCH($A223, 'calcolo base'!$A:$A, 0))
) / 1000</f>
        <v>#N/A</v>
      </c>
      <c r="J223" s="50" t="e">
        <f t="shared" si="67"/>
        <v>#N/A</v>
      </c>
      <c r="K223" s="50"/>
      <c r="L223" s="267" t="e">
        <f>INDEX('calcolo base'!$H:$H, MATCH($A223, 'calcolo base'!$A:$A, 0))</f>
        <v>#N/A</v>
      </c>
      <c r="M223" s="50" t="e">
        <f t="shared" si="68"/>
        <v>#N/A</v>
      </c>
      <c r="N223" s="50" t="e">
        <f t="shared" si="69"/>
        <v>#N/A</v>
      </c>
      <c r="O223" s="50" t="e">
        <f t="shared" si="70"/>
        <v>#N/A</v>
      </c>
      <c r="P223" s="50" t="e">
        <f t="shared" si="71"/>
        <v>#N/A</v>
      </c>
      <c r="Q223" s="51" t="e">
        <f t="shared" si="72"/>
        <v>#N/A</v>
      </c>
      <c r="R223" s="205" t="e">
        <f t="shared" si="73"/>
        <v>#N/A</v>
      </c>
      <c r="S223" s="279" t="e">
        <f>IF(R223="si",0,IF(E223="si",0,IF(J223&gt;K223,0,+K223-J223)))+IF('calcolo base'!P1683="SI",('Commissioni De Angeli'!K223-'Commissioni De Angeli'!J223),0)</f>
        <v>#N/A</v>
      </c>
      <c r="T223" s="117" t="e">
        <f t="shared" si="74"/>
        <v>#N/A</v>
      </c>
      <c r="U223" s="272" t="e">
        <f>IF(Q223=0,'calcolo base'!L2822,(T223+Q223))</f>
        <v>#N/A</v>
      </c>
      <c r="V223" s="119"/>
    </row>
    <row r="224" spans="2:22">
      <c r="B224" s="47"/>
      <c r="C224" s="35"/>
      <c r="D224" s="53"/>
      <c r="E224" s="53"/>
      <c r="F224" s="48"/>
      <c r="G224" s="243" t="e">
        <f>INDEX('calcolo base'!$B:$B, MATCH($A224, 'calcolo base'!$A:$A, 0))</f>
        <v>#N/A</v>
      </c>
      <c r="H224" s="54" t="e">
        <f t="shared" si="66"/>
        <v>#N/A</v>
      </c>
      <c r="I224" s="259" t="e">
        <f>IF(  OR(      INDEX('calcolo base'!$D:$D, MATCH($A224, 'calcolo base'!$A:$A, 0)) = 0,
      INDEX('calcolo base'!$D:$D, MATCH($A224, 'calcolo base'!$A:$A, 0)) = ""   ),
   INDEX('calcolo base'!$K:$K, MATCH($A224, 'calcolo base'!$A:$A, 0)),
   INDEX('calcolo base'!$J:$J, MATCH($A224, 'calcolo base'!$A:$A, 0))
) / 1000</f>
        <v>#N/A</v>
      </c>
      <c r="J224" s="50" t="e">
        <f t="shared" si="67"/>
        <v>#N/A</v>
      </c>
      <c r="K224" s="50"/>
      <c r="L224" s="267" t="e">
        <f>INDEX('calcolo base'!$H:$H, MATCH($A224, 'calcolo base'!$A:$A, 0))</f>
        <v>#N/A</v>
      </c>
      <c r="M224" s="50" t="e">
        <f t="shared" si="68"/>
        <v>#N/A</v>
      </c>
      <c r="N224" s="50" t="e">
        <f t="shared" si="69"/>
        <v>#N/A</v>
      </c>
      <c r="O224" s="50" t="e">
        <f t="shared" si="70"/>
        <v>#N/A</v>
      </c>
      <c r="P224" s="50" t="e">
        <f t="shared" si="71"/>
        <v>#N/A</v>
      </c>
      <c r="Q224" s="51" t="e">
        <f t="shared" si="72"/>
        <v>#N/A</v>
      </c>
      <c r="R224" s="205" t="e">
        <f t="shared" si="73"/>
        <v>#N/A</v>
      </c>
      <c r="S224" s="279" t="e">
        <f>IF(R224="si",0,IF(E224="si",0,IF(J224&gt;K224,0,+K224-J224)))+IF('calcolo base'!P1684="SI",('Commissioni De Angeli'!K224-'Commissioni De Angeli'!J224),0)</f>
        <v>#N/A</v>
      </c>
      <c r="T224" s="117" t="e">
        <f t="shared" si="74"/>
        <v>#N/A</v>
      </c>
      <c r="U224" s="272" t="e">
        <f>IF(Q224=0,'calcolo base'!L2823,(T224+Q224))</f>
        <v>#N/A</v>
      </c>
      <c r="V224" s="119"/>
    </row>
    <row r="225" spans="2:22">
      <c r="B225" s="47"/>
      <c r="C225" s="35"/>
      <c r="D225" s="53"/>
      <c r="E225" s="53"/>
      <c r="F225" s="48"/>
      <c r="G225" s="243" t="e">
        <f>INDEX('calcolo base'!$B:$B, MATCH($A225, 'calcolo base'!$A:$A, 0))</f>
        <v>#N/A</v>
      </c>
      <c r="H225" s="54" t="e">
        <f t="shared" si="66"/>
        <v>#N/A</v>
      </c>
      <c r="I225" s="259" t="e">
        <f>IF(  OR(      INDEX('calcolo base'!$D:$D, MATCH($A225, 'calcolo base'!$A:$A, 0)) = 0,
      INDEX('calcolo base'!$D:$D, MATCH($A225, 'calcolo base'!$A:$A, 0)) = ""   ),
   INDEX('calcolo base'!$K:$K, MATCH($A225, 'calcolo base'!$A:$A, 0)),
   INDEX('calcolo base'!$J:$J, MATCH($A225, 'calcolo base'!$A:$A, 0))
) / 1000</f>
        <v>#N/A</v>
      </c>
      <c r="J225" s="50" t="e">
        <f t="shared" si="67"/>
        <v>#N/A</v>
      </c>
      <c r="K225" s="50"/>
      <c r="L225" s="267" t="e">
        <f>INDEX('calcolo base'!$H:$H, MATCH($A225, 'calcolo base'!$A:$A, 0))</f>
        <v>#N/A</v>
      </c>
      <c r="M225" s="50" t="e">
        <f t="shared" si="68"/>
        <v>#N/A</v>
      </c>
      <c r="N225" s="50" t="e">
        <f t="shared" si="69"/>
        <v>#N/A</v>
      </c>
      <c r="O225" s="50" t="e">
        <f t="shared" si="70"/>
        <v>#N/A</v>
      </c>
      <c r="P225" s="50" t="e">
        <f t="shared" si="71"/>
        <v>#N/A</v>
      </c>
      <c r="Q225" s="51" t="e">
        <f t="shared" si="72"/>
        <v>#N/A</v>
      </c>
      <c r="R225" s="205" t="e">
        <f t="shared" si="73"/>
        <v>#N/A</v>
      </c>
      <c r="S225" s="279" t="e">
        <f>IF(R225="si",0,IF(E225="si",0,IF(J225&gt;K225,0,+K225-J225)))+IF('calcolo base'!P1685="SI",('Commissioni De Angeli'!K225-'Commissioni De Angeli'!J225),0)</f>
        <v>#N/A</v>
      </c>
      <c r="T225" s="117" t="e">
        <f t="shared" si="74"/>
        <v>#N/A</v>
      </c>
      <c r="U225" s="272" t="e">
        <f>IF(Q225=0,'calcolo base'!L2824,(T225+Q225))</f>
        <v>#N/A</v>
      </c>
      <c r="V225" s="119"/>
    </row>
    <row r="226" spans="2:22">
      <c r="B226" s="47"/>
      <c r="C226" s="35"/>
      <c r="D226" s="53"/>
      <c r="E226" s="53"/>
      <c r="F226" s="48"/>
      <c r="G226" s="243" t="e">
        <f>INDEX('calcolo base'!$B:$B, MATCH($A226, 'calcolo base'!$A:$A, 0))</f>
        <v>#N/A</v>
      </c>
      <c r="H226" s="54" t="e">
        <f t="shared" si="66"/>
        <v>#N/A</v>
      </c>
      <c r="I226" s="259" t="e">
        <f>IF(  OR(      INDEX('calcolo base'!$D:$D, MATCH($A226, 'calcolo base'!$A:$A, 0)) = 0,
      INDEX('calcolo base'!$D:$D, MATCH($A226, 'calcolo base'!$A:$A, 0)) = ""   ),
   INDEX('calcolo base'!$K:$K, MATCH($A226, 'calcolo base'!$A:$A, 0)),
   INDEX('calcolo base'!$J:$J, MATCH($A226, 'calcolo base'!$A:$A, 0))
) / 1000</f>
        <v>#N/A</v>
      </c>
      <c r="J226" s="50" t="e">
        <f t="shared" si="67"/>
        <v>#N/A</v>
      </c>
      <c r="K226" s="50"/>
      <c r="L226" s="267" t="e">
        <f>INDEX('calcolo base'!$H:$H, MATCH($A226, 'calcolo base'!$A:$A, 0))</f>
        <v>#N/A</v>
      </c>
      <c r="M226" s="50" t="e">
        <f t="shared" si="68"/>
        <v>#N/A</v>
      </c>
      <c r="N226" s="50" t="e">
        <f t="shared" si="69"/>
        <v>#N/A</v>
      </c>
      <c r="O226" s="50" t="e">
        <f t="shared" si="70"/>
        <v>#N/A</v>
      </c>
      <c r="P226" s="50" t="e">
        <f t="shared" si="71"/>
        <v>#N/A</v>
      </c>
      <c r="Q226" s="51" t="e">
        <f t="shared" si="72"/>
        <v>#N/A</v>
      </c>
      <c r="R226" s="205" t="e">
        <f t="shared" si="73"/>
        <v>#N/A</v>
      </c>
      <c r="S226" s="279" t="e">
        <f>IF(R226="si",0,IF(E226="si",0,IF(J226&gt;K226,0,+K226-J226)))+IF('calcolo base'!P1686="SI",('Commissioni De Angeli'!K226-'Commissioni De Angeli'!J226),0)</f>
        <v>#N/A</v>
      </c>
      <c r="T226" s="117" t="e">
        <f t="shared" si="74"/>
        <v>#N/A</v>
      </c>
      <c r="U226" s="272" t="e">
        <f>IF(Q226=0,'calcolo base'!L2825,(T226+Q226))</f>
        <v>#N/A</v>
      </c>
      <c r="V226" s="119"/>
    </row>
    <row r="227" spans="2:22">
      <c r="B227" s="47"/>
      <c r="C227" s="35"/>
      <c r="D227" s="53"/>
      <c r="E227" s="53"/>
      <c r="F227" s="48"/>
      <c r="G227" s="243" t="e">
        <f>INDEX('calcolo base'!$B:$B, MATCH($A227, 'calcolo base'!$A:$A, 0))</f>
        <v>#N/A</v>
      </c>
      <c r="H227" s="54" t="e">
        <f t="shared" si="66"/>
        <v>#N/A</v>
      </c>
      <c r="I227" s="259" t="e">
        <f>IF(  OR(      INDEX('calcolo base'!$D:$D, MATCH($A227, 'calcolo base'!$A:$A, 0)) = 0,
      INDEX('calcolo base'!$D:$D, MATCH($A227, 'calcolo base'!$A:$A, 0)) = ""   ),
   INDEX('calcolo base'!$K:$K, MATCH($A227, 'calcolo base'!$A:$A, 0)),
   INDEX('calcolo base'!$J:$J, MATCH($A227, 'calcolo base'!$A:$A, 0))
) / 1000</f>
        <v>#N/A</v>
      </c>
      <c r="J227" s="50" t="e">
        <f t="shared" si="67"/>
        <v>#N/A</v>
      </c>
      <c r="K227" s="50"/>
      <c r="L227" s="267" t="e">
        <f>INDEX('calcolo base'!$H:$H, MATCH($A227, 'calcolo base'!$A:$A, 0))</f>
        <v>#N/A</v>
      </c>
      <c r="M227" s="50" t="e">
        <f t="shared" si="68"/>
        <v>#N/A</v>
      </c>
      <c r="N227" s="50" t="e">
        <f t="shared" si="69"/>
        <v>#N/A</v>
      </c>
      <c r="O227" s="50" t="e">
        <f t="shared" si="70"/>
        <v>#N/A</v>
      </c>
      <c r="P227" s="50" t="e">
        <f t="shared" si="71"/>
        <v>#N/A</v>
      </c>
      <c r="Q227" s="51" t="e">
        <f t="shared" si="72"/>
        <v>#N/A</v>
      </c>
      <c r="R227" s="205" t="e">
        <f t="shared" si="73"/>
        <v>#N/A</v>
      </c>
      <c r="S227" s="279" t="e">
        <f>IF(R227="si",0,IF(E227="si",0,IF(J227&gt;K227,0,+K227-J227)))+IF('calcolo base'!P1687="SI",('Commissioni De Angeli'!K227-'Commissioni De Angeli'!J227),0)</f>
        <v>#N/A</v>
      </c>
      <c r="T227" s="117" t="e">
        <f t="shared" si="74"/>
        <v>#N/A</v>
      </c>
      <c r="U227" s="272" t="e">
        <f>IF(Q227=0,'calcolo base'!L2826,(T227+Q227))</f>
        <v>#N/A</v>
      </c>
      <c r="V227" s="119"/>
    </row>
    <row r="228" spans="2:22">
      <c r="B228" s="47"/>
      <c r="C228" s="35"/>
      <c r="D228" s="53"/>
      <c r="E228" s="53"/>
      <c r="F228" s="48"/>
      <c r="G228" s="243" t="e">
        <f>INDEX('calcolo base'!$B:$B, MATCH($A228, 'calcolo base'!$A:$A, 0))</f>
        <v>#N/A</v>
      </c>
      <c r="H228" s="54" t="e">
        <f t="shared" si="66"/>
        <v>#N/A</v>
      </c>
      <c r="I228" s="259" t="e">
        <f>IF(  OR(      INDEX('calcolo base'!$D:$D, MATCH($A228, 'calcolo base'!$A:$A, 0)) = 0,
      INDEX('calcolo base'!$D:$D, MATCH($A228, 'calcolo base'!$A:$A, 0)) = ""   ),
   INDEX('calcolo base'!$K:$K, MATCH($A228, 'calcolo base'!$A:$A, 0)),
   INDEX('calcolo base'!$J:$J, MATCH($A228, 'calcolo base'!$A:$A, 0))
) / 1000</f>
        <v>#N/A</v>
      </c>
      <c r="J228" s="50" t="e">
        <f t="shared" si="67"/>
        <v>#N/A</v>
      </c>
      <c r="K228" s="50"/>
      <c r="L228" s="267" t="e">
        <f>INDEX('calcolo base'!$H:$H, MATCH($A228, 'calcolo base'!$A:$A, 0))</f>
        <v>#N/A</v>
      </c>
      <c r="M228" s="50" t="e">
        <f t="shared" si="68"/>
        <v>#N/A</v>
      </c>
      <c r="N228" s="50" t="e">
        <f t="shared" si="69"/>
        <v>#N/A</v>
      </c>
      <c r="O228" s="50" t="e">
        <f t="shared" si="70"/>
        <v>#N/A</v>
      </c>
      <c r="P228" s="50" t="e">
        <f t="shared" si="71"/>
        <v>#N/A</v>
      </c>
      <c r="Q228" s="51" t="e">
        <f t="shared" si="72"/>
        <v>#N/A</v>
      </c>
      <c r="R228" s="205" t="e">
        <f t="shared" si="73"/>
        <v>#N/A</v>
      </c>
      <c r="S228" s="279" t="e">
        <f>IF(R228="si",0,IF(E228="si",0,IF(J228&gt;K228,0,+K228-J228)))+IF('calcolo base'!P1688="SI",('Commissioni De Angeli'!K228-'Commissioni De Angeli'!J228),0)</f>
        <v>#N/A</v>
      </c>
      <c r="T228" s="117" t="e">
        <f t="shared" si="74"/>
        <v>#N/A</v>
      </c>
      <c r="U228" s="272" t="e">
        <f>IF(Q228=0,'calcolo base'!L2827,(T228+Q228))</f>
        <v>#N/A</v>
      </c>
      <c r="V228" s="119"/>
    </row>
    <row r="229" spans="2:22">
      <c r="B229" s="47"/>
      <c r="C229" s="35"/>
      <c r="D229" s="53"/>
      <c r="E229" s="53"/>
      <c r="F229" s="48"/>
      <c r="G229" s="243" t="e">
        <f>INDEX('calcolo base'!$B:$B, MATCH($A229, 'calcolo base'!$A:$A, 0))</f>
        <v>#N/A</v>
      </c>
      <c r="H229" s="54" t="e">
        <f t="shared" si="66"/>
        <v>#N/A</v>
      </c>
      <c r="I229" s="259" t="e">
        <f>IF(  OR(      INDEX('calcolo base'!$D:$D, MATCH($A229, 'calcolo base'!$A:$A, 0)) = 0,
      INDEX('calcolo base'!$D:$D, MATCH($A229, 'calcolo base'!$A:$A, 0)) = ""   ),
   INDEX('calcolo base'!$K:$K, MATCH($A229, 'calcolo base'!$A:$A, 0)),
   INDEX('calcolo base'!$J:$J, MATCH($A229, 'calcolo base'!$A:$A, 0))
) / 1000</f>
        <v>#N/A</v>
      </c>
      <c r="J229" s="50" t="e">
        <f t="shared" si="67"/>
        <v>#N/A</v>
      </c>
      <c r="K229" s="50"/>
      <c r="L229" s="267" t="e">
        <f>INDEX('calcolo base'!$H:$H, MATCH($A229, 'calcolo base'!$A:$A, 0))</f>
        <v>#N/A</v>
      </c>
      <c r="M229" s="50" t="e">
        <f t="shared" si="68"/>
        <v>#N/A</v>
      </c>
      <c r="N229" s="50" t="e">
        <f t="shared" si="69"/>
        <v>#N/A</v>
      </c>
      <c r="O229" s="50" t="e">
        <f t="shared" si="70"/>
        <v>#N/A</v>
      </c>
      <c r="P229" s="50" t="e">
        <f t="shared" si="71"/>
        <v>#N/A</v>
      </c>
      <c r="Q229" s="51" t="e">
        <f t="shared" si="72"/>
        <v>#N/A</v>
      </c>
      <c r="R229" s="205" t="e">
        <f t="shared" si="73"/>
        <v>#N/A</v>
      </c>
      <c r="S229" s="279" t="e">
        <f>IF(R229="si",0,IF(E229="si",0,IF(J229&gt;K229,0,+K229-J229)))+IF('calcolo base'!P1689="SI",('Commissioni De Angeli'!K229-'Commissioni De Angeli'!J229),0)</f>
        <v>#N/A</v>
      </c>
      <c r="T229" s="117" t="e">
        <f t="shared" si="74"/>
        <v>#N/A</v>
      </c>
      <c r="U229" s="272" t="e">
        <f>IF(Q229=0,'calcolo base'!L2828,(T229+Q229))</f>
        <v>#N/A</v>
      </c>
      <c r="V229" s="119"/>
    </row>
    <row r="230" spans="2:22">
      <c r="B230" s="47"/>
      <c r="C230" s="35"/>
      <c r="D230" s="53"/>
      <c r="E230" s="53"/>
      <c r="F230" s="48"/>
      <c r="G230" s="243" t="e">
        <f>INDEX('calcolo base'!$B:$B, MATCH($A230, 'calcolo base'!$A:$A, 0))</f>
        <v>#N/A</v>
      </c>
      <c r="H230" s="54" t="e">
        <f t="shared" si="66"/>
        <v>#N/A</v>
      </c>
      <c r="I230" s="259" t="e">
        <f>IF(  OR(      INDEX('calcolo base'!$D:$D, MATCH($A230, 'calcolo base'!$A:$A, 0)) = 0,
      INDEX('calcolo base'!$D:$D, MATCH($A230, 'calcolo base'!$A:$A, 0)) = ""   ),
   INDEX('calcolo base'!$K:$K, MATCH($A230, 'calcolo base'!$A:$A, 0)),
   INDEX('calcolo base'!$J:$J, MATCH($A230, 'calcolo base'!$A:$A, 0))
) / 1000</f>
        <v>#N/A</v>
      </c>
      <c r="J230" s="50" t="e">
        <f t="shared" si="67"/>
        <v>#N/A</v>
      </c>
      <c r="K230" s="50"/>
      <c r="L230" s="267" t="e">
        <f>INDEX('calcolo base'!$H:$H, MATCH($A230, 'calcolo base'!$A:$A, 0))</f>
        <v>#N/A</v>
      </c>
      <c r="M230" s="50" t="e">
        <f t="shared" si="68"/>
        <v>#N/A</v>
      </c>
      <c r="N230" s="50" t="e">
        <f t="shared" si="69"/>
        <v>#N/A</v>
      </c>
      <c r="O230" s="50" t="e">
        <f t="shared" si="70"/>
        <v>#N/A</v>
      </c>
      <c r="P230" s="50" t="e">
        <f t="shared" si="71"/>
        <v>#N/A</v>
      </c>
      <c r="Q230" s="51" t="e">
        <f t="shared" si="72"/>
        <v>#N/A</v>
      </c>
      <c r="R230" s="205" t="e">
        <f t="shared" si="73"/>
        <v>#N/A</v>
      </c>
      <c r="S230" s="279" t="e">
        <f>IF(R230="si",0,IF(E230="si",0,IF(J230&gt;K230,0,+K230-J230)))+IF('calcolo base'!P1690="SI",('Commissioni De Angeli'!K230-'Commissioni De Angeli'!J230),0)</f>
        <v>#N/A</v>
      </c>
      <c r="T230" s="117" t="e">
        <f t="shared" si="74"/>
        <v>#N/A</v>
      </c>
      <c r="U230" s="272" t="e">
        <f>IF(Q230=0,'calcolo base'!L2829,(T230+Q230))</f>
        <v>#N/A</v>
      </c>
      <c r="V230" s="119"/>
    </row>
    <row r="231" spans="2:22">
      <c r="B231" s="47"/>
      <c r="C231" s="35"/>
      <c r="D231" s="53"/>
      <c r="E231" s="53"/>
      <c r="F231" s="48"/>
      <c r="G231" s="243" t="e">
        <f>INDEX('calcolo base'!$B:$B, MATCH($A231, 'calcolo base'!$A:$A, 0))</f>
        <v>#N/A</v>
      </c>
      <c r="H231" s="54" t="e">
        <f t="shared" si="66"/>
        <v>#N/A</v>
      </c>
      <c r="I231" s="259" t="e">
        <f>IF(  OR(      INDEX('calcolo base'!$D:$D, MATCH($A231, 'calcolo base'!$A:$A, 0)) = 0,
      INDEX('calcolo base'!$D:$D, MATCH($A231, 'calcolo base'!$A:$A, 0)) = ""   ),
   INDEX('calcolo base'!$K:$K, MATCH($A231, 'calcolo base'!$A:$A, 0)),
   INDEX('calcolo base'!$J:$J, MATCH($A231, 'calcolo base'!$A:$A, 0))
) / 1000</f>
        <v>#N/A</v>
      </c>
      <c r="J231" s="50" t="e">
        <f t="shared" si="67"/>
        <v>#N/A</v>
      </c>
      <c r="K231" s="50"/>
      <c r="L231" s="267" t="e">
        <f>INDEX('calcolo base'!$H:$H, MATCH($A231, 'calcolo base'!$A:$A, 0))</f>
        <v>#N/A</v>
      </c>
      <c r="M231" s="50" t="e">
        <f t="shared" si="68"/>
        <v>#N/A</v>
      </c>
      <c r="N231" s="50" t="e">
        <f t="shared" si="69"/>
        <v>#N/A</v>
      </c>
      <c r="O231" s="50" t="e">
        <f t="shared" si="70"/>
        <v>#N/A</v>
      </c>
      <c r="P231" s="50" t="e">
        <f t="shared" si="71"/>
        <v>#N/A</v>
      </c>
      <c r="Q231" s="51" t="e">
        <f t="shared" si="72"/>
        <v>#N/A</v>
      </c>
      <c r="R231" s="205" t="e">
        <f t="shared" si="73"/>
        <v>#N/A</v>
      </c>
      <c r="S231" s="279" t="e">
        <f>IF(R231="si",0,IF(E231="si",0,IF(J231&gt;K231,0,+K231-J231)))+IF('calcolo base'!P1691="SI",('Commissioni De Angeli'!K231-'Commissioni De Angeli'!J231),0)</f>
        <v>#N/A</v>
      </c>
      <c r="T231" s="117" t="e">
        <f t="shared" si="74"/>
        <v>#N/A</v>
      </c>
      <c r="U231" s="272" t="e">
        <f>IF(Q231=0,'calcolo base'!L2830,(T231+Q231))</f>
        <v>#N/A</v>
      </c>
      <c r="V231" s="119"/>
    </row>
    <row r="232" spans="2:22">
      <c r="B232" s="47"/>
      <c r="C232" s="35"/>
      <c r="D232" s="53"/>
      <c r="E232" s="53"/>
      <c r="F232" s="48"/>
      <c r="G232" s="243" t="e">
        <f>INDEX('calcolo base'!$B:$B, MATCH($A232, 'calcolo base'!$A:$A, 0))</f>
        <v>#N/A</v>
      </c>
      <c r="H232" s="54" t="e">
        <f t="shared" si="66"/>
        <v>#N/A</v>
      </c>
      <c r="I232" s="259" t="e">
        <f>IF(  OR(      INDEX('calcolo base'!$D:$D, MATCH($A232, 'calcolo base'!$A:$A, 0)) = 0,
      INDEX('calcolo base'!$D:$D, MATCH($A232, 'calcolo base'!$A:$A, 0)) = ""   ),
   INDEX('calcolo base'!$K:$K, MATCH($A232, 'calcolo base'!$A:$A, 0)),
   INDEX('calcolo base'!$J:$J, MATCH($A232, 'calcolo base'!$A:$A, 0))
) / 1000</f>
        <v>#N/A</v>
      </c>
      <c r="J232" s="50" t="e">
        <f t="shared" si="67"/>
        <v>#N/A</v>
      </c>
      <c r="K232" s="50"/>
      <c r="L232" s="267" t="e">
        <f>INDEX('calcolo base'!$H:$H, MATCH($A232, 'calcolo base'!$A:$A, 0))</f>
        <v>#N/A</v>
      </c>
      <c r="M232" s="50" t="e">
        <f t="shared" si="68"/>
        <v>#N/A</v>
      </c>
      <c r="N232" s="50" t="e">
        <f t="shared" si="69"/>
        <v>#N/A</v>
      </c>
      <c r="O232" s="50" t="e">
        <f t="shared" si="70"/>
        <v>#N/A</v>
      </c>
      <c r="P232" s="50" t="e">
        <f t="shared" si="71"/>
        <v>#N/A</v>
      </c>
      <c r="Q232" s="51" t="e">
        <f t="shared" si="72"/>
        <v>#N/A</v>
      </c>
      <c r="R232" s="205" t="e">
        <f t="shared" si="73"/>
        <v>#N/A</v>
      </c>
      <c r="S232" s="279" t="e">
        <f>IF(R232="si",0,IF(E232="si",0,IF(J232&gt;K232,0,+K232-J232)))+IF('calcolo base'!P1692="SI",('Commissioni De Angeli'!K232-'Commissioni De Angeli'!J232),0)</f>
        <v>#N/A</v>
      </c>
      <c r="T232" s="117" t="e">
        <f t="shared" si="74"/>
        <v>#N/A</v>
      </c>
      <c r="U232" s="272" t="e">
        <f>IF(Q232=0,'calcolo base'!L2831,(T232+Q232))</f>
        <v>#N/A</v>
      </c>
      <c r="V232" s="119"/>
    </row>
    <row r="233" spans="2:22">
      <c r="B233" s="47"/>
      <c r="C233" s="35"/>
      <c r="D233" s="53"/>
      <c r="E233" s="53"/>
      <c r="F233" s="48"/>
      <c r="G233" s="243" t="e">
        <f>INDEX('calcolo base'!$B:$B, MATCH($A233, 'calcolo base'!$A:$A, 0))</f>
        <v>#N/A</v>
      </c>
      <c r="H233" s="54" t="e">
        <f t="shared" si="66"/>
        <v>#N/A</v>
      </c>
      <c r="I233" s="259" t="e">
        <f>IF(  OR(      INDEX('calcolo base'!$D:$D, MATCH($A233, 'calcolo base'!$A:$A, 0)) = 0,
      INDEX('calcolo base'!$D:$D, MATCH($A233, 'calcolo base'!$A:$A, 0)) = ""   ),
   INDEX('calcolo base'!$K:$K, MATCH($A233, 'calcolo base'!$A:$A, 0)),
   INDEX('calcolo base'!$J:$J, MATCH($A233, 'calcolo base'!$A:$A, 0))
) / 1000</f>
        <v>#N/A</v>
      </c>
      <c r="J233" s="50" t="e">
        <f t="shared" si="67"/>
        <v>#N/A</v>
      </c>
      <c r="K233" s="50"/>
      <c r="L233" s="267" t="e">
        <f>INDEX('calcolo base'!$H:$H, MATCH($A233, 'calcolo base'!$A:$A, 0))</f>
        <v>#N/A</v>
      </c>
      <c r="M233" s="50" t="e">
        <f t="shared" si="68"/>
        <v>#N/A</v>
      </c>
      <c r="N233" s="50" t="e">
        <f t="shared" si="69"/>
        <v>#N/A</v>
      </c>
      <c r="O233" s="50" t="e">
        <f t="shared" si="70"/>
        <v>#N/A</v>
      </c>
      <c r="P233" s="50" t="e">
        <f t="shared" si="71"/>
        <v>#N/A</v>
      </c>
      <c r="Q233" s="51" t="e">
        <f t="shared" si="72"/>
        <v>#N/A</v>
      </c>
      <c r="R233" s="205" t="e">
        <f t="shared" si="73"/>
        <v>#N/A</v>
      </c>
      <c r="S233" s="279" t="e">
        <f>IF(R233="si",0,IF(E233="si",0,IF(J233&gt;K233,0,+K233-J233)))+IF('calcolo base'!P1693="SI",('Commissioni De Angeli'!K233-'Commissioni De Angeli'!J233),0)</f>
        <v>#N/A</v>
      </c>
      <c r="T233" s="117" t="e">
        <f t="shared" si="74"/>
        <v>#N/A</v>
      </c>
      <c r="U233" s="272" t="e">
        <f>IF(Q233=0,'calcolo base'!L2832,(T233+Q233))</f>
        <v>#N/A</v>
      </c>
      <c r="V233" s="119"/>
    </row>
    <row r="234" spans="2:22">
      <c r="B234" s="47"/>
      <c r="C234" s="35"/>
      <c r="D234" s="53"/>
      <c r="E234" s="53"/>
      <c r="F234" s="48"/>
      <c r="G234" s="243" t="e">
        <f>INDEX('calcolo base'!$B:$B, MATCH($A234, 'calcolo base'!$A:$A, 0))</f>
        <v>#N/A</v>
      </c>
      <c r="H234" s="54" t="e">
        <f t="shared" si="66"/>
        <v>#N/A</v>
      </c>
      <c r="I234" s="259" t="e">
        <f>IF(  OR(      INDEX('calcolo base'!$D:$D, MATCH($A234, 'calcolo base'!$A:$A, 0)) = 0,
      INDEX('calcolo base'!$D:$D, MATCH($A234, 'calcolo base'!$A:$A, 0)) = ""   ),
   INDEX('calcolo base'!$K:$K, MATCH($A234, 'calcolo base'!$A:$A, 0)),
   INDEX('calcolo base'!$J:$J, MATCH($A234, 'calcolo base'!$A:$A, 0))
) / 1000</f>
        <v>#N/A</v>
      </c>
      <c r="J234" s="50" t="e">
        <f t="shared" si="67"/>
        <v>#N/A</v>
      </c>
      <c r="K234" s="50"/>
      <c r="L234" s="267" t="e">
        <f>INDEX('calcolo base'!$H:$H, MATCH($A234, 'calcolo base'!$A:$A, 0))</f>
        <v>#N/A</v>
      </c>
      <c r="M234" s="50" t="e">
        <f t="shared" si="68"/>
        <v>#N/A</v>
      </c>
      <c r="N234" s="50" t="e">
        <f t="shared" si="69"/>
        <v>#N/A</v>
      </c>
      <c r="O234" s="50" t="e">
        <f t="shared" si="70"/>
        <v>#N/A</v>
      </c>
      <c r="P234" s="50" t="e">
        <f t="shared" si="71"/>
        <v>#N/A</v>
      </c>
      <c r="Q234" s="51" t="e">
        <f t="shared" si="72"/>
        <v>#N/A</v>
      </c>
      <c r="R234" s="205" t="e">
        <f t="shared" si="73"/>
        <v>#N/A</v>
      </c>
      <c r="S234" s="279" t="e">
        <f>IF(R234="si",0,IF(E234="si",0,IF(J234&gt;K234,0,+K234-J234)))+IF('calcolo base'!P1694="SI",('Commissioni De Angeli'!K234-'Commissioni De Angeli'!J234),0)</f>
        <v>#N/A</v>
      </c>
      <c r="T234" s="117" t="e">
        <f t="shared" si="74"/>
        <v>#N/A</v>
      </c>
      <c r="U234" s="272" t="e">
        <f>IF(Q234=0,'calcolo base'!L2833,(T234+Q234))</f>
        <v>#N/A</v>
      </c>
      <c r="V234" s="119"/>
    </row>
    <row r="235" spans="2:22">
      <c r="B235" s="47"/>
      <c r="C235" s="35"/>
      <c r="D235" s="53"/>
      <c r="E235" s="53"/>
      <c r="F235" s="48"/>
      <c r="G235" s="243" t="e">
        <f>INDEX('calcolo base'!$B:$B, MATCH($A235, 'calcolo base'!$A:$A, 0))</f>
        <v>#N/A</v>
      </c>
      <c r="H235" s="54" t="e">
        <f t="shared" si="66"/>
        <v>#N/A</v>
      </c>
      <c r="I235" s="259" t="e">
        <f>IF(  OR(      INDEX('calcolo base'!$D:$D, MATCH($A235, 'calcolo base'!$A:$A, 0)) = 0,
      INDEX('calcolo base'!$D:$D, MATCH($A235, 'calcolo base'!$A:$A, 0)) = ""   ),
   INDEX('calcolo base'!$K:$K, MATCH($A235, 'calcolo base'!$A:$A, 0)),
   INDEX('calcolo base'!$J:$J, MATCH($A235, 'calcolo base'!$A:$A, 0))
) / 1000</f>
        <v>#N/A</v>
      </c>
      <c r="J235" s="50" t="e">
        <f t="shared" si="67"/>
        <v>#N/A</v>
      </c>
      <c r="K235" s="50"/>
      <c r="L235" s="267" t="e">
        <f>INDEX('calcolo base'!$H:$H, MATCH($A235, 'calcolo base'!$A:$A, 0))</f>
        <v>#N/A</v>
      </c>
      <c r="M235" s="50" t="e">
        <f t="shared" si="68"/>
        <v>#N/A</v>
      </c>
      <c r="N235" s="50" t="e">
        <f t="shared" si="69"/>
        <v>#N/A</v>
      </c>
      <c r="O235" s="50" t="e">
        <f t="shared" si="70"/>
        <v>#N/A</v>
      </c>
      <c r="P235" s="50" t="e">
        <f t="shared" si="71"/>
        <v>#N/A</v>
      </c>
      <c r="Q235" s="51" t="e">
        <f t="shared" si="72"/>
        <v>#N/A</v>
      </c>
      <c r="R235" s="205" t="e">
        <f t="shared" si="73"/>
        <v>#N/A</v>
      </c>
      <c r="S235" s="279" t="e">
        <f>IF(R235="si",0,IF(E235="si",0,IF(J235&gt;K235,0,+K235-J235)))+IF('calcolo base'!P1695="SI",('Commissioni De Angeli'!K235-'Commissioni De Angeli'!J235),0)</f>
        <v>#N/A</v>
      </c>
      <c r="T235" s="117" t="e">
        <f t="shared" si="74"/>
        <v>#N/A</v>
      </c>
      <c r="U235" s="272" t="e">
        <f>IF(Q235=0,'calcolo base'!L2834,(T235+Q235))</f>
        <v>#N/A</v>
      </c>
      <c r="V235" s="119"/>
    </row>
    <row r="236" spans="2:22">
      <c r="B236" s="47"/>
      <c r="C236" s="35"/>
      <c r="D236" s="53"/>
      <c r="E236" s="53"/>
      <c r="F236" s="48"/>
      <c r="G236" s="243" t="e">
        <f>INDEX('calcolo base'!$B:$B, MATCH($A236, 'calcolo base'!$A:$A, 0))</f>
        <v>#N/A</v>
      </c>
      <c r="H236" s="54" t="e">
        <f t="shared" ref="H236:H299" si="75">IF(G236=0,"",+G236)</f>
        <v>#N/A</v>
      </c>
      <c r="I236" s="259" t="e">
        <f>IF(  OR(      INDEX('calcolo base'!$D:$D, MATCH($A236, 'calcolo base'!$A:$A, 0)) = 0,
      INDEX('calcolo base'!$D:$D, MATCH($A236, 'calcolo base'!$A:$A, 0)) = ""   ),
   INDEX('calcolo base'!$K:$K, MATCH($A236, 'calcolo base'!$A:$A, 0)),
   INDEX('calcolo base'!$J:$J, MATCH($A236, 'calcolo base'!$A:$A, 0))
) / 1000</f>
        <v>#N/A</v>
      </c>
      <c r="J236" s="50" t="e">
        <f t="shared" ref="J236:J299" si="76">+F236+I236</f>
        <v>#N/A</v>
      </c>
      <c r="K236" s="50"/>
      <c r="L236" s="267" t="e">
        <f>INDEX('calcolo base'!$H:$H, MATCH($A236, 'calcolo base'!$A:$A, 0))</f>
        <v>#N/A</v>
      </c>
      <c r="M236" s="50" t="e">
        <f t="shared" ref="M236:M299" si="77">IF(L236=0,0,J236*L236)</f>
        <v>#N/A</v>
      </c>
      <c r="N236" s="50" t="e">
        <f t="shared" ref="N236:N299" si="78">IF(E236="si",K236*1.5%,IF($L236&gt;=5%,IF($I236=0,0,(IF($G236="RAME",($J236)*1.5%,0)+IF($G236="rame smaltato",($K236)*1.5%,0))),0))</f>
        <v>#N/A</v>
      </c>
      <c r="O236" s="50" t="e">
        <f t="shared" ref="O236:O299" si="79">IF($I236=0,0,(IF($G236="alluminio",($J236)*3%,0)+IF($G236="alluminio smaltato",($K236)*3%,0)))</f>
        <v>#N/A</v>
      </c>
      <c r="P236" s="50" t="e">
        <f t="shared" ref="P236:P299" si="80">IF(H236="alluminio",0,IF(L236&lt;5%,F236*8%,0))</f>
        <v>#N/A</v>
      </c>
      <c r="Q236" s="51" t="e">
        <f t="shared" ref="Q236:Q299" si="81">+(N236*D236)+(O236*D236)+(P236*D236)</f>
        <v>#N/A</v>
      </c>
      <c r="R236" s="205" t="e">
        <f t="shared" ref="R236:R299" si="82">IF(H236="ALLUMINIO",0,IF(L236&lt;5%,"si",0))</f>
        <v>#N/A</v>
      </c>
      <c r="S236" s="279" t="e">
        <f>IF(R236="si",0,IF(E236="si",0,IF(J236&gt;K236,0,+K236-J236)))+IF('calcolo base'!P1696="SI",('Commissioni De Angeli'!K236-'Commissioni De Angeli'!J236),0)</f>
        <v>#N/A</v>
      </c>
      <c r="T236" s="117" t="e">
        <f t="shared" ref="T236:T299" si="83">+(S236)*D236*40%</f>
        <v>#N/A</v>
      </c>
      <c r="U236" s="272" t="e">
        <f>IF(Q236=0,'calcolo base'!L2835,(T236+Q236))</f>
        <v>#N/A</v>
      </c>
      <c r="V236" s="119"/>
    </row>
    <row r="237" spans="2:22">
      <c r="B237" s="47"/>
      <c r="C237" s="35"/>
      <c r="D237" s="53"/>
      <c r="E237" s="53"/>
      <c r="F237" s="48"/>
      <c r="G237" s="243" t="e">
        <f>INDEX('calcolo base'!$B:$B, MATCH($A237, 'calcolo base'!$A:$A, 0))</f>
        <v>#N/A</v>
      </c>
      <c r="H237" s="54" t="e">
        <f t="shared" si="75"/>
        <v>#N/A</v>
      </c>
      <c r="I237" s="259" t="e">
        <f>IF(  OR(      INDEX('calcolo base'!$D:$D, MATCH($A237, 'calcolo base'!$A:$A, 0)) = 0,
      INDEX('calcolo base'!$D:$D, MATCH($A237, 'calcolo base'!$A:$A, 0)) = ""   ),
   INDEX('calcolo base'!$K:$K, MATCH($A237, 'calcolo base'!$A:$A, 0)),
   INDEX('calcolo base'!$J:$J, MATCH($A237, 'calcolo base'!$A:$A, 0))
) / 1000</f>
        <v>#N/A</v>
      </c>
      <c r="J237" s="50" t="e">
        <f t="shared" si="76"/>
        <v>#N/A</v>
      </c>
      <c r="K237" s="50"/>
      <c r="L237" s="267" t="e">
        <f>INDEX('calcolo base'!$H:$H, MATCH($A237, 'calcolo base'!$A:$A, 0))</f>
        <v>#N/A</v>
      </c>
      <c r="M237" s="50" t="e">
        <f t="shared" si="77"/>
        <v>#N/A</v>
      </c>
      <c r="N237" s="50" t="e">
        <f t="shared" si="78"/>
        <v>#N/A</v>
      </c>
      <c r="O237" s="50" t="e">
        <f t="shared" si="79"/>
        <v>#N/A</v>
      </c>
      <c r="P237" s="50" t="e">
        <f t="shared" si="80"/>
        <v>#N/A</v>
      </c>
      <c r="Q237" s="51" t="e">
        <f t="shared" si="81"/>
        <v>#N/A</v>
      </c>
      <c r="R237" s="205" t="e">
        <f t="shared" si="82"/>
        <v>#N/A</v>
      </c>
      <c r="S237" s="279" t="e">
        <f>IF(R237="si",0,IF(E237="si",0,IF(J237&gt;K237,0,+K237-J237)))+IF('calcolo base'!P1697="SI",('Commissioni De Angeli'!K237-'Commissioni De Angeli'!J237),0)</f>
        <v>#N/A</v>
      </c>
      <c r="T237" s="117" t="e">
        <f t="shared" si="83"/>
        <v>#N/A</v>
      </c>
      <c r="U237" s="272" t="e">
        <f>IF(Q237=0,'calcolo base'!L2836,(T237+Q237))</f>
        <v>#N/A</v>
      </c>
      <c r="V237" s="119"/>
    </row>
    <row r="238" spans="2:22">
      <c r="B238" s="47"/>
      <c r="C238" s="35"/>
      <c r="D238" s="53"/>
      <c r="E238" s="53"/>
      <c r="F238" s="48"/>
      <c r="G238" s="243" t="e">
        <f>INDEX('calcolo base'!$B:$B, MATCH($A238, 'calcolo base'!$A:$A, 0))</f>
        <v>#N/A</v>
      </c>
      <c r="H238" s="54" t="e">
        <f t="shared" si="75"/>
        <v>#N/A</v>
      </c>
      <c r="I238" s="259" t="e">
        <f>IF(  OR(      INDEX('calcolo base'!$D:$D, MATCH($A238, 'calcolo base'!$A:$A, 0)) = 0,
      INDEX('calcolo base'!$D:$D, MATCH($A238, 'calcolo base'!$A:$A, 0)) = ""   ),
   INDEX('calcolo base'!$K:$K, MATCH($A238, 'calcolo base'!$A:$A, 0)),
   INDEX('calcolo base'!$J:$J, MATCH($A238, 'calcolo base'!$A:$A, 0))
) / 1000</f>
        <v>#N/A</v>
      </c>
      <c r="J238" s="50" t="e">
        <f t="shared" si="76"/>
        <v>#N/A</v>
      </c>
      <c r="K238" s="50"/>
      <c r="L238" s="267" t="e">
        <f>INDEX('calcolo base'!$H:$H, MATCH($A238, 'calcolo base'!$A:$A, 0))</f>
        <v>#N/A</v>
      </c>
      <c r="M238" s="50" t="e">
        <f t="shared" si="77"/>
        <v>#N/A</v>
      </c>
      <c r="N238" s="50" t="e">
        <f t="shared" si="78"/>
        <v>#N/A</v>
      </c>
      <c r="O238" s="50" t="e">
        <f t="shared" si="79"/>
        <v>#N/A</v>
      </c>
      <c r="P238" s="50" t="e">
        <f t="shared" si="80"/>
        <v>#N/A</v>
      </c>
      <c r="Q238" s="51" t="e">
        <f t="shared" si="81"/>
        <v>#N/A</v>
      </c>
      <c r="R238" s="205" t="e">
        <f t="shared" si="82"/>
        <v>#N/A</v>
      </c>
      <c r="S238" s="279" t="e">
        <f>IF(R238="si",0,IF(E238="si",0,IF(J238&gt;K238,0,+K238-J238)))+IF('calcolo base'!P1698="SI",('Commissioni De Angeli'!K238-'Commissioni De Angeli'!J238),0)</f>
        <v>#N/A</v>
      </c>
      <c r="T238" s="117" t="e">
        <f t="shared" si="83"/>
        <v>#N/A</v>
      </c>
      <c r="U238" s="272" t="e">
        <f>IF(Q238=0,'calcolo base'!L2837,(T238+Q238))</f>
        <v>#N/A</v>
      </c>
      <c r="V238" s="119"/>
    </row>
    <row r="239" spans="2:22">
      <c r="B239" s="47"/>
      <c r="C239" s="35"/>
      <c r="D239" s="53"/>
      <c r="E239" s="53"/>
      <c r="F239" s="48"/>
      <c r="G239" s="243" t="e">
        <f>INDEX('calcolo base'!$B:$B, MATCH($A239, 'calcolo base'!$A:$A, 0))</f>
        <v>#N/A</v>
      </c>
      <c r="H239" s="54" t="e">
        <f t="shared" si="75"/>
        <v>#N/A</v>
      </c>
      <c r="I239" s="259" t="e">
        <f>IF(  OR(      INDEX('calcolo base'!$D:$D, MATCH($A239, 'calcolo base'!$A:$A, 0)) = 0,
      INDEX('calcolo base'!$D:$D, MATCH($A239, 'calcolo base'!$A:$A, 0)) = ""   ),
   INDEX('calcolo base'!$K:$K, MATCH($A239, 'calcolo base'!$A:$A, 0)),
   INDEX('calcolo base'!$J:$J, MATCH($A239, 'calcolo base'!$A:$A, 0))
) / 1000</f>
        <v>#N/A</v>
      </c>
      <c r="J239" s="50" t="e">
        <f t="shared" si="76"/>
        <v>#N/A</v>
      </c>
      <c r="K239" s="50"/>
      <c r="L239" s="267" t="e">
        <f>INDEX('calcolo base'!$H:$H, MATCH($A239, 'calcolo base'!$A:$A, 0))</f>
        <v>#N/A</v>
      </c>
      <c r="M239" s="50" t="e">
        <f t="shared" si="77"/>
        <v>#N/A</v>
      </c>
      <c r="N239" s="50" t="e">
        <f t="shared" si="78"/>
        <v>#N/A</v>
      </c>
      <c r="O239" s="50" t="e">
        <f t="shared" si="79"/>
        <v>#N/A</v>
      </c>
      <c r="P239" s="50" t="e">
        <f t="shared" si="80"/>
        <v>#N/A</v>
      </c>
      <c r="Q239" s="51" t="e">
        <f t="shared" si="81"/>
        <v>#N/A</v>
      </c>
      <c r="R239" s="205" t="e">
        <f t="shared" si="82"/>
        <v>#N/A</v>
      </c>
      <c r="S239" s="279" t="e">
        <f>IF(R239="si",0,IF(E239="si",0,IF(J239&gt;K239,0,+K239-J239)))+IF('calcolo base'!P1699="SI",('Commissioni De Angeli'!K239-'Commissioni De Angeli'!J239),0)</f>
        <v>#N/A</v>
      </c>
      <c r="T239" s="117" t="e">
        <f t="shared" si="83"/>
        <v>#N/A</v>
      </c>
      <c r="U239" s="272" t="e">
        <f>IF(Q239=0,'calcolo base'!L2838,(T239+Q239))</f>
        <v>#N/A</v>
      </c>
      <c r="V239" s="119"/>
    </row>
    <row r="240" spans="2:22">
      <c r="B240" s="47"/>
      <c r="C240" s="35"/>
      <c r="D240" s="53"/>
      <c r="E240" s="53"/>
      <c r="F240" s="48"/>
      <c r="G240" s="243" t="e">
        <f>INDEX('calcolo base'!$B:$B, MATCH($A240, 'calcolo base'!$A:$A, 0))</f>
        <v>#N/A</v>
      </c>
      <c r="H240" s="54" t="e">
        <f t="shared" si="75"/>
        <v>#N/A</v>
      </c>
      <c r="I240" s="259" t="e">
        <f>IF(  OR(      INDEX('calcolo base'!$D:$D, MATCH($A240, 'calcolo base'!$A:$A, 0)) = 0,
      INDEX('calcolo base'!$D:$D, MATCH($A240, 'calcolo base'!$A:$A, 0)) = ""   ),
   INDEX('calcolo base'!$K:$K, MATCH($A240, 'calcolo base'!$A:$A, 0)),
   INDEX('calcolo base'!$J:$J, MATCH($A240, 'calcolo base'!$A:$A, 0))
) / 1000</f>
        <v>#N/A</v>
      </c>
      <c r="J240" s="50" t="e">
        <f t="shared" si="76"/>
        <v>#N/A</v>
      </c>
      <c r="K240" s="50"/>
      <c r="L240" s="267" t="e">
        <f>INDEX('calcolo base'!$H:$H, MATCH($A240, 'calcolo base'!$A:$A, 0))</f>
        <v>#N/A</v>
      </c>
      <c r="M240" s="50" t="e">
        <f t="shared" si="77"/>
        <v>#N/A</v>
      </c>
      <c r="N240" s="50" t="e">
        <f t="shared" si="78"/>
        <v>#N/A</v>
      </c>
      <c r="O240" s="50" t="e">
        <f t="shared" si="79"/>
        <v>#N/A</v>
      </c>
      <c r="P240" s="50" t="e">
        <f t="shared" si="80"/>
        <v>#N/A</v>
      </c>
      <c r="Q240" s="51" t="e">
        <f t="shared" si="81"/>
        <v>#N/A</v>
      </c>
      <c r="R240" s="205" t="e">
        <f t="shared" si="82"/>
        <v>#N/A</v>
      </c>
      <c r="S240" s="279" t="e">
        <f>IF(R240="si",0,IF(E240="si",0,IF(J240&gt;K240,0,+K240-J240)))+IF('calcolo base'!P1700="SI",('Commissioni De Angeli'!K240-'Commissioni De Angeli'!J240),0)</f>
        <v>#N/A</v>
      </c>
      <c r="T240" s="117" t="e">
        <f t="shared" si="83"/>
        <v>#N/A</v>
      </c>
      <c r="U240" s="272" t="e">
        <f>IF(Q240=0,'calcolo base'!L2839,(T240+Q240))</f>
        <v>#N/A</v>
      </c>
      <c r="V240" s="119"/>
    </row>
    <row r="241" spans="2:22">
      <c r="B241" s="47"/>
      <c r="C241" s="35"/>
      <c r="D241" s="53"/>
      <c r="E241" s="53"/>
      <c r="F241" s="48"/>
      <c r="G241" s="243" t="e">
        <f>INDEX('calcolo base'!$B:$B, MATCH($A241, 'calcolo base'!$A:$A, 0))</f>
        <v>#N/A</v>
      </c>
      <c r="H241" s="54" t="e">
        <f t="shared" si="75"/>
        <v>#N/A</v>
      </c>
      <c r="I241" s="259" t="e">
        <f>IF(  OR(      INDEX('calcolo base'!$D:$D, MATCH($A241, 'calcolo base'!$A:$A, 0)) = 0,
      INDEX('calcolo base'!$D:$D, MATCH($A241, 'calcolo base'!$A:$A, 0)) = ""   ),
   INDEX('calcolo base'!$K:$K, MATCH($A241, 'calcolo base'!$A:$A, 0)),
   INDEX('calcolo base'!$J:$J, MATCH($A241, 'calcolo base'!$A:$A, 0))
) / 1000</f>
        <v>#N/A</v>
      </c>
      <c r="J241" s="50" t="e">
        <f t="shared" si="76"/>
        <v>#N/A</v>
      </c>
      <c r="K241" s="50"/>
      <c r="L241" s="267" t="e">
        <f>INDEX('calcolo base'!$H:$H, MATCH($A241, 'calcolo base'!$A:$A, 0))</f>
        <v>#N/A</v>
      </c>
      <c r="M241" s="50" t="e">
        <f t="shared" si="77"/>
        <v>#N/A</v>
      </c>
      <c r="N241" s="50" t="e">
        <f t="shared" si="78"/>
        <v>#N/A</v>
      </c>
      <c r="O241" s="50" t="e">
        <f t="shared" si="79"/>
        <v>#N/A</v>
      </c>
      <c r="P241" s="50" t="e">
        <f t="shared" si="80"/>
        <v>#N/A</v>
      </c>
      <c r="Q241" s="51" t="e">
        <f t="shared" si="81"/>
        <v>#N/A</v>
      </c>
      <c r="R241" s="205" t="e">
        <f t="shared" si="82"/>
        <v>#N/A</v>
      </c>
      <c r="S241" s="279" t="e">
        <f>IF(R241="si",0,IF(E241="si",0,IF(J241&gt;K241,0,+K241-J241)))+IF('calcolo base'!P1701="SI",('Commissioni De Angeli'!K241-'Commissioni De Angeli'!J241),0)</f>
        <v>#N/A</v>
      </c>
      <c r="T241" s="117" t="e">
        <f t="shared" si="83"/>
        <v>#N/A</v>
      </c>
      <c r="U241" s="272" t="e">
        <f>IF(Q241=0,'calcolo base'!L2840,(T241+Q241))</f>
        <v>#N/A</v>
      </c>
      <c r="V241" s="119"/>
    </row>
    <row r="242" spans="2:22">
      <c r="B242" s="47"/>
      <c r="C242" s="35"/>
      <c r="D242" s="53"/>
      <c r="E242" s="53"/>
      <c r="F242" s="48"/>
      <c r="G242" s="243" t="e">
        <f>INDEX('calcolo base'!$B:$B, MATCH($A242, 'calcolo base'!$A:$A, 0))</f>
        <v>#N/A</v>
      </c>
      <c r="H242" s="54" t="e">
        <f t="shared" si="75"/>
        <v>#N/A</v>
      </c>
      <c r="I242" s="259" t="e">
        <f>IF(  OR(      INDEX('calcolo base'!$D:$D, MATCH($A242, 'calcolo base'!$A:$A, 0)) = 0,
      INDEX('calcolo base'!$D:$D, MATCH($A242, 'calcolo base'!$A:$A, 0)) = ""   ),
   INDEX('calcolo base'!$K:$K, MATCH($A242, 'calcolo base'!$A:$A, 0)),
   INDEX('calcolo base'!$J:$J, MATCH($A242, 'calcolo base'!$A:$A, 0))
) / 1000</f>
        <v>#N/A</v>
      </c>
      <c r="J242" s="50" t="e">
        <f t="shared" si="76"/>
        <v>#N/A</v>
      </c>
      <c r="K242" s="50"/>
      <c r="L242" s="267" t="e">
        <f>INDEX('calcolo base'!$H:$H, MATCH($A242, 'calcolo base'!$A:$A, 0))</f>
        <v>#N/A</v>
      </c>
      <c r="M242" s="50" t="e">
        <f t="shared" si="77"/>
        <v>#N/A</v>
      </c>
      <c r="N242" s="50" t="e">
        <f t="shared" si="78"/>
        <v>#N/A</v>
      </c>
      <c r="O242" s="50" t="e">
        <f t="shared" si="79"/>
        <v>#N/A</v>
      </c>
      <c r="P242" s="50" t="e">
        <f t="shared" si="80"/>
        <v>#N/A</v>
      </c>
      <c r="Q242" s="51" t="e">
        <f t="shared" si="81"/>
        <v>#N/A</v>
      </c>
      <c r="R242" s="205" t="e">
        <f t="shared" si="82"/>
        <v>#N/A</v>
      </c>
      <c r="S242" s="279" t="e">
        <f>IF(R242="si",0,IF(E242="si",0,IF(J242&gt;K242,0,+K242-J242)))+IF('calcolo base'!P1702="SI",('Commissioni De Angeli'!K242-'Commissioni De Angeli'!J242),0)</f>
        <v>#N/A</v>
      </c>
      <c r="T242" s="117" t="e">
        <f t="shared" si="83"/>
        <v>#N/A</v>
      </c>
      <c r="U242" s="272" t="e">
        <f>IF(Q242=0,'calcolo base'!L2841,(T242+Q242))</f>
        <v>#N/A</v>
      </c>
      <c r="V242" s="119"/>
    </row>
    <row r="243" spans="2:22">
      <c r="B243" s="47"/>
      <c r="C243" s="35"/>
      <c r="D243" s="53"/>
      <c r="E243" s="53"/>
      <c r="F243" s="48"/>
      <c r="G243" s="243" t="e">
        <f>INDEX('calcolo base'!$B:$B, MATCH($A243, 'calcolo base'!$A:$A, 0))</f>
        <v>#N/A</v>
      </c>
      <c r="H243" s="54" t="e">
        <f t="shared" si="75"/>
        <v>#N/A</v>
      </c>
      <c r="I243" s="259" t="e">
        <f>IF(  OR(      INDEX('calcolo base'!$D:$D, MATCH($A243, 'calcolo base'!$A:$A, 0)) = 0,
      INDEX('calcolo base'!$D:$D, MATCH($A243, 'calcolo base'!$A:$A, 0)) = ""   ),
   INDEX('calcolo base'!$K:$K, MATCH($A243, 'calcolo base'!$A:$A, 0)),
   INDEX('calcolo base'!$J:$J, MATCH($A243, 'calcolo base'!$A:$A, 0))
) / 1000</f>
        <v>#N/A</v>
      </c>
      <c r="J243" s="50" t="e">
        <f t="shared" si="76"/>
        <v>#N/A</v>
      </c>
      <c r="K243" s="50"/>
      <c r="L243" s="267" t="e">
        <f>INDEX('calcolo base'!$H:$H, MATCH($A243, 'calcolo base'!$A:$A, 0))</f>
        <v>#N/A</v>
      </c>
      <c r="M243" s="50" t="e">
        <f t="shared" si="77"/>
        <v>#N/A</v>
      </c>
      <c r="N243" s="50" t="e">
        <f t="shared" si="78"/>
        <v>#N/A</v>
      </c>
      <c r="O243" s="50" t="e">
        <f t="shared" si="79"/>
        <v>#N/A</v>
      </c>
      <c r="P243" s="50" t="e">
        <f t="shared" si="80"/>
        <v>#N/A</v>
      </c>
      <c r="Q243" s="51" t="e">
        <f t="shared" si="81"/>
        <v>#N/A</v>
      </c>
      <c r="R243" s="205" t="e">
        <f t="shared" si="82"/>
        <v>#N/A</v>
      </c>
      <c r="S243" s="279" t="e">
        <f>IF(R243="si",0,IF(E243="si",0,IF(J243&gt;K243,0,+K243-J243)))+IF('calcolo base'!P1703="SI",('Commissioni De Angeli'!K243-'Commissioni De Angeli'!J243),0)</f>
        <v>#N/A</v>
      </c>
      <c r="T243" s="117" t="e">
        <f t="shared" si="83"/>
        <v>#N/A</v>
      </c>
      <c r="U243" s="272" t="e">
        <f>IF(Q243=0,'calcolo base'!L2842,(T243+Q243))</f>
        <v>#N/A</v>
      </c>
      <c r="V243" s="119"/>
    </row>
    <row r="244" spans="2:22">
      <c r="B244" s="47"/>
      <c r="C244" s="35"/>
      <c r="D244" s="53"/>
      <c r="E244" s="53"/>
      <c r="F244" s="48"/>
      <c r="G244" s="243" t="e">
        <f>INDEX('calcolo base'!$B:$B, MATCH($A244, 'calcolo base'!$A:$A, 0))</f>
        <v>#N/A</v>
      </c>
      <c r="H244" s="54" t="e">
        <f t="shared" si="75"/>
        <v>#N/A</v>
      </c>
      <c r="I244" s="259" t="e">
        <f>IF(  OR(      INDEX('calcolo base'!$D:$D, MATCH($A244, 'calcolo base'!$A:$A, 0)) = 0,
      INDEX('calcolo base'!$D:$D, MATCH($A244, 'calcolo base'!$A:$A, 0)) = ""   ),
   INDEX('calcolo base'!$K:$K, MATCH($A244, 'calcolo base'!$A:$A, 0)),
   INDEX('calcolo base'!$J:$J, MATCH($A244, 'calcolo base'!$A:$A, 0))
) / 1000</f>
        <v>#N/A</v>
      </c>
      <c r="J244" s="50" t="e">
        <f t="shared" si="76"/>
        <v>#N/A</v>
      </c>
      <c r="K244" s="50"/>
      <c r="L244" s="267" t="e">
        <f>INDEX('calcolo base'!$H:$H, MATCH($A244, 'calcolo base'!$A:$A, 0))</f>
        <v>#N/A</v>
      </c>
      <c r="M244" s="50" t="e">
        <f t="shared" si="77"/>
        <v>#N/A</v>
      </c>
      <c r="N244" s="50" t="e">
        <f t="shared" si="78"/>
        <v>#N/A</v>
      </c>
      <c r="O244" s="50" t="e">
        <f t="shared" si="79"/>
        <v>#N/A</v>
      </c>
      <c r="P244" s="50" t="e">
        <f t="shared" si="80"/>
        <v>#N/A</v>
      </c>
      <c r="Q244" s="51" t="e">
        <f t="shared" si="81"/>
        <v>#N/A</v>
      </c>
      <c r="R244" s="205" t="e">
        <f t="shared" si="82"/>
        <v>#N/A</v>
      </c>
      <c r="S244" s="279" t="e">
        <f>IF(R244="si",0,IF(E244="si",0,IF(J244&gt;K244,0,+K244-J244)))+IF('calcolo base'!P1704="SI",('Commissioni De Angeli'!K244-'Commissioni De Angeli'!J244),0)</f>
        <v>#N/A</v>
      </c>
      <c r="T244" s="117" t="e">
        <f t="shared" si="83"/>
        <v>#N/A</v>
      </c>
      <c r="U244" s="272" t="e">
        <f>IF(Q244=0,'calcolo base'!L2843,(T244+Q244))</f>
        <v>#N/A</v>
      </c>
      <c r="V244" s="119"/>
    </row>
    <row r="245" spans="2:22">
      <c r="B245" s="47"/>
      <c r="C245" s="35"/>
      <c r="D245" s="53"/>
      <c r="E245" s="53"/>
      <c r="F245" s="48"/>
      <c r="G245" s="243" t="e">
        <f>INDEX('calcolo base'!$B:$B, MATCH($A245, 'calcolo base'!$A:$A, 0))</f>
        <v>#N/A</v>
      </c>
      <c r="H245" s="54" t="e">
        <f t="shared" si="75"/>
        <v>#N/A</v>
      </c>
      <c r="I245" s="259" t="e">
        <f>IF(  OR(      INDEX('calcolo base'!$D:$D, MATCH($A245, 'calcolo base'!$A:$A, 0)) = 0,
      INDEX('calcolo base'!$D:$D, MATCH($A245, 'calcolo base'!$A:$A, 0)) = ""   ),
   INDEX('calcolo base'!$K:$K, MATCH($A245, 'calcolo base'!$A:$A, 0)),
   INDEX('calcolo base'!$J:$J, MATCH($A245, 'calcolo base'!$A:$A, 0))
) / 1000</f>
        <v>#N/A</v>
      </c>
      <c r="J245" s="50" t="e">
        <f t="shared" si="76"/>
        <v>#N/A</v>
      </c>
      <c r="K245" s="50"/>
      <c r="L245" s="267" t="e">
        <f>INDEX('calcolo base'!$H:$H, MATCH($A245, 'calcolo base'!$A:$A, 0))</f>
        <v>#N/A</v>
      </c>
      <c r="M245" s="50" t="e">
        <f t="shared" si="77"/>
        <v>#N/A</v>
      </c>
      <c r="N245" s="50" t="e">
        <f t="shared" si="78"/>
        <v>#N/A</v>
      </c>
      <c r="O245" s="50" t="e">
        <f t="shared" si="79"/>
        <v>#N/A</v>
      </c>
      <c r="P245" s="50" t="e">
        <f t="shared" si="80"/>
        <v>#N/A</v>
      </c>
      <c r="Q245" s="51" t="e">
        <f t="shared" si="81"/>
        <v>#N/A</v>
      </c>
      <c r="R245" s="205" t="e">
        <f t="shared" si="82"/>
        <v>#N/A</v>
      </c>
      <c r="S245" s="279" t="e">
        <f>IF(R245="si",0,IF(E245="si",0,IF(J245&gt;K245,0,+K245-J245)))+IF('calcolo base'!P1705="SI",('Commissioni De Angeli'!K245-'Commissioni De Angeli'!J245),0)</f>
        <v>#N/A</v>
      </c>
      <c r="T245" s="117" t="e">
        <f t="shared" si="83"/>
        <v>#N/A</v>
      </c>
      <c r="U245" s="272" t="e">
        <f>IF(Q245=0,'calcolo base'!L2844,(T245+Q245))</f>
        <v>#N/A</v>
      </c>
      <c r="V245" s="119"/>
    </row>
    <row r="246" spans="2:22">
      <c r="B246" s="47"/>
      <c r="C246" s="35"/>
      <c r="D246" s="53"/>
      <c r="E246" s="53"/>
      <c r="F246" s="48"/>
      <c r="G246" s="243" t="e">
        <f>INDEX('calcolo base'!$B:$B, MATCH($A246, 'calcolo base'!$A:$A, 0))</f>
        <v>#N/A</v>
      </c>
      <c r="H246" s="54" t="e">
        <f t="shared" si="75"/>
        <v>#N/A</v>
      </c>
      <c r="I246" s="259" t="e">
        <f>IF(  OR(      INDEX('calcolo base'!$D:$D, MATCH($A246, 'calcolo base'!$A:$A, 0)) = 0,
      INDEX('calcolo base'!$D:$D, MATCH($A246, 'calcolo base'!$A:$A, 0)) = ""   ),
   INDEX('calcolo base'!$K:$K, MATCH($A246, 'calcolo base'!$A:$A, 0)),
   INDEX('calcolo base'!$J:$J, MATCH($A246, 'calcolo base'!$A:$A, 0))
) / 1000</f>
        <v>#N/A</v>
      </c>
      <c r="J246" s="50" t="e">
        <f t="shared" si="76"/>
        <v>#N/A</v>
      </c>
      <c r="K246" s="50"/>
      <c r="L246" s="267" t="e">
        <f>INDEX('calcolo base'!$H:$H, MATCH($A246, 'calcolo base'!$A:$A, 0))</f>
        <v>#N/A</v>
      </c>
      <c r="M246" s="50" t="e">
        <f t="shared" si="77"/>
        <v>#N/A</v>
      </c>
      <c r="N246" s="50" t="e">
        <f t="shared" si="78"/>
        <v>#N/A</v>
      </c>
      <c r="O246" s="50" t="e">
        <f t="shared" si="79"/>
        <v>#N/A</v>
      </c>
      <c r="P246" s="50" t="e">
        <f t="shared" si="80"/>
        <v>#N/A</v>
      </c>
      <c r="Q246" s="51" t="e">
        <f t="shared" si="81"/>
        <v>#N/A</v>
      </c>
      <c r="R246" s="205" t="e">
        <f t="shared" si="82"/>
        <v>#N/A</v>
      </c>
      <c r="S246" s="279" t="e">
        <f>IF(R246="si",0,IF(E246="si",0,IF(J246&gt;K246,0,+K246-J246)))+IF('calcolo base'!P1706="SI",('Commissioni De Angeli'!K246-'Commissioni De Angeli'!J246),0)</f>
        <v>#N/A</v>
      </c>
      <c r="T246" s="117" t="e">
        <f t="shared" si="83"/>
        <v>#N/A</v>
      </c>
      <c r="U246" s="272" t="e">
        <f>IF(Q246=0,'calcolo base'!L2845,(T246+Q246))</f>
        <v>#N/A</v>
      </c>
      <c r="V246" s="119"/>
    </row>
    <row r="247" spans="2:22">
      <c r="B247" s="47"/>
      <c r="C247" s="35"/>
      <c r="D247" s="53"/>
      <c r="E247" s="53"/>
      <c r="F247" s="48"/>
      <c r="G247" s="243" t="e">
        <f>INDEX('calcolo base'!$B:$B, MATCH($A247, 'calcolo base'!$A:$A, 0))</f>
        <v>#N/A</v>
      </c>
      <c r="H247" s="54" t="e">
        <f t="shared" si="75"/>
        <v>#N/A</v>
      </c>
      <c r="I247" s="259" t="e">
        <f>IF(  OR(      INDEX('calcolo base'!$D:$D, MATCH($A247, 'calcolo base'!$A:$A, 0)) = 0,
      INDEX('calcolo base'!$D:$D, MATCH($A247, 'calcolo base'!$A:$A, 0)) = ""   ),
   INDEX('calcolo base'!$K:$K, MATCH($A247, 'calcolo base'!$A:$A, 0)),
   INDEX('calcolo base'!$J:$J, MATCH($A247, 'calcolo base'!$A:$A, 0))
) / 1000</f>
        <v>#N/A</v>
      </c>
      <c r="J247" s="50" t="e">
        <f t="shared" si="76"/>
        <v>#N/A</v>
      </c>
      <c r="K247" s="50"/>
      <c r="L247" s="267" t="e">
        <f>INDEX('calcolo base'!$H:$H, MATCH($A247, 'calcolo base'!$A:$A, 0))</f>
        <v>#N/A</v>
      </c>
      <c r="M247" s="50" t="e">
        <f t="shared" si="77"/>
        <v>#N/A</v>
      </c>
      <c r="N247" s="50" t="e">
        <f t="shared" si="78"/>
        <v>#N/A</v>
      </c>
      <c r="O247" s="50" t="e">
        <f t="shared" si="79"/>
        <v>#N/A</v>
      </c>
      <c r="P247" s="50" t="e">
        <f t="shared" si="80"/>
        <v>#N/A</v>
      </c>
      <c r="Q247" s="51" t="e">
        <f t="shared" si="81"/>
        <v>#N/A</v>
      </c>
      <c r="R247" s="205" t="e">
        <f t="shared" si="82"/>
        <v>#N/A</v>
      </c>
      <c r="S247" s="279" t="e">
        <f>IF(R247="si",0,IF(E247="si",0,IF(J247&gt;K247,0,+K247-J247)))+IF('calcolo base'!P1707="SI",('Commissioni De Angeli'!K247-'Commissioni De Angeli'!J247),0)</f>
        <v>#N/A</v>
      </c>
      <c r="T247" s="117" t="e">
        <f t="shared" si="83"/>
        <v>#N/A</v>
      </c>
      <c r="U247" s="272" t="e">
        <f>IF(Q247=0,'calcolo base'!L2846,(T247+Q247))</f>
        <v>#N/A</v>
      </c>
      <c r="V247" s="119"/>
    </row>
    <row r="248" spans="2:22">
      <c r="B248" s="47"/>
      <c r="C248" s="35"/>
      <c r="D248" s="53"/>
      <c r="E248" s="53"/>
      <c r="F248" s="48"/>
      <c r="G248" s="243" t="e">
        <f>INDEX('calcolo base'!$B:$B, MATCH($A248, 'calcolo base'!$A:$A, 0))</f>
        <v>#N/A</v>
      </c>
      <c r="H248" s="54" t="e">
        <f t="shared" si="75"/>
        <v>#N/A</v>
      </c>
      <c r="I248" s="259" t="e">
        <f>IF(  OR(      INDEX('calcolo base'!$D:$D, MATCH($A248, 'calcolo base'!$A:$A, 0)) = 0,
      INDEX('calcolo base'!$D:$D, MATCH($A248, 'calcolo base'!$A:$A, 0)) = ""   ),
   INDEX('calcolo base'!$K:$K, MATCH($A248, 'calcolo base'!$A:$A, 0)),
   INDEX('calcolo base'!$J:$J, MATCH($A248, 'calcolo base'!$A:$A, 0))
) / 1000</f>
        <v>#N/A</v>
      </c>
      <c r="J248" s="50" t="e">
        <f t="shared" si="76"/>
        <v>#N/A</v>
      </c>
      <c r="K248" s="50"/>
      <c r="L248" s="267" t="e">
        <f>INDEX('calcolo base'!$H:$H, MATCH($A248, 'calcolo base'!$A:$A, 0))</f>
        <v>#N/A</v>
      </c>
      <c r="M248" s="50" t="e">
        <f t="shared" si="77"/>
        <v>#N/A</v>
      </c>
      <c r="N248" s="50" t="e">
        <f t="shared" si="78"/>
        <v>#N/A</v>
      </c>
      <c r="O248" s="50" t="e">
        <f t="shared" si="79"/>
        <v>#N/A</v>
      </c>
      <c r="P248" s="50" t="e">
        <f t="shared" si="80"/>
        <v>#N/A</v>
      </c>
      <c r="Q248" s="51" t="e">
        <f t="shared" si="81"/>
        <v>#N/A</v>
      </c>
      <c r="R248" s="205" t="e">
        <f t="shared" si="82"/>
        <v>#N/A</v>
      </c>
      <c r="S248" s="279" t="e">
        <f>IF(R248="si",0,IF(E248="si",0,IF(J248&gt;K248,0,+K248-J248)))+IF('calcolo base'!P1708="SI",('Commissioni De Angeli'!K248-'Commissioni De Angeli'!J248),0)</f>
        <v>#N/A</v>
      </c>
      <c r="T248" s="117" t="e">
        <f t="shared" si="83"/>
        <v>#N/A</v>
      </c>
      <c r="U248" s="272" t="e">
        <f>IF(Q248=0,'calcolo base'!L2847,(T248+Q248))</f>
        <v>#N/A</v>
      </c>
      <c r="V248" s="119"/>
    </row>
    <row r="249" spans="2:22">
      <c r="B249" s="47"/>
      <c r="C249" s="35"/>
      <c r="D249" s="53"/>
      <c r="E249" s="53"/>
      <c r="F249" s="48"/>
      <c r="G249" s="243" t="e">
        <f>INDEX('calcolo base'!$B:$B, MATCH($A249, 'calcolo base'!$A:$A, 0))</f>
        <v>#N/A</v>
      </c>
      <c r="H249" s="54" t="e">
        <f t="shared" si="75"/>
        <v>#N/A</v>
      </c>
      <c r="I249" s="259" t="e">
        <f>IF(  OR(      INDEX('calcolo base'!$D:$D, MATCH($A249, 'calcolo base'!$A:$A, 0)) = 0,
      INDEX('calcolo base'!$D:$D, MATCH($A249, 'calcolo base'!$A:$A, 0)) = ""   ),
   INDEX('calcolo base'!$K:$K, MATCH($A249, 'calcolo base'!$A:$A, 0)),
   INDEX('calcolo base'!$J:$J, MATCH($A249, 'calcolo base'!$A:$A, 0))
) / 1000</f>
        <v>#N/A</v>
      </c>
      <c r="J249" s="50" t="e">
        <f t="shared" si="76"/>
        <v>#N/A</v>
      </c>
      <c r="K249" s="50"/>
      <c r="L249" s="267" t="e">
        <f>INDEX('calcolo base'!$H:$H, MATCH($A249, 'calcolo base'!$A:$A, 0))</f>
        <v>#N/A</v>
      </c>
      <c r="M249" s="50" t="e">
        <f t="shared" si="77"/>
        <v>#N/A</v>
      </c>
      <c r="N249" s="50" t="e">
        <f t="shared" si="78"/>
        <v>#N/A</v>
      </c>
      <c r="O249" s="50" t="e">
        <f t="shared" si="79"/>
        <v>#N/A</v>
      </c>
      <c r="P249" s="50" t="e">
        <f t="shared" si="80"/>
        <v>#N/A</v>
      </c>
      <c r="Q249" s="51" t="e">
        <f t="shared" si="81"/>
        <v>#N/A</v>
      </c>
      <c r="R249" s="205" t="e">
        <f t="shared" si="82"/>
        <v>#N/A</v>
      </c>
      <c r="S249" s="279" t="e">
        <f>IF(R249="si",0,IF(E249="si",0,IF(J249&gt;K249,0,+K249-J249)))+IF('calcolo base'!P1709="SI",('Commissioni De Angeli'!K249-'Commissioni De Angeli'!J249),0)</f>
        <v>#N/A</v>
      </c>
      <c r="T249" s="117" t="e">
        <f t="shared" si="83"/>
        <v>#N/A</v>
      </c>
      <c r="U249" s="272" t="e">
        <f>IF(Q249=0,'calcolo base'!L2848,(T249+Q249))</f>
        <v>#N/A</v>
      </c>
      <c r="V249" s="119"/>
    </row>
    <row r="250" spans="2:22">
      <c r="B250" s="47"/>
      <c r="C250" s="35"/>
      <c r="D250" s="53"/>
      <c r="E250" s="53"/>
      <c r="F250" s="48"/>
      <c r="G250" s="243" t="e">
        <f>INDEX('calcolo base'!$B:$B, MATCH($A250, 'calcolo base'!$A:$A, 0))</f>
        <v>#N/A</v>
      </c>
      <c r="H250" s="54" t="e">
        <f t="shared" si="75"/>
        <v>#N/A</v>
      </c>
      <c r="I250" s="259" t="e">
        <f>IF(  OR(      INDEX('calcolo base'!$D:$D, MATCH($A250, 'calcolo base'!$A:$A, 0)) = 0,
      INDEX('calcolo base'!$D:$D, MATCH($A250, 'calcolo base'!$A:$A, 0)) = ""   ),
   INDEX('calcolo base'!$K:$K, MATCH($A250, 'calcolo base'!$A:$A, 0)),
   INDEX('calcolo base'!$J:$J, MATCH($A250, 'calcolo base'!$A:$A, 0))
) / 1000</f>
        <v>#N/A</v>
      </c>
      <c r="J250" s="50" t="e">
        <f t="shared" si="76"/>
        <v>#N/A</v>
      </c>
      <c r="K250" s="50"/>
      <c r="L250" s="267" t="e">
        <f>INDEX('calcolo base'!$H:$H, MATCH($A250, 'calcolo base'!$A:$A, 0))</f>
        <v>#N/A</v>
      </c>
      <c r="M250" s="50" t="e">
        <f t="shared" si="77"/>
        <v>#N/A</v>
      </c>
      <c r="N250" s="50" t="e">
        <f t="shared" si="78"/>
        <v>#N/A</v>
      </c>
      <c r="O250" s="50" t="e">
        <f t="shared" si="79"/>
        <v>#N/A</v>
      </c>
      <c r="P250" s="50" t="e">
        <f t="shared" si="80"/>
        <v>#N/A</v>
      </c>
      <c r="Q250" s="51" t="e">
        <f t="shared" si="81"/>
        <v>#N/A</v>
      </c>
      <c r="R250" s="205" t="e">
        <f t="shared" si="82"/>
        <v>#N/A</v>
      </c>
      <c r="S250" s="279" t="e">
        <f>IF(R250="si",0,IF(E250="si",0,IF(J250&gt;K250,0,+K250-J250)))+IF('calcolo base'!P1710="SI",('Commissioni De Angeli'!K250-'Commissioni De Angeli'!J250),0)</f>
        <v>#N/A</v>
      </c>
      <c r="T250" s="117" t="e">
        <f t="shared" si="83"/>
        <v>#N/A</v>
      </c>
      <c r="U250" s="272" t="e">
        <f>IF(Q250=0,'calcolo base'!L2849,(T250+Q250))</f>
        <v>#N/A</v>
      </c>
      <c r="V250" s="119"/>
    </row>
    <row r="251" spans="2:22">
      <c r="B251" s="47"/>
      <c r="C251" s="35"/>
      <c r="D251" s="53"/>
      <c r="E251" s="53"/>
      <c r="F251" s="48"/>
      <c r="G251" s="243" t="e">
        <f>INDEX('calcolo base'!$B:$B, MATCH($A251, 'calcolo base'!$A:$A, 0))</f>
        <v>#N/A</v>
      </c>
      <c r="H251" s="54" t="e">
        <f t="shared" si="75"/>
        <v>#N/A</v>
      </c>
      <c r="I251" s="259" t="e">
        <f>IF(  OR(      INDEX('calcolo base'!$D:$D, MATCH($A251, 'calcolo base'!$A:$A, 0)) = 0,
      INDEX('calcolo base'!$D:$D, MATCH($A251, 'calcolo base'!$A:$A, 0)) = ""   ),
   INDEX('calcolo base'!$K:$K, MATCH($A251, 'calcolo base'!$A:$A, 0)),
   INDEX('calcolo base'!$J:$J, MATCH($A251, 'calcolo base'!$A:$A, 0))
) / 1000</f>
        <v>#N/A</v>
      </c>
      <c r="J251" s="50" t="e">
        <f t="shared" si="76"/>
        <v>#N/A</v>
      </c>
      <c r="K251" s="50"/>
      <c r="L251" s="267" t="e">
        <f>INDEX('calcolo base'!$H:$H, MATCH($A251, 'calcolo base'!$A:$A, 0))</f>
        <v>#N/A</v>
      </c>
      <c r="M251" s="50" t="e">
        <f t="shared" si="77"/>
        <v>#N/A</v>
      </c>
      <c r="N251" s="50" t="e">
        <f t="shared" si="78"/>
        <v>#N/A</v>
      </c>
      <c r="O251" s="50" t="e">
        <f t="shared" si="79"/>
        <v>#N/A</v>
      </c>
      <c r="P251" s="50" t="e">
        <f t="shared" si="80"/>
        <v>#N/A</v>
      </c>
      <c r="Q251" s="51" t="e">
        <f t="shared" si="81"/>
        <v>#N/A</v>
      </c>
      <c r="R251" s="205" t="e">
        <f t="shared" si="82"/>
        <v>#N/A</v>
      </c>
      <c r="S251" s="279" t="e">
        <f>IF(R251="si",0,IF(E251="si",0,IF(J251&gt;K251,0,+K251-J251)))+IF('calcolo base'!P1711="SI",('Commissioni De Angeli'!K251-'Commissioni De Angeli'!J251),0)</f>
        <v>#N/A</v>
      </c>
      <c r="T251" s="117" t="e">
        <f t="shared" si="83"/>
        <v>#N/A</v>
      </c>
      <c r="U251" s="272" t="e">
        <f>IF(Q251=0,'calcolo base'!L2850,(T251+Q251))</f>
        <v>#N/A</v>
      </c>
      <c r="V251" s="119"/>
    </row>
    <row r="252" spans="2:22">
      <c r="B252" s="47"/>
      <c r="C252" s="35"/>
      <c r="D252" s="53"/>
      <c r="E252" s="53"/>
      <c r="F252" s="48"/>
      <c r="G252" s="243" t="e">
        <f>INDEX('calcolo base'!$B:$B, MATCH($A252, 'calcolo base'!$A:$A, 0))</f>
        <v>#N/A</v>
      </c>
      <c r="H252" s="54" t="e">
        <f t="shared" si="75"/>
        <v>#N/A</v>
      </c>
      <c r="I252" s="259" t="e">
        <f>IF(  OR(      INDEX('calcolo base'!$D:$D, MATCH($A252, 'calcolo base'!$A:$A, 0)) = 0,
      INDEX('calcolo base'!$D:$D, MATCH($A252, 'calcolo base'!$A:$A, 0)) = ""   ),
   INDEX('calcolo base'!$K:$K, MATCH($A252, 'calcolo base'!$A:$A, 0)),
   INDEX('calcolo base'!$J:$J, MATCH($A252, 'calcolo base'!$A:$A, 0))
) / 1000</f>
        <v>#N/A</v>
      </c>
      <c r="J252" s="50" t="e">
        <f t="shared" si="76"/>
        <v>#N/A</v>
      </c>
      <c r="K252" s="50"/>
      <c r="L252" s="267" t="e">
        <f>INDEX('calcolo base'!$H:$H, MATCH($A252, 'calcolo base'!$A:$A, 0))</f>
        <v>#N/A</v>
      </c>
      <c r="M252" s="50" t="e">
        <f t="shared" si="77"/>
        <v>#N/A</v>
      </c>
      <c r="N252" s="50" t="e">
        <f t="shared" si="78"/>
        <v>#N/A</v>
      </c>
      <c r="O252" s="50" t="e">
        <f t="shared" si="79"/>
        <v>#N/A</v>
      </c>
      <c r="P252" s="50" t="e">
        <f t="shared" si="80"/>
        <v>#N/A</v>
      </c>
      <c r="Q252" s="51" t="e">
        <f t="shared" si="81"/>
        <v>#N/A</v>
      </c>
      <c r="R252" s="205" t="e">
        <f t="shared" si="82"/>
        <v>#N/A</v>
      </c>
      <c r="S252" s="279" t="e">
        <f>IF(R252="si",0,IF(E252="si",0,IF(J252&gt;K252,0,+K252-J252)))+IF('calcolo base'!P1712="SI",('Commissioni De Angeli'!K252-'Commissioni De Angeli'!J252),0)</f>
        <v>#N/A</v>
      </c>
      <c r="T252" s="117" t="e">
        <f t="shared" si="83"/>
        <v>#N/A</v>
      </c>
      <c r="U252" s="272" t="e">
        <f>IF(Q252=0,'calcolo base'!L2851,(T252+Q252))</f>
        <v>#N/A</v>
      </c>
      <c r="V252" s="119"/>
    </row>
    <row r="253" spans="2:22">
      <c r="B253" s="47"/>
      <c r="C253" s="35"/>
      <c r="D253" s="53"/>
      <c r="E253" s="53"/>
      <c r="F253" s="48"/>
      <c r="G253" s="243" t="e">
        <f>INDEX('calcolo base'!$B:$B, MATCH($A253, 'calcolo base'!$A:$A, 0))</f>
        <v>#N/A</v>
      </c>
      <c r="H253" s="54" t="e">
        <f t="shared" si="75"/>
        <v>#N/A</v>
      </c>
      <c r="I253" s="259" t="e">
        <f>IF(  OR(      INDEX('calcolo base'!$D:$D, MATCH($A253, 'calcolo base'!$A:$A, 0)) = 0,
      INDEX('calcolo base'!$D:$D, MATCH($A253, 'calcolo base'!$A:$A, 0)) = ""   ),
   INDEX('calcolo base'!$K:$K, MATCH($A253, 'calcolo base'!$A:$A, 0)),
   INDEX('calcolo base'!$J:$J, MATCH($A253, 'calcolo base'!$A:$A, 0))
) / 1000</f>
        <v>#N/A</v>
      </c>
      <c r="J253" s="50" t="e">
        <f t="shared" si="76"/>
        <v>#N/A</v>
      </c>
      <c r="K253" s="50"/>
      <c r="L253" s="267" t="e">
        <f>INDEX('calcolo base'!$H:$H, MATCH($A253, 'calcolo base'!$A:$A, 0))</f>
        <v>#N/A</v>
      </c>
      <c r="M253" s="50" t="e">
        <f t="shared" si="77"/>
        <v>#N/A</v>
      </c>
      <c r="N253" s="50" t="e">
        <f t="shared" si="78"/>
        <v>#N/A</v>
      </c>
      <c r="O253" s="50" t="e">
        <f t="shared" si="79"/>
        <v>#N/A</v>
      </c>
      <c r="P253" s="50" t="e">
        <f t="shared" si="80"/>
        <v>#N/A</v>
      </c>
      <c r="Q253" s="51" t="e">
        <f t="shared" si="81"/>
        <v>#N/A</v>
      </c>
      <c r="R253" s="205" t="e">
        <f t="shared" si="82"/>
        <v>#N/A</v>
      </c>
      <c r="S253" s="279" t="e">
        <f>IF(R253="si",0,IF(E253="si",0,IF(J253&gt;K253,0,+K253-J253)))+IF('calcolo base'!P1713="SI",('Commissioni De Angeli'!K253-'Commissioni De Angeli'!J253),0)</f>
        <v>#N/A</v>
      </c>
      <c r="T253" s="117" t="e">
        <f t="shared" si="83"/>
        <v>#N/A</v>
      </c>
      <c r="U253" s="272" t="e">
        <f>IF(Q253=0,'calcolo base'!L2852,(T253+Q253))</f>
        <v>#N/A</v>
      </c>
      <c r="V253" s="119"/>
    </row>
    <row r="254" spans="2:22">
      <c r="B254" s="47"/>
      <c r="C254" s="35"/>
      <c r="D254" s="53"/>
      <c r="E254" s="53"/>
      <c r="F254" s="48"/>
      <c r="G254" s="243" t="e">
        <f>INDEX('calcolo base'!$B:$B, MATCH($A254, 'calcolo base'!$A:$A, 0))</f>
        <v>#N/A</v>
      </c>
      <c r="H254" s="54" t="e">
        <f t="shared" si="75"/>
        <v>#N/A</v>
      </c>
      <c r="I254" s="259" t="e">
        <f>IF(  OR(      INDEX('calcolo base'!$D:$D, MATCH($A254, 'calcolo base'!$A:$A, 0)) = 0,
      INDEX('calcolo base'!$D:$D, MATCH($A254, 'calcolo base'!$A:$A, 0)) = ""   ),
   INDEX('calcolo base'!$K:$K, MATCH($A254, 'calcolo base'!$A:$A, 0)),
   INDEX('calcolo base'!$J:$J, MATCH($A254, 'calcolo base'!$A:$A, 0))
) / 1000</f>
        <v>#N/A</v>
      </c>
      <c r="J254" s="50" t="e">
        <f t="shared" si="76"/>
        <v>#N/A</v>
      </c>
      <c r="K254" s="50"/>
      <c r="L254" s="267" t="e">
        <f>INDEX('calcolo base'!$H:$H, MATCH($A254, 'calcolo base'!$A:$A, 0))</f>
        <v>#N/A</v>
      </c>
      <c r="M254" s="50" t="e">
        <f t="shared" si="77"/>
        <v>#N/A</v>
      </c>
      <c r="N254" s="50" t="e">
        <f t="shared" si="78"/>
        <v>#N/A</v>
      </c>
      <c r="O254" s="50" t="e">
        <f t="shared" si="79"/>
        <v>#N/A</v>
      </c>
      <c r="P254" s="50" t="e">
        <f t="shared" si="80"/>
        <v>#N/A</v>
      </c>
      <c r="Q254" s="51" t="e">
        <f t="shared" si="81"/>
        <v>#N/A</v>
      </c>
      <c r="R254" s="205" t="e">
        <f t="shared" si="82"/>
        <v>#N/A</v>
      </c>
      <c r="S254" s="279" t="e">
        <f>IF(R254="si",0,IF(E254="si",0,IF(J254&gt;K254,0,+K254-J254)))+IF('calcolo base'!P1714="SI",('Commissioni De Angeli'!K254-'Commissioni De Angeli'!J254),0)</f>
        <v>#N/A</v>
      </c>
      <c r="T254" s="117" t="e">
        <f t="shared" si="83"/>
        <v>#N/A</v>
      </c>
      <c r="U254" s="272" t="e">
        <f>IF(Q254=0,'calcolo base'!L2853,(T254+Q254))</f>
        <v>#N/A</v>
      </c>
      <c r="V254" s="119"/>
    </row>
    <row r="255" spans="2:22">
      <c r="B255" s="47"/>
      <c r="C255" s="35"/>
      <c r="D255" s="53"/>
      <c r="E255" s="53"/>
      <c r="F255" s="48"/>
      <c r="G255" s="243" t="e">
        <f>INDEX('calcolo base'!$B:$B, MATCH($A255, 'calcolo base'!$A:$A, 0))</f>
        <v>#N/A</v>
      </c>
      <c r="H255" s="54" t="e">
        <f t="shared" si="75"/>
        <v>#N/A</v>
      </c>
      <c r="I255" s="259" t="e">
        <f>IF(  OR(      INDEX('calcolo base'!$D:$D, MATCH($A255, 'calcolo base'!$A:$A, 0)) = 0,
      INDEX('calcolo base'!$D:$D, MATCH($A255, 'calcolo base'!$A:$A, 0)) = ""   ),
   INDEX('calcolo base'!$K:$K, MATCH($A255, 'calcolo base'!$A:$A, 0)),
   INDEX('calcolo base'!$J:$J, MATCH($A255, 'calcolo base'!$A:$A, 0))
) / 1000</f>
        <v>#N/A</v>
      </c>
      <c r="J255" s="50" t="e">
        <f t="shared" si="76"/>
        <v>#N/A</v>
      </c>
      <c r="K255" s="50"/>
      <c r="L255" s="267" t="e">
        <f>INDEX('calcolo base'!$H:$H, MATCH($A255, 'calcolo base'!$A:$A, 0))</f>
        <v>#N/A</v>
      </c>
      <c r="M255" s="50" t="e">
        <f t="shared" si="77"/>
        <v>#N/A</v>
      </c>
      <c r="N255" s="50" t="e">
        <f t="shared" si="78"/>
        <v>#N/A</v>
      </c>
      <c r="O255" s="50" t="e">
        <f t="shared" si="79"/>
        <v>#N/A</v>
      </c>
      <c r="P255" s="50" t="e">
        <f t="shared" si="80"/>
        <v>#N/A</v>
      </c>
      <c r="Q255" s="51" t="e">
        <f t="shared" si="81"/>
        <v>#N/A</v>
      </c>
      <c r="R255" s="205" t="e">
        <f t="shared" si="82"/>
        <v>#N/A</v>
      </c>
      <c r="S255" s="279" t="e">
        <f>IF(R255="si",0,IF(E255="si",0,IF(J255&gt;K255,0,+K255-J255)))+IF('calcolo base'!P1715="SI",('Commissioni De Angeli'!K255-'Commissioni De Angeli'!J255),0)</f>
        <v>#N/A</v>
      </c>
      <c r="T255" s="117" t="e">
        <f t="shared" si="83"/>
        <v>#N/A</v>
      </c>
      <c r="U255" s="272" t="e">
        <f>IF(Q255=0,'calcolo base'!L2854,(T255+Q255))</f>
        <v>#N/A</v>
      </c>
      <c r="V255" s="119"/>
    </row>
    <row r="256" spans="2:22">
      <c r="B256" s="47"/>
      <c r="C256" s="35"/>
      <c r="D256" s="53"/>
      <c r="E256" s="53"/>
      <c r="F256" s="48"/>
      <c r="G256" s="243" t="e">
        <f>INDEX('calcolo base'!$B:$B, MATCH($A256, 'calcolo base'!$A:$A, 0))</f>
        <v>#N/A</v>
      </c>
      <c r="H256" s="54" t="e">
        <f t="shared" si="75"/>
        <v>#N/A</v>
      </c>
      <c r="I256" s="259" t="e">
        <f>IF(  OR(      INDEX('calcolo base'!$D:$D, MATCH($A256, 'calcolo base'!$A:$A, 0)) = 0,
      INDEX('calcolo base'!$D:$D, MATCH($A256, 'calcolo base'!$A:$A, 0)) = ""   ),
   INDEX('calcolo base'!$K:$K, MATCH($A256, 'calcolo base'!$A:$A, 0)),
   INDEX('calcolo base'!$J:$J, MATCH($A256, 'calcolo base'!$A:$A, 0))
) / 1000</f>
        <v>#N/A</v>
      </c>
      <c r="J256" s="50" t="e">
        <f t="shared" si="76"/>
        <v>#N/A</v>
      </c>
      <c r="K256" s="50"/>
      <c r="L256" s="267" t="e">
        <f>INDEX('calcolo base'!$H:$H, MATCH($A256, 'calcolo base'!$A:$A, 0))</f>
        <v>#N/A</v>
      </c>
      <c r="M256" s="50" t="e">
        <f t="shared" si="77"/>
        <v>#N/A</v>
      </c>
      <c r="N256" s="50" t="e">
        <f t="shared" si="78"/>
        <v>#N/A</v>
      </c>
      <c r="O256" s="50" t="e">
        <f t="shared" si="79"/>
        <v>#N/A</v>
      </c>
      <c r="P256" s="50" t="e">
        <f t="shared" si="80"/>
        <v>#N/A</v>
      </c>
      <c r="Q256" s="51" t="e">
        <f t="shared" si="81"/>
        <v>#N/A</v>
      </c>
      <c r="R256" s="205" t="e">
        <f t="shared" si="82"/>
        <v>#N/A</v>
      </c>
      <c r="S256" s="279" t="e">
        <f>IF(R256="si",0,IF(E256="si",0,IF(J256&gt;K256,0,+K256-J256)))+IF('calcolo base'!P1716="SI",('Commissioni De Angeli'!K256-'Commissioni De Angeli'!J256),0)</f>
        <v>#N/A</v>
      </c>
      <c r="T256" s="117" t="e">
        <f t="shared" si="83"/>
        <v>#N/A</v>
      </c>
      <c r="U256" s="272" t="e">
        <f>IF(Q256=0,'calcolo base'!L2855,(T256+Q256))</f>
        <v>#N/A</v>
      </c>
      <c r="V256" s="119"/>
    </row>
    <row r="257" spans="2:22">
      <c r="B257" s="47"/>
      <c r="C257" s="35"/>
      <c r="D257" s="53"/>
      <c r="E257" s="53"/>
      <c r="F257" s="48"/>
      <c r="G257" s="243" t="e">
        <f>INDEX('calcolo base'!$B:$B, MATCH($A257, 'calcolo base'!$A:$A, 0))</f>
        <v>#N/A</v>
      </c>
      <c r="H257" s="54" t="e">
        <f t="shared" si="75"/>
        <v>#N/A</v>
      </c>
      <c r="I257" s="259" t="e">
        <f>IF(  OR(      INDEX('calcolo base'!$D:$D, MATCH($A257, 'calcolo base'!$A:$A, 0)) = 0,
      INDEX('calcolo base'!$D:$D, MATCH($A257, 'calcolo base'!$A:$A, 0)) = ""   ),
   INDEX('calcolo base'!$K:$K, MATCH($A257, 'calcolo base'!$A:$A, 0)),
   INDEX('calcolo base'!$J:$J, MATCH($A257, 'calcolo base'!$A:$A, 0))
) / 1000</f>
        <v>#N/A</v>
      </c>
      <c r="J257" s="50" t="e">
        <f t="shared" si="76"/>
        <v>#N/A</v>
      </c>
      <c r="K257" s="50"/>
      <c r="L257" s="267" t="e">
        <f>INDEX('calcolo base'!$H:$H, MATCH($A257, 'calcolo base'!$A:$A, 0))</f>
        <v>#N/A</v>
      </c>
      <c r="M257" s="50" t="e">
        <f t="shared" si="77"/>
        <v>#N/A</v>
      </c>
      <c r="N257" s="50" t="e">
        <f t="shared" si="78"/>
        <v>#N/A</v>
      </c>
      <c r="O257" s="50" t="e">
        <f t="shared" si="79"/>
        <v>#N/A</v>
      </c>
      <c r="P257" s="50" t="e">
        <f t="shared" si="80"/>
        <v>#N/A</v>
      </c>
      <c r="Q257" s="51" t="e">
        <f t="shared" si="81"/>
        <v>#N/A</v>
      </c>
      <c r="R257" s="205" t="e">
        <f t="shared" si="82"/>
        <v>#N/A</v>
      </c>
      <c r="S257" s="279" t="e">
        <f>IF(R257="si",0,IF(E257="si",0,IF(J257&gt;K257,0,+K257-J257)))+IF('calcolo base'!P1717="SI",('Commissioni De Angeli'!K257-'Commissioni De Angeli'!J257),0)</f>
        <v>#N/A</v>
      </c>
      <c r="T257" s="117" t="e">
        <f t="shared" si="83"/>
        <v>#N/A</v>
      </c>
      <c r="U257" s="272" t="e">
        <f>IF(Q257=0,'calcolo base'!L2856,(T257+Q257))</f>
        <v>#N/A</v>
      </c>
      <c r="V257" s="119"/>
    </row>
    <row r="258" spans="2:22">
      <c r="B258" s="47"/>
      <c r="C258" s="35"/>
      <c r="D258" s="53"/>
      <c r="E258" s="53"/>
      <c r="F258" s="48"/>
      <c r="G258" s="243" t="e">
        <f>INDEX('calcolo base'!$B:$B, MATCH($A258, 'calcolo base'!$A:$A, 0))</f>
        <v>#N/A</v>
      </c>
      <c r="H258" s="54" t="e">
        <f t="shared" si="75"/>
        <v>#N/A</v>
      </c>
      <c r="I258" s="259" t="e">
        <f>IF(  OR(      INDEX('calcolo base'!$D:$D, MATCH($A258, 'calcolo base'!$A:$A, 0)) = 0,
      INDEX('calcolo base'!$D:$D, MATCH($A258, 'calcolo base'!$A:$A, 0)) = ""   ),
   INDEX('calcolo base'!$K:$K, MATCH($A258, 'calcolo base'!$A:$A, 0)),
   INDEX('calcolo base'!$J:$J, MATCH($A258, 'calcolo base'!$A:$A, 0))
) / 1000</f>
        <v>#N/A</v>
      </c>
      <c r="J258" s="50" t="e">
        <f t="shared" si="76"/>
        <v>#N/A</v>
      </c>
      <c r="K258" s="50"/>
      <c r="L258" s="267" t="e">
        <f>INDEX('calcolo base'!$H:$H, MATCH($A258, 'calcolo base'!$A:$A, 0))</f>
        <v>#N/A</v>
      </c>
      <c r="M258" s="50" t="e">
        <f t="shared" si="77"/>
        <v>#N/A</v>
      </c>
      <c r="N258" s="50" t="e">
        <f t="shared" si="78"/>
        <v>#N/A</v>
      </c>
      <c r="O258" s="50" t="e">
        <f t="shared" si="79"/>
        <v>#N/A</v>
      </c>
      <c r="P258" s="50" t="e">
        <f t="shared" si="80"/>
        <v>#N/A</v>
      </c>
      <c r="Q258" s="51" t="e">
        <f t="shared" si="81"/>
        <v>#N/A</v>
      </c>
      <c r="R258" s="205" t="e">
        <f t="shared" si="82"/>
        <v>#N/A</v>
      </c>
      <c r="S258" s="279" t="e">
        <f>IF(R258="si",0,IF(E258="si",0,IF(J258&gt;K258,0,+K258-J258)))+IF('calcolo base'!P1718="SI",('Commissioni De Angeli'!K258-'Commissioni De Angeli'!J258),0)</f>
        <v>#N/A</v>
      </c>
      <c r="T258" s="117" t="e">
        <f t="shared" si="83"/>
        <v>#N/A</v>
      </c>
      <c r="U258" s="272" t="e">
        <f>IF(Q258=0,'calcolo base'!L2857,(T258+Q258))</f>
        <v>#N/A</v>
      </c>
      <c r="V258" s="119"/>
    </row>
    <row r="259" spans="2:22">
      <c r="B259" s="47"/>
      <c r="C259" s="35"/>
      <c r="D259" s="53"/>
      <c r="E259" s="53"/>
      <c r="F259" s="48"/>
      <c r="G259" s="243" t="e">
        <f>INDEX('calcolo base'!$B:$B, MATCH($A259, 'calcolo base'!$A:$A, 0))</f>
        <v>#N/A</v>
      </c>
      <c r="H259" s="54" t="e">
        <f t="shared" si="75"/>
        <v>#N/A</v>
      </c>
      <c r="I259" s="259" t="e">
        <f>IF(  OR(      INDEX('calcolo base'!$D:$D, MATCH($A259, 'calcolo base'!$A:$A, 0)) = 0,
      INDEX('calcolo base'!$D:$D, MATCH($A259, 'calcolo base'!$A:$A, 0)) = ""   ),
   INDEX('calcolo base'!$K:$K, MATCH($A259, 'calcolo base'!$A:$A, 0)),
   INDEX('calcolo base'!$J:$J, MATCH($A259, 'calcolo base'!$A:$A, 0))
) / 1000</f>
        <v>#N/A</v>
      </c>
      <c r="J259" s="50" t="e">
        <f t="shared" si="76"/>
        <v>#N/A</v>
      </c>
      <c r="K259" s="50"/>
      <c r="L259" s="267" t="e">
        <f>INDEX('calcolo base'!$H:$H, MATCH($A259, 'calcolo base'!$A:$A, 0))</f>
        <v>#N/A</v>
      </c>
      <c r="M259" s="50" t="e">
        <f t="shared" si="77"/>
        <v>#N/A</v>
      </c>
      <c r="N259" s="50" t="e">
        <f t="shared" si="78"/>
        <v>#N/A</v>
      </c>
      <c r="O259" s="50" t="e">
        <f t="shared" si="79"/>
        <v>#N/A</v>
      </c>
      <c r="P259" s="50" t="e">
        <f t="shared" si="80"/>
        <v>#N/A</v>
      </c>
      <c r="Q259" s="51" t="e">
        <f t="shared" si="81"/>
        <v>#N/A</v>
      </c>
      <c r="R259" s="205" t="e">
        <f t="shared" si="82"/>
        <v>#N/A</v>
      </c>
      <c r="S259" s="279" t="e">
        <f>IF(R259="si",0,IF(E259="si",0,IF(J259&gt;K259,0,+K259-J259)))+IF('calcolo base'!P1719="SI",('Commissioni De Angeli'!K259-'Commissioni De Angeli'!J259),0)</f>
        <v>#N/A</v>
      </c>
      <c r="T259" s="117" t="e">
        <f t="shared" si="83"/>
        <v>#N/A</v>
      </c>
      <c r="U259" s="272" t="e">
        <f>IF(Q259=0,'calcolo base'!L2858,(T259+Q259))</f>
        <v>#N/A</v>
      </c>
      <c r="V259" s="119"/>
    </row>
    <row r="260" spans="2:22">
      <c r="B260" s="47"/>
      <c r="C260" s="35"/>
      <c r="D260" s="53"/>
      <c r="E260" s="53"/>
      <c r="F260" s="48"/>
      <c r="G260" s="243" t="e">
        <f>INDEX('calcolo base'!$B:$B, MATCH($A260, 'calcolo base'!$A:$A, 0))</f>
        <v>#N/A</v>
      </c>
      <c r="H260" s="54" t="e">
        <f t="shared" si="75"/>
        <v>#N/A</v>
      </c>
      <c r="I260" s="259" t="e">
        <f>IF(  OR(      INDEX('calcolo base'!$D:$D, MATCH($A260, 'calcolo base'!$A:$A, 0)) = 0,
      INDEX('calcolo base'!$D:$D, MATCH($A260, 'calcolo base'!$A:$A, 0)) = ""   ),
   INDEX('calcolo base'!$K:$K, MATCH($A260, 'calcolo base'!$A:$A, 0)),
   INDEX('calcolo base'!$J:$J, MATCH($A260, 'calcolo base'!$A:$A, 0))
) / 1000</f>
        <v>#N/A</v>
      </c>
      <c r="J260" s="50" t="e">
        <f t="shared" si="76"/>
        <v>#N/A</v>
      </c>
      <c r="K260" s="50"/>
      <c r="L260" s="267" t="e">
        <f>INDEX('calcolo base'!$H:$H, MATCH($A260, 'calcolo base'!$A:$A, 0))</f>
        <v>#N/A</v>
      </c>
      <c r="M260" s="50" t="e">
        <f t="shared" si="77"/>
        <v>#N/A</v>
      </c>
      <c r="N260" s="50" t="e">
        <f t="shared" si="78"/>
        <v>#N/A</v>
      </c>
      <c r="O260" s="50" t="e">
        <f t="shared" si="79"/>
        <v>#N/A</v>
      </c>
      <c r="P260" s="50" t="e">
        <f t="shared" si="80"/>
        <v>#N/A</v>
      </c>
      <c r="Q260" s="51" t="e">
        <f t="shared" si="81"/>
        <v>#N/A</v>
      </c>
      <c r="R260" s="205" t="e">
        <f t="shared" si="82"/>
        <v>#N/A</v>
      </c>
      <c r="S260" s="279" t="e">
        <f>IF(R260="si",0,IF(E260="si",0,IF(J260&gt;K260,0,+K260-J260)))+IF('calcolo base'!P1720="SI",('Commissioni De Angeli'!K260-'Commissioni De Angeli'!J260),0)</f>
        <v>#N/A</v>
      </c>
      <c r="T260" s="117" t="e">
        <f t="shared" si="83"/>
        <v>#N/A</v>
      </c>
      <c r="U260" s="272" t="e">
        <f>IF(Q260=0,'calcolo base'!L2859,(T260+Q260))</f>
        <v>#N/A</v>
      </c>
      <c r="V260" s="119"/>
    </row>
    <row r="261" spans="2:22">
      <c r="B261" s="47"/>
      <c r="C261" s="35"/>
      <c r="D261" s="53"/>
      <c r="E261" s="53"/>
      <c r="F261" s="48"/>
      <c r="G261" s="243" t="e">
        <f>INDEX('calcolo base'!$B:$B, MATCH($A261, 'calcolo base'!$A:$A, 0))</f>
        <v>#N/A</v>
      </c>
      <c r="H261" s="54" t="e">
        <f t="shared" si="75"/>
        <v>#N/A</v>
      </c>
      <c r="I261" s="259" t="e">
        <f>IF(  OR(      INDEX('calcolo base'!$D:$D, MATCH($A261, 'calcolo base'!$A:$A, 0)) = 0,
      INDEX('calcolo base'!$D:$D, MATCH($A261, 'calcolo base'!$A:$A, 0)) = ""   ),
   INDEX('calcolo base'!$K:$K, MATCH($A261, 'calcolo base'!$A:$A, 0)),
   INDEX('calcolo base'!$J:$J, MATCH($A261, 'calcolo base'!$A:$A, 0))
) / 1000</f>
        <v>#N/A</v>
      </c>
      <c r="J261" s="50" t="e">
        <f t="shared" si="76"/>
        <v>#N/A</v>
      </c>
      <c r="K261" s="50"/>
      <c r="L261" s="267" t="e">
        <f>INDEX('calcolo base'!$H:$H, MATCH($A261, 'calcolo base'!$A:$A, 0))</f>
        <v>#N/A</v>
      </c>
      <c r="M261" s="50" t="e">
        <f t="shared" si="77"/>
        <v>#N/A</v>
      </c>
      <c r="N261" s="50" t="e">
        <f t="shared" si="78"/>
        <v>#N/A</v>
      </c>
      <c r="O261" s="50" t="e">
        <f t="shared" si="79"/>
        <v>#N/A</v>
      </c>
      <c r="P261" s="50" t="e">
        <f t="shared" si="80"/>
        <v>#N/A</v>
      </c>
      <c r="Q261" s="51" t="e">
        <f t="shared" si="81"/>
        <v>#N/A</v>
      </c>
      <c r="R261" s="205" t="e">
        <f t="shared" si="82"/>
        <v>#N/A</v>
      </c>
      <c r="S261" s="279" t="e">
        <f>IF(R261="si",0,IF(E261="si",0,IF(J261&gt;K261,0,+K261-J261)))+IF('calcolo base'!P1721="SI",('Commissioni De Angeli'!K261-'Commissioni De Angeli'!J261),0)</f>
        <v>#N/A</v>
      </c>
      <c r="T261" s="117" t="e">
        <f t="shared" si="83"/>
        <v>#N/A</v>
      </c>
      <c r="U261" s="272" t="e">
        <f>IF(Q261=0,'calcolo base'!L2860,(T261+Q261))</f>
        <v>#N/A</v>
      </c>
      <c r="V261" s="119"/>
    </row>
    <row r="262" spans="2:22">
      <c r="B262" s="47"/>
      <c r="C262" s="35"/>
      <c r="D262" s="53"/>
      <c r="E262" s="53"/>
      <c r="F262" s="48"/>
      <c r="G262" s="243" t="e">
        <f>INDEX('calcolo base'!$B:$B, MATCH($A262, 'calcolo base'!$A:$A, 0))</f>
        <v>#N/A</v>
      </c>
      <c r="H262" s="54" t="e">
        <f t="shared" si="75"/>
        <v>#N/A</v>
      </c>
      <c r="I262" s="259" t="e">
        <f>IF(  OR(      INDEX('calcolo base'!$D:$D, MATCH($A262, 'calcolo base'!$A:$A, 0)) = 0,
      INDEX('calcolo base'!$D:$D, MATCH($A262, 'calcolo base'!$A:$A, 0)) = ""   ),
   INDEX('calcolo base'!$K:$K, MATCH($A262, 'calcolo base'!$A:$A, 0)),
   INDEX('calcolo base'!$J:$J, MATCH($A262, 'calcolo base'!$A:$A, 0))
) / 1000</f>
        <v>#N/A</v>
      </c>
      <c r="J262" s="50" t="e">
        <f t="shared" si="76"/>
        <v>#N/A</v>
      </c>
      <c r="K262" s="50"/>
      <c r="L262" s="267" t="e">
        <f>INDEX('calcolo base'!$H:$H, MATCH($A262, 'calcolo base'!$A:$A, 0))</f>
        <v>#N/A</v>
      </c>
      <c r="M262" s="50" t="e">
        <f t="shared" si="77"/>
        <v>#N/A</v>
      </c>
      <c r="N262" s="50" t="e">
        <f t="shared" si="78"/>
        <v>#N/A</v>
      </c>
      <c r="O262" s="50" t="e">
        <f t="shared" si="79"/>
        <v>#N/A</v>
      </c>
      <c r="P262" s="50" t="e">
        <f t="shared" si="80"/>
        <v>#N/A</v>
      </c>
      <c r="Q262" s="51" t="e">
        <f t="shared" si="81"/>
        <v>#N/A</v>
      </c>
      <c r="R262" s="205" t="e">
        <f t="shared" si="82"/>
        <v>#N/A</v>
      </c>
      <c r="S262" s="279" t="e">
        <f>IF(R262="si",0,IF(E262="si",0,IF(J262&gt;K262,0,+K262-J262)))+IF('calcolo base'!P1722="SI",('Commissioni De Angeli'!K262-'Commissioni De Angeli'!J262),0)</f>
        <v>#N/A</v>
      </c>
      <c r="T262" s="117" t="e">
        <f t="shared" si="83"/>
        <v>#N/A</v>
      </c>
      <c r="U262" s="272" t="e">
        <f>IF(Q262=0,'calcolo base'!L2861,(T262+Q262))</f>
        <v>#N/A</v>
      </c>
      <c r="V262" s="119"/>
    </row>
    <row r="263" spans="2:22">
      <c r="B263" s="47"/>
      <c r="C263" s="35"/>
      <c r="D263" s="53"/>
      <c r="E263" s="53"/>
      <c r="F263" s="48"/>
      <c r="G263" s="243" t="e">
        <f>INDEX('calcolo base'!$B:$B, MATCH($A263, 'calcolo base'!$A:$A, 0))</f>
        <v>#N/A</v>
      </c>
      <c r="H263" s="54" t="e">
        <f t="shared" si="75"/>
        <v>#N/A</v>
      </c>
      <c r="I263" s="259" t="e">
        <f>IF(  OR(      INDEX('calcolo base'!$D:$D, MATCH($A263, 'calcolo base'!$A:$A, 0)) = 0,
      INDEX('calcolo base'!$D:$D, MATCH($A263, 'calcolo base'!$A:$A, 0)) = ""   ),
   INDEX('calcolo base'!$K:$K, MATCH($A263, 'calcolo base'!$A:$A, 0)),
   INDEX('calcolo base'!$J:$J, MATCH($A263, 'calcolo base'!$A:$A, 0))
) / 1000</f>
        <v>#N/A</v>
      </c>
      <c r="J263" s="50" t="e">
        <f t="shared" si="76"/>
        <v>#N/A</v>
      </c>
      <c r="K263" s="50"/>
      <c r="L263" s="267" t="e">
        <f>INDEX('calcolo base'!$H:$H, MATCH($A263, 'calcolo base'!$A:$A, 0))</f>
        <v>#N/A</v>
      </c>
      <c r="M263" s="50" t="e">
        <f t="shared" si="77"/>
        <v>#N/A</v>
      </c>
      <c r="N263" s="50" t="e">
        <f t="shared" si="78"/>
        <v>#N/A</v>
      </c>
      <c r="O263" s="50" t="e">
        <f t="shared" si="79"/>
        <v>#N/A</v>
      </c>
      <c r="P263" s="50" t="e">
        <f t="shared" si="80"/>
        <v>#N/A</v>
      </c>
      <c r="Q263" s="51" t="e">
        <f t="shared" si="81"/>
        <v>#N/A</v>
      </c>
      <c r="R263" s="205" t="e">
        <f t="shared" si="82"/>
        <v>#N/A</v>
      </c>
      <c r="S263" s="279" t="e">
        <f>IF(R263="si",0,IF(E263="si",0,IF(J263&gt;K263,0,+K263-J263)))+IF('calcolo base'!P1723="SI",('Commissioni De Angeli'!K263-'Commissioni De Angeli'!J263),0)</f>
        <v>#N/A</v>
      </c>
      <c r="T263" s="117" t="e">
        <f t="shared" si="83"/>
        <v>#N/A</v>
      </c>
      <c r="U263" s="272" t="e">
        <f>IF(Q263=0,'calcolo base'!L2862,(T263+Q263))</f>
        <v>#N/A</v>
      </c>
      <c r="V263" s="119"/>
    </row>
    <row r="264" spans="2:22">
      <c r="B264" s="47"/>
      <c r="C264" s="35"/>
      <c r="D264" s="53"/>
      <c r="E264" s="53"/>
      <c r="F264" s="48"/>
      <c r="G264" s="243" t="e">
        <f>INDEX('calcolo base'!$B:$B, MATCH($A264, 'calcolo base'!$A:$A, 0))</f>
        <v>#N/A</v>
      </c>
      <c r="H264" s="54" t="e">
        <f t="shared" si="75"/>
        <v>#N/A</v>
      </c>
      <c r="I264" s="259" t="e">
        <f>IF(  OR(      INDEX('calcolo base'!$D:$D, MATCH($A264, 'calcolo base'!$A:$A, 0)) = 0,
      INDEX('calcolo base'!$D:$D, MATCH($A264, 'calcolo base'!$A:$A, 0)) = ""   ),
   INDEX('calcolo base'!$K:$K, MATCH($A264, 'calcolo base'!$A:$A, 0)),
   INDEX('calcolo base'!$J:$J, MATCH($A264, 'calcolo base'!$A:$A, 0))
) / 1000</f>
        <v>#N/A</v>
      </c>
      <c r="J264" s="50" t="e">
        <f t="shared" si="76"/>
        <v>#N/A</v>
      </c>
      <c r="K264" s="50"/>
      <c r="L264" s="267" t="e">
        <f>INDEX('calcolo base'!$H:$H, MATCH($A264, 'calcolo base'!$A:$A, 0))</f>
        <v>#N/A</v>
      </c>
      <c r="M264" s="50" t="e">
        <f t="shared" si="77"/>
        <v>#N/A</v>
      </c>
      <c r="N264" s="50" t="e">
        <f t="shared" si="78"/>
        <v>#N/A</v>
      </c>
      <c r="O264" s="50" t="e">
        <f t="shared" si="79"/>
        <v>#N/A</v>
      </c>
      <c r="P264" s="50" t="e">
        <f t="shared" si="80"/>
        <v>#N/A</v>
      </c>
      <c r="Q264" s="51" t="e">
        <f t="shared" si="81"/>
        <v>#N/A</v>
      </c>
      <c r="R264" s="205" t="e">
        <f t="shared" si="82"/>
        <v>#N/A</v>
      </c>
      <c r="S264" s="279" t="e">
        <f>IF(R264="si",0,IF(E264="si",0,IF(J264&gt;K264,0,+K264-J264)))+IF('calcolo base'!P1724="SI",('Commissioni De Angeli'!K264-'Commissioni De Angeli'!J264),0)</f>
        <v>#N/A</v>
      </c>
      <c r="T264" s="117" t="e">
        <f t="shared" si="83"/>
        <v>#N/A</v>
      </c>
      <c r="U264" s="272" t="e">
        <f>IF(Q264=0,'calcolo base'!L2863,(T264+Q264))</f>
        <v>#N/A</v>
      </c>
      <c r="V264" s="119"/>
    </row>
    <row r="265" spans="2:22">
      <c r="B265" s="47"/>
      <c r="C265" s="35"/>
      <c r="D265" s="53"/>
      <c r="E265" s="53"/>
      <c r="F265" s="48"/>
      <c r="G265" s="243" t="e">
        <f>INDEX('calcolo base'!$B:$B, MATCH($A265, 'calcolo base'!$A:$A, 0))</f>
        <v>#N/A</v>
      </c>
      <c r="H265" s="54" t="e">
        <f t="shared" si="75"/>
        <v>#N/A</v>
      </c>
      <c r="I265" s="259" t="e">
        <f>IF(  OR(      INDEX('calcolo base'!$D:$D, MATCH($A265, 'calcolo base'!$A:$A, 0)) = 0,
      INDEX('calcolo base'!$D:$D, MATCH($A265, 'calcolo base'!$A:$A, 0)) = ""   ),
   INDEX('calcolo base'!$K:$K, MATCH($A265, 'calcolo base'!$A:$A, 0)),
   INDEX('calcolo base'!$J:$J, MATCH($A265, 'calcolo base'!$A:$A, 0))
) / 1000</f>
        <v>#N/A</v>
      </c>
      <c r="J265" s="50" t="e">
        <f t="shared" si="76"/>
        <v>#N/A</v>
      </c>
      <c r="K265" s="50"/>
      <c r="L265" s="267" t="e">
        <f>INDEX('calcolo base'!$H:$H, MATCH($A265, 'calcolo base'!$A:$A, 0))</f>
        <v>#N/A</v>
      </c>
      <c r="M265" s="50" t="e">
        <f t="shared" si="77"/>
        <v>#N/A</v>
      </c>
      <c r="N265" s="50" t="e">
        <f t="shared" si="78"/>
        <v>#N/A</v>
      </c>
      <c r="O265" s="50" t="e">
        <f t="shared" si="79"/>
        <v>#N/A</v>
      </c>
      <c r="P265" s="50" t="e">
        <f t="shared" si="80"/>
        <v>#N/A</v>
      </c>
      <c r="Q265" s="51" t="e">
        <f t="shared" si="81"/>
        <v>#N/A</v>
      </c>
      <c r="R265" s="205" t="e">
        <f t="shared" si="82"/>
        <v>#N/A</v>
      </c>
      <c r="S265" s="279" t="e">
        <f>IF(R265="si",0,IF(E265="si",0,IF(J265&gt;K265,0,+K265-J265)))+IF('calcolo base'!P1725="SI",('Commissioni De Angeli'!K265-'Commissioni De Angeli'!J265),0)</f>
        <v>#N/A</v>
      </c>
      <c r="T265" s="117" t="e">
        <f t="shared" si="83"/>
        <v>#N/A</v>
      </c>
      <c r="U265" s="272" t="e">
        <f>IF(Q265=0,'calcolo base'!L2864,(T265+Q265))</f>
        <v>#N/A</v>
      </c>
      <c r="V265" s="119"/>
    </row>
    <row r="266" spans="2:22">
      <c r="B266" s="47"/>
      <c r="C266" s="35"/>
      <c r="D266" s="53"/>
      <c r="E266" s="53"/>
      <c r="F266" s="48"/>
      <c r="G266" s="243" t="e">
        <f>INDEX('calcolo base'!$B:$B, MATCH($A266, 'calcolo base'!$A:$A, 0))</f>
        <v>#N/A</v>
      </c>
      <c r="H266" s="54" t="e">
        <f t="shared" si="75"/>
        <v>#N/A</v>
      </c>
      <c r="I266" s="259" t="e">
        <f>IF(  OR(      INDEX('calcolo base'!$D:$D, MATCH($A266, 'calcolo base'!$A:$A, 0)) = 0,
      INDEX('calcolo base'!$D:$D, MATCH($A266, 'calcolo base'!$A:$A, 0)) = ""   ),
   INDEX('calcolo base'!$K:$K, MATCH($A266, 'calcolo base'!$A:$A, 0)),
   INDEX('calcolo base'!$J:$J, MATCH($A266, 'calcolo base'!$A:$A, 0))
) / 1000</f>
        <v>#N/A</v>
      </c>
      <c r="J266" s="50" t="e">
        <f t="shared" si="76"/>
        <v>#N/A</v>
      </c>
      <c r="K266" s="50"/>
      <c r="L266" s="267" t="e">
        <f>INDEX('calcolo base'!$H:$H, MATCH($A266, 'calcolo base'!$A:$A, 0))</f>
        <v>#N/A</v>
      </c>
      <c r="M266" s="50" t="e">
        <f t="shared" si="77"/>
        <v>#N/A</v>
      </c>
      <c r="N266" s="50" t="e">
        <f t="shared" si="78"/>
        <v>#N/A</v>
      </c>
      <c r="O266" s="50" t="e">
        <f t="shared" si="79"/>
        <v>#N/A</v>
      </c>
      <c r="P266" s="50" t="e">
        <f t="shared" si="80"/>
        <v>#N/A</v>
      </c>
      <c r="Q266" s="51" t="e">
        <f t="shared" si="81"/>
        <v>#N/A</v>
      </c>
      <c r="R266" s="205" t="e">
        <f t="shared" si="82"/>
        <v>#N/A</v>
      </c>
      <c r="S266" s="279" t="e">
        <f>IF(R266="si",0,IF(E266="si",0,IF(J266&gt;K266,0,+K266-J266)))+IF('calcolo base'!P1726="SI",('Commissioni De Angeli'!K266-'Commissioni De Angeli'!J266),0)</f>
        <v>#N/A</v>
      </c>
      <c r="T266" s="117" t="e">
        <f t="shared" si="83"/>
        <v>#N/A</v>
      </c>
      <c r="U266" s="272" t="e">
        <f>IF(Q266=0,'calcolo base'!L2865,(T266+Q266))</f>
        <v>#N/A</v>
      </c>
      <c r="V266" s="119"/>
    </row>
    <row r="267" spans="2:22">
      <c r="B267" s="47"/>
      <c r="C267" s="35"/>
      <c r="D267" s="53"/>
      <c r="E267" s="53"/>
      <c r="F267" s="48"/>
      <c r="G267" s="243" t="e">
        <f>INDEX('calcolo base'!$B:$B, MATCH($A267, 'calcolo base'!$A:$A, 0))</f>
        <v>#N/A</v>
      </c>
      <c r="H267" s="54" t="e">
        <f t="shared" si="75"/>
        <v>#N/A</v>
      </c>
      <c r="I267" s="259" t="e">
        <f>IF(  OR(      INDEX('calcolo base'!$D:$D, MATCH($A267, 'calcolo base'!$A:$A, 0)) = 0,
      INDEX('calcolo base'!$D:$D, MATCH($A267, 'calcolo base'!$A:$A, 0)) = ""   ),
   INDEX('calcolo base'!$K:$K, MATCH($A267, 'calcolo base'!$A:$A, 0)),
   INDEX('calcolo base'!$J:$J, MATCH($A267, 'calcolo base'!$A:$A, 0))
) / 1000</f>
        <v>#N/A</v>
      </c>
      <c r="J267" s="50" t="e">
        <f t="shared" si="76"/>
        <v>#N/A</v>
      </c>
      <c r="K267" s="50"/>
      <c r="L267" s="267" t="e">
        <f>INDEX('calcolo base'!$H:$H, MATCH($A267, 'calcolo base'!$A:$A, 0))</f>
        <v>#N/A</v>
      </c>
      <c r="M267" s="50" t="e">
        <f t="shared" si="77"/>
        <v>#N/A</v>
      </c>
      <c r="N267" s="50" t="e">
        <f t="shared" si="78"/>
        <v>#N/A</v>
      </c>
      <c r="O267" s="50" t="e">
        <f t="shared" si="79"/>
        <v>#N/A</v>
      </c>
      <c r="P267" s="50" t="e">
        <f t="shared" si="80"/>
        <v>#N/A</v>
      </c>
      <c r="Q267" s="51" t="e">
        <f t="shared" si="81"/>
        <v>#N/A</v>
      </c>
      <c r="R267" s="205" t="e">
        <f t="shared" si="82"/>
        <v>#N/A</v>
      </c>
      <c r="S267" s="279" t="e">
        <f>IF(R267="si",0,IF(E267="si",0,IF(J267&gt;K267,0,+K267-J267)))+IF('calcolo base'!P1727="SI",('Commissioni De Angeli'!K267-'Commissioni De Angeli'!J267),0)</f>
        <v>#N/A</v>
      </c>
      <c r="T267" s="117" t="e">
        <f t="shared" si="83"/>
        <v>#N/A</v>
      </c>
      <c r="U267" s="272" t="e">
        <f>IF(Q267=0,'calcolo base'!L2866,(T267+Q267))</f>
        <v>#N/A</v>
      </c>
      <c r="V267" s="119"/>
    </row>
    <row r="268" spans="2:22">
      <c r="B268" s="47"/>
      <c r="C268" s="35"/>
      <c r="D268" s="53"/>
      <c r="E268" s="53"/>
      <c r="F268" s="48"/>
      <c r="G268" s="243" t="e">
        <f>INDEX('calcolo base'!$B:$B, MATCH($A268, 'calcolo base'!$A:$A, 0))</f>
        <v>#N/A</v>
      </c>
      <c r="H268" s="54" t="e">
        <f t="shared" si="75"/>
        <v>#N/A</v>
      </c>
      <c r="I268" s="259" t="e">
        <f>IF(  OR(      INDEX('calcolo base'!$D:$D, MATCH($A268, 'calcolo base'!$A:$A, 0)) = 0,
      INDEX('calcolo base'!$D:$D, MATCH($A268, 'calcolo base'!$A:$A, 0)) = ""   ),
   INDEX('calcolo base'!$K:$K, MATCH($A268, 'calcolo base'!$A:$A, 0)),
   INDEX('calcolo base'!$J:$J, MATCH($A268, 'calcolo base'!$A:$A, 0))
) / 1000</f>
        <v>#N/A</v>
      </c>
      <c r="J268" s="50" t="e">
        <f t="shared" si="76"/>
        <v>#N/A</v>
      </c>
      <c r="K268" s="50"/>
      <c r="L268" s="267" t="e">
        <f>INDEX('calcolo base'!$H:$H, MATCH($A268, 'calcolo base'!$A:$A, 0))</f>
        <v>#N/A</v>
      </c>
      <c r="M268" s="50" t="e">
        <f t="shared" si="77"/>
        <v>#N/A</v>
      </c>
      <c r="N268" s="50" t="e">
        <f t="shared" si="78"/>
        <v>#N/A</v>
      </c>
      <c r="O268" s="50" t="e">
        <f t="shared" si="79"/>
        <v>#N/A</v>
      </c>
      <c r="P268" s="50" t="e">
        <f t="shared" si="80"/>
        <v>#N/A</v>
      </c>
      <c r="Q268" s="51" t="e">
        <f t="shared" si="81"/>
        <v>#N/A</v>
      </c>
      <c r="R268" s="205" t="e">
        <f t="shared" si="82"/>
        <v>#N/A</v>
      </c>
      <c r="S268" s="279" t="e">
        <f>IF(R268="si",0,IF(E268="si",0,IF(J268&gt;K268,0,+K268-J268)))+IF('calcolo base'!P1728="SI",('Commissioni De Angeli'!K268-'Commissioni De Angeli'!J268),0)</f>
        <v>#N/A</v>
      </c>
      <c r="T268" s="117" t="e">
        <f t="shared" si="83"/>
        <v>#N/A</v>
      </c>
      <c r="U268" s="272" t="e">
        <f>IF(Q268=0,'calcolo base'!L2867,(T268+Q268))</f>
        <v>#N/A</v>
      </c>
      <c r="V268" s="119"/>
    </row>
    <row r="269" spans="2:22">
      <c r="B269" s="47"/>
      <c r="C269" s="35"/>
      <c r="D269" s="53"/>
      <c r="E269" s="53"/>
      <c r="F269" s="48"/>
      <c r="G269" s="243" t="e">
        <f>INDEX('calcolo base'!$B:$B, MATCH($A269, 'calcolo base'!$A:$A, 0))</f>
        <v>#N/A</v>
      </c>
      <c r="H269" s="54" t="e">
        <f t="shared" si="75"/>
        <v>#N/A</v>
      </c>
      <c r="I269" s="259" t="e">
        <f>IF(  OR(      INDEX('calcolo base'!$D:$D, MATCH($A269, 'calcolo base'!$A:$A, 0)) = 0,
      INDEX('calcolo base'!$D:$D, MATCH($A269, 'calcolo base'!$A:$A, 0)) = ""   ),
   INDEX('calcolo base'!$K:$K, MATCH($A269, 'calcolo base'!$A:$A, 0)),
   INDEX('calcolo base'!$J:$J, MATCH($A269, 'calcolo base'!$A:$A, 0))
) / 1000</f>
        <v>#N/A</v>
      </c>
      <c r="J269" s="50" t="e">
        <f t="shared" si="76"/>
        <v>#N/A</v>
      </c>
      <c r="K269" s="50"/>
      <c r="L269" s="267" t="e">
        <f>INDEX('calcolo base'!$H:$H, MATCH($A269, 'calcolo base'!$A:$A, 0))</f>
        <v>#N/A</v>
      </c>
      <c r="M269" s="50" t="e">
        <f t="shared" si="77"/>
        <v>#N/A</v>
      </c>
      <c r="N269" s="50" t="e">
        <f t="shared" si="78"/>
        <v>#N/A</v>
      </c>
      <c r="O269" s="50" t="e">
        <f t="shared" si="79"/>
        <v>#N/A</v>
      </c>
      <c r="P269" s="50" t="e">
        <f t="shared" si="80"/>
        <v>#N/A</v>
      </c>
      <c r="Q269" s="51" t="e">
        <f t="shared" si="81"/>
        <v>#N/A</v>
      </c>
      <c r="R269" s="205" t="e">
        <f t="shared" si="82"/>
        <v>#N/A</v>
      </c>
      <c r="S269" s="279" t="e">
        <f>IF(R269="si",0,IF(E269="si",0,IF(J269&gt;K269,0,+K269-J269)))+IF('calcolo base'!P1729="SI",('Commissioni De Angeli'!K269-'Commissioni De Angeli'!J269),0)</f>
        <v>#N/A</v>
      </c>
      <c r="T269" s="117" t="e">
        <f t="shared" si="83"/>
        <v>#N/A</v>
      </c>
      <c r="U269" s="272" t="e">
        <f>IF(Q269=0,'calcolo base'!L2868,(T269+Q269))</f>
        <v>#N/A</v>
      </c>
      <c r="V269" s="119"/>
    </row>
    <row r="270" spans="2:22">
      <c r="B270" s="47"/>
      <c r="C270" s="35"/>
      <c r="D270" s="53"/>
      <c r="E270" s="53"/>
      <c r="F270" s="48"/>
      <c r="G270" s="243" t="e">
        <f>INDEX('calcolo base'!$B:$B, MATCH($A270, 'calcolo base'!$A:$A, 0))</f>
        <v>#N/A</v>
      </c>
      <c r="H270" s="54" t="e">
        <f t="shared" si="75"/>
        <v>#N/A</v>
      </c>
      <c r="I270" s="259" t="e">
        <f>IF(  OR(      INDEX('calcolo base'!$D:$D, MATCH($A270, 'calcolo base'!$A:$A, 0)) = 0,
      INDEX('calcolo base'!$D:$D, MATCH($A270, 'calcolo base'!$A:$A, 0)) = ""   ),
   INDEX('calcolo base'!$K:$K, MATCH($A270, 'calcolo base'!$A:$A, 0)),
   INDEX('calcolo base'!$J:$J, MATCH($A270, 'calcolo base'!$A:$A, 0))
) / 1000</f>
        <v>#N/A</v>
      </c>
      <c r="J270" s="50" t="e">
        <f t="shared" si="76"/>
        <v>#N/A</v>
      </c>
      <c r="K270" s="50"/>
      <c r="L270" s="267" t="e">
        <f>INDEX('calcolo base'!$H:$H, MATCH($A270, 'calcolo base'!$A:$A, 0))</f>
        <v>#N/A</v>
      </c>
      <c r="M270" s="50" t="e">
        <f t="shared" si="77"/>
        <v>#N/A</v>
      </c>
      <c r="N270" s="50" t="e">
        <f t="shared" si="78"/>
        <v>#N/A</v>
      </c>
      <c r="O270" s="50" t="e">
        <f t="shared" si="79"/>
        <v>#N/A</v>
      </c>
      <c r="P270" s="50" t="e">
        <f t="shared" si="80"/>
        <v>#N/A</v>
      </c>
      <c r="Q270" s="51" t="e">
        <f t="shared" si="81"/>
        <v>#N/A</v>
      </c>
      <c r="R270" s="205" t="e">
        <f t="shared" si="82"/>
        <v>#N/A</v>
      </c>
      <c r="S270" s="279" t="e">
        <f>IF(R270="si",0,IF(E270="si",0,IF(J270&gt;K270,0,+K270-J270)))+IF('calcolo base'!P1730="SI",('Commissioni De Angeli'!K270-'Commissioni De Angeli'!J270),0)</f>
        <v>#N/A</v>
      </c>
      <c r="T270" s="117" t="e">
        <f t="shared" si="83"/>
        <v>#N/A</v>
      </c>
      <c r="U270" s="272" t="e">
        <f>IF(Q270=0,'calcolo base'!L2869,(T270+Q270))</f>
        <v>#N/A</v>
      </c>
      <c r="V270" s="119"/>
    </row>
    <row r="271" spans="2:22">
      <c r="B271" s="47"/>
      <c r="C271" s="35"/>
      <c r="D271" s="53"/>
      <c r="E271" s="53"/>
      <c r="F271" s="48"/>
      <c r="G271" s="243" t="e">
        <f>INDEX('calcolo base'!$B:$B, MATCH($A271, 'calcolo base'!$A:$A, 0))</f>
        <v>#N/A</v>
      </c>
      <c r="H271" s="54" t="e">
        <f t="shared" si="75"/>
        <v>#N/A</v>
      </c>
      <c r="I271" s="259" t="e">
        <f>IF(  OR(      INDEX('calcolo base'!$D:$D, MATCH($A271, 'calcolo base'!$A:$A, 0)) = 0,
      INDEX('calcolo base'!$D:$D, MATCH($A271, 'calcolo base'!$A:$A, 0)) = ""   ),
   INDEX('calcolo base'!$K:$K, MATCH($A271, 'calcolo base'!$A:$A, 0)),
   INDEX('calcolo base'!$J:$J, MATCH($A271, 'calcolo base'!$A:$A, 0))
) / 1000</f>
        <v>#N/A</v>
      </c>
      <c r="J271" s="50" t="e">
        <f t="shared" si="76"/>
        <v>#N/A</v>
      </c>
      <c r="K271" s="50"/>
      <c r="L271" s="267" t="e">
        <f>INDEX('calcolo base'!$H:$H, MATCH($A271, 'calcolo base'!$A:$A, 0))</f>
        <v>#N/A</v>
      </c>
      <c r="M271" s="50" t="e">
        <f t="shared" si="77"/>
        <v>#N/A</v>
      </c>
      <c r="N271" s="50" t="e">
        <f t="shared" si="78"/>
        <v>#N/A</v>
      </c>
      <c r="O271" s="50" t="e">
        <f t="shared" si="79"/>
        <v>#N/A</v>
      </c>
      <c r="P271" s="50" t="e">
        <f t="shared" si="80"/>
        <v>#N/A</v>
      </c>
      <c r="Q271" s="51" t="e">
        <f t="shared" si="81"/>
        <v>#N/A</v>
      </c>
      <c r="R271" s="205" t="e">
        <f t="shared" si="82"/>
        <v>#N/A</v>
      </c>
      <c r="S271" s="279" t="e">
        <f>IF(R271="si",0,IF(E271="si",0,IF(J271&gt;K271,0,+K271-J271)))+IF('calcolo base'!P1731="SI",('Commissioni De Angeli'!K271-'Commissioni De Angeli'!J271),0)</f>
        <v>#N/A</v>
      </c>
      <c r="T271" s="117" t="e">
        <f t="shared" si="83"/>
        <v>#N/A</v>
      </c>
      <c r="U271" s="272" t="e">
        <f>IF(Q271=0,'calcolo base'!L2870,(T271+Q271))</f>
        <v>#N/A</v>
      </c>
      <c r="V271" s="119"/>
    </row>
    <row r="272" spans="2:22">
      <c r="B272" s="47"/>
      <c r="C272" s="35"/>
      <c r="D272" s="53"/>
      <c r="E272" s="53"/>
      <c r="F272" s="48"/>
      <c r="G272" s="243" t="e">
        <f>INDEX('calcolo base'!$B:$B, MATCH($A272, 'calcolo base'!$A:$A, 0))</f>
        <v>#N/A</v>
      </c>
      <c r="H272" s="54" t="e">
        <f t="shared" si="75"/>
        <v>#N/A</v>
      </c>
      <c r="I272" s="259" t="e">
        <f>IF(  OR(      INDEX('calcolo base'!$D:$D, MATCH($A272, 'calcolo base'!$A:$A, 0)) = 0,
      INDEX('calcolo base'!$D:$D, MATCH($A272, 'calcolo base'!$A:$A, 0)) = ""   ),
   INDEX('calcolo base'!$K:$K, MATCH($A272, 'calcolo base'!$A:$A, 0)),
   INDEX('calcolo base'!$J:$J, MATCH($A272, 'calcolo base'!$A:$A, 0))
) / 1000</f>
        <v>#N/A</v>
      </c>
      <c r="J272" s="50" t="e">
        <f t="shared" si="76"/>
        <v>#N/A</v>
      </c>
      <c r="K272" s="50"/>
      <c r="L272" s="267" t="e">
        <f>INDEX('calcolo base'!$H:$H, MATCH($A272, 'calcolo base'!$A:$A, 0))</f>
        <v>#N/A</v>
      </c>
      <c r="M272" s="50" t="e">
        <f t="shared" si="77"/>
        <v>#N/A</v>
      </c>
      <c r="N272" s="50" t="e">
        <f t="shared" si="78"/>
        <v>#N/A</v>
      </c>
      <c r="O272" s="50" t="e">
        <f t="shared" si="79"/>
        <v>#N/A</v>
      </c>
      <c r="P272" s="50" t="e">
        <f t="shared" si="80"/>
        <v>#N/A</v>
      </c>
      <c r="Q272" s="51" t="e">
        <f t="shared" si="81"/>
        <v>#N/A</v>
      </c>
      <c r="R272" s="205" t="e">
        <f t="shared" si="82"/>
        <v>#N/A</v>
      </c>
      <c r="S272" s="279" t="e">
        <f>IF(R272="si",0,IF(E272="si",0,IF(J272&gt;K272,0,+K272-J272)))+IF('calcolo base'!P1732="SI",('Commissioni De Angeli'!K272-'Commissioni De Angeli'!J272),0)</f>
        <v>#N/A</v>
      </c>
      <c r="T272" s="117" t="e">
        <f t="shared" si="83"/>
        <v>#N/A</v>
      </c>
      <c r="U272" s="272" t="e">
        <f>IF(Q272=0,'calcolo base'!L2871,(T272+Q272))</f>
        <v>#N/A</v>
      </c>
      <c r="V272" s="119"/>
    </row>
    <row r="273" spans="2:22">
      <c r="B273" s="47"/>
      <c r="C273" s="35"/>
      <c r="D273" s="53"/>
      <c r="E273" s="53"/>
      <c r="F273" s="48"/>
      <c r="G273" s="243" t="e">
        <f>INDEX('calcolo base'!$B:$B, MATCH($A273, 'calcolo base'!$A:$A, 0))</f>
        <v>#N/A</v>
      </c>
      <c r="H273" s="54" t="e">
        <f t="shared" si="75"/>
        <v>#N/A</v>
      </c>
      <c r="I273" s="259" t="e">
        <f>IF(  OR(      INDEX('calcolo base'!$D:$D, MATCH($A273, 'calcolo base'!$A:$A, 0)) = 0,
      INDEX('calcolo base'!$D:$D, MATCH($A273, 'calcolo base'!$A:$A, 0)) = ""   ),
   INDEX('calcolo base'!$K:$K, MATCH($A273, 'calcolo base'!$A:$A, 0)),
   INDEX('calcolo base'!$J:$J, MATCH($A273, 'calcolo base'!$A:$A, 0))
) / 1000</f>
        <v>#N/A</v>
      </c>
      <c r="J273" s="50" t="e">
        <f t="shared" si="76"/>
        <v>#N/A</v>
      </c>
      <c r="K273" s="50"/>
      <c r="L273" s="267" t="e">
        <f>INDEX('calcolo base'!$H:$H, MATCH($A273, 'calcolo base'!$A:$A, 0))</f>
        <v>#N/A</v>
      </c>
      <c r="M273" s="50" t="e">
        <f t="shared" si="77"/>
        <v>#N/A</v>
      </c>
      <c r="N273" s="50" t="e">
        <f t="shared" si="78"/>
        <v>#N/A</v>
      </c>
      <c r="O273" s="50" t="e">
        <f t="shared" si="79"/>
        <v>#N/A</v>
      </c>
      <c r="P273" s="50" t="e">
        <f t="shared" si="80"/>
        <v>#N/A</v>
      </c>
      <c r="Q273" s="51" t="e">
        <f t="shared" si="81"/>
        <v>#N/A</v>
      </c>
      <c r="R273" s="205" t="e">
        <f t="shared" si="82"/>
        <v>#N/A</v>
      </c>
      <c r="S273" s="279" t="e">
        <f>IF(R273="si",0,IF(E273="si",0,IF(J273&gt;K273,0,+K273-J273)))+IF('calcolo base'!P1733="SI",('Commissioni De Angeli'!K273-'Commissioni De Angeli'!J273),0)</f>
        <v>#N/A</v>
      </c>
      <c r="T273" s="117" t="e">
        <f t="shared" si="83"/>
        <v>#N/A</v>
      </c>
      <c r="U273" s="272" t="e">
        <f>IF(Q273=0,'calcolo base'!L2872,(T273+Q273))</f>
        <v>#N/A</v>
      </c>
      <c r="V273" s="119"/>
    </row>
    <row r="274" spans="2:22">
      <c r="B274" s="47"/>
      <c r="C274" s="35"/>
      <c r="D274" s="53"/>
      <c r="E274" s="53"/>
      <c r="F274" s="48"/>
      <c r="G274" s="243" t="e">
        <f>INDEX('calcolo base'!$B:$B, MATCH($A274, 'calcolo base'!$A:$A, 0))</f>
        <v>#N/A</v>
      </c>
      <c r="H274" s="54" t="e">
        <f t="shared" si="75"/>
        <v>#N/A</v>
      </c>
      <c r="I274" s="259" t="e">
        <f>IF(  OR(      INDEX('calcolo base'!$D:$D, MATCH($A274, 'calcolo base'!$A:$A, 0)) = 0,
      INDEX('calcolo base'!$D:$D, MATCH($A274, 'calcolo base'!$A:$A, 0)) = ""   ),
   INDEX('calcolo base'!$K:$K, MATCH($A274, 'calcolo base'!$A:$A, 0)),
   INDEX('calcolo base'!$J:$J, MATCH($A274, 'calcolo base'!$A:$A, 0))
) / 1000</f>
        <v>#N/A</v>
      </c>
      <c r="J274" s="50" t="e">
        <f t="shared" si="76"/>
        <v>#N/A</v>
      </c>
      <c r="K274" s="50"/>
      <c r="L274" s="267" t="e">
        <f>INDEX('calcolo base'!$H:$H, MATCH($A274, 'calcolo base'!$A:$A, 0))</f>
        <v>#N/A</v>
      </c>
      <c r="M274" s="50" t="e">
        <f t="shared" si="77"/>
        <v>#N/A</v>
      </c>
      <c r="N274" s="50" t="e">
        <f t="shared" si="78"/>
        <v>#N/A</v>
      </c>
      <c r="O274" s="50" t="e">
        <f t="shared" si="79"/>
        <v>#N/A</v>
      </c>
      <c r="P274" s="50" t="e">
        <f t="shared" si="80"/>
        <v>#N/A</v>
      </c>
      <c r="Q274" s="51" t="e">
        <f t="shared" si="81"/>
        <v>#N/A</v>
      </c>
      <c r="R274" s="205" t="e">
        <f t="shared" si="82"/>
        <v>#N/A</v>
      </c>
      <c r="S274" s="279" t="e">
        <f>IF(R274="si",0,IF(E274="si",0,IF(J274&gt;K274,0,+K274-J274)))+IF('calcolo base'!P1734="SI",('Commissioni De Angeli'!K274-'Commissioni De Angeli'!J274),0)</f>
        <v>#N/A</v>
      </c>
      <c r="T274" s="117" t="e">
        <f t="shared" si="83"/>
        <v>#N/A</v>
      </c>
      <c r="U274" s="272" t="e">
        <f>IF(Q274=0,'calcolo base'!L2873,(T274+Q274))</f>
        <v>#N/A</v>
      </c>
      <c r="V274" s="119"/>
    </row>
    <row r="275" spans="2:22">
      <c r="B275" s="47"/>
      <c r="C275" s="35"/>
      <c r="D275" s="53"/>
      <c r="E275" s="53"/>
      <c r="F275" s="48"/>
      <c r="G275" s="243" t="e">
        <f>INDEX('calcolo base'!$B:$B, MATCH($A275, 'calcolo base'!$A:$A, 0))</f>
        <v>#N/A</v>
      </c>
      <c r="H275" s="54" t="e">
        <f t="shared" si="75"/>
        <v>#N/A</v>
      </c>
      <c r="I275" s="259" t="e">
        <f>IF(  OR(      INDEX('calcolo base'!$D:$D, MATCH($A275, 'calcolo base'!$A:$A, 0)) = 0,
      INDEX('calcolo base'!$D:$D, MATCH($A275, 'calcolo base'!$A:$A, 0)) = ""   ),
   INDEX('calcolo base'!$K:$K, MATCH($A275, 'calcolo base'!$A:$A, 0)),
   INDEX('calcolo base'!$J:$J, MATCH($A275, 'calcolo base'!$A:$A, 0))
) / 1000</f>
        <v>#N/A</v>
      </c>
      <c r="J275" s="50" t="e">
        <f t="shared" si="76"/>
        <v>#N/A</v>
      </c>
      <c r="K275" s="50"/>
      <c r="L275" s="267" t="e">
        <f>INDEX('calcolo base'!$H:$H, MATCH($A275, 'calcolo base'!$A:$A, 0))</f>
        <v>#N/A</v>
      </c>
      <c r="M275" s="50" t="e">
        <f t="shared" si="77"/>
        <v>#N/A</v>
      </c>
      <c r="N275" s="50" t="e">
        <f t="shared" si="78"/>
        <v>#N/A</v>
      </c>
      <c r="O275" s="50" t="e">
        <f t="shared" si="79"/>
        <v>#N/A</v>
      </c>
      <c r="P275" s="50" t="e">
        <f t="shared" si="80"/>
        <v>#N/A</v>
      </c>
      <c r="Q275" s="51" t="e">
        <f t="shared" si="81"/>
        <v>#N/A</v>
      </c>
      <c r="R275" s="205" t="e">
        <f t="shared" si="82"/>
        <v>#N/A</v>
      </c>
      <c r="S275" s="279" t="e">
        <f>IF(R275="si",0,IF(E275="si",0,IF(J275&gt;K275,0,+K275-J275)))+IF('calcolo base'!P1735="SI",('Commissioni De Angeli'!K275-'Commissioni De Angeli'!J275),0)</f>
        <v>#N/A</v>
      </c>
      <c r="T275" s="117" t="e">
        <f t="shared" si="83"/>
        <v>#N/A</v>
      </c>
      <c r="U275" s="272" t="e">
        <f>IF(Q275=0,'calcolo base'!L2874,(T275+Q275))</f>
        <v>#N/A</v>
      </c>
      <c r="V275" s="119"/>
    </row>
    <row r="276" spans="2:22">
      <c r="B276" s="47"/>
      <c r="C276" s="35"/>
      <c r="D276" s="53"/>
      <c r="E276" s="53"/>
      <c r="F276" s="48"/>
      <c r="G276" s="243" t="e">
        <f>INDEX('calcolo base'!$B:$B, MATCH($A276, 'calcolo base'!$A:$A, 0))</f>
        <v>#N/A</v>
      </c>
      <c r="H276" s="54" t="e">
        <f t="shared" si="75"/>
        <v>#N/A</v>
      </c>
      <c r="I276" s="259" t="e">
        <f>IF(  OR(      INDEX('calcolo base'!$D:$D, MATCH($A276, 'calcolo base'!$A:$A, 0)) = 0,
      INDEX('calcolo base'!$D:$D, MATCH($A276, 'calcolo base'!$A:$A, 0)) = ""   ),
   INDEX('calcolo base'!$K:$K, MATCH($A276, 'calcolo base'!$A:$A, 0)),
   INDEX('calcolo base'!$J:$J, MATCH($A276, 'calcolo base'!$A:$A, 0))
) / 1000</f>
        <v>#N/A</v>
      </c>
      <c r="J276" s="50" t="e">
        <f t="shared" si="76"/>
        <v>#N/A</v>
      </c>
      <c r="K276" s="50"/>
      <c r="L276" s="267" t="e">
        <f>INDEX('calcolo base'!$H:$H, MATCH($A276, 'calcolo base'!$A:$A, 0))</f>
        <v>#N/A</v>
      </c>
      <c r="M276" s="50" t="e">
        <f t="shared" si="77"/>
        <v>#N/A</v>
      </c>
      <c r="N276" s="50" t="e">
        <f t="shared" si="78"/>
        <v>#N/A</v>
      </c>
      <c r="O276" s="50" t="e">
        <f t="shared" si="79"/>
        <v>#N/A</v>
      </c>
      <c r="P276" s="50" t="e">
        <f t="shared" si="80"/>
        <v>#N/A</v>
      </c>
      <c r="Q276" s="51" t="e">
        <f t="shared" si="81"/>
        <v>#N/A</v>
      </c>
      <c r="R276" s="205" t="e">
        <f t="shared" si="82"/>
        <v>#N/A</v>
      </c>
      <c r="S276" s="279" t="e">
        <f>IF(R276="si",0,IF(E276="si",0,IF(J276&gt;K276,0,+K276-J276)))+IF('calcolo base'!P1736="SI",('Commissioni De Angeli'!K276-'Commissioni De Angeli'!J276),0)</f>
        <v>#N/A</v>
      </c>
      <c r="T276" s="117" t="e">
        <f t="shared" si="83"/>
        <v>#N/A</v>
      </c>
      <c r="U276" s="272" t="e">
        <f>IF(Q276=0,'calcolo base'!L2875,(T276+Q276))</f>
        <v>#N/A</v>
      </c>
      <c r="V276" s="119"/>
    </row>
    <row r="277" spans="2:22">
      <c r="B277" s="47"/>
      <c r="C277" s="35"/>
      <c r="D277" s="53"/>
      <c r="E277" s="53"/>
      <c r="F277" s="48"/>
      <c r="G277" s="243" t="e">
        <f>INDEX('calcolo base'!$B:$B, MATCH($A277, 'calcolo base'!$A:$A, 0))</f>
        <v>#N/A</v>
      </c>
      <c r="H277" s="54" t="e">
        <f t="shared" si="75"/>
        <v>#N/A</v>
      </c>
      <c r="I277" s="259" t="e">
        <f>IF(  OR(      INDEX('calcolo base'!$D:$D, MATCH($A277, 'calcolo base'!$A:$A, 0)) = 0,
      INDEX('calcolo base'!$D:$D, MATCH($A277, 'calcolo base'!$A:$A, 0)) = ""   ),
   INDEX('calcolo base'!$K:$K, MATCH($A277, 'calcolo base'!$A:$A, 0)),
   INDEX('calcolo base'!$J:$J, MATCH($A277, 'calcolo base'!$A:$A, 0))
) / 1000</f>
        <v>#N/A</v>
      </c>
      <c r="J277" s="50" t="e">
        <f t="shared" si="76"/>
        <v>#N/A</v>
      </c>
      <c r="K277" s="50"/>
      <c r="L277" s="267" t="e">
        <f>INDEX('calcolo base'!$H:$H, MATCH($A277, 'calcolo base'!$A:$A, 0))</f>
        <v>#N/A</v>
      </c>
      <c r="M277" s="50" t="e">
        <f t="shared" si="77"/>
        <v>#N/A</v>
      </c>
      <c r="N277" s="50" t="e">
        <f t="shared" si="78"/>
        <v>#N/A</v>
      </c>
      <c r="O277" s="50" t="e">
        <f t="shared" si="79"/>
        <v>#N/A</v>
      </c>
      <c r="P277" s="50" t="e">
        <f t="shared" si="80"/>
        <v>#N/A</v>
      </c>
      <c r="Q277" s="51" t="e">
        <f t="shared" si="81"/>
        <v>#N/A</v>
      </c>
      <c r="R277" s="205" t="e">
        <f t="shared" si="82"/>
        <v>#N/A</v>
      </c>
      <c r="S277" s="279" t="e">
        <f>IF(R277="si",0,IF(E277="si",0,IF(J277&gt;K277,0,+K277-J277)))+IF('calcolo base'!P1737="SI",('Commissioni De Angeli'!K277-'Commissioni De Angeli'!J277),0)</f>
        <v>#N/A</v>
      </c>
      <c r="T277" s="117" t="e">
        <f t="shared" si="83"/>
        <v>#N/A</v>
      </c>
      <c r="U277" s="272" t="e">
        <f>IF(Q277=0,'calcolo base'!L2876,(T277+Q277))</f>
        <v>#N/A</v>
      </c>
      <c r="V277" s="119"/>
    </row>
    <row r="278" spans="2:22">
      <c r="B278" s="47"/>
      <c r="C278" s="35"/>
      <c r="D278" s="53"/>
      <c r="E278" s="53"/>
      <c r="F278" s="48"/>
      <c r="G278" s="243" t="e">
        <f>INDEX('calcolo base'!$B:$B, MATCH($A278, 'calcolo base'!$A:$A, 0))</f>
        <v>#N/A</v>
      </c>
      <c r="H278" s="54" t="e">
        <f t="shared" si="75"/>
        <v>#N/A</v>
      </c>
      <c r="I278" s="259" t="e">
        <f>IF(  OR(      INDEX('calcolo base'!$D:$D, MATCH($A278, 'calcolo base'!$A:$A, 0)) = 0,
      INDEX('calcolo base'!$D:$D, MATCH($A278, 'calcolo base'!$A:$A, 0)) = ""   ),
   INDEX('calcolo base'!$K:$K, MATCH($A278, 'calcolo base'!$A:$A, 0)),
   INDEX('calcolo base'!$J:$J, MATCH($A278, 'calcolo base'!$A:$A, 0))
) / 1000</f>
        <v>#N/A</v>
      </c>
      <c r="J278" s="50" t="e">
        <f t="shared" si="76"/>
        <v>#N/A</v>
      </c>
      <c r="K278" s="50"/>
      <c r="L278" s="267" t="e">
        <f>INDEX('calcolo base'!$H:$H, MATCH($A278, 'calcolo base'!$A:$A, 0))</f>
        <v>#N/A</v>
      </c>
      <c r="M278" s="50" t="e">
        <f t="shared" si="77"/>
        <v>#N/A</v>
      </c>
      <c r="N278" s="50" t="e">
        <f t="shared" si="78"/>
        <v>#N/A</v>
      </c>
      <c r="O278" s="50" t="e">
        <f t="shared" si="79"/>
        <v>#N/A</v>
      </c>
      <c r="P278" s="50" t="e">
        <f t="shared" si="80"/>
        <v>#N/A</v>
      </c>
      <c r="Q278" s="51" t="e">
        <f t="shared" si="81"/>
        <v>#N/A</v>
      </c>
      <c r="R278" s="205" t="e">
        <f t="shared" si="82"/>
        <v>#N/A</v>
      </c>
      <c r="S278" s="279" t="e">
        <f>IF(R278="si",0,IF(E278="si",0,IF(J278&gt;K278,0,+K278-J278)))+IF('calcolo base'!P1738="SI",('Commissioni De Angeli'!K278-'Commissioni De Angeli'!J278),0)</f>
        <v>#N/A</v>
      </c>
      <c r="T278" s="117" t="e">
        <f t="shared" si="83"/>
        <v>#N/A</v>
      </c>
      <c r="U278" s="272" t="e">
        <f>IF(Q278=0,'calcolo base'!L2877,(T278+Q278))</f>
        <v>#N/A</v>
      </c>
      <c r="V278" s="119"/>
    </row>
    <row r="279" spans="2:22">
      <c r="B279" s="47"/>
      <c r="C279" s="35"/>
      <c r="D279" s="53"/>
      <c r="E279" s="53"/>
      <c r="F279" s="48"/>
      <c r="G279" s="243" t="e">
        <f>INDEX('calcolo base'!$B:$B, MATCH($A279, 'calcolo base'!$A:$A, 0))</f>
        <v>#N/A</v>
      </c>
      <c r="H279" s="54" t="e">
        <f t="shared" si="75"/>
        <v>#N/A</v>
      </c>
      <c r="I279" s="259" t="e">
        <f>IF(  OR(      INDEX('calcolo base'!$D:$D, MATCH($A279, 'calcolo base'!$A:$A, 0)) = 0,
      INDEX('calcolo base'!$D:$D, MATCH($A279, 'calcolo base'!$A:$A, 0)) = ""   ),
   INDEX('calcolo base'!$K:$K, MATCH($A279, 'calcolo base'!$A:$A, 0)),
   INDEX('calcolo base'!$J:$J, MATCH($A279, 'calcolo base'!$A:$A, 0))
) / 1000</f>
        <v>#N/A</v>
      </c>
      <c r="J279" s="50" t="e">
        <f t="shared" si="76"/>
        <v>#N/A</v>
      </c>
      <c r="K279" s="50"/>
      <c r="L279" s="267" t="e">
        <f>INDEX('calcolo base'!$H:$H, MATCH($A279, 'calcolo base'!$A:$A, 0))</f>
        <v>#N/A</v>
      </c>
      <c r="M279" s="50" t="e">
        <f t="shared" si="77"/>
        <v>#N/A</v>
      </c>
      <c r="N279" s="50" t="e">
        <f t="shared" si="78"/>
        <v>#N/A</v>
      </c>
      <c r="O279" s="50" t="e">
        <f t="shared" si="79"/>
        <v>#N/A</v>
      </c>
      <c r="P279" s="50" t="e">
        <f t="shared" si="80"/>
        <v>#N/A</v>
      </c>
      <c r="Q279" s="51" t="e">
        <f t="shared" si="81"/>
        <v>#N/A</v>
      </c>
      <c r="R279" s="205" t="e">
        <f t="shared" si="82"/>
        <v>#N/A</v>
      </c>
      <c r="S279" s="279" t="e">
        <f>IF(R279="si",0,IF(E279="si",0,IF(J279&gt;K279,0,+K279-J279)))+IF('calcolo base'!P1739="SI",('Commissioni De Angeli'!K279-'Commissioni De Angeli'!J279),0)</f>
        <v>#N/A</v>
      </c>
      <c r="T279" s="117" t="e">
        <f t="shared" si="83"/>
        <v>#N/A</v>
      </c>
      <c r="U279" s="272" t="e">
        <f>IF(Q279=0,'calcolo base'!L2878,(T279+Q279))</f>
        <v>#N/A</v>
      </c>
      <c r="V279" s="119"/>
    </row>
    <row r="280" spans="2:22">
      <c r="B280" s="47"/>
      <c r="C280" s="35"/>
      <c r="D280" s="53"/>
      <c r="E280" s="53"/>
      <c r="F280" s="48"/>
      <c r="G280" s="243" t="e">
        <f>INDEX('calcolo base'!$B:$B, MATCH($A280, 'calcolo base'!$A:$A, 0))</f>
        <v>#N/A</v>
      </c>
      <c r="H280" s="54" t="e">
        <f t="shared" si="75"/>
        <v>#N/A</v>
      </c>
      <c r="I280" s="259" t="e">
        <f>IF(  OR(      INDEX('calcolo base'!$D:$D, MATCH($A280, 'calcolo base'!$A:$A, 0)) = 0,
      INDEX('calcolo base'!$D:$D, MATCH($A280, 'calcolo base'!$A:$A, 0)) = ""   ),
   INDEX('calcolo base'!$K:$K, MATCH($A280, 'calcolo base'!$A:$A, 0)),
   INDEX('calcolo base'!$J:$J, MATCH($A280, 'calcolo base'!$A:$A, 0))
) / 1000</f>
        <v>#N/A</v>
      </c>
      <c r="J280" s="50" t="e">
        <f t="shared" si="76"/>
        <v>#N/A</v>
      </c>
      <c r="K280" s="50"/>
      <c r="L280" s="267" t="e">
        <f>INDEX('calcolo base'!$H:$H, MATCH($A280, 'calcolo base'!$A:$A, 0))</f>
        <v>#N/A</v>
      </c>
      <c r="M280" s="50" t="e">
        <f t="shared" si="77"/>
        <v>#N/A</v>
      </c>
      <c r="N280" s="50" t="e">
        <f t="shared" si="78"/>
        <v>#N/A</v>
      </c>
      <c r="O280" s="50" t="e">
        <f t="shared" si="79"/>
        <v>#N/A</v>
      </c>
      <c r="P280" s="50" t="e">
        <f t="shared" si="80"/>
        <v>#N/A</v>
      </c>
      <c r="Q280" s="51" t="e">
        <f t="shared" si="81"/>
        <v>#N/A</v>
      </c>
      <c r="R280" s="205" t="e">
        <f t="shared" si="82"/>
        <v>#N/A</v>
      </c>
      <c r="S280" s="279" t="e">
        <f>IF(R280="si",0,IF(E280="si",0,IF(J280&gt;K280,0,+K280-J280)))+IF('calcolo base'!P1740="SI",('Commissioni De Angeli'!K280-'Commissioni De Angeli'!J280),0)</f>
        <v>#N/A</v>
      </c>
      <c r="T280" s="117" t="e">
        <f t="shared" si="83"/>
        <v>#N/A</v>
      </c>
      <c r="U280" s="272" t="e">
        <f>IF(Q280=0,'calcolo base'!L2879,(T280+Q280))</f>
        <v>#N/A</v>
      </c>
      <c r="V280" s="119"/>
    </row>
    <row r="281" spans="2:22">
      <c r="B281" s="47"/>
      <c r="C281" s="35"/>
      <c r="D281" s="53"/>
      <c r="E281" s="53"/>
      <c r="F281" s="48"/>
      <c r="G281" s="243" t="e">
        <f>INDEX('calcolo base'!$B:$B, MATCH($A281, 'calcolo base'!$A:$A, 0))</f>
        <v>#N/A</v>
      </c>
      <c r="H281" s="54" t="e">
        <f t="shared" si="75"/>
        <v>#N/A</v>
      </c>
      <c r="I281" s="259" t="e">
        <f>IF(  OR(      INDEX('calcolo base'!$D:$D, MATCH($A281, 'calcolo base'!$A:$A, 0)) = 0,
      INDEX('calcolo base'!$D:$D, MATCH($A281, 'calcolo base'!$A:$A, 0)) = ""   ),
   INDEX('calcolo base'!$K:$K, MATCH($A281, 'calcolo base'!$A:$A, 0)),
   INDEX('calcolo base'!$J:$J, MATCH($A281, 'calcolo base'!$A:$A, 0))
) / 1000</f>
        <v>#N/A</v>
      </c>
      <c r="J281" s="50" t="e">
        <f t="shared" si="76"/>
        <v>#N/A</v>
      </c>
      <c r="K281" s="50"/>
      <c r="L281" s="267" t="e">
        <f>INDEX('calcolo base'!$H:$H, MATCH($A281, 'calcolo base'!$A:$A, 0))</f>
        <v>#N/A</v>
      </c>
      <c r="M281" s="50" t="e">
        <f t="shared" si="77"/>
        <v>#N/A</v>
      </c>
      <c r="N281" s="50" t="e">
        <f t="shared" si="78"/>
        <v>#N/A</v>
      </c>
      <c r="O281" s="50" t="e">
        <f t="shared" si="79"/>
        <v>#N/A</v>
      </c>
      <c r="P281" s="50" t="e">
        <f t="shared" si="80"/>
        <v>#N/A</v>
      </c>
      <c r="Q281" s="51" t="e">
        <f t="shared" si="81"/>
        <v>#N/A</v>
      </c>
      <c r="R281" s="205" t="e">
        <f t="shared" si="82"/>
        <v>#N/A</v>
      </c>
      <c r="S281" s="279" t="e">
        <f>IF(R281="si",0,IF(E281="si",0,IF(J281&gt;K281,0,+K281-J281)))+IF('calcolo base'!P1741="SI",('Commissioni De Angeli'!K281-'Commissioni De Angeli'!J281),0)</f>
        <v>#N/A</v>
      </c>
      <c r="T281" s="117" t="e">
        <f t="shared" si="83"/>
        <v>#N/A</v>
      </c>
      <c r="U281" s="272" t="e">
        <f>IF(Q281=0,'calcolo base'!L2880,(T281+Q281))</f>
        <v>#N/A</v>
      </c>
      <c r="V281" s="119"/>
    </row>
    <row r="282" spans="2:22">
      <c r="B282" s="47"/>
      <c r="C282" s="35"/>
      <c r="D282" s="53"/>
      <c r="E282" s="53"/>
      <c r="F282" s="48"/>
      <c r="G282" s="243" t="e">
        <f>INDEX('calcolo base'!$B:$B, MATCH($A282, 'calcolo base'!$A:$A, 0))</f>
        <v>#N/A</v>
      </c>
      <c r="H282" s="54" t="e">
        <f t="shared" si="75"/>
        <v>#N/A</v>
      </c>
      <c r="I282" s="259" t="e">
        <f>IF(  OR(      INDEX('calcolo base'!$D:$D, MATCH($A282, 'calcolo base'!$A:$A, 0)) = 0,
      INDEX('calcolo base'!$D:$D, MATCH($A282, 'calcolo base'!$A:$A, 0)) = ""   ),
   INDEX('calcolo base'!$K:$K, MATCH($A282, 'calcolo base'!$A:$A, 0)),
   INDEX('calcolo base'!$J:$J, MATCH($A282, 'calcolo base'!$A:$A, 0))
) / 1000</f>
        <v>#N/A</v>
      </c>
      <c r="J282" s="50" t="e">
        <f t="shared" si="76"/>
        <v>#N/A</v>
      </c>
      <c r="K282" s="50"/>
      <c r="L282" s="267" t="e">
        <f>INDEX('calcolo base'!$H:$H, MATCH($A282, 'calcolo base'!$A:$A, 0))</f>
        <v>#N/A</v>
      </c>
      <c r="M282" s="50" t="e">
        <f t="shared" si="77"/>
        <v>#N/A</v>
      </c>
      <c r="N282" s="50" t="e">
        <f t="shared" si="78"/>
        <v>#N/A</v>
      </c>
      <c r="O282" s="50" t="e">
        <f t="shared" si="79"/>
        <v>#N/A</v>
      </c>
      <c r="P282" s="50" t="e">
        <f t="shared" si="80"/>
        <v>#N/A</v>
      </c>
      <c r="Q282" s="51" t="e">
        <f t="shared" si="81"/>
        <v>#N/A</v>
      </c>
      <c r="R282" s="205" t="e">
        <f t="shared" si="82"/>
        <v>#N/A</v>
      </c>
      <c r="S282" s="279" t="e">
        <f>IF(R282="si",0,IF(E282="si",0,IF(J282&gt;K282,0,+K282-J282)))+IF('calcolo base'!P1742="SI",('Commissioni De Angeli'!K282-'Commissioni De Angeli'!J282),0)</f>
        <v>#N/A</v>
      </c>
      <c r="T282" s="117" t="e">
        <f t="shared" si="83"/>
        <v>#N/A</v>
      </c>
      <c r="U282" s="272" t="e">
        <f>IF(Q282=0,'calcolo base'!L2881,(T282+Q282))</f>
        <v>#N/A</v>
      </c>
      <c r="V282" s="119"/>
    </row>
    <row r="283" spans="2:22">
      <c r="B283" s="47"/>
      <c r="C283" s="35"/>
      <c r="D283" s="53"/>
      <c r="E283" s="53"/>
      <c r="F283" s="48"/>
      <c r="G283" s="243" t="e">
        <f>INDEX('calcolo base'!$B:$B, MATCH($A283, 'calcolo base'!$A:$A, 0))</f>
        <v>#N/A</v>
      </c>
      <c r="H283" s="54" t="e">
        <f t="shared" si="75"/>
        <v>#N/A</v>
      </c>
      <c r="I283" s="259" t="e">
        <f>IF(  OR(      INDEX('calcolo base'!$D:$D, MATCH($A283, 'calcolo base'!$A:$A, 0)) = 0,
      INDEX('calcolo base'!$D:$D, MATCH($A283, 'calcolo base'!$A:$A, 0)) = ""   ),
   INDEX('calcolo base'!$K:$K, MATCH($A283, 'calcolo base'!$A:$A, 0)),
   INDEX('calcolo base'!$J:$J, MATCH($A283, 'calcolo base'!$A:$A, 0))
) / 1000</f>
        <v>#N/A</v>
      </c>
      <c r="J283" s="50" t="e">
        <f t="shared" si="76"/>
        <v>#N/A</v>
      </c>
      <c r="K283" s="50"/>
      <c r="L283" s="267" t="e">
        <f>INDEX('calcolo base'!$H:$H, MATCH($A283, 'calcolo base'!$A:$A, 0))</f>
        <v>#N/A</v>
      </c>
      <c r="M283" s="50" t="e">
        <f t="shared" si="77"/>
        <v>#N/A</v>
      </c>
      <c r="N283" s="50" t="e">
        <f t="shared" si="78"/>
        <v>#N/A</v>
      </c>
      <c r="O283" s="50" t="e">
        <f t="shared" si="79"/>
        <v>#N/A</v>
      </c>
      <c r="P283" s="50" t="e">
        <f t="shared" si="80"/>
        <v>#N/A</v>
      </c>
      <c r="Q283" s="51" t="e">
        <f t="shared" si="81"/>
        <v>#N/A</v>
      </c>
      <c r="R283" s="205" t="e">
        <f t="shared" si="82"/>
        <v>#N/A</v>
      </c>
      <c r="S283" s="279" t="e">
        <f>IF(R283="si",0,IF(E283="si",0,IF(J283&gt;K283,0,+K283-J283)))+IF('calcolo base'!P1743="SI",('Commissioni De Angeli'!K283-'Commissioni De Angeli'!J283),0)</f>
        <v>#N/A</v>
      </c>
      <c r="T283" s="117" t="e">
        <f t="shared" si="83"/>
        <v>#N/A</v>
      </c>
      <c r="U283" s="272" t="e">
        <f>IF(Q283=0,'calcolo base'!L2882,(T283+Q283))</f>
        <v>#N/A</v>
      </c>
      <c r="V283" s="119"/>
    </row>
    <row r="284" spans="2:22">
      <c r="B284" s="47"/>
      <c r="C284" s="35"/>
      <c r="D284" s="53"/>
      <c r="E284" s="53"/>
      <c r="F284" s="48"/>
      <c r="G284" s="243" t="e">
        <f>INDEX('calcolo base'!$B:$B, MATCH($A284, 'calcolo base'!$A:$A, 0))</f>
        <v>#N/A</v>
      </c>
      <c r="H284" s="54" t="e">
        <f t="shared" si="75"/>
        <v>#N/A</v>
      </c>
      <c r="I284" s="259" t="e">
        <f>IF(  OR(      INDEX('calcolo base'!$D:$D, MATCH($A284, 'calcolo base'!$A:$A, 0)) = 0,
      INDEX('calcolo base'!$D:$D, MATCH($A284, 'calcolo base'!$A:$A, 0)) = ""   ),
   INDEX('calcolo base'!$K:$K, MATCH($A284, 'calcolo base'!$A:$A, 0)),
   INDEX('calcolo base'!$J:$J, MATCH($A284, 'calcolo base'!$A:$A, 0))
) / 1000</f>
        <v>#N/A</v>
      </c>
      <c r="J284" s="50" t="e">
        <f t="shared" si="76"/>
        <v>#N/A</v>
      </c>
      <c r="K284" s="50"/>
      <c r="L284" s="267" t="e">
        <f>INDEX('calcolo base'!$H:$H, MATCH($A284, 'calcolo base'!$A:$A, 0))</f>
        <v>#N/A</v>
      </c>
      <c r="M284" s="50" t="e">
        <f t="shared" si="77"/>
        <v>#N/A</v>
      </c>
      <c r="N284" s="50" t="e">
        <f t="shared" si="78"/>
        <v>#N/A</v>
      </c>
      <c r="O284" s="50" t="e">
        <f t="shared" si="79"/>
        <v>#N/A</v>
      </c>
      <c r="P284" s="50" t="e">
        <f t="shared" si="80"/>
        <v>#N/A</v>
      </c>
      <c r="Q284" s="51" t="e">
        <f t="shared" si="81"/>
        <v>#N/A</v>
      </c>
      <c r="R284" s="205" t="e">
        <f t="shared" si="82"/>
        <v>#N/A</v>
      </c>
      <c r="S284" s="279" t="e">
        <f>IF(R284="si",0,IF(E284="si",0,IF(J284&gt;K284,0,+K284-J284)))+IF('calcolo base'!P1744="SI",('Commissioni De Angeli'!K284-'Commissioni De Angeli'!J284),0)</f>
        <v>#N/A</v>
      </c>
      <c r="T284" s="117" t="e">
        <f t="shared" si="83"/>
        <v>#N/A</v>
      </c>
      <c r="U284" s="272" t="e">
        <f>IF(Q284=0,'calcolo base'!L2883,(T284+Q284))</f>
        <v>#N/A</v>
      </c>
      <c r="V284" s="119"/>
    </row>
    <row r="285" spans="2:22">
      <c r="B285" s="47"/>
      <c r="C285" s="35"/>
      <c r="D285" s="53"/>
      <c r="E285" s="53"/>
      <c r="F285" s="48"/>
      <c r="G285" s="243" t="e">
        <f>INDEX('calcolo base'!$B:$B, MATCH($A285, 'calcolo base'!$A:$A, 0))</f>
        <v>#N/A</v>
      </c>
      <c r="H285" s="54" t="e">
        <f t="shared" si="75"/>
        <v>#N/A</v>
      </c>
      <c r="I285" s="259" t="e">
        <f>IF(  OR(      INDEX('calcolo base'!$D:$D, MATCH($A285, 'calcolo base'!$A:$A, 0)) = 0,
      INDEX('calcolo base'!$D:$D, MATCH($A285, 'calcolo base'!$A:$A, 0)) = ""   ),
   INDEX('calcolo base'!$K:$K, MATCH($A285, 'calcolo base'!$A:$A, 0)),
   INDEX('calcolo base'!$J:$J, MATCH($A285, 'calcolo base'!$A:$A, 0))
) / 1000</f>
        <v>#N/A</v>
      </c>
      <c r="J285" s="50" t="e">
        <f t="shared" si="76"/>
        <v>#N/A</v>
      </c>
      <c r="K285" s="50"/>
      <c r="L285" s="267" t="e">
        <f>INDEX('calcolo base'!$H:$H, MATCH($A285, 'calcolo base'!$A:$A, 0))</f>
        <v>#N/A</v>
      </c>
      <c r="M285" s="50" t="e">
        <f t="shared" si="77"/>
        <v>#N/A</v>
      </c>
      <c r="N285" s="50" t="e">
        <f t="shared" si="78"/>
        <v>#N/A</v>
      </c>
      <c r="O285" s="50" t="e">
        <f t="shared" si="79"/>
        <v>#N/A</v>
      </c>
      <c r="P285" s="50" t="e">
        <f t="shared" si="80"/>
        <v>#N/A</v>
      </c>
      <c r="Q285" s="51" t="e">
        <f t="shared" si="81"/>
        <v>#N/A</v>
      </c>
      <c r="R285" s="205" t="e">
        <f t="shared" si="82"/>
        <v>#N/A</v>
      </c>
      <c r="S285" s="279" t="e">
        <f>IF(R285="si",0,IF(E285="si",0,IF(J285&gt;K285,0,+K285-J285)))+IF('calcolo base'!P1745="SI",('Commissioni De Angeli'!K285-'Commissioni De Angeli'!J285),0)</f>
        <v>#N/A</v>
      </c>
      <c r="T285" s="117" t="e">
        <f t="shared" si="83"/>
        <v>#N/A</v>
      </c>
      <c r="U285" s="272" t="e">
        <f>IF(Q285=0,'calcolo base'!L2884,(T285+Q285))</f>
        <v>#N/A</v>
      </c>
      <c r="V285" s="119"/>
    </row>
    <row r="286" spans="2:22">
      <c r="B286" s="47"/>
      <c r="C286" s="35"/>
      <c r="D286" s="53"/>
      <c r="E286" s="53"/>
      <c r="F286" s="48"/>
      <c r="G286" s="243" t="e">
        <f>INDEX('calcolo base'!$B:$B, MATCH($A286, 'calcolo base'!$A:$A, 0))</f>
        <v>#N/A</v>
      </c>
      <c r="H286" s="54" t="e">
        <f t="shared" si="75"/>
        <v>#N/A</v>
      </c>
      <c r="I286" s="259" t="e">
        <f>IF(  OR(      INDEX('calcolo base'!$D:$D, MATCH($A286, 'calcolo base'!$A:$A, 0)) = 0,
      INDEX('calcolo base'!$D:$D, MATCH($A286, 'calcolo base'!$A:$A, 0)) = ""   ),
   INDEX('calcolo base'!$K:$K, MATCH($A286, 'calcolo base'!$A:$A, 0)),
   INDEX('calcolo base'!$J:$J, MATCH($A286, 'calcolo base'!$A:$A, 0))
) / 1000</f>
        <v>#N/A</v>
      </c>
      <c r="J286" s="50" t="e">
        <f t="shared" si="76"/>
        <v>#N/A</v>
      </c>
      <c r="K286" s="50"/>
      <c r="L286" s="267" t="e">
        <f>INDEX('calcolo base'!$H:$H, MATCH($A286, 'calcolo base'!$A:$A, 0))</f>
        <v>#N/A</v>
      </c>
      <c r="M286" s="50" t="e">
        <f t="shared" si="77"/>
        <v>#N/A</v>
      </c>
      <c r="N286" s="50" t="e">
        <f t="shared" si="78"/>
        <v>#N/A</v>
      </c>
      <c r="O286" s="50" t="e">
        <f t="shared" si="79"/>
        <v>#N/A</v>
      </c>
      <c r="P286" s="50" t="e">
        <f t="shared" si="80"/>
        <v>#N/A</v>
      </c>
      <c r="Q286" s="51" t="e">
        <f t="shared" si="81"/>
        <v>#N/A</v>
      </c>
      <c r="R286" s="205" t="e">
        <f t="shared" si="82"/>
        <v>#N/A</v>
      </c>
      <c r="S286" s="279" t="e">
        <f>IF(R286="si",0,IF(E286="si",0,IF(J286&gt;K286,0,+K286-J286)))+IF('calcolo base'!P1746="SI",('Commissioni De Angeli'!K286-'Commissioni De Angeli'!J286),0)</f>
        <v>#N/A</v>
      </c>
      <c r="T286" s="117" t="e">
        <f t="shared" si="83"/>
        <v>#N/A</v>
      </c>
      <c r="U286" s="272" t="e">
        <f>IF(Q286=0,'calcolo base'!L2885,(T286+Q286))</f>
        <v>#N/A</v>
      </c>
      <c r="V286" s="119"/>
    </row>
    <row r="287" spans="2:22">
      <c r="B287" s="47"/>
      <c r="C287" s="35"/>
      <c r="D287" s="53"/>
      <c r="E287" s="53"/>
      <c r="F287" s="48"/>
      <c r="G287" s="243" t="e">
        <f>INDEX('calcolo base'!$B:$B, MATCH($A287, 'calcolo base'!$A:$A, 0))</f>
        <v>#N/A</v>
      </c>
      <c r="H287" s="54" t="e">
        <f t="shared" si="75"/>
        <v>#N/A</v>
      </c>
      <c r="I287" s="259" t="e">
        <f>IF(  OR(      INDEX('calcolo base'!$D:$D, MATCH($A287, 'calcolo base'!$A:$A, 0)) = 0,
      INDEX('calcolo base'!$D:$D, MATCH($A287, 'calcolo base'!$A:$A, 0)) = ""   ),
   INDEX('calcolo base'!$K:$K, MATCH($A287, 'calcolo base'!$A:$A, 0)),
   INDEX('calcolo base'!$J:$J, MATCH($A287, 'calcolo base'!$A:$A, 0))
) / 1000</f>
        <v>#N/A</v>
      </c>
      <c r="J287" s="50" t="e">
        <f t="shared" si="76"/>
        <v>#N/A</v>
      </c>
      <c r="K287" s="50"/>
      <c r="L287" s="267" t="e">
        <f>INDEX('calcolo base'!$H:$H, MATCH($A287, 'calcolo base'!$A:$A, 0))</f>
        <v>#N/A</v>
      </c>
      <c r="M287" s="50" t="e">
        <f t="shared" si="77"/>
        <v>#N/A</v>
      </c>
      <c r="N287" s="50" t="e">
        <f t="shared" si="78"/>
        <v>#N/A</v>
      </c>
      <c r="O287" s="50" t="e">
        <f t="shared" si="79"/>
        <v>#N/A</v>
      </c>
      <c r="P287" s="50" t="e">
        <f t="shared" si="80"/>
        <v>#N/A</v>
      </c>
      <c r="Q287" s="51" t="e">
        <f t="shared" si="81"/>
        <v>#N/A</v>
      </c>
      <c r="R287" s="205" t="e">
        <f t="shared" si="82"/>
        <v>#N/A</v>
      </c>
      <c r="S287" s="279" t="e">
        <f>IF(R287="si",0,IF(E287="si",0,IF(J287&gt;K287,0,+K287-J287)))+IF('calcolo base'!P1747="SI",('Commissioni De Angeli'!K287-'Commissioni De Angeli'!J287),0)</f>
        <v>#N/A</v>
      </c>
      <c r="T287" s="117" t="e">
        <f t="shared" si="83"/>
        <v>#N/A</v>
      </c>
      <c r="U287" s="272" t="e">
        <f>IF(Q287=0,'calcolo base'!L2886,(T287+Q287))</f>
        <v>#N/A</v>
      </c>
      <c r="V287" s="119"/>
    </row>
    <row r="288" spans="2:22">
      <c r="B288" s="47"/>
      <c r="C288" s="35"/>
      <c r="D288" s="53"/>
      <c r="E288" s="53"/>
      <c r="F288" s="48"/>
      <c r="G288" s="243" t="e">
        <f>INDEX('calcolo base'!$B:$B, MATCH($A288, 'calcolo base'!$A:$A, 0))</f>
        <v>#N/A</v>
      </c>
      <c r="H288" s="54" t="e">
        <f t="shared" si="75"/>
        <v>#N/A</v>
      </c>
      <c r="I288" s="259" t="e">
        <f>IF(  OR(      INDEX('calcolo base'!$D:$D, MATCH($A288, 'calcolo base'!$A:$A, 0)) = 0,
      INDEX('calcolo base'!$D:$D, MATCH($A288, 'calcolo base'!$A:$A, 0)) = ""   ),
   INDEX('calcolo base'!$K:$K, MATCH($A288, 'calcolo base'!$A:$A, 0)),
   INDEX('calcolo base'!$J:$J, MATCH($A288, 'calcolo base'!$A:$A, 0))
) / 1000</f>
        <v>#N/A</v>
      </c>
      <c r="J288" s="50" t="e">
        <f t="shared" si="76"/>
        <v>#N/A</v>
      </c>
      <c r="K288" s="50"/>
      <c r="L288" s="267" t="e">
        <f>INDEX('calcolo base'!$H:$H, MATCH($A288, 'calcolo base'!$A:$A, 0))</f>
        <v>#N/A</v>
      </c>
      <c r="M288" s="50" t="e">
        <f t="shared" si="77"/>
        <v>#N/A</v>
      </c>
      <c r="N288" s="50" t="e">
        <f t="shared" si="78"/>
        <v>#N/A</v>
      </c>
      <c r="O288" s="50" t="e">
        <f t="shared" si="79"/>
        <v>#N/A</v>
      </c>
      <c r="P288" s="50" t="e">
        <f t="shared" si="80"/>
        <v>#N/A</v>
      </c>
      <c r="Q288" s="51" t="e">
        <f t="shared" si="81"/>
        <v>#N/A</v>
      </c>
      <c r="R288" s="205" t="e">
        <f t="shared" si="82"/>
        <v>#N/A</v>
      </c>
      <c r="S288" s="279" t="e">
        <f>IF(R288="si",0,IF(E288="si",0,IF(J288&gt;K288,0,+K288-J288)))+IF('calcolo base'!P1748="SI",('Commissioni De Angeli'!K288-'Commissioni De Angeli'!J288),0)</f>
        <v>#N/A</v>
      </c>
      <c r="T288" s="117" t="e">
        <f t="shared" si="83"/>
        <v>#N/A</v>
      </c>
      <c r="U288" s="272" t="e">
        <f>IF(Q288=0,'calcolo base'!L2887,(T288+Q288))</f>
        <v>#N/A</v>
      </c>
      <c r="V288" s="119"/>
    </row>
    <row r="289" spans="2:22">
      <c r="B289" s="47"/>
      <c r="C289" s="35"/>
      <c r="D289" s="53"/>
      <c r="E289" s="53"/>
      <c r="F289" s="48"/>
      <c r="G289" s="243" t="e">
        <f>INDEX('calcolo base'!$B:$B, MATCH($A289, 'calcolo base'!$A:$A, 0))</f>
        <v>#N/A</v>
      </c>
      <c r="H289" s="54" t="e">
        <f t="shared" si="75"/>
        <v>#N/A</v>
      </c>
      <c r="I289" s="259" t="e">
        <f>IF(  OR(      INDEX('calcolo base'!$D:$D, MATCH($A289, 'calcolo base'!$A:$A, 0)) = 0,
      INDEX('calcolo base'!$D:$D, MATCH($A289, 'calcolo base'!$A:$A, 0)) = ""   ),
   INDEX('calcolo base'!$K:$K, MATCH($A289, 'calcolo base'!$A:$A, 0)),
   INDEX('calcolo base'!$J:$J, MATCH($A289, 'calcolo base'!$A:$A, 0))
) / 1000</f>
        <v>#N/A</v>
      </c>
      <c r="J289" s="50" t="e">
        <f t="shared" si="76"/>
        <v>#N/A</v>
      </c>
      <c r="K289" s="50"/>
      <c r="L289" s="267" t="e">
        <f>INDEX('calcolo base'!$H:$H, MATCH($A289, 'calcolo base'!$A:$A, 0))</f>
        <v>#N/A</v>
      </c>
      <c r="M289" s="50" t="e">
        <f t="shared" si="77"/>
        <v>#N/A</v>
      </c>
      <c r="N289" s="50" t="e">
        <f t="shared" si="78"/>
        <v>#N/A</v>
      </c>
      <c r="O289" s="50" t="e">
        <f t="shared" si="79"/>
        <v>#N/A</v>
      </c>
      <c r="P289" s="50" t="e">
        <f t="shared" si="80"/>
        <v>#N/A</v>
      </c>
      <c r="Q289" s="51" t="e">
        <f t="shared" si="81"/>
        <v>#N/A</v>
      </c>
      <c r="R289" s="205" t="e">
        <f t="shared" si="82"/>
        <v>#N/A</v>
      </c>
      <c r="S289" s="279" t="e">
        <f>IF(R289="si",0,IF(E289="si",0,IF(J289&gt;K289,0,+K289-J289)))+IF('calcolo base'!P1749="SI",('Commissioni De Angeli'!K289-'Commissioni De Angeli'!J289),0)</f>
        <v>#N/A</v>
      </c>
      <c r="T289" s="117" t="e">
        <f t="shared" si="83"/>
        <v>#N/A</v>
      </c>
      <c r="U289" s="272" t="e">
        <f>IF(Q289=0,'calcolo base'!L2888,(T289+Q289))</f>
        <v>#N/A</v>
      </c>
      <c r="V289" s="119"/>
    </row>
    <row r="290" spans="2:22">
      <c r="B290" s="47"/>
      <c r="C290" s="35"/>
      <c r="D290" s="53"/>
      <c r="E290" s="53"/>
      <c r="F290" s="48"/>
      <c r="G290" s="243" t="e">
        <f>INDEX('calcolo base'!$B:$B, MATCH($A290, 'calcolo base'!$A:$A, 0))</f>
        <v>#N/A</v>
      </c>
      <c r="H290" s="54" t="e">
        <f t="shared" si="75"/>
        <v>#N/A</v>
      </c>
      <c r="I290" s="259" t="e">
        <f>IF(  OR(      INDEX('calcolo base'!$D:$D, MATCH($A290, 'calcolo base'!$A:$A, 0)) = 0,
      INDEX('calcolo base'!$D:$D, MATCH($A290, 'calcolo base'!$A:$A, 0)) = ""   ),
   INDEX('calcolo base'!$K:$K, MATCH($A290, 'calcolo base'!$A:$A, 0)),
   INDEX('calcolo base'!$J:$J, MATCH($A290, 'calcolo base'!$A:$A, 0))
) / 1000</f>
        <v>#N/A</v>
      </c>
      <c r="J290" s="50" t="e">
        <f t="shared" si="76"/>
        <v>#N/A</v>
      </c>
      <c r="K290" s="50"/>
      <c r="L290" s="267" t="e">
        <f>INDEX('calcolo base'!$H:$H, MATCH($A290, 'calcolo base'!$A:$A, 0))</f>
        <v>#N/A</v>
      </c>
      <c r="M290" s="50" t="e">
        <f t="shared" si="77"/>
        <v>#N/A</v>
      </c>
      <c r="N290" s="50" t="e">
        <f t="shared" si="78"/>
        <v>#N/A</v>
      </c>
      <c r="O290" s="50" t="e">
        <f t="shared" si="79"/>
        <v>#N/A</v>
      </c>
      <c r="P290" s="50" t="e">
        <f t="shared" si="80"/>
        <v>#N/A</v>
      </c>
      <c r="Q290" s="51" t="e">
        <f t="shared" si="81"/>
        <v>#N/A</v>
      </c>
      <c r="R290" s="205" t="e">
        <f t="shared" si="82"/>
        <v>#N/A</v>
      </c>
      <c r="S290" s="279" t="e">
        <f>IF(R290="si",0,IF(E290="si",0,IF(J290&gt;K290,0,+K290-J290)))+IF('calcolo base'!P1750="SI",('Commissioni De Angeli'!K290-'Commissioni De Angeli'!J290),0)</f>
        <v>#N/A</v>
      </c>
      <c r="T290" s="117" t="e">
        <f t="shared" si="83"/>
        <v>#N/A</v>
      </c>
      <c r="U290" s="272" t="e">
        <f>IF(Q290=0,'calcolo base'!L2889,(T290+Q290))</f>
        <v>#N/A</v>
      </c>
      <c r="V290" s="119"/>
    </row>
    <row r="291" spans="2:22">
      <c r="B291" s="47"/>
      <c r="C291" s="35"/>
      <c r="D291" s="53"/>
      <c r="E291" s="53"/>
      <c r="F291" s="48"/>
      <c r="G291" s="243" t="e">
        <f>INDEX('calcolo base'!$B:$B, MATCH($A291, 'calcolo base'!$A:$A, 0))</f>
        <v>#N/A</v>
      </c>
      <c r="H291" s="54" t="e">
        <f t="shared" si="75"/>
        <v>#N/A</v>
      </c>
      <c r="I291" s="259" t="e">
        <f>IF(  OR(      INDEX('calcolo base'!$D:$D, MATCH($A291, 'calcolo base'!$A:$A, 0)) = 0,
      INDEX('calcolo base'!$D:$D, MATCH($A291, 'calcolo base'!$A:$A, 0)) = ""   ),
   INDEX('calcolo base'!$K:$K, MATCH($A291, 'calcolo base'!$A:$A, 0)),
   INDEX('calcolo base'!$J:$J, MATCH($A291, 'calcolo base'!$A:$A, 0))
) / 1000</f>
        <v>#N/A</v>
      </c>
      <c r="J291" s="50" t="e">
        <f t="shared" si="76"/>
        <v>#N/A</v>
      </c>
      <c r="K291" s="50"/>
      <c r="L291" s="267" t="e">
        <f>INDEX('calcolo base'!$H:$H, MATCH($A291, 'calcolo base'!$A:$A, 0))</f>
        <v>#N/A</v>
      </c>
      <c r="M291" s="50" t="e">
        <f t="shared" si="77"/>
        <v>#N/A</v>
      </c>
      <c r="N291" s="50" t="e">
        <f t="shared" si="78"/>
        <v>#N/A</v>
      </c>
      <c r="O291" s="50" t="e">
        <f t="shared" si="79"/>
        <v>#N/A</v>
      </c>
      <c r="P291" s="50" t="e">
        <f t="shared" si="80"/>
        <v>#N/A</v>
      </c>
      <c r="Q291" s="51" t="e">
        <f t="shared" si="81"/>
        <v>#N/A</v>
      </c>
      <c r="R291" s="205" t="e">
        <f t="shared" si="82"/>
        <v>#N/A</v>
      </c>
      <c r="S291" s="279" t="e">
        <f>IF(R291="si",0,IF(E291="si",0,IF(J291&gt;K291,0,+K291-J291)))+IF('calcolo base'!P1751="SI",('Commissioni De Angeli'!K291-'Commissioni De Angeli'!J291),0)</f>
        <v>#N/A</v>
      </c>
      <c r="T291" s="117" t="e">
        <f t="shared" si="83"/>
        <v>#N/A</v>
      </c>
      <c r="U291" s="272" t="e">
        <f>IF(Q291=0,'calcolo base'!L2890,(T291+Q291))</f>
        <v>#N/A</v>
      </c>
      <c r="V291" s="119"/>
    </row>
    <row r="292" spans="2:22">
      <c r="B292" s="47"/>
      <c r="C292" s="35"/>
      <c r="D292" s="53"/>
      <c r="E292" s="53"/>
      <c r="F292" s="48"/>
      <c r="G292" s="243" t="e">
        <f>INDEX('calcolo base'!$B:$B, MATCH($A292, 'calcolo base'!$A:$A, 0))</f>
        <v>#N/A</v>
      </c>
      <c r="H292" s="54" t="e">
        <f t="shared" si="75"/>
        <v>#N/A</v>
      </c>
      <c r="I292" s="259" t="e">
        <f>IF(  OR(      INDEX('calcolo base'!$D:$D, MATCH($A292, 'calcolo base'!$A:$A, 0)) = 0,
      INDEX('calcolo base'!$D:$D, MATCH($A292, 'calcolo base'!$A:$A, 0)) = ""   ),
   INDEX('calcolo base'!$K:$K, MATCH($A292, 'calcolo base'!$A:$A, 0)),
   INDEX('calcolo base'!$J:$J, MATCH($A292, 'calcolo base'!$A:$A, 0))
) / 1000</f>
        <v>#N/A</v>
      </c>
      <c r="J292" s="50" t="e">
        <f t="shared" si="76"/>
        <v>#N/A</v>
      </c>
      <c r="K292" s="50"/>
      <c r="L292" s="267" t="e">
        <f>INDEX('calcolo base'!$H:$H, MATCH($A292, 'calcolo base'!$A:$A, 0))</f>
        <v>#N/A</v>
      </c>
      <c r="M292" s="50" t="e">
        <f t="shared" si="77"/>
        <v>#N/A</v>
      </c>
      <c r="N292" s="50" t="e">
        <f t="shared" si="78"/>
        <v>#N/A</v>
      </c>
      <c r="O292" s="50" t="e">
        <f t="shared" si="79"/>
        <v>#N/A</v>
      </c>
      <c r="P292" s="50" t="e">
        <f t="shared" si="80"/>
        <v>#N/A</v>
      </c>
      <c r="Q292" s="51" t="e">
        <f t="shared" si="81"/>
        <v>#N/A</v>
      </c>
      <c r="R292" s="205" t="e">
        <f t="shared" si="82"/>
        <v>#N/A</v>
      </c>
      <c r="S292" s="279" t="e">
        <f>IF(R292="si",0,IF(E292="si",0,IF(J292&gt;K292,0,+K292-J292)))+IF('calcolo base'!P1752="SI",('Commissioni De Angeli'!K292-'Commissioni De Angeli'!J292),0)</f>
        <v>#N/A</v>
      </c>
      <c r="T292" s="117" t="e">
        <f t="shared" si="83"/>
        <v>#N/A</v>
      </c>
      <c r="U292" s="272" t="e">
        <f>IF(Q292=0,'calcolo base'!L2891,(T292+Q292))</f>
        <v>#N/A</v>
      </c>
      <c r="V292" s="119"/>
    </row>
    <row r="293" spans="2:22">
      <c r="B293" s="47"/>
      <c r="C293" s="35"/>
      <c r="D293" s="53"/>
      <c r="E293" s="53"/>
      <c r="F293" s="48"/>
      <c r="G293" s="243" t="e">
        <f>INDEX('calcolo base'!$B:$B, MATCH($A293, 'calcolo base'!$A:$A, 0))</f>
        <v>#N/A</v>
      </c>
      <c r="H293" s="54" t="e">
        <f t="shared" si="75"/>
        <v>#N/A</v>
      </c>
      <c r="I293" s="259" t="e">
        <f>IF(  OR(      INDEX('calcolo base'!$D:$D, MATCH($A293, 'calcolo base'!$A:$A, 0)) = 0,
      INDEX('calcolo base'!$D:$D, MATCH($A293, 'calcolo base'!$A:$A, 0)) = ""   ),
   INDEX('calcolo base'!$K:$K, MATCH($A293, 'calcolo base'!$A:$A, 0)),
   INDEX('calcolo base'!$J:$J, MATCH($A293, 'calcolo base'!$A:$A, 0))
) / 1000</f>
        <v>#N/A</v>
      </c>
      <c r="J293" s="50" t="e">
        <f t="shared" si="76"/>
        <v>#N/A</v>
      </c>
      <c r="K293" s="50"/>
      <c r="L293" s="267" t="e">
        <f>INDEX('calcolo base'!$H:$H, MATCH($A293, 'calcolo base'!$A:$A, 0))</f>
        <v>#N/A</v>
      </c>
      <c r="M293" s="50" t="e">
        <f t="shared" si="77"/>
        <v>#N/A</v>
      </c>
      <c r="N293" s="50" t="e">
        <f t="shared" si="78"/>
        <v>#N/A</v>
      </c>
      <c r="O293" s="50" t="e">
        <f t="shared" si="79"/>
        <v>#N/A</v>
      </c>
      <c r="P293" s="50" t="e">
        <f t="shared" si="80"/>
        <v>#N/A</v>
      </c>
      <c r="Q293" s="51" t="e">
        <f t="shared" si="81"/>
        <v>#N/A</v>
      </c>
      <c r="R293" s="205" t="e">
        <f t="shared" si="82"/>
        <v>#N/A</v>
      </c>
      <c r="S293" s="279" t="e">
        <f>IF(R293="si",0,IF(E293="si",0,IF(J293&gt;K293,0,+K293-J293)))+IF('calcolo base'!P1753="SI",('Commissioni De Angeli'!K293-'Commissioni De Angeli'!J293),0)</f>
        <v>#N/A</v>
      </c>
      <c r="T293" s="117" t="e">
        <f t="shared" si="83"/>
        <v>#N/A</v>
      </c>
      <c r="U293" s="272" t="e">
        <f>IF(Q293=0,'calcolo base'!L2892,(T293+Q293))</f>
        <v>#N/A</v>
      </c>
      <c r="V293" s="119"/>
    </row>
    <row r="294" spans="2:22">
      <c r="B294" s="47"/>
      <c r="C294" s="35"/>
      <c r="D294" s="53"/>
      <c r="E294" s="53"/>
      <c r="F294" s="48"/>
      <c r="G294" s="243" t="e">
        <f>INDEX('calcolo base'!$B:$B, MATCH($A294, 'calcolo base'!$A:$A, 0))</f>
        <v>#N/A</v>
      </c>
      <c r="H294" s="54" t="e">
        <f t="shared" si="75"/>
        <v>#N/A</v>
      </c>
      <c r="I294" s="259" t="e">
        <f>IF(  OR(      INDEX('calcolo base'!$D:$D, MATCH($A294, 'calcolo base'!$A:$A, 0)) = 0,
      INDEX('calcolo base'!$D:$D, MATCH($A294, 'calcolo base'!$A:$A, 0)) = ""   ),
   INDEX('calcolo base'!$K:$K, MATCH($A294, 'calcolo base'!$A:$A, 0)),
   INDEX('calcolo base'!$J:$J, MATCH($A294, 'calcolo base'!$A:$A, 0))
) / 1000</f>
        <v>#N/A</v>
      </c>
      <c r="J294" s="50" t="e">
        <f t="shared" si="76"/>
        <v>#N/A</v>
      </c>
      <c r="K294" s="50"/>
      <c r="L294" s="267" t="e">
        <f>INDEX('calcolo base'!$H:$H, MATCH($A294, 'calcolo base'!$A:$A, 0))</f>
        <v>#N/A</v>
      </c>
      <c r="M294" s="50" t="e">
        <f t="shared" si="77"/>
        <v>#N/A</v>
      </c>
      <c r="N294" s="50" t="e">
        <f t="shared" si="78"/>
        <v>#N/A</v>
      </c>
      <c r="O294" s="50" t="e">
        <f t="shared" si="79"/>
        <v>#N/A</v>
      </c>
      <c r="P294" s="50" t="e">
        <f t="shared" si="80"/>
        <v>#N/A</v>
      </c>
      <c r="Q294" s="51" t="e">
        <f t="shared" si="81"/>
        <v>#N/A</v>
      </c>
      <c r="R294" s="205" t="e">
        <f t="shared" si="82"/>
        <v>#N/A</v>
      </c>
      <c r="S294" s="279" t="e">
        <f>IF(R294="si",0,IF(E294="si",0,IF(J294&gt;K294,0,+K294-J294)))+IF('calcolo base'!P1754="SI",('Commissioni De Angeli'!K294-'Commissioni De Angeli'!J294),0)</f>
        <v>#N/A</v>
      </c>
      <c r="T294" s="117" t="e">
        <f t="shared" si="83"/>
        <v>#N/A</v>
      </c>
      <c r="U294" s="272" t="e">
        <f>IF(Q294=0,'calcolo base'!L2893,(T294+Q294))</f>
        <v>#N/A</v>
      </c>
      <c r="V294" s="119"/>
    </row>
    <row r="295" spans="2:22">
      <c r="B295" s="47"/>
      <c r="C295" s="35"/>
      <c r="D295" s="53"/>
      <c r="E295" s="53"/>
      <c r="F295" s="48"/>
      <c r="G295" s="243" t="e">
        <f>INDEX('calcolo base'!$B:$B, MATCH($A295, 'calcolo base'!$A:$A, 0))</f>
        <v>#N/A</v>
      </c>
      <c r="H295" s="54" t="e">
        <f t="shared" si="75"/>
        <v>#N/A</v>
      </c>
      <c r="I295" s="259" t="e">
        <f>IF(  OR(      INDEX('calcolo base'!$D:$D, MATCH($A295, 'calcolo base'!$A:$A, 0)) = 0,
      INDEX('calcolo base'!$D:$D, MATCH($A295, 'calcolo base'!$A:$A, 0)) = ""   ),
   INDEX('calcolo base'!$K:$K, MATCH($A295, 'calcolo base'!$A:$A, 0)),
   INDEX('calcolo base'!$J:$J, MATCH($A295, 'calcolo base'!$A:$A, 0))
) / 1000</f>
        <v>#N/A</v>
      </c>
      <c r="J295" s="50" t="e">
        <f t="shared" si="76"/>
        <v>#N/A</v>
      </c>
      <c r="K295" s="50"/>
      <c r="L295" s="267" t="e">
        <f>INDEX('calcolo base'!$H:$H, MATCH($A295, 'calcolo base'!$A:$A, 0))</f>
        <v>#N/A</v>
      </c>
      <c r="M295" s="50" t="e">
        <f t="shared" si="77"/>
        <v>#N/A</v>
      </c>
      <c r="N295" s="50" t="e">
        <f t="shared" si="78"/>
        <v>#N/A</v>
      </c>
      <c r="O295" s="50" t="e">
        <f t="shared" si="79"/>
        <v>#N/A</v>
      </c>
      <c r="P295" s="50" t="e">
        <f t="shared" si="80"/>
        <v>#N/A</v>
      </c>
      <c r="Q295" s="51" t="e">
        <f t="shared" si="81"/>
        <v>#N/A</v>
      </c>
      <c r="R295" s="205" t="e">
        <f t="shared" si="82"/>
        <v>#N/A</v>
      </c>
      <c r="S295" s="279" t="e">
        <f>IF(R295="si",0,IF(E295="si",0,IF(J295&gt;K295,0,+K295-J295)))+IF('calcolo base'!P1755="SI",('Commissioni De Angeli'!K295-'Commissioni De Angeli'!J295),0)</f>
        <v>#N/A</v>
      </c>
      <c r="T295" s="117" t="e">
        <f t="shared" si="83"/>
        <v>#N/A</v>
      </c>
      <c r="U295" s="272" t="e">
        <f>IF(Q295=0,'calcolo base'!L2894,(T295+Q295))</f>
        <v>#N/A</v>
      </c>
      <c r="V295" s="119"/>
    </row>
    <row r="296" spans="2:22">
      <c r="B296" s="47"/>
      <c r="C296" s="35"/>
      <c r="D296" s="53"/>
      <c r="E296" s="53"/>
      <c r="F296" s="48"/>
      <c r="G296" s="243" t="e">
        <f>INDEX('calcolo base'!$B:$B, MATCH($A296, 'calcolo base'!$A:$A, 0))</f>
        <v>#N/A</v>
      </c>
      <c r="H296" s="54" t="e">
        <f t="shared" si="75"/>
        <v>#N/A</v>
      </c>
      <c r="I296" s="259" t="e">
        <f>IF(  OR(      INDEX('calcolo base'!$D:$D, MATCH($A296, 'calcolo base'!$A:$A, 0)) = 0,
      INDEX('calcolo base'!$D:$D, MATCH($A296, 'calcolo base'!$A:$A, 0)) = ""   ),
   INDEX('calcolo base'!$K:$K, MATCH($A296, 'calcolo base'!$A:$A, 0)),
   INDEX('calcolo base'!$J:$J, MATCH($A296, 'calcolo base'!$A:$A, 0))
) / 1000</f>
        <v>#N/A</v>
      </c>
      <c r="J296" s="50" t="e">
        <f t="shared" si="76"/>
        <v>#N/A</v>
      </c>
      <c r="K296" s="50"/>
      <c r="L296" s="267" t="e">
        <f>INDEX('calcolo base'!$H:$H, MATCH($A296, 'calcolo base'!$A:$A, 0))</f>
        <v>#N/A</v>
      </c>
      <c r="M296" s="50" t="e">
        <f t="shared" si="77"/>
        <v>#N/A</v>
      </c>
      <c r="N296" s="50" t="e">
        <f t="shared" si="78"/>
        <v>#N/A</v>
      </c>
      <c r="O296" s="50" t="e">
        <f t="shared" si="79"/>
        <v>#N/A</v>
      </c>
      <c r="P296" s="50" t="e">
        <f t="shared" si="80"/>
        <v>#N/A</v>
      </c>
      <c r="Q296" s="51" t="e">
        <f t="shared" si="81"/>
        <v>#N/A</v>
      </c>
      <c r="R296" s="205" t="e">
        <f t="shared" si="82"/>
        <v>#N/A</v>
      </c>
      <c r="S296" s="279" t="e">
        <f>IF(R296="si",0,IF(E296="si",0,IF(J296&gt;K296,0,+K296-J296)))+IF('calcolo base'!P1756="SI",('Commissioni De Angeli'!K296-'Commissioni De Angeli'!J296),0)</f>
        <v>#N/A</v>
      </c>
      <c r="T296" s="117" t="e">
        <f t="shared" si="83"/>
        <v>#N/A</v>
      </c>
      <c r="U296" s="272" t="e">
        <f>IF(Q296=0,'calcolo base'!L2895,(T296+Q296))</f>
        <v>#N/A</v>
      </c>
      <c r="V296" s="119"/>
    </row>
    <row r="297" spans="2:22">
      <c r="B297" s="47"/>
      <c r="C297" s="35"/>
      <c r="D297" s="53"/>
      <c r="E297" s="53"/>
      <c r="F297" s="48"/>
      <c r="G297" s="243" t="e">
        <f>INDEX('calcolo base'!$B:$B, MATCH($A297, 'calcolo base'!$A:$A, 0))</f>
        <v>#N/A</v>
      </c>
      <c r="H297" s="54" t="e">
        <f t="shared" si="75"/>
        <v>#N/A</v>
      </c>
      <c r="I297" s="259" t="e">
        <f>IF(  OR(      INDEX('calcolo base'!$D:$D, MATCH($A297, 'calcolo base'!$A:$A, 0)) = 0,
      INDEX('calcolo base'!$D:$D, MATCH($A297, 'calcolo base'!$A:$A, 0)) = ""   ),
   INDEX('calcolo base'!$K:$K, MATCH($A297, 'calcolo base'!$A:$A, 0)),
   INDEX('calcolo base'!$J:$J, MATCH($A297, 'calcolo base'!$A:$A, 0))
) / 1000</f>
        <v>#N/A</v>
      </c>
      <c r="J297" s="50" t="e">
        <f t="shared" si="76"/>
        <v>#N/A</v>
      </c>
      <c r="K297" s="50"/>
      <c r="L297" s="267" t="e">
        <f>INDEX('calcolo base'!$H:$H, MATCH($A297, 'calcolo base'!$A:$A, 0))</f>
        <v>#N/A</v>
      </c>
      <c r="M297" s="50" t="e">
        <f t="shared" si="77"/>
        <v>#N/A</v>
      </c>
      <c r="N297" s="50" t="e">
        <f t="shared" si="78"/>
        <v>#N/A</v>
      </c>
      <c r="O297" s="50" t="e">
        <f t="shared" si="79"/>
        <v>#N/A</v>
      </c>
      <c r="P297" s="50" t="e">
        <f t="shared" si="80"/>
        <v>#N/A</v>
      </c>
      <c r="Q297" s="51" t="e">
        <f t="shared" si="81"/>
        <v>#N/A</v>
      </c>
      <c r="R297" s="205" t="e">
        <f t="shared" si="82"/>
        <v>#N/A</v>
      </c>
      <c r="S297" s="279" t="e">
        <f>IF(R297="si",0,IF(E297="si",0,IF(J297&gt;K297,0,+K297-J297)))+IF('calcolo base'!P1757="SI",('Commissioni De Angeli'!K297-'Commissioni De Angeli'!J297),0)</f>
        <v>#N/A</v>
      </c>
      <c r="T297" s="117" t="e">
        <f t="shared" si="83"/>
        <v>#N/A</v>
      </c>
      <c r="U297" s="272" t="e">
        <f>IF(Q297=0,'calcolo base'!L2896,(T297+Q297))</f>
        <v>#N/A</v>
      </c>
      <c r="V297" s="119"/>
    </row>
    <row r="298" spans="2:22">
      <c r="B298" s="47"/>
      <c r="C298" s="35"/>
      <c r="D298" s="53"/>
      <c r="E298" s="53"/>
      <c r="F298" s="48"/>
      <c r="G298" s="243" t="e">
        <f>INDEX('calcolo base'!$B:$B, MATCH($A298, 'calcolo base'!$A:$A, 0))</f>
        <v>#N/A</v>
      </c>
      <c r="H298" s="54" t="e">
        <f t="shared" si="75"/>
        <v>#N/A</v>
      </c>
      <c r="I298" s="259" t="e">
        <f>IF(  OR(      INDEX('calcolo base'!$D:$D, MATCH($A298, 'calcolo base'!$A:$A, 0)) = 0,
      INDEX('calcolo base'!$D:$D, MATCH($A298, 'calcolo base'!$A:$A, 0)) = ""   ),
   INDEX('calcolo base'!$K:$K, MATCH($A298, 'calcolo base'!$A:$A, 0)),
   INDEX('calcolo base'!$J:$J, MATCH($A298, 'calcolo base'!$A:$A, 0))
) / 1000</f>
        <v>#N/A</v>
      </c>
      <c r="J298" s="50" t="e">
        <f t="shared" si="76"/>
        <v>#N/A</v>
      </c>
      <c r="K298" s="50"/>
      <c r="L298" s="267" t="e">
        <f>INDEX('calcolo base'!$H:$H, MATCH($A298, 'calcolo base'!$A:$A, 0))</f>
        <v>#N/A</v>
      </c>
      <c r="M298" s="50" t="e">
        <f t="shared" si="77"/>
        <v>#N/A</v>
      </c>
      <c r="N298" s="50" t="e">
        <f t="shared" si="78"/>
        <v>#N/A</v>
      </c>
      <c r="O298" s="50" t="e">
        <f t="shared" si="79"/>
        <v>#N/A</v>
      </c>
      <c r="P298" s="50" t="e">
        <f t="shared" si="80"/>
        <v>#N/A</v>
      </c>
      <c r="Q298" s="51" t="e">
        <f t="shared" si="81"/>
        <v>#N/A</v>
      </c>
      <c r="R298" s="205" t="e">
        <f t="shared" si="82"/>
        <v>#N/A</v>
      </c>
      <c r="S298" s="279" t="e">
        <f>IF(R298="si",0,IF(E298="si",0,IF(J298&gt;K298,0,+K298-J298)))+IF('calcolo base'!P1758="SI",('Commissioni De Angeli'!K298-'Commissioni De Angeli'!J298),0)</f>
        <v>#N/A</v>
      </c>
      <c r="T298" s="117" t="e">
        <f t="shared" si="83"/>
        <v>#N/A</v>
      </c>
      <c r="U298" s="272" t="e">
        <f>IF(Q298=0,'calcolo base'!L2897,(T298+Q298))</f>
        <v>#N/A</v>
      </c>
      <c r="V298" s="119"/>
    </row>
    <row r="299" spans="2:22">
      <c r="B299" s="47"/>
      <c r="C299" s="35"/>
      <c r="D299" s="53"/>
      <c r="E299" s="53"/>
      <c r="F299" s="48"/>
      <c r="G299" s="243" t="e">
        <f>INDEX('calcolo base'!$B:$B, MATCH($A299, 'calcolo base'!$A:$A, 0))</f>
        <v>#N/A</v>
      </c>
      <c r="H299" s="54" t="e">
        <f t="shared" si="75"/>
        <v>#N/A</v>
      </c>
      <c r="I299" s="259" t="e">
        <f>IF(  OR(      INDEX('calcolo base'!$D:$D, MATCH($A299, 'calcolo base'!$A:$A, 0)) = 0,
      INDEX('calcolo base'!$D:$D, MATCH($A299, 'calcolo base'!$A:$A, 0)) = ""   ),
   INDEX('calcolo base'!$K:$K, MATCH($A299, 'calcolo base'!$A:$A, 0)),
   INDEX('calcolo base'!$J:$J, MATCH($A299, 'calcolo base'!$A:$A, 0))
) / 1000</f>
        <v>#N/A</v>
      </c>
      <c r="J299" s="50" t="e">
        <f t="shared" si="76"/>
        <v>#N/A</v>
      </c>
      <c r="K299" s="50"/>
      <c r="L299" s="267" t="e">
        <f>INDEX('calcolo base'!$H:$H, MATCH($A299, 'calcolo base'!$A:$A, 0))</f>
        <v>#N/A</v>
      </c>
      <c r="M299" s="50" t="e">
        <f t="shared" si="77"/>
        <v>#N/A</v>
      </c>
      <c r="N299" s="50" t="e">
        <f t="shared" si="78"/>
        <v>#N/A</v>
      </c>
      <c r="O299" s="50" t="e">
        <f t="shared" si="79"/>
        <v>#N/A</v>
      </c>
      <c r="P299" s="50" t="e">
        <f t="shared" si="80"/>
        <v>#N/A</v>
      </c>
      <c r="Q299" s="51" t="e">
        <f t="shared" si="81"/>
        <v>#N/A</v>
      </c>
      <c r="R299" s="205" t="e">
        <f t="shared" si="82"/>
        <v>#N/A</v>
      </c>
      <c r="S299" s="279" t="e">
        <f>IF(R299="si",0,IF(E299="si",0,IF(J299&gt;K299,0,+K299-J299)))+IF('calcolo base'!P1759="SI",('Commissioni De Angeli'!K299-'Commissioni De Angeli'!J299),0)</f>
        <v>#N/A</v>
      </c>
      <c r="T299" s="117" t="e">
        <f t="shared" si="83"/>
        <v>#N/A</v>
      </c>
      <c r="U299" s="272" t="e">
        <f>IF(Q299=0,'calcolo base'!L2898,(T299+Q299))</f>
        <v>#N/A</v>
      </c>
      <c r="V299" s="119"/>
    </row>
    <row r="300" spans="2:22">
      <c r="B300" s="47"/>
      <c r="C300" s="35"/>
      <c r="D300" s="53"/>
      <c r="E300" s="53"/>
      <c r="F300" s="48"/>
      <c r="G300" s="243" t="e">
        <f>INDEX('calcolo base'!$B:$B, MATCH($A300, 'calcolo base'!$A:$A, 0))</f>
        <v>#N/A</v>
      </c>
      <c r="H300" s="54" t="e">
        <f t="shared" ref="H300:H363" si="84">IF(G300=0,"",+G300)</f>
        <v>#N/A</v>
      </c>
      <c r="I300" s="259" t="e">
        <f>IF(  OR(      INDEX('calcolo base'!$D:$D, MATCH($A300, 'calcolo base'!$A:$A, 0)) = 0,
      INDEX('calcolo base'!$D:$D, MATCH($A300, 'calcolo base'!$A:$A, 0)) = ""   ),
   INDEX('calcolo base'!$K:$K, MATCH($A300, 'calcolo base'!$A:$A, 0)),
   INDEX('calcolo base'!$J:$J, MATCH($A300, 'calcolo base'!$A:$A, 0))
) / 1000</f>
        <v>#N/A</v>
      </c>
      <c r="J300" s="50" t="e">
        <f t="shared" ref="J300:J363" si="85">+F300+I300</f>
        <v>#N/A</v>
      </c>
      <c r="K300" s="50"/>
      <c r="L300" s="267" t="e">
        <f>INDEX('calcolo base'!$H:$H, MATCH($A300, 'calcolo base'!$A:$A, 0))</f>
        <v>#N/A</v>
      </c>
      <c r="M300" s="50" t="e">
        <f t="shared" ref="M300:M363" si="86">IF(L300=0,0,J300*L300)</f>
        <v>#N/A</v>
      </c>
      <c r="N300" s="50" t="e">
        <f t="shared" ref="N300:N363" si="87">IF(E300="si",K300*1.5%,IF($L300&gt;=5%,IF($I300=0,0,(IF($G300="RAME",($J300)*1.5%,0)+IF($G300="rame smaltato",($K300)*1.5%,0))),0))</f>
        <v>#N/A</v>
      </c>
      <c r="O300" s="50" t="e">
        <f t="shared" ref="O300:O363" si="88">IF($I300=0,0,(IF($G300="alluminio",($J300)*3%,0)+IF($G300="alluminio smaltato",($K300)*3%,0)))</f>
        <v>#N/A</v>
      </c>
      <c r="P300" s="50" t="e">
        <f t="shared" ref="P300:P363" si="89">IF(H300="alluminio",0,IF(L300&lt;5%,F300*8%,0))</f>
        <v>#N/A</v>
      </c>
      <c r="Q300" s="51" t="e">
        <f t="shared" ref="Q300:Q363" si="90">+(N300*D300)+(O300*D300)+(P300*D300)</f>
        <v>#N/A</v>
      </c>
      <c r="R300" s="205" t="e">
        <f t="shared" ref="R300:R363" si="91">IF(H300="ALLUMINIO",0,IF(L300&lt;5%,"si",0))</f>
        <v>#N/A</v>
      </c>
      <c r="S300" s="279" t="e">
        <f>IF(R300="si",0,IF(E300="si",0,IF(J300&gt;K300,0,+K300-J300)))+IF('calcolo base'!P1760="SI",('Commissioni De Angeli'!K300-'Commissioni De Angeli'!J300),0)</f>
        <v>#N/A</v>
      </c>
      <c r="T300" s="117" t="e">
        <f t="shared" ref="T300:T363" si="92">+(S300)*D300*40%</f>
        <v>#N/A</v>
      </c>
      <c r="U300" s="272" t="e">
        <f>IF(Q300=0,'calcolo base'!L2899,(T300+Q300))</f>
        <v>#N/A</v>
      </c>
      <c r="V300" s="119"/>
    </row>
    <row r="301" spans="2:22">
      <c r="B301" s="47"/>
      <c r="C301" s="35"/>
      <c r="D301" s="53"/>
      <c r="E301" s="53"/>
      <c r="F301" s="48"/>
      <c r="G301" s="243" t="e">
        <f>INDEX('calcolo base'!$B:$B, MATCH($A301, 'calcolo base'!$A:$A, 0))</f>
        <v>#N/A</v>
      </c>
      <c r="H301" s="54" t="e">
        <f t="shared" si="84"/>
        <v>#N/A</v>
      </c>
      <c r="I301" s="259" t="e">
        <f>IF(  OR(      INDEX('calcolo base'!$D:$D, MATCH($A301, 'calcolo base'!$A:$A, 0)) = 0,
      INDEX('calcolo base'!$D:$D, MATCH($A301, 'calcolo base'!$A:$A, 0)) = ""   ),
   INDEX('calcolo base'!$K:$K, MATCH($A301, 'calcolo base'!$A:$A, 0)),
   INDEX('calcolo base'!$J:$J, MATCH($A301, 'calcolo base'!$A:$A, 0))
) / 1000</f>
        <v>#N/A</v>
      </c>
      <c r="J301" s="50" t="e">
        <f t="shared" si="85"/>
        <v>#N/A</v>
      </c>
      <c r="K301" s="50"/>
      <c r="L301" s="267" t="e">
        <f>INDEX('calcolo base'!$H:$H, MATCH($A301, 'calcolo base'!$A:$A, 0))</f>
        <v>#N/A</v>
      </c>
      <c r="M301" s="50" t="e">
        <f t="shared" si="86"/>
        <v>#N/A</v>
      </c>
      <c r="N301" s="50" t="e">
        <f t="shared" si="87"/>
        <v>#N/A</v>
      </c>
      <c r="O301" s="50" t="e">
        <f t="shared" si="88"/>
        <v>#N/A</v>
      </c>
      <c r="P301" s="50" t="e">
        <f t="shared" si="89"/>
        <v>#N/A</v>
      </c>
      <c r="Q301" s="51" t="e">
        <f t="shared" si="90"/>
        <v>#N/A</v>
      </c>
      <c r="R301" s="205" t="e">
        <f t="shared" si="91"/>
        <v>#N/A</v>
      </c>
      <c r="S301" s="279" t="e">
        <f>IF(R301="si",0,IF(E301="si",0,IF(J301&gt;K301,0,+K301-J301)))+IF('calcolo base'!P1761="SI",('Commissioni De Angeli'!K301-'Commissioni De Angeli'!J301),0)</f>
        <v>#N/A</v>
      </c>
      <c r="T301" s="117" t="e">
        <f t="shared" si="92"/>
        <v>#N/A</v>
      </c>
      <c r="U301" s="272" t="e">
        <f>IF(Q301=0,'calcolo base'!L2900,(T301+Q301))</f>
        <v>#N/A</v>
      </c>
      <c r="V301" s="119"/>
    </row>
    <row r="302" spans="2:22">
      <c r="B302" s="47"/>
      <c r="C302" s="35"/>
      <c r="D302" s="53"/>
      <c r="E302" s="53"/>
      <c r="F302" s="48"/>
      <c r="G302" s="243" t="e">
        <f>INDEX('calcolo base'!$B:$B, MATCH($A302, 'calcolo base'!$A:$A, 0))</f>
        <v>#N/A</v>
      </c>
      <c r="H302" s="54" t="e">
        <f t="shared" si="84"/>
        <v>#N/A</v>
      </c>
      <c r="I302" s="259" t="e">
        <f>IF(  OR(      INDEX('calcolo base'!$D:$D, MATCH($A302, 'calcolo base'!$A:$A, 0)) = 0,
      INDEX('calcolo base'!$D:$D, MATCH($A302, 'calcolo base'!$A:$A, 0)) = ""   ),
   INDEX('calcolo base'!$K:$K, MATCH($A302, 'calcolo base'!$A:$A, 0)),
   INDEX('calcolo base'!$J:$J, MATCH($A302, 'calcolo base'!$A:$A, 0))
) / 1000</f>
        <v>#N/A</v>
      </c>
      <c r="J302" s="50" t="e">
        <f t="shared" si="85"/>
        <v>#N/A</v>
      </c>
      <c r="K302" s="50"/>
      <c r="L302" s="267" t="e">
        <f>INDEX('calcolo base'!$H:$H, MATCH($A302, 'calcolo base'!$A:$A, 0))</f>
        <v>#N/A</v>
      </c>
      <c r="M302" s="50" t="e">
        <f t="shared" si="86"/>
        <v>#N/A</v>
      </c>
      <c r="N302" s="50" t="e">
        <f t="shared" si="87"/>
        <v>#N/A</v>
      </c>
      <c r="O302" s="50" t="e">
        <f t="shared" si="88"/>
        <v>#N/A</v>
      </c>
      <c r="P302" s="50" t="e">
        <f t="shared" si="89"/>
        <v>#N/A</v>
      </c>
      <c r="Q302" s="51" t="e">
        <f t="shared" si="90"/>
        <v>#N/A</v>
      </c>
      <c r="R302" s="205" t="e">
        <f t="shared" si="91"/>
        <v>#N/A</v>
      </c>
      <c r="S302" s="279" t="e">
        <f>IF(R302="si",0,IF(E302="si",0,IF(J302&gt;K302,0,+K302-J302)))+IF('calcolo base'!P1762="SI",('Commissioni De Angeli'!K302-'Commissioni De Angeli'!J302),0)</f>
        <v>#N/A</v>
      </c>
      <c r="T302" s="117" t="e">
        <f t="shared" si="92"/>
        <v>#N/A</v>
      </c>
      <c r="U302" s="272" t="e">
        <f>IF(Q302=0,'calcolo base'!L2901,(T302+Q302))</f>
        <v>#N/A</v>
      </c>
      <c r="V302" s="119"/>
    </row>
    <row r="303" spans="2:22">
      <c r="B303" s="47"/>
      <c r="C303" s="35"/>
      <c r="D303" s="53"/>
      <c r="E303" s="53"/>
      <c r="F303" s="48"/>
      <c r="G303" s="243" t="e">
        <f>INDEX('calcolo base'!$B:$B, MATCH($A303, 'calcolo base'!$A:$A, 0))</f>
        <v>#N/A</v>
      </c>
      <c r="H303" s="54" t="e">
        <f t="shared" si="84"/>
        <v>#N/A</v>
      </c>
      <c r="I303" s="259" t="e">
        <f>IF(  OR(      INDEX('calcolo base'!$D:$D, MATCH($A303, 'calcolo base'!$A:$A, 0)) = 0,
      INDEX('calcolo base'!$D:$D, MATCH($A303, 'calcolo base'!$A:$A, 0)) = ""   ),
   INDEX('calcolo base'!$K:$K, MATCH($A303, 'calcolo base'!$A:$A, 0)),
   INDEX('calcolo base'!$J:$J, MATCH($A303, 'calcolo base'!$A:$A, 0))
) / 1000</f>
        <v>#N/A</v>
      </c>
      <c r="J303" s="50" t="e">
        <f t="shared" si="85"/>
        <v>#N/A</v>
      </c>
      <c r="K303" s="50"/>
      <c r="L303" s="267" t="e">
        <f>INDEX('calcolo base'!$H:$H, MATCH($A303, 'calcolo base'!$A:$A, 0))</f>
        <v>#N/A</v>
      </c>
      <c r="M303" s="50" t="e">
        <f t="shared" si="86"/>
        <v>#N/A</v>
      </c>
      <c r="N303" s="50" t="e">
        <f t="shared" si="87"/>
        <v>#N/A</v>
      </c>
      <c r="O303" s="50" t="e">
        <f t="shared" si="88"/>
        <v>#N/A</v>
      </c>
      <c r="P303" s="50" t="e">
        <f t="shared" si="89"/>
        <v>#N/A</v>
      </c>
      <c r="Q303" s="51" t="e">
        <f t="shared" si="90"/>
        <v>#N/A</v>
      </c>
      <c r="R303" s="205" t="e">
        <f t="shared" si="91"/>
        <v>#N/A</v>
      </c>
      <c r="S303" s="279" t="e">
        <f>IF(R303="si",0,IF(E303="si",0,IF(J303&gt;K303,0,+K303-J303)))+IF('calcolo base'!P1763="SI",('Commissioni De Angeli'!K303-'Commissioni De Angeli'!J303),0)</f>
        <v>#N/A</v>
      </c>
      <c r="T303" s="117" t="e">
        <f t="shared" si="92"/>
        <v>#N/A</v>
      </c>
      <c r="U303" s="272" t="e">
        <f>IF(Q303=0,'calcolo base'!L2902,(T303+Q303))</f>
        <v>#N/A</v>
      </c>
      <c r="V303" s="119"/>
    </row>
    <row r="304" spans="2:22">
      <c r="B304" s="47"/>
      <c r="C304" s="35"/>
      <c r="D304" s="53"/>
      <c r="E304" s="53"/>
      <c r="F304" s="48"/>
      <c r="G304" s="243" t="e">
        <f>INDEX('calcolo base'!$B:$B, MATCH($A304, 'calcolo base'!$A:$A, 0))</f>
        <v>#N/A</v>
      </c>
      <c r="H304" s="54" t="e">
        <f t="shared" si="84"/>
        <v>#N/A</v>
      </c>
      <c r="I304" s="259" t="e">
        <f>IF(  OR(      INDEX('calcolo base'!$D:$D, MATCH($A304, 'calcolo base'!$A:$A, 0)) = 0,
      INDEX('calcolo base'!$D:$D, MATCH($A304, 'calcolo base'!$A:$A, 0)) = ""   ),
   INDEX('calcolo base'!$K:$K, MATCH($A304, 'calcolo base'!$A:$A, 0)),
   INDEX('calcolo base'!$J:$J, MATCH($A304, 'calcolo base'!$A:$A, 0))
) / 1000</f>
        <v>#N/A</v>
      </c>
      <c r="J304" s="50" t="e">
        <f t="shared" si="85"/>
        <v>#N/A</v>
      </c>
      <c r="K304" s="50"/>
      <c r="L304" s="267" t="e">
        <f>INDEX('calcolo base'!$H:$H, MATCH($A304, 'calcolo base'!$A:$A, 0))</f>
        <v>#N/A</v>
      </c>
      <c r="M304" s="50" t="e">
        <f t="shared" si="86"/>
        <v>#N/A</v>
      </c>
      <c r="N304" s="50" t="e">
        <f t="shared" si="87"/>
        <v>#N/A</v>
      </c>
      <c r="O304" s="50" t="e">
        <f t="shared" si="88"/>
        <v>#N/A</v>
      </c>
      <c r="P304" s="50" t="e">
        <f t="shared" si="89"/>
        <v>#N/A</v>
      </c>
      <c r="Q304" s="51" t="e">
        <f t="shared" si="90"/>
        <v>#N/A</v>
      </c>
      <c r="R304" s="205" t="e">
        <f t="shared" si="91"/>
        <v>#N/A</v>
      </c>
      <c r="S304" s="279" t="e">
        <f>IF(R304="si",0,IF(E304="si",0,IF(J304&gt;K304,0,+K304-J304)))+IF('calcolo base'!P1764="SI",('Commissioni De Angeli'!K304-'Commissioni De Angeli'!J304),0)</f>
        <v>#N/A</v>
      </c>
      <c r="T304" s="117" t="e">
        <f t="shared" si="92"/>
        <v>#N/A</v>
      </c>
      <c r="U304" s="272" t="e">
        <f>IF(Q304=0,'calcolo base'!L2903,(T304+Q304))</f>
        <v>#N/A</v>
      </c>
      <c r="V304" s="119"/>
    </row>
    <row r="305" spans="2:22">
      <c r="B305" s="47"/>
      <c r="C305" s="35"/>
      <c r="D305" s="53"/>
      <c r="E305" s="53"/>
      <c r="F305" s="48"/>
      <c r="G305" s="243" t="e">
        <f>INDEX('calcolo base'!$B:$B, MATCH($A305, 'calcolo base'!$A:$A, 0))</f>
        <v>#N/A</v>
      </c>
      <c r="H305" s="54" t="e">
        <f t="shared" si="84"/>
        <v>#N/A</v>
      </c>
      <c r="I305" s="259" t="e">
        <f>IF(  OR(      INDEX('calcolo base'!$D:$D, MATCH($A305, 'calcolo base'!$A:$A, 0)) = 0,
      INDEX('calcolo base'!$D:$D, MATCH($A305, 'calcolo base'!$A:$A, 0)) = ""   ),
   INDEX('calcolo base'!$K:$K, MATCH($A305, 'calcolo base'!$A:$A, 0)),
   INDEX('calcolo base'!$J:$J, MATCH($A305, 'calcolo base'!$A:$A, 0))
) / 1000</f>
        <v>#N/A</v>
      </c>
      <c r="J305" s="50" t="e">
        <f t="shared" si="85"/>
        <v>#N/A</v>
      </c>
      <c r="K305" s="50"/>
      <c r="L305" s="267" t="e">
        <f>INDEX('calcolo base'!$H:$H, MATCH($A305, 'calcolo base'!$A:$A, 0))</f>
        <v>#N/A</v>
      </c>
      <c r="M305" s="50" t="e">
        <f t="shared" si="86"/>
        <v>#N/A</v>
      </c>
      <c r="N305" s="50" t="e">
        <f t="shared" si="87"/>
        <v>#N/A</v>
      </c>
      <c r="O305" s="50" t="e">
        <f t="shared" si="88"/>
        <v>#N/A</v>
      </c>
      <c r="P305" s="50" t="e">
        <f t="shared" si="89"/>
        <v>#N/A</v>
      </c>
      <c r="Q305" s="51" t="e">
        <f t="shared" si="90"/>
        <v>#N/A</v>
      </c>
      <c r="R305" s="205" t="e">
        <f t="shared" si="91"/>
        <v>#N/A</v>
      </c>
      <c r="S305" s="279" t="e">
        <f>IF(R305="si",0,IF(E305="si",0,IF(J305&gt;K305,0,+K305-J305)))+IF('calcolo base'!P1765="SI",('Commissioni De Angeli'!K305-'Commissioni De Angeli'!J305),0)</f>
        <v>#N/A</v>
      </c>
      <c r="T305" s="117" t="e">
        <f t="shared" si="92"/>
        <v>#N/A</v>
      </c>
      <c r="U305" s="272" t="e">
        <f>IF(Q305=0,'calcolo base'!L2904,(T305+Q305))</f>
        <v>#N/A</v>
      </c>
      <c r="V305" s="119"/>
    </row>
    <row r="306" spans="2:22">
      <c r="B306" s="47"/>
      <c r="C306" s="35"/>
      <c r="D306" s="53"/>
      <c r="E306" s="53"/>
      <c r="F306" s="48"/>
      <c r="G306" s="243" t="e">
        <f>INDEX('calcolo base'!$B:$B, MATCH($A306, 'calcolo base'!$A:$A, 0))</f>
        <v>#N/A</v>
      </c>
      <c r="H306" s="54" t="e">
        <f t="shared" si="84"/>
        <v>#N/A</v>
      </c>
      <c r="I306" s="259" t="e">
        <f>IF(  OR(      INDEX('calcolo base'!$D:$D, MATCH($A306, 'calcolo base'!$A:$A, 0)) = 0,
      INDEX('calcolo base'!$D:$D, MATCH($A306, 'calcolo base'!$A:$A, 0)) = ""   ),
   INDEX('calcolo base'!$K:$K, MATCH($A306, 'calcolo base'!$A:$A, 0)),
   INDEX('calcolo base'!$J:$J, MATCH($A306, 'calcolo base'!$A:$A, 0))
) / 1000</f>
        <v>#N/A</v>
      </c>
      <c r="J306" s="50" t="e">
        <f t="shared" si="85"/>
        <v>#N/A</v>
      </c>
      <c r="K306" s="50"/>
      <c r="L306" s="267" t="e">
        <f>INDEX('calcolo base'!$H:$H, MATCH($A306, 'calcolo base'!$A:$A, 0))</f>
        <v>#N/A</v>
      </c>
      <c r="M306" s="50" t="e">
        <f t="shared" si="86"/>
        <v>#N/A</v>
      </c>
      <c r="N306" s="50" t="e">
        <f t="shared" si="87"/>
        <v>#N/A</v>
      </c>
      <c r="O306" s="50" t="e">
        <f t="shared" si="88"/>
        <v>#N/A</v>
      </c>
      <c r="P306" s="50" t="e">
        <f t="shared" si="89"/>
        <v>#N/A</v>
      </c>
      <c r="Q306" s="51" t="e">
        <f t="shared" si="90"/>
        <v>#N/A</v>
      </c>
      <c r="R306" s="205" t="e">
        <f t="shared" si="91"/>
        <v>#N/A</v>
      </c>
      <c r="S306" s="279" t="e">
        <f>IF(R306="si",0,IF(E306="si",0,IF(J306&gt;K306,0,+K306-J306)))+IF('calcolo base'!P1766="SI",('Commissioni De Angeli'!K306-'Commissioni De Angeli'!J306),0)</f>
        <v>#N/A</v>
      </c>
      <c r="T306" s="117" t="e">
        <f t="shared" si="92"/>
        <v>#N/A</v>
      </c>
      <c r="U306" s="272" t="e">
        <f>IF(Q306=0,'calcolo base'!L2905,(T306+Q306))</f>
        <v>#N/A</v>
      </c>
      <c r="V306" s="119"/>
    </row>
    <row r="307" spans="2:22">
      <c r="B307" s="47"/>
      <c r="C307" s="35"/>
      <c r="D307" s="53"/>
      <c r="E307" s="53"/>
      <c r="F307" s="48"/>
      <c r="G307" s="243" t="e">
        <f>INDEX('calcolo base'!$B:$B, MATCH($A307, 'calcolo base'!$A:$A, 0))</f>
        <v>#N/A</v>
      </c>
      <c r="H307" s="54" t="e">
        <f t="shared" si="84"/>
        <v>#N/A</v>
      </c>
      <c r="I307" s="259" t="e">
        <f>IF(  OR(      INDEX('calcolo base'!$D:$D, MATCH($A307, 'calcolo base'!$A:$A, 0)) = 0,
      INDEX('calcolo base'!$D:$D, MATCH($A307, 'calcolo base'!$A:$A, 0)) = ""   ),
   INDEX('calcolo base'!$K:$K, MATCH($A307, 'calcolo base'!$A:$A, 0)),
   INDEX('calcolo base'!$J:$J, MATCH($A307, 'calcolo base'!$A:$A, 0))
) / 1000</f>
        <v>#N/A</v>
      </c>
      <c r="J307" s="50" t="e">
        <f t="shared" si="85"/>
        <v>#N/A</v>
      </c>
      <c r="K307" s="50"/>
      <c r="L307" s="267" t="e">
        <f>INDEX('calcolo base'!$H:$H, MATCH($A307, 'calcolo base'!$A:$A, 0))</f>
        <v>#N/A</v>
      </c>
      <c r="M307" s="50" t="e">
        <f t="shared" si="86"/>
        <v>#N/A</v>
      </c>
      <c r="N307" s="50" t="e">
        <f t="shared" si="87"/>
        <v>#N/A</v>
      </c>
      <c r="O307" s="50" t="e">
        <f t="shared" si="88"/>
        <v>#N/A</v>
      </c>
      <c r="P307" s="50" t="e">
        <f t="shared" si="89"/>
        <v>#N/A</v>
      </c>
      <c r="Q307" s="51" t="e">
        <f t="shared" si="90"/>
        <v>#N/A</v>
      </c>
      <c r="R307" s="205" t="e">
        <f t="shared" si="91"/>
        <v>#N/A</v>
      </c>
      <c r="S307" s="279" t="e">
        <f>IF(R307="si",0,IF(E307="si",0,IF(J307&gt;K307,0,+K307-J307)))+IF('calcolo base'!P1767="SI",('Commissioni De Angeli'!K307-'Commissioni De Angeli'!J307),0)</f>
        <v>#N/A</v>
      </c>
      <c r="T307" s="117" t="e">
        <f t="shared" si="92"/>
        <v>#N/A</v>
      </c>
      <c r="U307" s="272" t="e">
        <f>IF(Q307=0,'calcolo base'!L2906,(T307+Q307))</f>
        <v>#N/A</v>
      </c>
      <c r="V307" s="119"/>
    </row>
    <row r="308" spans="2:22">
      <c r="B308" s="47"/>
      <c r="C308" s="35"/>
      <c r="D308" s="53"/>
      <c r="E308" s="53"/>
      <c r="F308" s="48"/>
      <c r="G308" s="243" t="e">
        <f>INDEX('calcolo base'!$B:$B, MATCH($A308, 'calcolo base'!$A:$A, 0))</f>
        <v>#N/A</v>
      </c>
      <c r="H308" s="54" t="e">
        <f t="shared" si="84"/>
        <v>#N/A</v>
      </c>
      <c r="I308" s="259" t="e">
        <f>IF(  OR(      INDEX('calcolo base'!$D:$D, MATCH($A308, 'calcolo base'!$A:$A, 0)) = 0,
      INDEX('calcolo base'!$D:$D, MATCH($A308, 'calcolo base'!$A:$A, 0)) = ""   ),
   INDEX('calcolo base'!$K:$K, MATCH($A308, 'calcolo base'!$A:$A, 0)),
   INDEX('calcolo base'!$J:$J, MATCH($A308, 'calcolo base'!$A:$A, 0))
) / 1000</f>
        <v>#N/A</v>
      </c>
      <c r="J308" s="50" t="e">
        <f t="shared" si="85"/>
        <v>#N/A</v>
      </c>
      <c r="K308" s="50"/>
      <c r="L308" s="267" t="e">
        <f>INDEX('calcolo base'!$H:$H, MATCH($A308, 'calcolo base'!$A:$A, 0))</f>
        <v>#N/A</v>
      </c>
      <c r="M308" s="50" t="e">
        <f t="shared" si="86"/>
        <v>#N/A</v>
      </c>
      <c r="N308" s="50" t="e">
        <f t="shared" si="87"/>
        <v>#N/A</v>
      </c>
      <c r="O308" s="50" t="e">
        <f t="shared" si="88"/>
        <v>#N/A</v>
      </c>
      <c r="P308" s="50" t="e">
        <f t="shared" si="89"/>
        <v>#N/A</v>
      </c>
      <c r="Q308" s="51" t="e">
        <f t="shared" si="90"/>
        <v>#N/A</v>
      </c>
      <c r="R308" s="205" t="e">
        <f t="shared" si="91"/>
        <v>#N/A</v>
      </c>
      <c r="S308" s="279" t="e">
        <f>IF(R308="si",0,IF(E308="si",0,IF(J308&gt;K308,0,+K308-J308)))+IF('calcolo base'!P1768="SI",('Commissioni De Angeli'!K308-'Commissioni De Angeli'!J308),0)</f>
        <v>#N/A</v>
      </c>
      <c r="T308" s="117" t="e">
        <f t="shared" si="92"/>
        <v>#N/A</v>
      </c>
      <c r="U308" s="272" t="e">
        <f>IF(Q308=0,'calcolo base'!L2907,(T308+Q308))</f>
        <v>#N/A</v>
      </c>
      <c r="V308" s="119"/>
    </row>
    <row r="309" spans="2:22">
      <c r="B309" s="47"/>
      <c r="C309" s="35"/>
      <c r="D309" s="53"/>
      <c r="E309" s="53"/>
      <c r="F309" s="48"/>
      <c r="G309" s="243" t="e">
        <f>INDEX('calcolo base'!$B:$B, MATCH($A309, 'calcolo base'!$A:$A, 0))</f>
        <v>#N/A</v>
      </c>
      <c r="H309" s="54" t="e">
        <f t="shared" si="84"/>
        <v>#N/A</v>
      </c>
      <c r="I309" s="259" t="e">
        <f>IF(  OR(      INDEX('calcolo base'!$D:$D, MATCH($A309, 'calcolo base'!$A:$A, 0)) = 0,
      INDEX('calcolo base'!$D:$D, MATCH($A309, 'calcolo base'!$A:$A, 0)) = ""   ),
   INDEX('calcolo base'!$K:$K, MATCH($A309, 'calcolo base'!$A:$A, 0)),
   INDEX('calcolo base'!$J:$J, MATCH($A309, 'calcolo base'!$A:$A, 0))
) / 1000</f>
        <v>#N/A</v>
      </c>
      <c r="J309" s="50" t="e">
        <f t="shared" si="85"/>
        <v>#N/A</v>
      </c>
      <c r="K309" s="50"/>
      <c r="L309" s="267" t="e">
        <f>INDEX('calcolo base'!$H:$H, MATCH($A309, 'calcolo base'!$A:$A, 0))</f>
        <v>#N/A</v>
      </c>
      <c r="M309" s="50" t="e">
        <f t="shared" si="86"/>
        <v>#N/A</v>
      </c>
      <c r="N309" s="50" t="e">
        <f t="shared" si="87"/>
        <v>#N/A</v>
      </c>
      <c r="O309" s="50" t="e">
        <f t="shared" si="88"/>
        <v>#N/A</v>
      </c>
      <c r="P309" s="50" t="e">
        <f t="shared" si="89"/>
        <v>#N/A</v>
      </c>
      <c r="Q309" s="51" t="e">
        <f t="shared" si="90"/>
        <v>#N/A</v>
      </c>
      <c r="R309" s="205" t="e">
        <f t="shared" si="91"/>
        <v>#N/A</v>
      </c>
      <c r="S309" s="279" t="e">
        <f>IF(R309="si",0,IF(E309="si",0,IF(J309&gt;K309,0,+K309-J309)))+IF('calcolo base'!P1769="SI",('Commissioni De Angeli'!K309-'Commissioni De Angeli'!J309),0)</f>
        <v>#N/A</v>
      </c>
      <c r="T309" s="117" t="e">
        <f t="shared" si="92"/>
        <v>#N/A</v>
      </c>
      <c r="U309" s="272" t="e">
        <f>IF(Q309=0,'calcolo base'!L2908,(T309+Q309))</f>
        <v>#N/A</v>
      </c>
      <c r="V309" s="119"/>
    </row>
    <row r="310" spans="2:22">
      <c r="B310" s="47"/>
      <c r="C310" s="35"/>
      <c r="D310" s="53"/>
      <c r="E310" s="53"/>
      <c r="F310" s="48"/>
      <c r="G310" s="243" t="e">
        <f>INDEX('calcolo base'!$B:$B, MATCH($A310, 'calcolo base'!$A:$A, 0))</f>
        <v>#N/A</v>
      </c>
      <c r="H310" s="54" t="e">
        <f t="shared" si="84"/>
        <v>#N/A</v>
      </c>
      <c r="I310" s="259" t="e">
        <f>IF(  OR(      INDEX('calcolo base'!$D:$D, MATCH($A310, 'calcolo base'!$A:$A, 0)) = 0,
      INDEX('calcolo base'!$D:$D, MATCH($A310, 'calcolo base'!$A:$A, 0)) = ""   ),
   INDEX('calcolo base'!$K:$K, MATCH($A310, 'calcolo base'!$A:$A, 0)),
   INDEX('calcolo base'!$J:$J, MATCH($A310, 'calcolo base'!$A:$A, 0))
) / 1000</f>
        <v>#N/A</v>
      </c>
      <c r="J310" s="50" t="e">
        <f t="shared" si="85"/>
        <v>#N/A</v>
      </c>
      <c r="K310" s="50"/>
      <c r="L310" s="267" t="e">
        <f>INDEX('calcolo base'!$H:$H, MATCH($A310, 'calcolo base'!$A:$A, 0))</f>
        <v>#N/A</v>
      </c>
      <c r="M310" s="50" t="e">
        <f t="shared" si="86"/>
        <v>#N/A</v>
      </c>
      <c r="N310" s="50" t="e">
        <f t="shared" si="87"/>
        <v>#N/A</v>
      </c>
      <c r="O310" s="50" t="e">
        <f t="shared" si="88"/>
        <v>#N/A</v>
      </c>
      <c r="P310" s="50" t="e">
        <f t="shared" si="89"/>
        <v>#N/A</v>
      </c>
      <c r="Q310" s="51" t="e">
        <f t="shared" si="90"/>
        <v>#N/A</v>
      </c>
      <c r="R310" s="205" t="e">
        <f t="shared" si="91"/>
        <v>#N/A</v>
      </c>
      <c r="S310" s="279" t="e">
        <f>IF(R310="si",0,IF(E310="si",0,IF(J310&gt;K310,0,+K310-J310)))+IF('calcolo base'!P1770="SI",('Commissioni De Angeli'!K310-'Commissioni De Angeli'!J310),0)</f>
        <v>#N/A</v>
      </c>
      <c r="T310" s="117" t="e">
        <f t="shared" si="92"/>
        <v>#N/A</v>
      </c>
      <c r="U310" s="272" t="e">
        <f>IF(Q310=0,'calcolo base'!L2909,(T310+Q310))</f>
        <v>#N/A</v>
      </c>
      <c r="V310" s="119"/>
    </row>
    <row r="311" spans="2:22">
      <c r="B311" s="47"/>
      <c r="C311" s="35"/>
      <c r="D311" s="53"/>
      <c r="E311" s="53"/>
      <c r="F311" s="48"/>
      <c r="G311" s="243" t="e">
        <f>INDEX('calcolo base'!$B:$B, MATCH($A311, 'calcolo base'!$A:$A, 0))</f>
        <v>#N/A</v>
      </c>
      <c r="H311" s="54" t="e">
        <f t="shared" si="84"/>
        <v>#N/A</v>
      </c>
      <c r="I311" s="259" t="e">
        <f>IF(  OR(      INDEX('calcolo base'!$D:$D, MATCH($A311, 'calcolo base'!$A:$A, 0)) = 0,
      INDEX('calcolo base'!$D:$D, MATCH($A311, 'calcolo base'!$A:$A, 0)) = ""   ),
   INDEX('calcolo base'!$K:$K, MATCH($A311, 'calcolo base'!$A:$A, 0)),
   INDEX('calcolo base'!$J:$J, MATCH($A311, 'calcolo base'!$A:$A, 0))
) / 1000</f>
        <v>#N/A</v>
      </c>
      <c r="J311" s="50" t="e">
        <f t="shared" si="85"/>
        <v>#N/A</v>
      </c>
      <c r="K311" s="50"/>
      <c r="L311" s="267" t="e">
        <f>INDEX('calcolo base'!$H:$H, MATCH($A311, 'calcolo base'!$A:$A, 0))</f>
        <v>#N/A</v>
      </c>
      <c r="M311" s="50" t="e">
        <f t="shared" si="86"/>
        <v>#N/A</v>
      </c>
      <c r="N311" s="50" t="e">
        <f t="shared" si="87"/>
        <v>#N/A</v>
      </c>
      <c r="O311" s="50" t="e">
        <f t="shared" si="88"/>
        <v>#N/A</v>
      </c>
      <c r="P311" s="50" t="e">
        <f t="shared" si="89"/>
        <v>#N/A</v>
      </c>
      <c r="Q311" s="51" t="e">
        <f t="shared" si="90"/>
        <v>#N/A</v>
      </c>
      <c r="R311" s="205" t="e">
        <f t="shared" si="91"/>
        <v>#N/A</v>
      </c>
      <c r="S311" s="279" t="e">
        <f>IF(R311="si",0,IF(E311="si",0,IF(J311&gt;K311,0,+K311-J311)))+IF('calcolo base'!P1771="SI",('Commissioni De Angeli'!K311-'Commissioni De Angeli'!J311),0)</f>
        <v>#N/A</v>
      </c>
      <c r="T311" s="117" t="e">
        <f t="shared" si="92"/>
        <v>#N/A</v>
      </c>
      <c r="U311" s="272" t="e">
        <f>IF(Q311=0,'calcolo base'!L2910,(T311+Q311))</f>
        <v>#N/A</v>
      </c>
      <c r="V311" s="119"/>
    </row>
    <row r="312" spans="2:22">
      <c r="B312" s="47"/>
      <c r="C312" s="35"/>
      <c r="D312" s="53"/>
      <c r="E312" s="53"/>
      <c r="F312" s="48"/>
      <c r="G312" s="243" t="e">
        <f>INDEX('calcolo base'!$B:$B, MATCH($A312, 'calcolo base'!$A:$A, 0))</f>
        <v>#N/A</v>
      </c>
      <c r="H312" s="54" t="e">
        <f t="shared" si="84"/>
        <v>#N/A</v>
      </c>
      <c r="I312" s="259" t="e">
        <f>IF(  OR(      INDEX('calcolo base'!$D:$D, MATCH($A312, 'calcolo base'!$A:$A, 0)) = 0,
      INDEX('calcolo base'!$D:$D, MATCH($A312, 'calcolo base'!$A:$A, 0)) = ""   ),
   INDEX('calcolo base'!$K:$K, MATCH($A312, 'calcolo base'!$A:$A, 0)),
   INDEX('calcolo base'!$J:$J, MATCH($A312, 'calcolo base'!$A:$A, 0))
) / 1000</f>
        <v>#N/A</v>
      </c>
      <c r="J312" s="50" t="e">
        <f t="shared" si="85"/>
        <v>#N/A</v>
      </c>
      <c r="K312" s="50"/>
      <c r="L312" s="267" t="e">
        <f>INDEX('calcolo base'!$H:$H, MATCH($A312, 'calcolo base'!$A:$A, 0))</f>
        <v>#N/A</v>
      </c>
      <c r="M312" s="50" t="e">
        <f t="shared" si="86"/>
        <v>#N/A</v>
      </c>
      <c r="N312" s="50" t="e">
        <f t="shared" si="87"/>
        <v>#N/A</v>
      </c>
      <c r="O312" s="50" t="e">
        <f t="shared" si="88"/>
        <v>#N/A</v>
      </c>
      <c r="P312" s="50" t="e">
        <f t="shared" si="89"/>
        <v>#N/A</v>
      </c>
      <c r="Q312" s="51" t="e">
        <f t="shared" si="90"/>
        <v>#N/A</v>
      </c>
      <c r="R312" s="205" t="e">
        <f t="shared" si="91"/>
        <v>#N/A</v>
      </c>
      <c r="S312" s="279" t="e">
        <f>IF(R312="si",0,IF(E312="si",0,IF(J312&gt;K312,0,+K312-J312)))+IF('calcolo base'!P1772="SI",('Commissioni De Angeli'!K312-'Commissioni De Angeli'!J312),0)</f>
        <v>#N/A</v>
      </c>
      <c r="T312" s="117" t="e">
        <f t="shared" si="92"/>
        <v>#N/A</v>
      </c>
      <c r="U312" s="272" t="e">
        <f>IF(Q312=0,'calcolo base'!L2911,(T312+Q312))</f>
        <v>#N/A</v>
      </c>
      <c r="V312" s="119"/>
    </row>
    <row r="313" spans="2:22">
      <c r="B313" s="47"/>
      <c r="C313" s="35"/>
      <c r="D313" s="53"/>
      <c r="E313" s="53"/>
      <c r="F313" s="48"/>
      <c r="G313" s="243" t="e">
        <f>INDEX('calcolo base'!$B:$B, MATCH($A313, 'calcolo base'!$A:$A, 0))</f>
        <v>#N/A</v>
      </c>
      <c r="H313" s="54" t="e">
        <f t="shared" si="84"/>
        <v>#N/A</v>
      </c>
      <c r="I313" s="259" t="e">
        <f>IF(  OR(      INDEX('calcolo base'!$D:$D, MATCH($A313, 'calcolo base'!$A:$A, 0)) = 0,
      INDEX('calcolo base'!$D:$D, MATCH($A313, 'calcolo base'!$A:$A, 0)) = ""   ),
   INDEX('calcolo base'!$K:$K, MATCH($A313, 'calcolo base'!$A:$A, 0)),
   INDEX('calcolo base'!$J:$J, MATCH($A313, 'calcolo base'!$A:$A, 0))
) / 1000</f>
        <v>#N/A</v>
      </c>
      <c r="J313" s="50" t="e">
        <f t="shared" si="85"/>
        <v>#N/A</v>
      </c>
      <c r="K313" s="50"/>
      <c r="L313" s="267" t="e">
        <f>INDEX('calcolo base'!$H:$H, MATCH($A313, 'calcolo base'!$A:$A, 0))</f>
        <v>#N/A</v>
      </c>
      <c r="M313" s="50" t="e">
        <f t="shared" si="86"/>
        <v>#N/A</v>
      </c>
      <c r="N313" s="50" t="e">
        <f t="shared" si="87"/>
        <v>#N/A</v>
      </c>
      <c r="O313" s="50" t="e">
        <f t="shared" si="88"/>
        <v>#N/A</v>
      </c>
      <c r="P313" s="50" t="e">
        <f t="shared" si="89"/>
        <v>#N/A</v>
      </c>
      <c r="Q313" s="51" t="e">
        <f t="shared" si="90"/>
        <v>#N/A</v>
      </c>
      <c r="R313" s="205" t="e">
        <f t="shared" si="91"/>
        <v>#N/A</v>
      </c>
      <c r="S313" s="279" t="e">
        <f>IF(R313="si",0,IF(E313="si",0,IF(J313&gt;K313,0,+K313-J313)))+IF('calcolo base'!P1773="SI",('Commissioni De Angeli'!K313-'Commissioni De Angeli'!J313),0)</f>
        <v>#N/A</v>
      </c>
      <c r="T313" s="117" t="e">
        <f t="shared" si="92"/>
        <v>#N/A</v>
      </c>
      <c r="U313" s="272" t="e">
        <f>IF(Q313=0,'calcolo base'!L2912,(T313+Q313))</f>
        <v>#N/A</v>
      </c>
      <c r="V313" s="119"/>
    </row>
    <row r="314" spans="2:22">
      <c r="B314" s="47"/>
      <c r="C314" s="35"/>
      <c r="D314" s="53"/>
      <c r="E314" s="53"/>
      <c r="F314" s="48"/>
      <c r="G314" s="243" t="e">
        <f>INDEX('calcolo base'!$B:$B, MATCH($A314, 'calcolo base'!$A:$A, 0))</f>
        <v>#N/A</v>
      </c>
      <c r="H314" s="54" t="e">
        <f t="shared" si="84"/>
        <v>#N/A</v>
      </c>
      <c r="I314" s="259" t="e">
        <f>IF(  OR(      INDEX('calcolo base'!$D:$D, MATCH($A314, 'calcolo base'!$A:$A, 0)) = 0,
      INDEX('calcolo base'!$D:$D, MATCH($A314, 'calcolo base'!$A:$A, 0)) = ""   ),
   INDEX('calcolo base'!$K:$K, MATCH($A314, 'calcolo base'!$A:$A, 0)),
   INDEX('calcolo base'!$J:$J, MATCH($A314, 'calcolo base'!$A:$A, 0))
) / 1000</f>
        <v>#N/A</v>
      </c>
      <c r="J314" s="50" t="e">
        <f t="shared" si="85"/>
        <v>#N/A</v>
      </c>
      <c r="K314" s="50"/>
      <c r="L314" s="267" t="e">
        <f>INDEX('calcolo base'!$H:$H, MATCH($A314, 'calcolo base'!$A:$A, 0))</f>
        <v>#N/A</v>
      </c>
      <c r="M314" s="50" t="e">
        <f t="shared" si="86"/>
        <v>#N/A</v>
      </c>
      <c r="N314" s="50" t="e">
        <f t="shared" si="87"/>
        <v>#N/A</v>
      </c>
      <c r="O314" s="50" t="e">
        <f t="shared" si="88"/>
        <v>#N/A</v>
      </c>
      <c r="P314" s="50" t="e">
        <f t="shared" si="89"/>
        <v>#N/A</v>
      </c>
      <c r="Q314" s="51" t="e">
        <f t="shared" si="90"/>
        <v>#N/A</v>
      </c>
      <c r="R314" s="205" t="e">
        <f t="shared" si="91"/>
        <v>#N/A</v>
      </c>
      <c r="S314" s="279" t="e">
        <f>IF(R314="si",0,IF(E314="si",0,IF(J314&gt;K314,0,+K314-J314)))+IF('calcolo base'!P1774="SI",('Commissioni De Angeli'!K314-'Commissioni De Angeli'!J314),0)</f>
        <v>#N/A</v>
      </c>
      <c r="T314" s="117" t="e">
        <f t="shared" si="92"/>
        <v>#N/A</v>
      </c>
      <c r="U314" s="272" t="e">
        <f>IF(Q314=0,'calcolo base'!L2913,(T314+Q314))</f>
        <v>#N/A</v>
      </c>
      <c r="V314" s="119"/>
    </row>
    <row r="315" spans="2:22">
      <c r="B315" s="47"/>
      <c r="C315" s="35"/>
      <c r="D315" s="53"/>
      <c r="E315" s="53"/>
      <c r="F315" s="48"/>
      <c r="G315" s="243" t="e">
        <f>INDEX('calcolo base'!$B:$B, MATCH($A315, 'calcolo base'!$A:$A, 0))</f>
        <v>#N/A</v>
      </c>
      <c r="H315" s="54" t="e">
        <f t="shared" si="84"/>
        <v>#N/A</v>
      </c>
      <c r="I315" s="259" t="e">
        <f>IF(  OR(      INDEX('calcolo base'!$D:$D, MATCH($A315, 'calcolo base'!$A:$A, 0)) = 0,
      INDEX('calcolo base'!$D:$D, MATCH($A315, 'calcolo base'!$A:$A, 0)) = ""   ),
   INDEX('calcolo base'!$K:$K, MATCH($A315, 'calcolo base'!$A:$A, 0)),
   INDEX('calcolo base'!$J:$J, MATCH($A315, 'calcolo base'!$A:$A, 0))
) / 1000</f>
        <v>#N/A</v>
      </c>
      <c r="J315" s="50" t="e">
        <f t="shared" si="85"/>
        <v>#N/A</v>
      </c>
      <c r="K315" s="50"/>
      <c r="L315" s="267" t="e">
        <f>INDEX('calcolo base'!$H:$H, MATCH($A315, 'calcolo base'!$A:$A, 0))</f>
        <v>#N/A</v>
      </c>
      <c r="M315" s="50" t="e">
        <f t="shared" si="86"/>
        <v>#N/A</v>
      </c>
      <c r="N315" s="50" t="e">
        <f t="shared" si="87"/>
        <v>#N/A</v>
      </c>
      <c r="O315" s="50" t="e">
        <f t="shared" si="88"/>
        <v>#N/A</v>
      </c>
      <c r="P315" s="50" t="e">
        <f t="shared" si="89"/>
        <v>#N/A</v>
      </c>
      <c r="Q315" s="51" t="e">
        <f t="shared" si="90"/>
        <v>#N/A</v>
      </c>
      <c r="R315" s="205" t="e">
        <f t="shared" si="91"/>
        <v>#N/A</v>
      </c>
      <c r="S315" s="279" t="e">
        <f>IF(R315="si",0,IF(E315="si",0,IF(J315&gt;K315,0,+K315-J315)))+IF('calcolo base'!P1775="SI",('Commissioni De Angeli'!K315-'Commissioni De Angeli'!J315),0)</f>
        <v>#N/A</v>
      </c>
      <c r="T315" s="117" t="e">
        <f t="shared" si="92"/>
        <v>#N/A</v>
      </c>
      <c r="U315" s="272" t="e">
        <f>IF(Q315=0,'calcolo base'!L2914,(T315+Q315))</f>
        <v>#N/A</v>
      </c>
      <c r="V315" s="119"/>
    </row>
    <row r="316" spans="2:22">
      <c r="B316" s="47"/>
      <c r="C316" s="35"/>
      <c r="D316" s="53"/>
      <c r="E316" s="53"/>
      <c r="F316" s="48"/>
      <c r="G316" s="243" t="e">
        <f>INDEX('calcolo base'!$B:$B, MATCH($A316, 'calcolo base'!$A:$A, 0))</f>
        <v>#N/A</v>
      </c>
      <c r="H316" s="54" t="e">
        <f t="shared" si="84"/>
        <v>#N/A</v>
      </c>
      <c r="I316" s="259" t="e">
        <f>IF(  OR(      INDEX('calcolo base'!$D:$D, MATCH($A316, 'calcolo base'!$A:$A, 0)) = 0,
      INDEX('calcolo base'!$D:$D, MATCH($A316, 'calcolo base'!$A:$A, 0)) = ""   ),
   INDEX('calcolo base'!$K:$K, MATCH($A316, 'calcolo base'!$A:$A, 0)),
   INDEX('calcolo base'!$J:$J, MATCH($A316, 'calcolo base'!$A:$A, 0))
) / 1000</f>
        <v>#N/A</v>
      </c>
      <c r="J316" s="50" t="e">
        <f t="shared" si="85"/>
        <v>#N/A</v>
      </c>
      <c r="K316" s="50"/>
      <c r="L316" s="267" t="e">
        <f>INDEX('calcolo base'!$H:$H, MATCH($A316, 'calcolo base'!$A:$A, 0))</f>
        <v>#N/A</v>
      </c>
      <c r="M316" s="50" t="e">
        <f t="shared" si="86"/>
        <v>#N/A</v>
      </c>
      <c r="N316" s="50" t="e">
        <f t="shared" si="87"/>
        <v>#N/A</v>
      </c>
      <c r="O316" s="50" t="e">
        <f t="shared" si="88"/>
        <v>#N/A</v>
      </c>
      <c r="P316" s="50" t="e">
        <f t="shared" si="89"/>
        <v>#N/A</v>
      </c>
      <c r="Q316" s="51" t="e">
        <f t="shared" si="90"/>
        <v>#N/A</v>
      </c>
      <c r="R316" s="205" t="e">
        <f t="shared" si="91"/>
        <v>#N/A</v>
      </c>
      <c r="S316" s="279" t="e">
        <f>IF(R316="si",0,IF(E316="si",0,IF(J316&gt;K316,0,+K316-J316)))+IF('calcolo base'!P1776="SI",('Commissioni De Angeli'!K316-'Commissioni De Angeli'!J316),0)</f>
        <v>#N/A</v>
      </c>
      <c r="T316" s="117" t="e">
        <f t="shared" si="92"/>
        <v>#N/A</v>
      </c>
      <c r="U316" s="272" t="e">
        <f>IF(Q316=0,'calcolo base'!L2915,(T316+Q316))</f>
        <v>#N/A</v>
      </c>
      <c r="V316" s="119"/>
    </row>
    <row r="317" spans="2:22">
      <c r="B317" s="47"/>
      <c r="C317" s="35"/>
      <c r="D317" s="53"/>
      <c r="E317" s="53"/>
      <c r="F317" s="48"/>
      <c r="G317" s="243" t="e">
        <f>INDEX('calcolo base'!$B:$B, MATCH($A317, 'calcolo base'!$A:$A, 0))</f>
        <v>#N/A</v>
      </c>
      <c r="H317" s="54" t="e">
        <f t="shared" si="84"/>
        <v>#N/A</v>
      </c>
      <c r="I317" s="259" t="e">
        <f>IF(  OR(      INDEX('calcolo base'!$D:$D, MATCH($A317, 'calcolo base'!$A:$A, 0)) = 0,
      INDEX('calcolo base'!$D:$D, MATCH($A317, 'calcolo base'!$A:$A, 0)) = ""   ),
   INDEX('calcolo base'!$K:$K, MATCH($A317, 'calcolo base'!$A:$A, 0)),
   INDEX('calcolo base'!$J:$J, MATCH($A317, 'calcolo base'!$A:$A, 0))
) / 1000</f>
        <v>#N/A</v>
      </c>
      <c r="J317" s="50" t="e">
        <f t="shared" si="85"/>
        <v>#N/A</v>
      </c>
      <c r="K317" s="50"/>
      <c r="L317" s="267" t="e">
        <f>INDEX('calcolo base'!$H:$H, MATCH($A317, 'calcolo base'!$A:$A, 0))</f>
        <v>#N/A</v>
      </c>
      <c r="M317" s="50" t="e">
        <f t="shared" si="86"/>
        <v>#N/A</v>
      </c>
      <c r="N317" s="50" t="e">
        <f t="shared" si="87"/>
        <v>#N/A</v>
      </c>
      <c r="O317" s="50" t="e">
        <f t="shared" si="88"/>
        <v>#N/A</v>
      </c>
      <c r="P317" s="50" t="e">
        <f t="shared" si="89"/>
        <v>#N/A</v>
      </c>
      <c r="Q317" s="51" t="e">
        <f t="shared" si="90"/>
        <v>#N/A</v>
      </c>
      <c r="R317" s="205" t="e">
        <f t="shared" si="91"/>
        <v>#N/A</v>
      </c>
      <c r="S317" s="279" t="e">
        <f>IF(R317="si",0,IF(E317="si",0,IF(J317&gt;K317,0,+K317-J317)))+IF('calcolo base'!P1777="SI",('Commissioni De Angeli'!K317-'Commissioni De Angeli'!J317),0)</f>
        <v>#N/A</v>
      </c>
      <c r="T317" s="117" t="e">
        <f t="shared" si="92"/>
        <v>#N/A</v>
      </c>
      <c r="U317" s="272" t="e">
        <f>IF(Q317=0,'calcolo base'!L2916,(T317+Q317))</f>
        <v>#N/A</v>
      </c>
      <c r="V317" s="119"/>
    </row>
    <row r="318" spans="2:22">
      <c r="B318" s="47"/>
      <c r="C318" s="35"/>
      <c r="D318" s="53"/>
      <c r="E318" s="53"/>
      <c r="F318" s="48"/>
      <c r="G318" s="243" t="e">
        <f>INDEX('calcolo base'!$B:$B, MATCH($A318, 'calcolo base'!$A:$A, 0))</f>
        <v>#N/A</v>
      </c>
      <c r="H318" s="54" t="e">
        <f t="shared" si="84"/>
        <v>#N/A</v>
      </c>
      <c r="I318" s="259" t="e">
        <f>IF(  OR(      INDEX('calcolo base'!$D:$D, MATCH($A318, 'calcolo base'!$A:$A, 0)) = 0,
      INDEX('calcolo base'!$D:$D, MATCH($A318, 'calcolo base'!$A:$A, 0)) = ""   ),
   INDEX('calcolo base'!$K:$K, MATCH($A318, 'calcolo base'!$A:$A, 0)),
   INDEX('calcolo base'!$J:$J, MATCH($A318, 'calcolo base'!$A:$A, 0))
) / 1000</f>
        <v>#N/A</v>
      </c>
      <c r="J318" s="50" t="e">
        <f t="shared" si="85"/>
        <v>#N/A</v>
      </c>
      <c r="K318" s="50"/>
      <c r="L318" s="267" t="e">
        <f>INDEX('calcolo base'!$H:$H, MATCH($A318, 'calcolo base'!$A:$A, 0))</f>
        <v>#N/A</v>
      </c>
      <c r="M318" s="50" t="e">
        <f t="shared" si="86"/>
        <v>#N/A</v>
      </c>
      <c r="N318" s="50" t="e">
        <f t="shared" si="87"/>
        <v>#N/A</v>
      </c>
      <c r="O318" s="50" t="e">
        <f t="shared" si="88"/>
        <v>#N/A</v>
      </c>
      <c r="P318" s="50" t="e">
        <f t="shared" si="89"/>
        <v>#N/A</v>
      </c>
      <c r="Q318" s="51" t="e">
        <f t="shared" si="90"/>
        <v>#N/A</v>
      </c>
      <c r="R318" s="205" t="e">
        <f t="shared" si="91"/>
        <v>#N/A</v>
      </c>
      <c r="S318" s="279" t="e">
        <f>IF(R318="si",0,IF(E318="si",0,IF(J318&gt;K318,0,+K318-J318)))+IF('calcolo base'!P1778="SI",('Commissioni De Angeli'!K318-'Commissioni De Angeli'!J318),0)</f>
        <v>#N/A</v>
      </c>
      <c r="T318" s="117" t="e">
        <f t="shared" si="92"/>
        <v>#N/A</v>
      </c>
      <c r="U318" s="272" t="e">
        <f>IF(Q318=0,'calcolo base'!L2917,(T318+Q318))</f>
        <v>#N/A</v>
      </c>
      <c r="V318" s="119"/>
    </row>
    <row r="319" spans="2:22">
      <c r="B319" s="47"/>
      <c r="C319" s="35"/>
      <c r="D319" s="53"/>
      <c r="E319" s="53"/>
      <c r="F319" s="48"/>
      <c r="G319" s="243" t="e">
        <f>INDEX('calcolo base'!$B:$B, MATCH($A319, 'calcolo base'!$A:$A, 0))</f>
        <v>#N/A</v>
      </c>
      <c r="H319" s="54" t="e">
        <f t="shared" si="84"/>
        <v>#N/A</v>
      </c>
      <c r="I319" s="259" t="e">
        <f>IF(  OR(      INDEX('calcolo base'!$D:$D, MATCH($A319, 'calcolo base'!$A:$A, 0)) = 0,
      INDEX('calcolo base'!$D:$D, MATCH($A319, 'calcolo base'!$A:$A, 0)) = ""   ),
   INDEX('calcolo base'!$K:$K, MATCH($A319, 'calcolo base'!$A:$A, 0)),
   INDEX('calcolo base'!$J:$J, MATCH($A319, 'calcolo base'!$A:$A, 0))
) / 1000</f>
        <v>#N/A</v>
      </c>
      <c r="J319" s="50" t="e">
        <f t="shared" si="85"/>
        <v>#N/A</v>
      </c>
      <c r="K319" s="50"/>
      <c r="L319" s="267" t="e">
        <f>INDEX('calcolo base'!$H:$H, MATCH($A319, 'calcolo base'!$A:$A, 0))</f>
        <v>#N/A</v>
      </c>
      <c r="M319" s="50" t="e">
        <f t="shared" si="86"/>
        <v>#N/A</v>
      </c>
      <c r="N319" s="50" t="e">
        <f t="shared" si="87"/>
        <v>#N/A</v>
      </c>
      <c r="O319" s="50" t="e">
        <f t="shared" si="88"/>
        <v>#N/A</v>
      </c>
      <c r="P319" s="50" t="e">
        <f t="shared" si="89"/>
        <v>#N/A</v>
      </c>
      <c r="Q319" s="51" t="e">
        <f t="shared" si="90"/>
        <v>#N/A</v>
      </c>
      <c r="R319" s="205" t="e">
        <f t="shared" si="91"/>
        <v>#N/A</v>
      </c>
      <c r="S319" s="279" t="e">
        <f>IF(R319="si",0,IF(E319="si",0,IF(J319&gt;K319,0,+K319-J319)))+IF('calcolo base'!P1779="SI",('Commissioni De Angeli'!K319-'Commissioni De Angeli'!J319),0)</f>
        <v>#N/A</v>
      </c>
      <c r="T319" s="117" t="e">
        <f t="shared" si="92"/>
        <v>#N/A</v>
      </c>
      <c r="U319" s="272" t="e">
        <f>IF(Q319=0,'calcolo base'!L2918,(T319+Q319))</f>
        <v>#N/A</v>
      </c>
      <c r="V319" s="119"/>
    </row>
    <row r="320" spans="2:22">
      <c r="B320" s="47"/>
      <c r="C320" s="35"/>
      <c r="D320" s="53"/>
      <c r="E320" s="53"/>
      <c r="F320" s="48"/>
      <c r="G320" s="243" t="e">
        <f>INDEX('calcolo base'!$B:$B, MATCH($A320, 'calcolo base'!$A:$A, 0))</f>
        <v>#N/A</v>
      </c>
      <c r="H320" s="54" t="e">
        <f t="shared" si="84"/>
        <v>#N/A</v>
      </c>
      <c r="I320" s="259" t="e">
        <f>IF(  OR(      INDEX('calcolo base'!$D:$D, MATCH($A320, 'calcolo base'!$A:$A, 0)) = 0,
      INDEX('calcolo base'!$D:$D, MATCH($A320, 'calcolo base'!$A:$A, 0)) = ""   ),
   INDEX('calcolo base'!$K:$K, MATCH($A320, 'calcolo base'!$A:$A, 0)),
   INDEX('calcolo base'!$J:$J, MATCH($A320, 'calcolo base'!$A:$A, 0))
) / 1000</f>
        <v>#N/A</v>
      </c>
      <c r="J320" s="50" t="e">
        <f t="shared" si="85"/>
        <v>#N/A</v>
      </c>
      <c r="K320" s="50"/>
      <c r="L320" s="267" t="e">
        <f>INDEX('calcolo base'!$H:$H, MATCH($A320, 'calcolo base'!$A:$A, 0))</f>
        <v>#N/A</v>
      </c>
      <c r="M320" s="50" t="e">
        <f t="shared" si="86"/>
        <v>#N/A</v>
      </c>
      <c r="N320" s="50" t="e">
        <f t="shared" si="87"/>
        <v>#N/A</v>
      </c>
      <c r="O320" s="50" t="e">
        <f t="shared" si="88"/>
        <v>#N/A</v>
      </c>
      <c r="P320" s="50" t="e">
        <f t="shared" si="89"/>
        <v>#N/A</v>
      </c>
      <c r="Q320" s="51" t="e">
        <f t="shared" si="90"/>
        <v>#N/A</v>
      </c>
      <c r="R320" s="205" t="e">
        <f t="shared" si="91"/>
        <v>#N/A</v>
      </c>
      <c r="S320" s="279" t="e">
        <f>IF(R320="si",0,IF(E320="si",0,IF(J320&gt;K320,0,+K320-J320)))+IF('calcolo base'!P1780="SI",('Commissioni De Angeli'!K320-'Commissioni De Angeli'!J320),0)</f>
        <v>#N/A</v>
      </c>
      <c r="T320" s="117" t="e">
        <f t="shared" si="92"/>
        <v>#N/A</v>
      </c>
      <c r="U320" s="272" t="e">
        <f>IF(Q320=0,'calcolo base'!L2919,(T320+Q320))</f>
        <v>#N/A</v>
      </c>
      <c r="V320" s="119"/>
    </row>
    <row r="321" spans="2:22">
      <c r="B321" s="47"/>
      <c r="C321" s="35"/>
      <c r="D321" s="53"/>
      <c r="E321" s="53"/>
      <c r="F321" s="48"/>
      <c r="G321" s="243" t="e">
        <f>INDEX('calcolo base'!$B:$B, MATCH($A321, 'calcolo base'!$A:$A, 0))</f>
        <v>#N/A</v>
      </c>
      <c r="H321" s="54" t="e">
        <f t="shared" si="84"/>
        <v>#N/A</v>
      </c>
      <c r="I321" s="259" t="e">
        <f>IF(  OR(      INDEX('calcolo base'!$D:$D, MATCH($A321, 'calcolo base'!$A:$A, 0)) = 0,
      INDEX('calcolo base'!$D:$D, MATCH($A321, 'calcolo base'!$A:$A, 0)) = ""   ),
   INDEX('calcolo base'!$K:$K, MATCH($A321, 'calcolo base'!$A:$A, 0)),
   INDEX('calcolo base'!$J:$J, MATCH($A321, 'calcolo base'!$A:$A, 0))
) / 1000</f>
        <v>#N/A</v>
      </c>
      <c r="J321" s="50" t="e">
        <f t="shared" si="85"/>
        <v>#N/A</v>
      </c>
      <c r="K321" s="50"/>
      <c r="L321" s="267" t="e">
        <f>INDEX('calcolo base'!$H:$H, MATCH($A321, 'calcolo base'!$A:$A, 0))</f>
        <v>#N/A</v>
      </c>
      <c r="M321" s="50" t="e">
        <f t="shared" si="86"/>
        <v>#N/A</v>
      </c>
      <c r="N321" s="50" t="e">
        <f t="shared" si="87"/>
        <v>#N/A</v>
      </c>
      <c r="O321" s="50" t="e">
        <f t="shared" si="88"/>
        <v>#N/A</v>
      </c>
      <c r="P321" s="50" t="e">
        <f t="shared" si="89"/>
        <v>#N/A</v>
      </c>
      <c r="Q321" s="51" t="e">
        <f t="shared" si="90"/>
        <v>#N/A</v>
      </c>
      <c r="R321" s="205" t="e">
        <f t="shared" si="91"/>
        <v>#N/A</v>
      </c>
      <c r="S321" s="279" t="e">
        <f>IF(R321="si",0,IF(E321="si",0,IF(J321&gt;K321,0,+K321-J321)))+IF('calcolo base'!P1781="SI",('Commissioni De Angeli'!K321-'Commissioni De Angeli'!J321),0)</f>
        <v>#N/A</v>
      </c>
      <c r="T321" s="117" t="e">
        <f t="shared" si="92"/>
        <v>#N/A</v>
      </c>
      <c r="U321" s="272" t="e">
        <f>IF(Q321=0,'calcolo base'!L2920,(T321+Q321))</f>
        <v>#N/A</v>
      </c>
      <c r="V321" s="119"/>
    </row>
    <row r="322" spans="2:22">
      <c r="B322" s="47"/>
      <c r="C322" s="35"/>
      <c r="D322" s="53"/>
      <c r="E322" s="53"/>
      <c r="F322" s="48"/>
      <c r="G322" s="243" t="e">
        <f>INDEX('calcolo base'!$B:$B, MATCH($A322, 'calcolo base'!$A:$A, 0))</f>
        <v>#N/A</v>
      </c>
      <c r="H322" s="54" t="e">
        <f t="shared" si="84"/>
        <v>#N/A</v>
      </c>
      <c r="I322" s="259" t="e">
        <f>IF(  OR(      INDEX('calcolo base'!$D:$D, MATCH($A322, 'calcolo base'!$A:$A, 0)) = 0,
      INDEX('calcolo base'!$D:$D, MATCH($A322, 'calcolo base'!$A:$A, 0)) = ""   ),
   INDEX('calcolo base'!$K:$K, MATCH($A322, 'calcolo base'!$A:$A, 0)),
   INDEX('calcolo base'!$J:$J, MATCH($A322, 'calcolo base'!$A:$A, 0))
) / 1000</f>
        <v>#N/A</v>
      </c>
      <c r="J322" s="50" t="e">
        <f t="shared" si="85"/>
        <v>#N/A</v>
      </c>
      <c r="K322" s="50"/>
      <c r="L322" s="267" t="e">
        <f>INDEX('calcolo base'!$H:$H, MATCH($A322, 'calcolo base'!$A:$A, 0))</f>
        <v>#N/A</v>
      </c>
      <c r="M322" s="50" t="e">
        <f t="shared" si="86"/>
        <v>#N/A</v>
      </c>
      <c r="N322" s="50" t="e">
        <f t="shared" si="87"/>
        <v>#N/A</v>
      </c>
      <c r="O322" s="50" t="e">
        <f t="shared" si="88"/>
        <v>#N/A</v>
      </c>
      <c r="P322" s="50" t="e">
        <f t="shared" si="89"/>
        <v>#N/A</v>
      </c>
      <c r="Q322" s="51" t="e">
        <f t="shared" si="90"/>
        <v>#N/A</v>
      </c>
      <c r="R322" s="205" t="e">
        <f t="shared" si="91"/>
        <v>#N/A</v>
      </c>
      <c r="S322" s="279" t="e">
        <f>IF(R322="si",0,IF(E322="si",0,IF(J322&gt;K322,0,+K322-J322)))+IF('calcolo base'!P1782="SI",('Commissioni De Angeli'!K322-'Commissioni De Angeli'!J322),0)</f>
        <v>#N/A</v>
      </c>
      <c r="T322" s="117" t="e">
        <f t="shared" si="92"/>
        <v>#N/A</v>
      </c>
      <c r="U322" s="272" t="e">
        <f>IF(Q322=0,'calcolo base'!L2921,(T322+Q322))</f>
        <v>#N/A</v>
      </c>
      <c r="V322" s="119"/>
    </row>
    <row r="323" spans="2:22">
      <c r="B323" s="47"/>
      <c r="C323" s="35"/>
      <c r="D323" s="53"/>
      <c r="E323" s="53"/>
      <c r="F323" s="48"/>
      <c r="G323" s="243" t="e">
        <f>INDEX('calcolo base'!$B:$B, MATCH($A323, 'calcolo base'!$A:$A, 0))</f>
        <v>#N/A</v>
      </c>
      <c r="H323" s="54" t="e">
        <f t="shared" si="84"/>
        <v>#N/A</v>
      </c>
      <c r="I323" s="259" t="e">
        <f>IF(  OR(      INDEX('calcolo base'!$D:$D, MATCH($A323, 'calcolo base'!$A:$A, 0)) = 0,
      INDEX('calcolo base'!$D:$D, MATCH($A323, 'calcolo base'!$A:$A, 0)) = ""   ),
   INDEX('calcolo base'!$K:$K, MATCH($A323, 'calcolo base'!$A:$A, 0)),
   INDEX('calcolo base'!$J:$J, MATCH($A323, 'calcolo base'!$A:$A, 0))
) / 1000</f>
        <v>#N/A</v>
      </c>
      <c r="J323" s="50" t="e">
        <f t="shared" si="85"/>
        <v>#N/A</v>
      </c>
      <c r="K323" s="50"/>
      <c r="L323" s="267" t="e">
        <f>INDEX('calcolo base'!$H:$H, MATCH($A323, 'calcolo base'!$A:$A, 0))</f>
        <v>#N/A</v>
      </c>
      <c r="M323" s="50" t="e">
        <f t="shared" si="86"/>
        <v>#N/A</v>
      </c>
      <c r="N323" s="50" t="e">
        <f t="shared" si="87"/>
        <v>#N/A</v>
      </c>
      <c r="O323" s="50" t="e">
        <f t="shared" si="88"/>
        <v>#N/A</v>
      </c>
      <c r="P323" s="50" t="e">
        <f t="shared" si="89"/>
        <v>#N/A</v>
      </c>
      <c r="Q323" s="51" t="e">
        <f t="shared" si="90"/>
        <v>#N/A</v>
      </c>
      <c r="R323" s="205" t="e">
        <f t="shared" si="91"/>
        <v>#N/A</v>
      </c>
      <c r="S323" s="279" t="e">
        <f>IF(R323="si",0,IF(E323="si",0,IF(J323&gt;K323,0,+K323-J323)))+IF('calcolo base'!P1783="SI",('Commissioni De Angeli'!K323-'Commissioni De Angeli'!J323),0)</f>
        <v>#N/A</v>
      </c>
      <c r="T323" s="117" t="e">
        <f t="shared" si="92"/>
        <v>#N/A</v>
      </c>
      <c r="U323" s="272" t="e">
        <f>IF(Q323=0,'calcolo base'!L2922,(T323+Q323))</f>
        <v>#N/A</v>
      </c>
      <c r="V323" s="119"/>
    </row>
    <row r="324" spans="2:22">
      <c r="B324" s="47"/>
      <c r="C324" s="35"/>
      <c r="D324" s="53"/>
      <c r="E324" s="53"/>
      <c r="F324" s="48"/>
      <c r="G324" s="243" t="e">
        <f>INDEX('calcolo base'!$B:$B, MATCH($A324, 'calcolo base'!$A:$A, 0))</f>
        <v>#N/A</v>
      </c>
      <c r="H324" s="54" t="e">
        <f t="shared" si="84"/>
        <v>#N/A</v>
      </c>
      <c r="I324" s="259" t="e">
        <f>IF(  OR(      INDEX('calcolo base'!$D:$D, MATCH($A324, 'calcolo base'!$A:$A, 0)) = 0,
      INDEX('calcolo base'!$D:$D, MATCH($A324, 'calcolo base'!$A:$A, 0)) = ""   ),
   INDEX('calcolo base'!$K:$K, MATCH($A324, 'calcolo base'!$A:$A, 0)),
   INDEX('calcolo base'!$J:$J, MATCH($A324, 'calcolo base'!$A:$A, 0))
) / 1000</f>
        <v>#N/A</v>
      </c>
      <c r="J324" s="50" t="e">
        <f t="shared" si="85"/>
        <v>#N/A</v>
      </c>
      <c r="K324" s="50"/>
      <c r="L324" s="267" t="e">
        <f>INDEX('calcolo base'!$H:$H, MATCH($A324, 'calcolo base'!$A:$A, 0))</f>
        <v>#N/A</v>
      </c>
      <c r="M324" s="50" t="e">
        <f t="shared" si="86"/>
        <v>#N/A</v>
      </c>
      <c r="N324" s="50" t="e">
        <f t="shared" si="87"/>
        <v>#N/A</v>
      </c>
      <c r="O324" s="50" t="e">
        <f t="shared" si="88"/>
        <v>#N/A</v>
      </c>
      <c r="P324" s="50" t="e">
        <f t="shared" si="89"/>
        <v>#N/A</v>
      </c>
      <c r="Q324" s="51" t="e">
        <f t="shared" si="90"/>
        <v>#N/A</v>
      </c>
      <c r="R324" s="205" t="e">
        <f t="shared" si="91"/>
        <v>#N/A</v>
      </c>
      <c r="S324" s="279" t="e">
        <f>IF(R324="si",0,IF(E324="si",0,IF(J324&gt;K324,0,+K324-J324)))+IF('calcolo base'!P1784="SI",('Commissioni De Angeli'!K324-'Commissioni De Angeli'!J324),0)</f>
        <v>#N/A</v>
      </c>
      <c r="T324" s="117" t="e">
        <f t="shared" si="92"/>
        <v>#N/A</v>
      </c>
      <c r="U324" s="272" t="e">
        <f>IF(Q324=0,'calcolo base'!L2923,(T324+Q324))</f>
        <v>#N/A</v>
      </c>
      <c r="V324" s="119"/>
    </row>
    <row r="325" spans="2:22">
      <c r="B325" s="47"/>
      <c r="C325" s="35"/>
      <c r="D325" s="53"/>
      <c r="E325" s="53"/>
      <c r="F325" s="48"/>
      <c r="G325" s="243" t="e">
        <f>INDEX('calcolo base'!$B:$B, MATCH($A325, 'calcolo base'!$A:$A, 0))</f>
        <v>#N/A</v>
      </c>
      <c r="H325" s="54" t="e">
        <f t="shared" si="84"/>
        <v>#N/A</v>
      </c>
      <c r="I325" s="259" t="e">
        <f>IF(  OR(      INDEX('calcolo base'!$D:$D, MATCH($A325, 'calcolo base'!$A:$A, 0)) = 0,
      INDEX('calcolo base'!$D:$D, MATCH($A325, 'calcolo base'!$A:$A, 0)) = ""   ),
   INDEX('calcolo base'!$K:$K, MATCH($A325, 'calcolo base'!$A:$A, 0)),
   INDEX('calcolo base'!$J:$J, MATCH($A325, 'calcolo base'!$A:$A, 0))
) / 1000</f>
        <v>#N/A</v>
      </c>
      <c r="J325" s="50" t="e">
        <f t="shared" si="85"/>
        <v>#N/A</v>
      </c>
      <c r="K325" s="50"/>
      <c r="L325" s="267" t="e">
        <f>INDEX('calcolo base'!$H:$H, MATCH($A325, 'calcolo base'!$A:$A, 0))</f>
        <v>#N/A</v>
      </c>
      <c r="M325" s="50" t="e">
        <f t="shared" si="86"/>
        <v>#N/A</v>
      </c>
      <c r="N325" s="50" t="e">
        <f t="shared" si="87"/>
        <v>#N/A</v>
      </c>
      <c r="O325" s="50" t="e">
        <f t="shared" si="88"/>
        <v>#N/A</v>
      </c>
      <c r="P325" s="50" t="e">
        <f t="shared" si="89"/>
        <v>#N/A</v>
      </c>
      <c r="Q325" s="51" t="e">
        <f t="shared" si="90"/>
        <v>#N/A</v>
      </c>
      <c r="R325" s="205" t="e">
        <f t="shared" si="91"/>
        <v>#N/A</v>
      </c>
      <c r="S325" s="279" t="e">
        <f>IF(R325="si",0,IF(E325="si",0,IF(J325&gt;K325,0,+K325-J325)))+IF('calcolo base'!P1785="SI",('Commissioni De Angeli'!K325-'Commissioni De Angeli'!J325),0)</f>
        <v>#N/A</v>
      </c>
      <c r="T325" s="117" t="e">
        <f t="shared" si="92"/>
        <v>#N/A</v>
      </c>
      <c r="U325" s="272" t="e">
        <f>IF(Q325=0,'calcolo base'!L2924,(T325+Q325))</f>
        <v>#N/A</v>
      </c>
      <c r="V325" s="119"/>
    </row>
    <row r="326" spans="2:22">
      <c r="B326" s="47"/>
      <c r="C326" s="35"/>
      <c r="D326" s="53"/>
      <c r="E326" s="53"/>
      <c r="F326" s="48"/>
      <c r="G326" s="243" t="e">
        <f>INDEX('calcolo base'!$B:$B, MATCH($A326, 'calcolo base'!$A:$A, 0))</f>
        <v>#N/A</v>
      </c>
      <c r="H326" s="54" t="e">
        <f t="shared" si="84"/>
        <v>#N/A</v>
      </c>
      <c r="I326" s="259" t="e">
        <f>IF(  OR(      INDEX('calcolo base'!$D:$D, MATCH($A326, 'calcolo base'!$A:$A, 0)) = 0,
      INDEX('calcolo base'!$D:$D, MATCH($A326, 'calcolo base'!$A:$A, 0)) = ""   ),
   INDEX('calcolo base'!$K:$K, MATCH($A326, 'calcolo base'!$A:$A, 0)),
   INDEX('calcolo base'!$J:$J, MATCH($A326, 'calcolo base'!$A:$A, 0))
) / 1000</f>
        <v>#N/A</v>
      </c>
      <c r="J326" s="50" t="e">
        <f t="shared" si="85"/>
        <v>#N/A</v>
      </c>
      <c r="K326" s="50"/>
      <c r="L326" s="267" t="e">
        <f>INDEX('calcolo base'!$H:$H, MATCH($A326, 'calcolo base'!$A:$A, 0))</f>
        <v>#N/A</v>
      </c>
      <c r="M326" s="50" t="e">
        <f t="shared" si="86"/>
        <v>#N/A</v>
      </c>
      <c r="N326" s="50" t="e">
        <f t="shared" si="87"/>
        <v>#N/A</v>
      </c>
      <c r="O326" s="50" t="e">
        <f t="shared" si="88"/>
        <v>#N/A</v>
      </c>
      <c r="P326" s="50" t="e">
        <f t="shared" si="89"/>
        <v>#N/A</v>
      </c>
      <c r="Q326" s="51" t="e">
        <f t="shared" si="90"/>
        <v>#N/A</v>
      </c>
      <c r="R326" s="205" t="e">
        <f t="shared" si="91"/>
        <v>#N/A</v>
      </c>
      <c r="S326" s="279" t="e">
        <f>IF(R326="si",0,IF(E326="si",0,IF(J326&gt;K326,0,+K326-J326)))+IF('calcolo base'!P1786="SI",('Commissioni De Angeli'!K326-'Commissioni De Angeli'!J326),0)</f>
        <v>#N/A</v>
      </c>
      <c r="T326" s="117" t="e">
        <f t="shared" si="92"/>
        <v>#N/A</v>
      </c>
      <c r="U326" s="272" t="e">
        <f>IF(Q326=0,'calcolo base'!L2925,(T326+Q326))</f>
        <v>#N/A</v>
      </c>
      <c r="V326" s="119"/>
    </row>
    <row r="327" spans="2:22">
      <c r="B327" s="47"/>
      <c r="C327" s="35"/>
      <c r="D327" s="53"/>
      <c r="E327" s="53"/>
      <c r="F327" s="48"/>
      <c r="G327" s="243" t="e">
        <f>INDEX('calcolo base'!$B:$B, MATCH($A327, 'calcolo base'!$A:$A, 0))</f>
        <v>#N/A</v>
      </c>
      <c r="H327" s="54" t="e">
        <f t="shared" si="84"/>
        <v>#N/A</v>
      </c>
      <c r="I327" s="259" t="e">
        <f>IF(  OR(      INDEX('calcolo base'!$D:$D, MATCH($A327, 'calcolo base'!$A:$A, 0)) = 0,
      INDEX('calcolo base'!$D:$D, MATCH($A327, 'calcolo base'!$A:$A, 0)) = ""   ),
   INDEX('calcolo base'!$K:$K, MATCH($A327, 'calcolo base'!$A:$A, 0)),
   INDEX('calcolo base'!$J:$J, MATCH($A327, 'calcolo base'!$A:$A, 0))
) / 1000</f>
        <v>#N/A</v>
      </c>
      <c r="J327" s="50" t="e">
        <f t="shared" si="85"/>
        <v>#N/A</v>
      </c>
      <c r="K327" s="50"/>
      <c r="L327" s="267" t="e">
        <f>INDEX('calcolo base'!$H:$H, MATCH($A327, 'calcolo base'!$A:$A, 0))</f>
        <v>#N/A</v>
      </c>
      <c r="M327" s="50" t="e">
        <f t="shared" si="86"/>
        <v>#N/A</v>
      </c>
      <c r="N327" s="50" t="e">
        <f t="shared" si="87"/>
        <v>#N/A</v>
      </c>
      <c r="O327" s="50" t="e">
        <f t="shared" si="88"/>
        <v>#N/A</v>
      </c>
      <c r="P327" s="50" t="e">
        <f t="shared" si="89"/>
        <v>#N/A</v>
      </c>
      <c r="Q327" s="51" t="e">
        <f t="shared" si="90"/>
        <v>#N/A</v>
      </c>
      <c r="R327" s="205" t="e">
        <f t="shared" si="91"/>
        <v>#N/A</v>
      </c>
      <c r="S327" s="279" t="e">
        <f>IF(R327="si",0,IF(E327="si",0,IF(J327&gt;K327,0,+K327-J327)))+IF('calcolo base'!P1787="SI",('Commissioni De Angeli'!K327-'Commissioni De Angeli'!J327),0)</f>
        <v>#N/A</v>
      </c>
      <c r="T327" s="117" t="e">
        <f t="shared" si="92"/>
        <v>#N/A</v>
      </c>
      <c r="U327" s="272" t="e">
        <f>IF(Q327=0,'calcolo base'!L2926,(T327+Q327))</f>
        <v>#N/A</v>
      </c>
      <c r="V327" s="119"/>
    </row>
    <row r="328" spans="2:22">
      <c r="B328" s="47"/>
      <c r="C328" s="35"/>
      <c r="D328" s="53"/>
      <c r="E328" s="53"/>
      <c r="F328" s="48"/>
      <c r="G328" s="243" t="e">
        <f>INDEX('calcolo base'!$B:$B, MATCH($A328, 'calcolo base'!$A:$A, 0))</f>
        <v>#N/A</v>
      </c>
      <c r="H328" s="54" t="e">
        <f t="shared" si="84"/>
        <v>#N/A</v>
      </c>
      <c r="I328" s="259" t="e">
        <f>IF(  OR(      INDEX('calcolo base'!$D:$D, MATCH($A328, 'calcolo base'!$A:$A, 0)) = 0,
      INDEX('calcolo base'!$D:$D, MATCH($A328, 'calcolo base'!$A:$A, 0)) = ""   ),
   INDEX('calcolo base'!$K:$K, MATCH($A328, 'calcolo base'!$A:$A, 0)),
   INDEX('calcolo base'!$J:$J, MATCH($A328, 'calcolo base'!$A:$A, 0))
) / 1000</f>
        <v>#N/A</v>
      </c>
      <c r="J328" s="50" t="e">
        <f t="shared" si="85"/>
        <v>#N/A</v>
      </c>
      <c r="K328" s="50"/>
      <c r="L328" s="267" t="e">
        <f>INDEX('calcolo base'!$H:$H, MATCH($A328, 'calcolo base'!$A:$A, 0))</f>
        <v>#N/A</v>
      </c>
      <c r="M328" s="50" t="e">
        <f t="shared" si="86"/>
        <v>#N/A</v>
      </c>
      <c r="N328" s="50" t="e">
        <f t="shared" si="87"/>
        <v>#N/A</v>
      </c>
      <c r="O328" s="50" t="e">
        <f t="shared" si="88"/>
        <v>#N/A</v>
      </c>
      <c r="P328" s="50" t="e">
        <f t="shared" si="89"/>
        <v>#N/A</v>
      </c>
      <c r="Q328" s="51" t="e">
        <f t="shared" si="90"/>
        <v>#N/A</v>
      </c>
      <c r="R328" s="205" t="e">
        <f t="shared" si="91"/>
        <v>#N/A</v>
      </c>
      <c r="S328" s="279" t="e">
        <f>IF(R328="si",0,IF(E328="si",0,IF(J328&gt;K328,0,+K328-J328)))+IF('calcolo base'!P1788="SI",('Commissioni De Angeli'!K328-'Commissioni De Angeli'!J328),0)</f>
        <v>#N/A</v>
      </c>
      <c r="T328" s="117" t="e">
        <f t="shared" si="92"/>
        <v>#N/A</v>
      </c>
      <c r="U328" s="272" t="e">
        <f>IF(Q328=0,'calcolo base'!L2927,(T328+Q328))</f>
        <v>#N/A</v>
      </c>
      <c r="V328" s="119"/>
    </row>
    <row r="329" spans="2:22">
      <c r="B329" s="47"/>
      <c r="C329" s="35"/>
      <c r="D329" s="53"/>
      <c r="E329" s="53"/>
      <c r="F329" s="48"/>
      <c r="G329" s="243" t="e">
        <f>INDEX('calcolo base'!$B:$B, MATCH($A329, 'calcolo base'!$A:$A, 0))</f>
        <v>#N/A</v>
      </c>
      <c r="H329" s="54" t="e">
        <f t="shared" si="84"/>
        <v>#N/A</v>
      </c>
      <c r="I329" s="259" t="e">
        <f>IF(  OR(      INDEX('calcolo base'!$D:$D, MATCH($A329, 'calcolo base'!$A:$A, 0)) = 0,
      INDEX('calcolo base'!$D:$D, MATCH($A329, 'calcolo base'!$A:$A, 0)) = ""   ),
   INDEX('calcolo base'!$K:$K, MATCH($A329, 'calcolo base'!$A:$A, 0)),
   INDEX('calcolo base'!$J:$J, MATCH($A329, 'calcolo base'!$A:$A, 0))
) / 1000</f>
        <v>#N/A</v>
      </c>
      <c r="J329" s="50" t="e">
        <f t="shared" si="85"/>
        <v>#N/A</v>
      </c>
      <c r="K329" s="50"/>
      <c r="L329" s="267" t="e">
        <f>INDEX('calcolo base'!$H:$H, MATCH($A329, 'calcolo base'!$A:$A, 0))</f>
        <v>#N/A</v>
      </c>
      <c r="M329" s="50" t="e">
        <f t="shared" si="86"/>
        <v>#N/A</v>
      </c>
      <c r="N329" s="50" t="e">
        <f t="shared" si="87"/>
        <v>#N/A</v>
      </c>
      <c r="O329" s="50" t="e">
        <f t="shared" si="88"/>
        <v>#N/A</v>
      </c>
      <c r="P329" s="50" t="e">
        <f t="shared" si="89"/>
        <v>#N/A</v>
      </c>
      <c r="Q329" s="51" t="e">
        <f t="shared" si="90"/>
        <v>#N/A</v>
      </c>
      <c r="R329" s="205" t="e">
        <f t="shared" si="91"/>
        <v>#N/A</v>
      </c>
      <c r="S329" s="279" t="e">
        <f>IF(R329="si",0,IF(E329="si",0,IF(J329&gt;K329,0,+K329-J329)))+IF('calcolo base'!P1789="SI",('Commissioni De Angeli'!K329-'Commissioni De Angeli'!J329),0)</f>
        <v>#N/A</v>
      </c>
      <c r="T329" s="117" t="e">
        <f t="shared" si="92"/>
        <v>#N/A</v>
      </c>
      <c r="U329" s="272" t="e">
        <f>IF(Q329=0,'calcolo base'!L2928,(T329+Q329))</f>
        <v>#N/A</v>
      </c>
      <c r="V329" s="119"/>
    </row>
    <row r="330" spans="2:22">
      <c r="B330" s="47"/>
      <c r="C330" s="35"/>
      <c r="D330" s="53"/>
      <c r="E330" s="53"/>
      <c r="F330" s="48"/>
      <c r="G330" s="243" t="e">
        <f>INDEX('calcolo base'!$B:$B, MATCH($A330, 'calcolo base'!$A:$A, 0))</f>
        <v>#N/A</v>
      </c>
      <c r="H330" s="54" t="e">
        <f t="shared" si="84"/>
        <v>#N/A</v>
      </c>
      <c r="I330" s="259" t="e">
        <f>IF(  OR(      INDEX('calcolo base'!$D:$D, MATCH($A330, 'calcolo base'!$A:$A, 0)) = 0,
      INDEX('calcolo base'!$D:$D, MATCH($A330, 'calcolo base'!$A:$A, 0)) = ""   ),
   INDEX('calcolo base'!$K:$K, MATCH($A330, 'calcolo base'!$A:$A, 0)),
   INDEX('calcolo base'!$J:$J, MATCH($A330, 'calcolo base'!$A:$A, 0))
) / 1000</f>
        <v>#N/A</v>
      </c>
      <c r="J330" s="50" t="e">
        <f t="shared" si="85"/>
        <v>#N/A</v>
      </c>
      <c r="K330" s="50"/>
      <c r="L330" s="267" t="e">
        <f>INDEX('calcolo base'!$H:$H, MATCH($A330, 'calcolo base'!$A:$A, 0))</f>
        <v>#N/A</v>
      </c>
      <c r="M330" s="50" t="e">
        <f t="shared" si="86"/>
        <v>#N/A</v>
      </c>
      <c r="N330" s="50" t="e">
        <f t="shared" si="87"/>
        <v>#N/A</v>
      </c>
      <c r="O330" s="50" t="e">
        <f t="shared" si="88"/>
        <v>#N/A</v>
      </c>
      <c r="P330" s="50" t="e">
        <f t="shared" si="89"/>
        <v>#N/A</v>
      </c>
      <c r="Q330" s="51" t="e">
        <f t="shared" si="90"/>
        <v>#N/A</v>
      </c>
      <c r="R330" s="205" t="e">
        <f t="shared" si="91"/>
        <v>#N/A</v>
      </c>
      <c r="S330" s="279" t="e">
        <f>IF(R330="si",0,IF(E330="si",0,IF(J330&gt;K330,0,+K330-J330)))+IF('calcolo base'!P1790="SI",('Commissioni De Angeli'!K330-'Commissioni De Angeli'!J330),0)</f>
        <v>#N/A</v>
      </c>
      <c r="T330" s="117" t="e">
        <f t="shared" si="92"/>
        <v>#N/A</v>
      </c>
      <c r="U330" s="272" t="e">
        <f>IF(Q330=0,'calcolo base'!L2929,(T330+Q330))</f>
        <v>#N/A</v>
      </c>
      <c r="V330" s="119"/>
    </row>
    <row r="331" spans="2:22">
      <c r="B331" s="47"/>
      <c r="C331" s="35"/>
      <c r="D331" s="53"/>
      <c r="E331" s="53"/>
      <c r="F331" s="48"/>
      <c r="G331" s="243" t="e">
        <f>INDEX('calcolo base'!$B:$B, MATCH($A331, 'calcolo base'!$A:$A, 0))</f>
        <v>#N/A</v>
      </c>
      <c r="H331" s="54" t="e">
        <f t="shared" si="84"/>
        <v>#N/A</v>
      </c>
      <c r="I331" s="259" t="e">
        <f>IF(  OR(      INDEX('calcolo base'!$D:$D, MATCH($A331, 'calcolo base'!$A:$A, 0)) = 0,
      INDEX('calcolo base'!$D:$D, MATCH($A331, 'calcolo base'!$A:$A, 0)) = ""   ),
   INDEX('calcolo base'!$K:$K, MATCH($A331, 'calcolo base'!$A:$A, 0)),
   INDEX('calcolo base'!$J:$J, MATCH($A331, 'calcolo base'!$A:$A, 0))
) / 1000</f>
        <v>#N/A</v>
      </c>
      <c r="J331" s="50" t="e">
        <f t="shared" si="85"/>
        <v>#N/A</v>
      </c>
      <c r="K331" s="50"/>
      <c r="L331" s="267" t="e">
        <f>INDEX('calcolo base'!$H:$H, MATCH($A331, 'calcolo base'!$A:$A, 0))</f>
        <v>#N/A</v>
      </c>
      <c r="M331" s="50" t="e">
        <f t="shared" si="86"/>
        <v>#N/A</v>
      </c>
      <c r="N331" s="50" t="e">
        <f t="shared" si="87"/>
        <v>#N/A</v>
      </c>
      <c r="O331" s="50" t="e">
        <f t="shared" si="88"/>
        <v>#N/A</v>
      </c>
      <c r="P331" s="50" t="e">
        <f t="shared" si="89"/>
        <v>#N/A</v>
      </c>
      <c r="Q331" s="51" t="e">
        <f t="shared" si="90"/>
        <v>#N/A</v>
      </c>
      <c r="R331" s="205" t="e">
        <f t="shared" si="91"/>
        <v>#N/A</v>
      </c>
      <c r="S331" s="279" t="e">
        <f>IF(R331="si",0,IF(E331="si",0,IF(J331&gt;K331,0,+K331-J331)))+IF('calcolo base'!P1791="SI",('Commissioni De Angeli'!K331-'Commissioni De Angeli'!J331),0)</f>
        <v>#N/A</v>
      </c>
      <c r="T331" s="117" t="e">
        <f t="shared" si="92"/>
        <v>#N/A</v>
      </c>
      <c r="U331" s="272" t="e">
        <f>IF(Q331=0,'calcolo base'!L2930,(T331+Q331))</f>
        <v>#N/A</v>
      </c>
      <c r="V331" s="119"/>
    </row>
    <row r="332" spans="2:22">
      <c r="B332" s="47"/>
      <c r="C332" s="35"/>
      <c r="D332" s="53"/>
      <c r="E332" s="53"/>
      <c r="F332" s="48"/>
      <c r="G332" s="243" t="e">
        <f>INDEX('calcolo base'!$B:$B, MATCH($A332, 'calcolo base'!$A:$A, 0))</f>
        <v>#N/A</v>
      </c>
      <c r="H332" s="54" t="e">
        <f t="shared" si="84"/>
        <v>#N/A</v>
      </c>
      <c r="I332" s="259" t="e">
        <f>IF(  OR(      INDEX('calcolo base'!$D:$D, MATCH($A332, 'calcolo base'!$A:$A, 0)) = 0,
      INDEX('calcolo base'!$D:$D, MATCH($A332, 'calcolo base'!$A:$A, 0)) = ""   ),
   INDEX('calcolo base'!$K:$K, MATCH($A332, 'calcolo base'!$A:$A, 0)),
   INDEX('calcolo base'!$J:$J, MATCH($A332, 'calcolo base'!$A:$A, 0))
) / 1000</f>
        <v>#N/A</v>
      </c>
      <c r="J332" s="50" t="e">
        <f t="shared" si="85"/>
        <v>#N/A</v>
      </c>
      <c r="K332" s="50"/>
      <c r="L332" s="267" t="e">
        <f>INDEX('calcolo base'!$H:$H, MATCH($A332, 'calcolo base'!$A:$A, 0))</f>
        <v>#N/A</v>
      </c>
      <c r="M332" s="50" t="e">
        <f t="shared" si="86"/>
        <v>#N/A</v>
      </c>
      <c r="N332" s="50" t="e">
        <f t="shared" si="87"/>
        <v>#N/A</v>
      </c>
      <c r="O332" s="50" t="e">
        <f t="shared" si="88"/>
        <v>#N/A</v>
      </c>
      <c r="P332" s="50" t="e">
        <f t="shared" si="89"/>
        <v>#N/A</v>
      </c>
      <c r="Q332" s="51" t="e">
        <f t="shared" si="90"/>
        <v>#N/A</v>
      </c>
      <c r="R332" s="205" t="e">
        <f t="shared" si="91"/>
        <v>#N/A</v>
      </c>
      <c r="S332" s="279" t="e">
        <f>IF(R332="si",0,IF(E332="si",0,IF(J332&gt;K332,0,+K332-J332)))+IF('calcolo base'!P1792="SI",('Commissioni De Angeli'!K332-'Commissioni De Angeli'!J332),0)</f>
        <v>#N/A</v>
      </c>
      <c r="T332" s="117" t="e">
        <f t="shared" si="92"/>
        <v>#N/A</v>
      </c>
      <c r="U332" s="272" t="e">
        <f>IF(Q332=0,'calcolo base'!L2931,(T332+Q332))</f>
        <v>#N/A</v>
      </c>
      <c r="V332" s="119"/>
    </row>
    <row r="333" spans="2:22">
      <c r="B333" s="47"/>
      <c r="C333" s="35"/>
      <c r="D333" s="53"/>
      <c r="E333" s="53"/>
      <c r="F333" s="48"/>
      <c r="G333" s="243" t="e">
        <f>INDEX('calcolo base'!$B:$B, MATCH($A333, 'calcolo base'!$A:$A, 0))</f>
        <v>#N/A</v>
      </c>
      <c r="H333" s="54" t="e">
        <f t="shared" si="84"/>
        <v>#N/A</v>
      </c>
      <c r="I333" s="259" t="e">
        <f>IF(  OR(      INDEX('calcolo base'!$D:$D, MATCH($A333, 'calcolo base'!$A:$A, 0)) = 0,
      INDEX('calcolo base'!$D:$D, MATCH($A333, 'calcolo base'!$A:$A, 0)) = ""   ),
   INDEX('calcolo base'!$K:$K, MATCH($A333, 'calcolo base'!$A:$A, 0)),
   INDEX('calcolo base'!$J:$J, MATCH($A333, 'calcolo base'!$A:$A, 0))
) / 1000</f>
        <v>#N/A</v>
      </c>
      <c r="J333" s="50" t="e">
        <f t="shared" si="85"/>
        <v>#N/A</v>
      </c>
      <c r="K333" s="50"/>
      <c r="L333" s="267" t="e">
        <f>INDEX('calcolo base'!$H:$H, MATCH($A333, 'calcolo base'!$A:$A, 0))</f>
        <v>#N/A</v>
      </c>
      <c r="M333" s="50" t="e">
        <f t="shared" si="86"/>
        <v>#N/A</v>
      </c>
      <c r="N333" s="50" t="e">
        <f t="shared" si="87"/>
        <v>#N/A</v>
      </c>
      <c r="O333" s="50" t="e">
        <f t="shared" si="88"/>
        <v>#N/A</v>
      </c>
      <c r="P333" s="50" t="e">
        <f t="shared" si="89"/>
        <v>#N/A</v>
      </c>
      <c r="Q333" s="51" t="e">
        <f t="shared" si="90"/>
        <v>#N/A</v>
      </c>
      <c r="R333" s="205" t="e">
        <f t="shared" si="91"/>
        <v>#N/A</v>
      </c>
      <c r="S333" s="279" t="e">
        <f>IF(R333="si",0,IF(E333="si",0,IF(J333&gt;K333,0,+K333-J333)))+IF('calcolo base'!P1793="SI",('Commissioni De Angeli'!K333-'Commissioni De Angeli'!J333),0)</f>
        <v>#N/A</v>
      </c>
      <c r="T333" s="117" t="e">
        <f t="shared" si="92"/>
        <v>#N/A</v>
      </c>
      <c r="U333" s="272" t="e">
        <f>IF(Q333=0,'calcolo base'!L2932,(T333+Q333))</f>
        <v>#N/A</v>
      </c>
      <c r="V333" s="119"/>
    </row>
    <row r="334" spans="2:22">
      <c r="B334" s="47"/>
      <c r="C334" s="35"/>
      <c r="D334" s="53"/>
      <c r="E334" s="53"/>
      <c r="F334" s="48"/>
      <c r="G334" s="243" t="e">
        <f>INDEX('calcolo base'!$B:$B, MATCH($A334, 'calcolo base'!$A:$A, 0))</f>
        <v>#N/A</v>
      </c>
      <c r="H334" s="54" t="e">
        <f t="shared" si="84"/>
        <v>#N/A</v>
      </c>
      <c r="I334" s="259" t="e">
        <f>IF(  OR(      INDEX('calcolo base'!$D:$D, MATCH($A334, 'calcolo base'!$A:$A, 0)) = 0,
      INDEX('calcolo base'!$D:$D, MATCH($A334, 'calcolo base'!$A:$A, 0)) = ""   ),
   INDEX('calcolo base'!$K:$K, MATCH($A334, 'calcolo base'!$A:$A, 0)),
   INDEX('calcolo base'!$J:$J, MATCH($A334, 'calcolo base'!$A:$A, 0))
) / 1000</f>
        <v>#N/A</v>
      </c>
      <c r="J334" s="50" t="e">
        <f t="shared" si="85"/>
        <v>#N/A</v>
      </c>
      <c r="K334" s="50"/>
      <c r="L334" s="267" t="e">
        <f>INDEX('calcolo base'!$H:$H, MATCH($A334, 'calcolo base'!$A:$A, 0))</f>
        <v>#N/A</v>
      </c>
      <c r="M334" s="50" t="e">
        <f t="shared" si="86"/>
        <v>#N/A</v>
      </c>
      <c r="N334" s="50" t="e">
        <f t="shared" si="87"/>
        <v>#N/A</v>
      </c>
      <c r="O334" s="50" t="e">
        <f t="shared" si="88"/>
        <v>#N/A</v>
      </c>
      <c r="P334" s="50" t="e">
        <f t="shared" si="89"/>
        <v>#N/A</v>
      </c>
      <c r="Q334" s="51" t="e">
        <f t="shared" si="90"/>
        <v>#N/A</v>
      </c>
      <c r="R334" s="205" t="e">
        <f t="shared" si="91"/>
        <v>#N/A</v>
      </c>
      <c r="S334" s="279" t="e">
        <f>IF(R334="si",0,IF(E334="si",0,IF(J334&gt;K334,0,+K334-J334)))+IF('calcolo base'!P1794="SI",('Commissioni De Angeli'!K334-'Commissioni De Angeli'!J334),0)</f>
        <v>#N/A</v>
      </c>
      <c r="T334" s="117" t="e">
        <f t="shared" si="92"/>
        <v>#N/A</v>
      </c>
      <c r="U334" s="272" t="e">
        <f>IF(Q334=0,'calcolo base'!L2933,(T334+Q334))</f>
        <v>#N/A</v>
      </c>
      <c r="V334" s="119"/>
    </row>
    <row r="335" spans="2:22">
      <c r="B335" s="47"/>
      <c r="C335" s="35"/>
      <c r="D335" s="53"/>
      <c r="E335" s="53"/>
      <c r="F335" s="48"/>
      <c r="G335" s="243" t="e">
        <f>INDEX('calcolo base'!$B:$B, MATCH($A335, 'calcolo base'!$A:$A, 0))</f>
        <v>#N/A</v>
      </c>
      <c r="H335" s="54" t="e">
        <f t="shared" si="84"/>
        <v>#N/A</v>
      </c>
      <c r="I335" s="259" t="e">
        <f>IF(  OR(      INDEX('calcolo base'!$D:$D, MATCH($A335, 'calcolo base'!$A:$A, 0)) = 0,
      INDEX('calcolo base'!$D:$D, MATCH($A335, 'calcolo base'!$A:$A, 0)) = ""   ),
   INDEX('calcolo base'!$K:$K, MATCH($A335, 'calcolo base'!$A:$A, 0)),
   INDEX('calcolo base'!$J:$J, MATCH($A335, 'calcolo base'!$A:$A, 0))
) / 1000</f>
        <v>#N/A</v>
      </c>
      <c r="J335" s="50" t="e">
        <f t="shared" si="85"/>
        <v>#N/A</v>
      </c>
      <c r="K335" s="50"/>
      <c r="L335" s="267" t="e">
        <f>INDEX('calcolo base'!$H:$H, MATCH($A335, 'calcolo base'!$A:$A, 0))</f>
        <v>#N/A</v>
      </c>
      <c r="M335" s="50" t="e">
        <f t="shared" si="86"/>
        <v>#N/A</v>
      </c>
      <c r="N335" s="50" t="e">
        <f t="shared" si="87"/>
        <v>#N/A</v>
      </c>
      <c r="O335" s="50" t="e">
        <f t="shared" si="88"/>
        <v>#N/A</v>
      </c>
      <c r="P335" s="50" t="e">
        <f t="shared" si="89"/>
        <v>#N/A</v>
      </c>
      <c r="Q335" s="51" t="e">
        <f t="shared" si="90"/>
        <v>#N/A</v>
      </c>
      <c r="R335" s="205" t="e">
        <f t="shared" si="91"/>
        <v>#N/A</v>
      </c>
      <c r="S335" s="279" t="e">
        <f>IF(R335="si",0,IF(E335="si",0,IF(J335&gt;K335,0,+K335-J335)))+IF('calcolo base'!P1795="SI",('Commissioni De Angeli'!K335-'Commissioni De Angeli'!J335),0)</f>
        <v>#N/A</v>
      </c>
      <c r="T335" s="117" t="e">
        <f t="shared" si="92"/>
        <v>#N/A</v>
      </c>
      <c r="U335" s="272" t="e">
        <f>IF(Q335=0,'calcolo base'!L2934,(T335+Q335))</f>
        <v>#N/A</v>
      </c>
      <c r="V335" s="119"/>
    </row>
    <row r="336" spans="2:22">
      <c r="B336" s="47"/>
      <c r="C336" s="35"/>
      <c r="D336" s="53"/>
      <c r="E336" s="53"/>
      <c r="F336" s="48"/>
      <c r="G336" s="243" t="e">
        <f>INDEX('calcolo base'!$B:$B, MATCH($A336, 'calcolo base'!$A:$A, 0))</f>
        <v>#N/A</v>
      </c>
      <c r="H336" s="54" t="e">
        <f t="shared" si="84"/>
        <v>#N/A</v>
      </c>
      <c r="I336" s="259" t="e">
        <f>IF(  OR(      INDEX('calcolo base'!$D:$D, MATCH($A336, 'calcolo base'!$A:$A, 0)) = 0,
      INDEX('calcolo base'!$D:$D, MATCH($A336, 'calcolo base'!$A:$A, 0)) = ""   ),
   INDEX('calcolo base'!$K:$K, MATCH($A336, 'calcolo base'!$A:$A, 0)),
   INDEX('calcolo base'!$J:$J, MATCH($A336, 'calcolo base'!$A:$A, 0))
) / 1000</f>
        <v>#N/A</v>
      </c>
      <c r="J336" s="50" t="e">
        <f t="shared" si="85"/>
        <v>#N/A</v>
      </c>
      <c r="K336" s="50"/>
      <c r="L336" s="267" t="e">
        <f>INDEX('calcolo base'!$H:$H, MATCH($A336, 'calcolo base'!$A:$A, 0))</f>
        <v>#N/A</v>
      </c>
      <c r="M336" s="50" t="e">
        <f t="shared" si="86"/>
        <v>#N/A</v>
      </c>
      <c r="N336" s="50" t="e">
        <f t="shared" si="87"/>
        <v>#N/A</v>
      </c>
      <c r="O336" s="50" t="e">
        <f t="shared" si="88"/>
        <v>#N/A</v>
      </c>
      <c r="P336" s="50" t="e">
        <f t="shared" si="89"/>
        <v>#N/A</v>
      </c>
      <c r="Q336" s="51" t="e">
        <f t="shared" si="90"/>
        <v>#N/A</v>
      </c>
      <c r="R336" s="205" t="e">
        <f t="shared" si="91"/>
        <v>#N/A</v>
      </c>
      <c r="S336" s="279" t="e">
        <f>IF(R336="si",0,IF(E336="si",0,IF(J336&gt;K336,0,+K336-J336)))+IF('calcolo base'!P1796="SI",('Commissioni De Angeli'!K336-'Commissioni De Angeli'!J336),0)</f>
        <v>#N/A</v>
      </c>
      <c r="T336" s="117" t="e">
        <f t="shared" si="92"/>
        <v>#N/A</v>
      </c>
      <c r="U336" s="272" t="e">
        <f>IF(Q336=0,'calcolo base'!L2935,(T336+Q336))</f>
        <v>#N/A</v>
      </c>
      <c r="V336" s="119"/>
    </row>
    <row r="337" spans="2:22">
      <c r="B337" s="47"/>
      <c r="C337" s="35"/>
      <c r="D337" s="53"/>
      <c r="E337" s="53"/>
      <c r="F337" s="48"/>
      <c r="G337" s="243" t="e">
        <f>INDEX('calcolo base'!$B:$B, MATCH($A337, 'calcolo base'!$A:$A, 0))</f>
        <v>#N/A</v>
      </c>
      <c r="H337" s="54" t="e">
        <f t="shared" si="84"/>
        <v>#N/A</v>
      </c>
      <c r="I337" s="259" t="e">
        <f>IF(  OR(      INDEX('calcolo base'!$D:$D, MATCH($A337, 'calcolo base'!$A:$A, 0)) = 0,
      INDEX('calcolo base'!$D:$D, MATCH($A337, 'calcolo base'!$A:$A, 0)) = ""   ),
   INDEX('calcolo base'!$K:$K, MATCH($A337, 'calcolo base'!$A:$A, 0)),
   INDEX('calcolo base'!$J:$J, MATCH($A337, 'calcolo base'!$A:$A, 0))
) / 1000</f>
        <v>#N/A</v>
      </c>
      <c r="J337" s="50" t="e">
        <f t="shared" si="85"/>
        <v>#N/A</v>
      </c>
      <c r="K337" s="50"/>
      <c r="L337" s="267" t="e">
        <f>INDEX('calcolo base'!$H:$H, MATCH($A337, 'calcolo base'!$A:$A, 0))</f>
        <v>#N/A</v>
      </c>
      <c r="M337" s="50" t="e">
        <f t="shared" si="86"/>
        <v>#N/A</v>
      </c>
      <c r="N337" s="50" t="e">
        <f t="shared" si="87"/>
        <v>#N/A</v>
      </c>
      <c r="O337" s="50" t="e">
        <f t="shared" si="88"/>
        <v>#N/A</v>
      </c>
      <c r="P337" s="50" t="e">
        <f t="shared" si="89"/>
        <v>#N/A</v>
      </c>
      <c r="Q337" s="51" t="e">
        <f t="shared" si="90"/>
        <v>#N/A</v>
      </c>
      <c r="R337" s="205" t="e">
        <f t="shared" si="91"/>
        <v>#N/A</v>
      </c>
      <c r="S337" s="279" t="e">
        <f>IF(R337="si",0,IF(E337="si",0,IF(J337&gt;K337,0,+K337-J337)))+IF('calcolo base'!P1797="SI",('Commissioni De Angeli'!K337-'Commissioni De Angeli'!J337),0)</f>
        <v>#N/A</v>
      </c>
      <c r="T337" s="117" t="e">
        <f t="shared" si="92"/>
        <v>#N/A</v>
      </c>
      <c r="U337" s="272" t="e">
        <f>IF(Q337=0,'calcolo base'!L2936,(T337+Q337))</f>
        <v>#N/A</v>
      </c>
      <c r="V337" s="119"/>
    </row>
    <row r="338" spans="2:22">
      <c r="B338" s="47"/>
      <c r="C338" s="35"/>
      <c r="D338" s="53"/>
      <c r="E338" s="53"/>
      <c r="F338" s="48"/>
      <c r="G338" s="243" t="e">
        <f>INDEX('calcolo base'!$B:$B, MATCH($A338, 'calcolo base'!$A:$A, 0))</f>
        <v>#N/A</v>
      </c>
      <c r="H338" s="54" t="e">
        <f t="shared" si="84"/>
        <v>#N/A</v>
      </c>
      <c r="I338" s="259" t="e">
        <f>IF(  OR(      INDEX('calcolo base'!$D:$D, MATCH($A338, 'calcolo base'!$A:$A, 0)) = 0,
      INDEX('calcolo base'!$D:$D, MATCH($A338, 'calcolo base'!$A:$A, 0)) = ""   ),
   INDEX('calcolo base'!$K:$K, MATCH($A338, 'calcolo base'!$A:$A, 0)),
   INDEX('calcolo base'!$J:$J, MATCH($A338, 'calcolo base'!$A:$A, 0))
) / 1000</f>
        <v>#N/A</v>
      </c>
      <c r="J338" s="50" t="e">
        <f t="shared" si="85"/>
        <v>#N/A</v>
      </c>
      <c r="K338" s="50"/>
      <c r="L338" s="267" t="e">
        <f>INDEX('calcolo base'!$H:$H, MATCH($A338, 'calcolo base'!$A:$A, 0))</f>
        <v>#N/A</v>
      </c>
      <c r="M338" s="50" t="e">
        <f t="shared" si="86"/>
        <v>#N/A</v>
      </c>
      <c r="N338" s="50" t="e">
        <f t="shared" si="87"/>
        <v>#N/A</v>
      </c>
      <c r="O338" s="50" t="e">
        <f t="shared" si="88"/>
        <v>#N/A</v>
      </c>
      <c r="P338" s="50" t="e">
        <f t="shared" si="89"/>
        <v>#N/A</v>
      </c>
      <c r="Q338" s="51" t="e">
        <f t="shared" si="90"/>
        <v>#N/A</v>
      </c>
      <c r="R338" s="205" t="e">
        <f t="shared" si="91"/>
        <v>#N/A</v>
      </c>
      <c r="S338" s="279" t="e">
        <f>IF(R338="si",0,IF(E338="si",0,IF(J338&gt;K338,0,+K338-J338)))+IF('calcolo base'!P1798="SI",('Commissioni De Angeli'!K338-'Commissioni De Angeli'!J338),0)</f>
        <v>#N/A</v>
      </c>
      <c r="T338" s="117" t="e">
        <f t="shared" si="92"/>
        <v>#N/A</v>
      </c>
      <c r="U338" s="272" t="e">
        <f>IF(Q338=0,'calcolo base'!L2937,(T338+Q338))</f>
        <v>#N/A</v>
      </c>
      <c r="V338" s="119"/>
    </row>
    <row r="339" spans="2:22">
      <c r="B339" s="47"/>
      <c r="C339" s="35"/>
      <c r="D339" s="53"/>
      <c r="E339" s="53"/>
      <c r="F339" s="48"/>
      <c r="G339" s="243" t="e">
        <f>INDEX('calcolo base'!$B:$B, MATCH($A339, 'calcolo base'!$A:$A, 0))</f>
        <v>#N/A</v>
      </c>
      <c r="H339" s="54" t="e">
        <f t="shared" si="84"/>
        <v>#N/A</v>
      </c>
      <c r="I339" s="259" t="e">
        <f>IF(  OR(      INDEX('calcolo base'!$D:$D, MATCH($A339, 'calcolo base'!$A:$A, 0)) = 0,
      INDEX('calcolo base'!$D:$D, MATCH($A339, 'calcolo base'!$A:$A, 0)) = ""   ),
   INDEX('calcolo base'!$K:$K, MATCH($A339, 'calcolo base'!$A:$A, 0)),
   INDEX('calcolo base'!$J:$J, MATCH($A339, 'calcolo base'!$A:$A, 0))
) / 1000</f>
        <v>#N/A</v>
      </c>
      <c r="J339" s="50" t="e">
        <f t="shared" si="85"/>
        <v>#N/A</v>
      </c>
      <c r="K339" s="50"/>
      <c r="L339" s="267" t="e">
        <f>INDEX('calcolo base'!$H:$H, MATCH($A339, 'calcolo base'!$A:$A, 0))</f>
        <v>#N/A</v>
      </c>
      <c r="M339" s="50" t="e">
        <f t="shared" si="86"/>
        <v>#N/A</v>
      </c>
      <c r="N339" s="50" t="e">
        <f t="shared" si="87"/>
        <v>#N/A</v>
      </c>
      <c r="O339" s="50" t="e">
        <f t="shared" si="88"/>
        <v>#N/A</v>
      </c>
      <c r="P339" s="50" t="e">
        <f t="shared" si="89"/>
        <v>#N/A</v>
      </c>
      <c r="Q339" s="51" t="e">
        <f t="shared" si="90"/>
        <v>#N/A</v>
      </c>
      <c r="R339" s="205" t="e">
        <f t="shared" si="91"/>
        <v>#N/A</v>
      </c>
      <c r="S339" s="279" t="e">
        <f>IF(R339="si",0,IF(E339="si",0,IF(J339&gt;K339,0,+K339-J339)))+IF('calcolo base'!P1799="SI",('Commissioni De Angeli'!K339-'Commissioni De Angeli'!J339),0)</f>
        <v>#N/A</v>
      </c>
      <c r="T339" s="117" t="e">
        <f t="shared" si="92"/>
        <v>#N/A</v>
      </c>
      <c r="U339" s="272" t="e">
        <f>IF(Q339=0,'calcolo base'!L2938,(T339+Q339))</f>
        <v>#N/A</v>
      </c>
      <c r="V339" s="119"/>
    </row>
    <row r="340" spans="2:22">
      <c r="B340" s="47"/>
      <c r="C340" s="35"/>
      <c r="D340" s="53"/>
      <c r="E340" s="53"/>
      <c r="F340" s="48"/>
      <c r="G340" s="243" t="e">
        <f>INDEX('calcolo base'!$B:$B, MATCH($A340, 'calcolo base'!$A:$A, 0))</f>
        <v>#N/A</v>
      </c>
      <c r="H340" s="54" t="e">
        <f t="shared" si="84"/>
        <v>#N/A</v>
      </c>
      <c r="I340" s="259" t="e">
        <f>IF(  OR(      INDEX('calcolo base'!$D:$D, MATCH($A340, 'calcolo base'!$A:$A, 0)) = 0,
      INDEX('calcolo base'!$D:$D, MATCH($A340, 'calcolo base'!$A:$A, 0)) = ""   ),
   INDEX('calcolo base'!$K:$K, MATCH($A340, 'calcolo base'!$A:$A, 0)),
   INDEX('calcolo base'!$J:$J, MATCH($A340, 'calcolo base'!$A:$A, 0))
) / 1000</f>
        <v>#N/A</v>
      </c>
      <c r="J340" s="50" t="e">
        <f t="shared" si="85"/>
        <v>#N/A</v>
      </c>
      <c r="K340" s="50"/>
      <c r="L340" s="267" t="e">
        <f>INDEX('calcolo base'!$H:$H, MATCH($A340, 'calcolo base'!$A:$A, 0))</f>
        <v>#N/A</v>
      </c>
      <c r="M340" s="50" t="e">
        <f t="shared" si="86"/>
        <v>#N/A</v>
      </c>
      <c r="N340" s="50" t="e">
        <f t="shared" si="87"/>
        <v>#N/A</v>
      </c>
      <c r="O340" s="50" t="e">
        <f t="shared" si="88"/>
        <v>#N/A</v>
      </c>
      <c r="P340" s="50" t="e">
        <f t="shared" si="89"/>
        <v>#N/A</v>
      </c>
      <c r="Q340" s="51" t="e">
        <f t="shared" si="90"/>
        <v>#N/A</v>
      </c>
      <c r="R340" s="205" t="e">
        <f t="shared" si="91"/>
        <v>#N/A</v>
      </c>
      <c r="S340" s="279" t="e">
        <f>IF(R340="si",0,IF(E340="si",0,IF(J340&gt;K340,0,+K340-J340)))+IF('calcolo base'!P1800="SI",('Commissioni De Angeli'!K340-'Commissioni De Angeli'!J340),0)</f>
        <v>#N/A</v>
      </c>
      <c r="T340" s="117" t="e">
        <f t="shared" si="92"/>
        <v>#N/A</v>
      </c>
      <c r="U340" s="272" t="e">
        <f>IF(Q340=0,'calcolo base'!L2939,(T340+Q340))</f>
        <v>#N/A</v>
      </c>
      <c r="V340" s="119"/>
    </row>
    <row r="341" spans="2:22">
      <c r="B341" s="47"/>
      <c r="C341" s="35"/>
      <c r="D341" s="53"/>
      <c r="E341" s="53"/>
      <c r="F341" s="48"/>
      <c r="G341" s="243" t="e">
        <f>INDEX('calcolo base'!$B:$B, MATCH($A341, 'calcolo base'!$A:$A, 0))</f>
        <v>#N/A</v>
      </c>
      <c r="H341" s="54" t="e">
        <f t="shared" si="84"/>
        <v>#N/A</v>
      </c>
      <c r="I341" s="259" t="e">
        <f>IF(  OR(      INDEX('calcolo base'!$D:$D, MATCH($A341, 'calcolo base'!$A:$A, 0)) = 0,
      INDEX('calcolo base'!$D:$D, MATCH($A341, 'calcolo base'!$A:$A, 0)) = ""   ),
   INDEX('calcolo base'!$K:$K, MATCH($A341, 'calcolo base'!$A:$A, 0)),
   INDEX('calcolo base'!$J:$J, MATCH($A341, 'calcolo base'!$A:$A, 0))
) / 1000</f>
        <v>#N/A</v>
      </c>
      <c r="J341" s="50" t="e">
        <f t="shared" si="85"/>
        <v>#N/A</v>
      </c>
      <c r="K341" s="50"/>
      <c r="L341" s="267" t="e">
        <f>INDEX('calcolo base'!$H:$H, MATCH($A341, 'calcolo base'!$A:$A, 0))</f>
        <v>#N/A</v>
      </c>
      <c r="M341" s="50" t="e">
        <f t="shared" si="86"/>
        <v>#N/A</v>
      </c>
      <c r="N341" s="50" t="e">
        <f t="shared" si="87"/>
        <v>#N/A</v>
      </c>
      <c r="O341" s="50" t="e">
        <f t="shared" si="88"/>
        <v>#N/A</v>
      </c>
      <c r="P341" s="50" t="e">
        <f t="shared" si="89"/>
        <v>#N/A</v>
      </c>
      <c r="Q341" s="51" t="e">
        <f t="shared" si="90"/>
        <v>#N/A</v>
      </c>
      <c r="R341" s="205" t="e">
        <f t="shared" si="91"/>
        <v>#N/A</v>
      </c>
      <c r="S341" s="279" t="e">
        <f>IF(R341="si",0,IF(E341="si",0,IF(J341&gt;K341,0,+K341-J341)))+IF('calcolo base'!P1801="SI",('Commissioni De Angeli'!K341-'Commissioni De Angeli'!J341),0)</f>
        <v>#N/A</v>
      </c>
      <c r="T341" s="117" t="e">
        <f t="shared" si="92"/>
        <v>#N/A</v>
      </c>
      <c r="U341" s="272" t="e">
        <f>IF(Q341=0,'calcolo base'!L2940,(T341+Q341))</f>
        <v>#N/A</v>
      </c>
      <c r="V341" s="119"/>
    </row>
    <row r="342" spans="2:22">
      <c r="B342" s="47"/>
      <c r="C342" s="35"/>
      <c r="D342" s="53"/>
      <c r="E342" s="53"/>
      <c r="F342" s="48"/>
      <c r="G342" s="243" t="e">
        <f>INDEX('calcolo base'!$B:$B, MATCH($A342, 'calcolo base'!$A:$A, 0))</f>
        <v>#N/A</v>
      </c>
      <c r="H342" s="54" t="e">
        <f t="shared" si="84"/>
        <v>#N/A</v>
      </c>
      <c r="I342" s="259" t="e">
        <f>IF(  OR(      INDEX('calcolo base'!$D:$D, MATCH($A342, 'calcolo base'!$A:$A, 0)) = 0,
      INDEX('calcolo base'!$D:$D, MATCH($A342, 'calcolo base'!$A:$A, 0)) = ""   ),
   INDEX('calcolo base'!$K:$K, MATCH($A342, 'calcolo base'!$A:$A, 0)),
   INDEX('calcolo base'!$J:$J, MATCH($A342, 'calcolo base'!$A:$A, 0))
) / 1000</f>
        <v>#N/A</v>
      </c>
      <c r="J342" s="50" t="e">
        <f t="shared" si="85"/>
        <v>#N/A</v>
      </c>
      <c r="K342" s="50"/>
      <c r="L342" s="267" t="e">
        <f>INDEX('calcolo base'!$H:$H, MATCH($A342, 'calcolo base'!$A:$A, 0))</f>
        <v>#N/A</v>
      </c>
      <c r="M342" s="50" t="e">
        <f t="shared" si="86"/>
        <v>#N/A</v>
      </c>
      <c r="N342" s="50" t="e">
        <f t="shared" si="87"/>
        <v>#N/A</v>
      </c>
      <c r="O342" s="50" t="e">
        <f t="shared" si="88"/>
        <v>#N/A</v>
      </c>
      <c r="P342" s="50" t="e">
        <f t="shared" si="89"/>
        <v>#N/A</v>
      </c>
      <c r="Q342" s="51" t="e">
        <f t="shared" si="90"/>
        <v>#N/A</v>
      </c>
      <c r="R342" s="205" t="e">
        <f t="shared" si="91"/>
        <v>#N/A</v>
      </c>
      <c r="S342" s="279" t="e">
        <f>IF(R342="si",0,IF(E342="si",0,IF(J342&gt;K342,0,+K342-J342)))+IF('calcolo base'!P1802="SI",('Commissioni De Angeli'!K342-'Commissioni De Angeli'!J342),0)</f>
        <v>#N/A</v>
      </c>
      <c r="T342" s="117" t="e">
        <f t="shared" si="92"/>
        <v>#N/A</v>
      </c>
      <c r="U342" s="272" t="e">
        <f>IF(Q342=0,'calcolo base'!L2941,(T342+Q342))</f>
        <v>#N/A</v>
      </c>
      <c r="V342" s="119"/>
    </row>
    <row r="343" spans="2:22">
      <c r="B343" s="47"/>
      <c r="C343" s="35"/>
      <c r="D343" s="53"/>
      <c r="E343" s="53"/>
      <c r="F343" s="48"/>
      <c r="G343" s="243" t="e">
        <f>INDEX('calcolo base'!$B:$B, MATCH($A343, 'calcolo base'!$A:$A, 0))</f>
        <v>#N/A</v>
      </c>
      <c r="H343" s="54" t="e">
        <f t="shared" si="84"/>
        <v>#N/A</v>
      </c>
      <c r="I343" s="259" t="e">
        <f>IF(  OR(      INDEX('calcolo base'!$D:$D, MATCH($A343, 'calcolo base'!$A:$A, 0)) = 0,
      INDEX('calcolo base'!$D:$D, MATCH($A343, 'calcolo base'!$A:$A, 0)) = ""   ),
   INDEX('calcolo base'!$K:$K, MATCH($A343, 'calcolo base'!$A:$A, 0)),
   INDEX('calcolo base'!$J:$J, MATCH($A343, 'calcolo base'!$A:$A, 0))
) / 1000</f>
        <v>#N/A</v>
      </c>
      <c r="J343" s="50" t="e">
        <f t="shared" si="85"/>
        <v>#N/A</v>
      </c>
      <c r="K343" s="50"/>
      <c r="L343" s="267" t="e">
        <f>INDEX('calcolo base'!$H:$H, MATCH($A343, 'calcolo base'!$A:$A, 0))</f>
        <v>#N/A</v>
      </c>
      <c r="M343" s="50" t="e">
        <f t="shared" si="86"/>
        <v>#N/A</v>
      </c>
      <c r="N343" s="50" t="e">
        <f t="shared" si="87"/>
        <v>#N/A</v>
      </c>
      <c r="O343" s="50" t="e">
        <f t="shared" si="88"/>
        <v>#N/A</v>
      </c>
      <c r="P343" s="50" t="e">
        <f t="shared" si="89"/>
        <v>#N/A</v>
      </c>
      <c r="Q343" s="51" t="e">
        <f t="shared" si="90"/>
        <v>#N/A</v>
      </c>
      <c r="R343" s="205" t="e">
        <f t="shared" si="91"/>
        <v>#N/A</v>
      </c>
      <c r="S343" s="279" t="e">
        <f>IF(R343="si",0,IF(E343="si",0,IF(J343&gt;K343,0,+K343-J343)))+IF('calcolo base'!P1803="SI",('Commissioni De Angeli'!K343-'Commissioni De Angeli'!J343),0)</f>
        <v>#N/A</v>
      </c>
      <c r="T343" s="117" t="e">
        <f t="shared" si="92"/>
        <v>#N/A</v>
      </c>
      <c r="U343" s="272" t="e">
        <f>IF(Q343=0,'calcolo base'!L2942,(T343+Q343))</f>
        <v>#N/A</v>
      </c>
      <c r="V343" s="119"/>
    </row>
    <row r="344" spans="2:22">
      <c r="B344" s="47"/>
      <c r="C344" s="35"/>
      <c r="D344" s="53"/>
      <c r="E344" s="53"/>
      <c r="F344" s="48"/>
      <c r="G344" s="243" t="e">
        <f>INDEX('calcolo base'!$B:$B, MATCH($A344, 'calcolo base'!$A:$A, 0))</f>
        <v>#N/A</v>
      </c>
      <c r="H344" s="54" t="e">
        <f t="shared" si="84"/>
        <v>#N/A</v>
      </c>
      <c r="I344" s="259" t="e">
        <f>IF(  OR(      INDEX('calcolo base'!$D:$D, MATCH($A344, 'calcolo base'!$A:$A, 0)) = 0,
      INDEX('calcolo base'!$D:$D, MATCH($A344, 'calcolo base'!$A:$A, 0)) = ""   ),
   INDEX('calcolo base'!$K:$K, MATCH($A344, 'calcolo base'!$A:$A, 0)),
   INDEX('calcolo base'!$J:$J, MATCH($A344, 'calcolo base'!$A:$A, 0))
) / 1000</f>
        <v>#N/A</v>
      </c>
      <c r="J344" s="50" t="e">
        <f t="shared" si="85"/>
        <v>#N/A</v>
      </c>
      <c r="K344" s="50"/>
      <c r="L344" s="267" t="e">
        <f>INDEX('calcolo base'!$H:$H, MATCH($A344, 'calcolo base'!$A:$A, 0))</f>
        <v>#N/A</v>
      </c>
      <c r="M344" s="50" t="e">
        <f t="shared" si="86"/>
        <v>#N/A</v>
      </c>
      <c r="N344" s="50" t="e">
        <f t="shared" si="87"/>
        <v>#N/A</v>
      </c>
      <c r="O344" s="50" t="e">
        <f t="shared" si="88"/>
        <v>#N/A</v>
      </c>
      <c r="P344" s="50" t="e">
        <f t="shared" si="89"/>
        <v>#N/A</v>
      </c>
      <c r="Q344" s="51" t="e">
        <f t="shared" si="90"/>
        <v>#N/A</v>
      </c>
      <c r="R344" s="205" t="e">
        <f t="shared" si="91"/>
        <v>#N/A</v>
      </c>
      <c r="S344" s="279" t="e">
        <f>IF(R344="si",0,IF(E344="si",0,IF(J344&gt;K344,0,+K344-J344)))+IF('calcolo base'!P1804="SI",('Commissioni De Angeli'!K344-'Commissioni De Angeli'!J344),0)</f>
        <v>#N/A</v>
      </c>
      <c r="T344" s="117" t="e">
        <f t="shared" si="92"/>
        <v>#N/A</v>
      </c>
      <c r="U344" s="272" t="e">
        <f>IF(Q344=0,'calcolo base'!L2943,(T344+Q344))</f>
        <v>#N/A</v>
      </c>
      <c r="V344" s="119"/>
    </row>
    <row r="345" spans="2:22">
      <c r="B345" s="47"/>
      <c r="C345" s="35"/>
      <c r="D345" s="53"/>
      <c r="E345" s="53"/>
      <c r="F345" s="48"/>
      <c r="G345" s="243" t="e">
        <f>INDEX('calcolo base'!$B:$B, MATCH($A345, 'calcolo base'!$A:$A, 0))</f>
        <v>#N/A</v>
      </c>
      <c r="H345" s="54" t="e">
        <f t="shared" si="84"/>
        <v>#N/A</v>
      </c>
      <c r="I345" s="259" t="e">
        <f>IF(  OR(      INDEX('calcolo base'!$D:$D, MATCH($A345, 'calcolo base'!$A:$A, 0)) = 0,
      INDEX('calcolo base'!$D:$D, MATCH($A345, 'calcolo base'!$A:$A, 0)) = ""   ),
   INDEX('calcolo base'!$K:$K, MATCH($A345, 'calcolo base'!$A:$A, 0)),
   INDEX('calcolo base'!$J:$J, MATCH($A345, 'calcolo base'!$A:$A, 0))
) / 1000</f>
        <v>#N/A</v>
      </c>
      <c r="J345" s="50" t="e">
        <f t="shared" si="85"/>
        <v>#N/A</v>
      </c>
      <c r="K345" s="50"/>
      <c r="L345" s="267" t="e">
        <f>INDEX('calcolo base'!$H:$H, MATCH($A345, 'calcolo base'!$A:$A, 0))</f>
        <v>#N/A</v>
      </c>
      <c r="M345" s="50" t="e">
        <f t="shared" si="86"/>
        <v>#N/A</v>
      </c>
      <c r="N345" s="50" t="e">
        <f t="shared" si="87"/>
        <v>#N/A</v>
      </c>
      <c r="O345" s="50" t="e">
        <f t="shared" si="88"/>
        <v>#N/A</v>
      </c>
      <c r="P345" s="50" t="e">
        <f t="shared" si="89"/>
        <v>#N/A</v>
      </c>
      <c r="Q345" s="51" t="e">
        <f t="shared" si="90"/>
        <v>#N/A</v>
      </c>
      <c r="R345" s="205" t="e">
        <f t="shared" si="91"/>
        <v>#N/A</v>
      </c>
      <c r="S345" s="279" t="e">
        <f>IF(R345="si",0,IF(E345="si",0,IF(J345&gt;K345,0,+K345-J345)))+IF('calcolo base'!P1805="SI",('Commissioni De Angeli'!K345-'Commissioni De Angeli'!J345),0)</f>
        <v>#N/A</v>
      </c>
      <c r="T345" s="117" t="e">
        <f t="shared" si="92"/>
        <v>#N/A</v>
      </c>
      <c r="U345" s="272" t="e">
        <f>IF(Q345=0,'calcolo base'!L2944,(T345+Q345))</f>
        <v>#N/A</v>
      </c>
      <c r="V345" s="119"/>
    </row>
    <row r="346" spans="2:22">
      <c r="B346" s="47"/>
      <c r="C346" s="35"/>
      <c r="D346" s="53"/>
      <c r="E346" s="53"/>
      <c r="F346" s="48"/>
      <c r="G346" s="243" t="e">
        <f>INDEX('calcolo base'!$B:$B, MATCH($A346, 'calcolo base'!$A:$A, 0))</f>
        <v>#N/A</v>
      </c>
      <c r="H346" s="54" t="e">
        <f t="shared" si="84"/>
        <v>#N/A</v>
      </c>
      <c r="I346" s="259" t="e">
        <f>IF(  OR(      INDEX('calcolo base'!$D:$D, MATCH($A346, 'calcolo base'!$A:$A, 0)) = 0,
      INDEX('calcolo base'!$D:$D, MATCH($A346, 'calcolo base'!$A:$A, 0)) = ""   ),
   INDEX('calcolo base'!$K:$K, MATCH($A346, 'calcolo base'!$A:$A, 0)),
   INDEX('calcolo base'!$J:$J, MATCH($A346, 'calcolo base'!$A:$A, 0))
) / 1000</f>
        <v>#N/A</v>
      </c>
      <c r="J346" s="50" t="e">
        <f t="shared" si="85"/>
        <v>#N/A</v>
      </c>
      <c r="K346" s="50"/>
      <c r="L346" s="267" t="e">
        <f>INDEX('calcolo base'!$H:$H, MATCH($A346, 'calcolo base'!$A:$A, 0))</f>
        <v>#N/A</v>
      </c>
      <c r="M346" s="50" t="e">
        <f t="shared" si="86"/>
        <v>#N/A</v>
      </c>
      <c r="N346" s="50" t="e">
        <f t="shared" si="87"/>
        <v>#N/A</v>
      </c>
      <c r="O346" s="50" t="e">
        <f t="shared" si="88"/>
        <v>#N/A</v>
      </c>
      <c r="P346" s="50" t="e">
        <f t="shared" si="89"/>
        <v>#N/A</v>
      </c>
      <c r="Q346" s="51" t="e">
        <f t="shared" si="90"/>
        <v>#N/A</v>
      </c>
      <c r="R346" s="205" t="e">
        <f t="shared" si="91"/>
        <v>#N/A</v>
      </c>
      <c r="S346" s="279" t="e">
        <f>IF(R346="si",0,IF(E346="si",0,IF(J346&gt;K346,0,+K346-J346)))+IF('calcolo base'!P1806="SI",('Commissioni De Angeli'!K346-'Commissioni De Angeli'!J346),0)</f>
        <v>#N/A</v>
      </c>
      <c r="T346" s="117" t="e">
        <f t="shared" si="92"/>
        <v>#N/A</v>
      </c>
      <c r="U346" s="272" t="e">
        <f>IF(Q346=0,'calcolo base'!L2945,(T346+Q346))</f>
        <v>#N/A</v>
      </c>
      <c r="V346" s="119"/>
    </row>
    <row r="347" spans="2:22">
      <c r="B347" s="47"/>
      <c r="C347" s="35"/>
      <c r="D347" s="53"/>
      <c r="E347" s="53"/>
      <c r="F347" s="48"/>
      <c r="G347" s="243" t="e">
        <f>INDEX('calcolo base'!$B:$B, MATCH($A347, 'calcolo base'!$A:$A, 0))</f>
        <v>#N/A</v>
      </c>
      <c r="H347" s="54" t="e">
        <f t="shared" si="84"/>
        <v>#N/A</v>
      </c>
      <c r="I347" s="259" t="e">
        <f>IF(  OR(      INDEX('calcolo base'!$D:$D, MATCH($A347, 'calcolo base'!$A:$A, 0)) = 0,
      INDEX('calcolo base'!$D:$D, MATCH($A347, 'calcolo base'!$A:$A, 0)) = ""   ),
   INDEX('calcolo base'!$K:$K, MATCH($A347, 'calcolo base'!$A:$A, 0)),
   INDEX('calcolo base'!$J:$J, MATCH($A347, 'calcolo base'!$A:$A, 0))
) / 1000</f>
        <v>#N/A</v>
      </c>
      <c r="J347" s="50" t="e">
        <f t="shared" si="85"/>
        <v>#N/A</v>
      </c>
      <c r="K347" s="50"/>
      <c r="L347" s="267" t="e">
        <f>INDEX('calcolo base'!$H:$H, MATCH($A347, 'calcolo base'!$A:$A, 0))</f>
        <v>#N/A</v>
      </c>
      <c r="M347" s="50" t="e">
        <f t="shared" si="86"/>
        <v>#N/A</v>
      </c>
      <c r="N347" s="50" t="e">
        <f t="shared" si="87"/>
        <v>#N/A</v>
      </c>
      <c r="O347" s="50" t="e">
        <f t="shared" si="88"/>
        <v>#N/A</v>
      </c>
      <c r="P347" s="50" t="e">
        <f t="shared" si="89"/>
        <v>#N/A</v>
      </c>
      <c r="Q347" s="51" t="e">
        <f t="shared" si="90"/>
        <v>#N/A</v>
      </c>
      <c r="R347" s="205" t="e">
        <f t="shared" si="91"/>
        <v>#N/A</v>
      </c>
      <c r="S347" s="279" t="e">
        <f>IF(R347="si",0,IF(E347="si",0,IF(J347&gt;K347,0,+K347-J347)))+IF('calcolo base'!P1807="SI",('Commissioni De Angeli'!K347-'Commissioni De Angeli'!J347),0)</f>
        <v>#N/A</v>
      </c>
      <c r="T347" s="117" t="e">
        <f t="shared" si="92"/>
        <v>#N/A</v>
      </c>
      <c r="U347" s="272" t="e">
        <f>IF(Q347=0,'calcolo base'!L2946,(T347+Q347))</f>
        <v>#N/A</v>
      </c>
      <c r="V347" s="119"/>
    </row>
    <row r="348" spans="2:22">
      <c r="B348" s="47"/>
      <c r="C348" s="35"/>
      <c r="D348" s="53"/>
      <c r="E348" s="53"/>
      <c r="F348" s="48"/>
      <c r="G348" s="243" t="e">
        <f>INDEX('calcolo base'!$B:$B, MATCH($A348, 'calcolo base'!$A:$A, 0))</f>
        <v>#N/A</v>
      </c>
      <c r="H348" s="54" t="e">
        <f t="shared" si="84"/>
        <v>#N/A</v>
      </c>
      <c r="I348" s="259" t="e">
        <f>IF(  OR(      INDEX('calcolo base'!$D:$D, MATCH($A348, 'calcolo base'!$A:$A, 0)) = 0,
      INDEX('calcolo base'!$D:$D, MATCH($A348, 'calcolo base'!$A:$A, 0)) = ""   ),
   INDEX('calcolo base'!$K:$K, MATCH($A348, 'calcolo base'!$A:$A, 0)),
   INDEX('calcolo base'!$J:$J, MATCH($A348, 'calcolo base'!$A:$A, 0))
) / 1000</f>
        <v>#N/A</v>
      </c>
      <c r="J348" s="50" t="e">
        <f t="shared" si="85"/>
        <v>#N/A</v>
      </c>
      <c r="K348" s="50"/>
      <c r="L348" s="267" t="e">
        <f>INDEX('calcolo base'!$H:$H, MATCH($A348, 'calcolo base'!$A:$A, 0))</f>
        <v>#N/A</v>
      </c>
      <c r="M348" s="50" t="e">
        <f t="shared" si="86"/>
        <v>#N/A</v>
      </c>
      <c r="N348" s="50" t="e">
        <f t="shared" si="87"/>
        <v>#N/A</v>
      </c>
      <c r="O348" s="50" t="e">
        <f t="shared" si="88"/>
        <v>#N/A</v>
      </c>
      <c r="P348" s="50" t="e">
        <f t="shared" si="89"/>
        <v>#N/A</v>
      </c>
      <c r="Q348" s="51" t="e">
        <f t="shared" si="90"/>
        <v>#N/A</v>
      </c>
      <c r="R348" s="205" t="e">
        <f t="shared" si="91"/>
        <v>#N/A</v>
      </c>
      <c r="S348" s="279" t="e">
        <f>IF(R348="si",0,IF(E348="si",0,IF(J348&gt;K348,0,+K348-J348)))+IF('calcolo base'!P1808="SI",('Commissioni De Angeli'!K348-'Commissioni De Angeli'!J348),0)</f>
        <v>#N/A</v>
      </c>
      <c r="T348" s="117" t="e">
        <f t="shared" si="92"/>
        <v>#N/A</v>
      </c>
      <c r="U348" s="272" t="e">
        <f>IF(Q348=0,'calcolo base'!L2947,(T348+Q348))</f>
        <v>#N/A</v>
      </c>
      <c r="V348" s="119"/>
    </row>
    <row r="349" spans="2:22">
      <c r="B349" s="47"/>
      <c r="C349" s="35"/>
      <c r="D349" s="53"/>
      <c r="E349" s="53"/>
      <c r="F349" s="48"/>
      <c r="G349" s="243" t="e">
        <f>INDEX('calcolo base'!$B:$B, MATCH($A349, 'calcolo base'!$A:$A, 0))</f>
        <v>#N/A</v>
      </c>
      <c r="H349" s="54" t="e">
        <f t="shared" si="84"/>
        <v>#N/A</v>
      </c>
      <c r="I349" s="259" t="e">
        <f>IF(  OR(      INDEX('calcolo base'!$D:$D, MATCH($A349, 'calcolo base'!$A:$A, 0)) = 0,
      INDEX('calcolo base'!$D:$D, MATCH($A349, 'calcolo base'!$A:$A, 0)) = ""   ),
   INDEX('calcolo base'!$K:$K, MATCH($A349, 'calcolo base'!$A:$A, 0)),
   INDEX('calcolo base'!$J:$J, MATCH($A349, 'calcolo base'!$A:$A, 0))
) / 1000</f>
        <v>#N/A</v>
      </c>
      <c r="J349" s="50" t="e">
        <f t="shared" si="85"/>
        <v>#N/A</v>
      </c>
      <c r="K349" s="50"/>
      <c r="L349" s="267" t="e">
        <f>INDEX('calcolo base'!$H:$H, MATCH($A349, 'calcolo base'!$A:$A, 0))</f>
        <v>#N/A</v>
      </c>
      <c r="M349" s="50" t="e">
        <f t="shared" si="86"/>
        <v>#N/A</v>
      </c>
      <c r="N349" s="50" t="e">
        <f t="shared" si="87"/>
        <v>#N/A</v>
      </c>
      <c r="O349" s="50" t="e">
        <f t="shared" si="88"/>
        <v>#N/A</v>
      </c>
      <c r="P349" s="50" t="e">
        <f t="shared" si="89"/>
        <v>#N/A</v>
      </c>
      <c r="Q349" s="51" t="e">
        <f t="shared" si="90"/>
        <v>#N/A</v>
      </c>
      <c r="R349" s="205" t="e">
        <f t="shared" si="91"/>
        <v>#N/A</v>
      </c>
      <c r="S349" s="279" t="e">
        <f>IF(R349="si",0,IF(E349="si",0,IF(J349&gt;K349,0,+K349-J349)))+IF('calcolo base'!P1809="SI",('Commissioni De Angeli'!K349-'Commissioni De Angeli'!J349),0)</f>
        <v>#N/A</v>
      </c>
      <c r="T349" s="117" t="e">
        <f t="shared" si="92"/>
        <v>#N/A</v>
      </c>
      <c r="U349" s="272" t="e">
        <f>IF(Q349=0,'calcolo base'!L2948,(T349+Q349))</f>
        <v>#N/A</v>
      </c>
      <c r="V349" s="119"/>
    </row>
    <row r="350" spans="2:22">
      <c r="B350" s="47"/>
      <c r="C350" s="35"/>
      <c r="D350" s="53"/>
      <c r="E350" s="53"/>
      <c r="F350" s="48"/>
      <c r="G350" s="243" t="e">
        <f>INDEX('calcolo base'!$B:$B, MATCH($A350, 'calcolo base'!$A:$A, 0))</f>
        <v>#N/A</v>
      </c>
      <c r="H350" s="54" t="e">
        <f t="shared" si="84"/>
        <v>#N/A</v>
      </c>
      <c r="I350" s="259" t="e">
        <f>IF(  OR(      INDEX('calcolo base'!$D:$D, MATCH($A350, 'calcolo base'!$A:$A, 0)) = 0,
      INDEX('calcolo base'!$D:$D, MATCH($A350, 'calcolo base'!$A:$A, 0)) = ""   ),
   INDEX('calcolo base'!$K:$K, MATCH($A350, 'calcolo base'!$A:$A, 0)),
   INDEX('calcolo base'!$J:$J, MATCH($A350, 'calcolo base'!$A:$A, 0))
) / 1000</f>
        <v>#N/A</v>
      </c>
      <c r="J350" s="50" t="e">
        <f t="shared" si="85"/>
        <v>#N/A</v>
      </c>
      <c r="K350" s="50"/>
      <c r="L350" s="267" t="e">
        <f>INDEX('calcolo base'!$H:$H, MATCH($A350, 'calcolo base'!$A:$A, 0))</f>
        <v>#N/A</v>
      </c>
      <c r="M350" s="50" t="e">
        <f t="shared" si="86"/>
        <v>#N/A</v>
      </c>
      <c r="N350" s="50" t="e">
        <f t="shared" si="87"/>
        <v>#N/A</v>
      </c>
      <c r="O350" s="50" t="e">
        <f t="shared" si="88"/>
        <v>#N/A</v>
      </c>
      <c r="P350" s="50" t="e">
        <f t="shared" si="89"/>
        <v>#N/A</v>
      </c>
      <c r="Q350" s="51" t="e">
        <f t="shared" si="90"/>
        <v>#N/A</v>
      </c>
      <c r="R350" s="205" t="e">
        <f t="shared" si="91"/>
        <v>#N/A</v>
      </c>
      <c r="S350" s="279" t="e">
        <f>IF(R350="si",0,IF(E350="si",0,IF(J350&gt;K350,0,+K350-J350)))+IF('calcolo base'!P1810="SI",('Commissioni De Angeli'!K350-'Commissioni De Angeli'!J350),0)</f>
        <v>#N/A</v>
      </c>
      <c r="T350" s="117" t="e">
        <f t="shared" si="92"/>
        <v>#N/A</v>
      </c>
      <c r="U350" s="272" t="e">
        <f>IF(Q350=0,'calcolo base'!L2949,(T350+Q350))</f>
        <v>#N/A</v>
      </c>
      <c r="V350" s="119"/>
    </row>
    <row r="351" spans="2:22">
      <c r="B351" s="47"/>
      <c r="C351" s="35"/>
      <c r="D351" s="53"/>
      <c r="E351" s="53"/>
      <c r="F351" s="48"/>
      <c r="G351" s="243" t="e">
        <f>INDEX('calcolo base'!$B:$B, MATCH($A351, 'calcolo base'!$A:$A, 0))</f>
        <v>#N/A</v>
      </c>
      <c r="H351" s="54" t="e">
        <f t="shared" si="84"/>
        <v>#N/A</v>
      </c>
      <c r="I351" s="259" t="e">
        <f>IF(  OR(      INDEX('calcolo base'!$D:$D, MATCH($A351, 'calcolo base'!$A:$A, 0)) = 0,
      INDEX('calcolo base'!$D:$D, MATCH($A351, 'calcolo base'!$A:$A, 0)) = ""   ),
   INDEX('calcolo base'!$K:$K, MATCH($A351, 'calcolo base'!$A:$A, 0)),
   INDEX('calcolo base'!$J:$J, MATCH($A351, 'calcolo base'!$A:$A, 0))
) / 1000</f>
        <v>#N/A</v>
      </c>
      <c r="J351" s="50" t="e">
        <f t="shared" si="85"/>
        <v>#N/A</v>
      </c>
      <c r="K351" s="50"/>
      <c r="L351" s="267" t="e">
        <f>INDEX('calcolo base'!$H:$H, MATCH($A351, 'calcolo base'!$A:$A, 0))</f>
        <v>#N/A</v>
      </c>
      <c r="M351" s="50" t="e">
        <f t="shared" si="86"/>
        <v>#N/A</v>
      </c>
      <c r="N351" s="50" t="e">
        <f t="shared" si="87"/>
        <v>#N/A</v>
      </c>
      <c r="O351" s="50" t="e">
        <f t="shared" si="88"/>
        <v>#N/A</v>
      </c>
      <c r="P351" s="50" t="e">
        <f t="shared" si="89"/>
        <v>#N/A</v>
      </c>
      <c r="Q351" s="51" t="e">
        <f t="shared" si="90"/>
        <v>#N/A</v>
      </c>
      <c r="R351" s="205" t="e">
        <f t="shared" si="91"/>
        <v>#N/A</v>
      </c>
      <c r="S351" s="279" t="e">
        <f>IF(R351="si",0,IF(E351="si",0,IF(J351&gt;K351,0,+K351-J351)))+IF('calcolo base'!P1811="SI",('Commissioni De Angeli'!K351-'Commissioni De Angeli'!J351),0)</f>
        <v>#N/A</v>
      </c>
      <c r="T351" s="117" t="e">
        <f t="shared" si="92"/>
        <v>#N/A</v>
      </c>
      <c r="U351" s="272" t="e">
        <f>IF(Q351=0,'calcolo base'!L2950,(T351+Q351))</f>
        <v>#N/A</v>
      </c>
      <c r="V351" s="119"/>
    </row>
    <row r="352" spans="2:22">
      <c r="B352" s="47"/>
      <c r="C352" s="35"/>
      <c r="D352" s="53"/>
      <c r="E352" s="53"/>
      <c r="F352" s="48"/>
      <c r="G352" s="243" t="e">
        <f>INDEX('calcolo base'!$B:$B, MATCH($A352, 'calcolo base'!$A:$A, 0))</f>
        <v>#N/A</v>
      </c>
      <c r="H352" s="54" t="e">
        <f t="shared" si="84"/>
        <v>#N/A</v>
      </c>
      <c r="I352" s="259" t="e">
        <f>IF(  OR(      INDEX('calcolo base'!$D:$D, MATCH($A352, 'calcolo base'!$A:$A, 0)) = 0,
      INDEX('calcolo base'!$D:$D, MATCH($A352, 'calcolo base'!$A:$A, 0)) = ""   ),
   INDEX('calcolo base'!$K:$K, MATCH($A352, 'calcolo base'!$A:$A, 0)),
   INDEX('calcolo base'!$J:$J, MATCH($A352, 'calcolo base'!$A:$A, 0))
) / 1000</f>
        <v>#N/A</v>
      </c>
      <c r="J352" s="50" t="e">
        <f t="shared" si="85"/>
        <v>#N/A</v>
      </c>
      <c r="K352" s="50"/>
      <c r="L352" s="267" t="e">
        <f>INDEX('calcolo base'!$H:$H, MATCH($A352, 'calcolo base'!$A:$A, 0))</f>
        <v>#N/A</v>
      </c>
      <c r="M352" s="50" t="e">
        <f t="shared" si="86"/>
        <v>#N/A</v>
      </c>
      <c r="N352" s="50" t="e">
        <f t="shared" si="87"/>
        <v>#N/A</v>
      </c>
      <c r="O352" s="50" t="e">
        <f t="shared" si="88"/>
        <v>#N/A</v>
      </c>
      <c r="P352" s="50" t="e">
        <f t="shared" si="89"/>
        <v>#N/A</v>
      </c>
      <c r="Q352" s="51" t="e">
        <f t="shared" si="90"/>
        <v>#N/A</v>
      </c>
      <c r="R352" s="205" t="e">
        <f t="shared" si="91"/>
        <v>#N/A</v>
      </c>
      <c r="S352" s="279" t="e">
        <f>IF(R352="si",0,IF(E352="si",0,IF(J352&gt;K352,0,+K352-J352)))+IF('calcolo base'!P1812="SI",('Commissioni De Angeli'!K352-'Commissioni De Angeli'!J352),0)</f>
        <v>#N/A</v>
      </c>
      <c r="T352" s="117" t="e">
        <f t="shared" si="92"/>
        <v>#N/A</v>
      </c>
      <c r="U352" s="272" t="e">
        <f>IF(Q352=0,'calcolo base'!L2951,(T352+Q352))</f>
        <v>#N/A</v>
      </c>
      <c r="V352" s="119"/>
    </row>
    <row r="353" spans="2:22">
      <c r="B353" s="47"/>
      <c r="C353" s="35"/>
      <c r="D353" s="53"/>
      <c r="E353" s="53"/>
      <c r="F353" s="48"/>
      <c r="G353" s="243" t="e">
        <f>INDEX('calcolo base'!$B:$B, MATCH($A353, 'calcolo base'!$A:$A, 0))</f>
        <v>#N/A</v>
      </c>
      <c r="H353" s="54" t="e">
        <f t="shared" si="84"/>
        <v>#N/A</v>
      </c>
      <c r="I353" s="259" t="e">
        <f>IF(  OR(      INDEX('calcolo base'!$D:$D, MATCH($A353, 'calcolo base'!$A:$A, 0)) = 0,
      INDEX('calcolo base'!$D:$D, MATCH($A353, 'calcolo base'!$A:$A, 0)) = ""   ),
   INDEX('calcolo base'!$K:$K, MATCH($A353, 'calcolo base'!$A:$A, 0)),
   INDEX('calcolo base'!$J:$J, MATCH($A353, 'calcolo base'!$A:$A, 0))
) / 1000</f>
        <v>#N/A</v>
      </c>
      <c r="J353" s="50" t="e">
        <f t="shared" si="85"/>
        <v>#N/A</v>
      </c>
      <c r="K353" s="50"/>
      <c r="L353" s="267" t="e">
        <f>INDEX('calcolo base'!$H:$H, MATCH($A353, 'calcolo base'!$A:$A, 0))</f>
        <v>#N/A</v>
      </c>
      <c r="M353" s="50" t="e">
        <f t="shared" si="86"/>
        <v>#N/A</v>
      </c>
      <c r="N353" s="50" t="e">
        <f t="shared" si="87"/>
        <v>#N/A</v>
      </c>
      <c r="O353" s="50" t="e">
        <f t="shared" si="88"/>
        <v>#N/A</v>
      </c>
      <c r="P353" s="50" t="e">
        <f t="shared" si="89"/>
        <v>#N/A</v>
      </c>
      <c r="Q353" s="51" t="e">
        <f t="shared" si="90"/>
        <v>#N/A</v>
      </c>
      <c r="R353" s="205" t="e">
        <f t="shared" si="91"/>
        <v>#N/A</v>
      </c>
      <c r="S353" s="279" t="e">
        <f>IF(R353="si",0,IF(E353="si",0,IF(J353&gt;K353,0,+K353-J353)))+IF('calcolo base'!P1813="SI",('Commissioni De Angeli'!K353-'Commissioni De Angeli'!J353),0)</f>
        <v>#N/A</v>
      </c>
      <c r="T353" s="117" t="e">
        <f t="shared" si="92"/>
        <v>#N/A</v>
      </c>
      <c r="U353" s="272" t="e">
        <f>IF(Q353=0,'calcolo base'!L2952,(T353+Q353))</f>
        <v>#N/A</v>
      </c>
      <c r="V353" s="119"/>
    </row>
    <row r="354" spans="2:22">
      <c r="B354" s="47"/>
      <c r="C354" s="35"/>
      <c r="D354" s="53"/>
      <c r="E354" s="53"/>
      <c r="F354" s="48"/>
      <c r="G354" s="243" t="e">
        <f>INDEX('calcolo base'!$B:$B, MATCH($A354, 'calcolo base'!$A:$A, 0))</f>
        <v>#N/A</v>
      </c>
      <c r="H354" s="54" t="e">
        <f t="shared" si="84"/>
        <v>#N/A</v>
      </c>
      <c r="I354" s="259" t="e">
        <f>IF(  OR(      INDEX('calcolo base'!$D:$D, MATCH($A354, 'calcolo base'!$A:$A, 0)) = 0,
      INDEX('calcolo base'!$D:$D, MATCH($A354, 'calcolo base'!$A:$A, 0)) = ""   ),
   INDEX('calcolo base'!$K:$K, MATCH($A354, 'calcolo base'!$A:$A, 0)),
   INDEX('calcolo base'!$J:$J, MATCH($A354, 'calcolo base'!$A:$A, 0))
) / 1000</f>
        <v>#N/A</v>
      </c>
      <c r="J354" s="50" t="e">
        <f t="shared" si="85"/>
        <v>#N/A</v>
      </c>
      <c r="K354" s="50"/>
      <c r="L354" s="267" t="e">
        <f>INDEX('calcolo base'!$H:$H, MATCH($A354, 'calcolo base'!$A:$A, 0))</f>
        <v>#N/A</v>
      </c>
      <c r="M354" s="50" t="e">
        <f t="shared" si="86"/>
        <v>#N/A</v>
      </c>
      <c r="N354" s="50" t="e">
        <f t="shared" si="87"/>
        <v>#N/A</v>
      </c>
      <c r="O354" s="50" t="e">
        <f t="shared" si="88"/>
        <v>#N/A</v>
      </c>
      <c r="P354" s="50" t="e">
        <f t="shared" si="89"/>
        <v>#N/A</v>
      </c>
      <c r="Q354" s="51" t="e">
        <f t="shared" si="90"/>
        <v>#N/A</v>
      </c>
      <c r="R354" s="205" t="e">
        <f t="shared" si="91"/>
        <v>#N/A</v>
      </c>
      <c r="S354" s="279" t="e">
        <f>IF(R354="si",0,IF(E354="si",0,IF(J354&gt;K354,0,+K354-J354)))+IF('calcolo base'!P1814="SI",('Commissioni De Angeli'!K354-'Commissioni De Angeli'!J354),0)</f>
        <v>#N/A</v>
      </c>
      <c r="T354" s="117" t="e">
        <f t="shared" si="92"/>
        <v>#N/A</v>
      </c>
      <c r="U354" s="272" t="e">
        <f>IF(Q354=0,'calcolo base'!L2953,(T354+Q354))</f>
        <v>#N/A</v>
      </c>
      <c r="V354" s="119"/>
    </row>
    <row r="355" spans="2:22">
      <c r="B355" s="47"/>
      <c r="C355" s="35"/>
      <c r="D355" s="53"/>
      <c r="E355" s="53"/>
      <c r="F355" s="48"/>
      <c r="G355" s="243" t="e">
        <f>INDEX('calcolo base'!$B:$B, MATCH($A355, 'calcolo base'!$A:$A, 0))</f>
        <v>#N/A</v>
      </c>
      <c r="H355" s="54" t="e">
        <f t="shared" si="84"/>
        <v>#N/A</v>
      </c>
      <c r="I355" s="259" t="e">
        <f>IF(  OR(      INDEX('calcolo base'!$D:$D, MATCH($A355, 'calcolo base'!$A:$A, 0)) = 0,
      INDEX('calcolo base'!$D:$D, MATCH($A355, 'calcolo base'!$A:$A, 0)) = ""   ),
   INDEX('calcolo base'!$K:$K, MATCH($A355, 'calcolo base'!$A:$A, 0)),
   INDEX('calcolo base'!$J:$J, MATCH($A355, 'calcolo base'!$A:$A, 0))
) / 1000</f>
        <v>#N/A</v>
      </c>
      <c r="J355" s="50" t="e">
        <f t="shared" si="85"/>
        <v>#N/A</v>
      </c>
      <c r="K355" s="50"/>
      <c r="L355" s="267" t="e">
        <f>INDEX('calcolo base'!$H:$H, MATCH($A355, 'calcolo base'!$A:$A, 0))</f>
        <v>#N/A</v>
      </c>
      <c r="M355" s="50" t="e">
        <f t="shared" si="86"/>
        <v>#N/A</v>
      </c>
      <c r="N355" s="50" t="e">
        <f t="shared" si="87"/>
        <v>#N/A</v>
      </c>
      <c r="O355" s="50" t="e">
        <f t="shared" si="88"/>
        <v>#N/A</v>
      </c>
      <c r="P355" s="50" t="e">
        <f t="shared" si="89"/>
        <v>#N/A</v>
      </c>
      <c r="Q355" s="51" t="e">
        <f t="shared" si="90"/>
        <v>#N/A</v>
      </c>
      <c r="R355" s="205" t="e">
        <f t="shared" si="91"/>
        <v>#N/A</v>
      </c>
      <c r="S355" s="279" t="e">
        <f>IF(R355="si",0,IF(E355="si",0,IF(J355&gt;K355,0,+K355-J355)))+IF('calcolo base'!P1815="SI",('Commissioni De Angeli'!K355-'Commissioni De Angeli'!J355),0)</f>
        <v>#N/A</v>
      </c>
      <c r="T355" s="117" t="e">
        <f t="shared" si="92"/>
        <v>#N/A</v>
      </c>
      <c r="U355" s="272" t="e">
        <f>IF(Q355=0,'calcolo base'!L2954,(T355+Q355))</f>
        <v>#N/A</v>
      </c>
      <c r="V355" s="119"/>
    </row>
    <row r="356" spans="2:22">
      <c r="B356" s="47"/>
      <c r="C356" s="35"/>
      <c r="D356" s="53"/>
      <c r="E356" s="53"/>
      <c r="F356" s="48"/>
      <c r="G356" s="243" t="e">
        <f>INDEX('calcolo base'!$B:$B, MATCH($A356, 'calcolo base'!$A:$A, 0))</f>
        <v>#N/A</v>
      </c>
      <c r="H356" s="54" t="e">
        <f t="shared" si="84"/>
        <v>#N/A</v>
      </c>
      <c r="I356" s="259" t="e">
        <f>IF(  OR(      INDEX('calcolo base'!$D:$D, MATCH($A356, 'calcolo base'!$A:$A, 0)) = 0,
      INDEX('calcolo base'!$D:$D, MATCH($A356, 'calcolo base'!$A:$A, 0)) = ""   ),
   INDEX('calcolo base'!$K:$K, MATCH($A356, 'calcolo base'!$A:$A, 0)),
   INDEX('calcolo base'!$J:$J, MATCH($A356, 'calcolo base'!$A:$A, 0))
) / 1000</f>
        <v>#N/A</v>
      </c>
      <c r="J356" s="50" t="e">
        <f t="shared" si="85"/>
        <v>#N/A</v>
      </c>
      <c r="K356" s="50"/>
      <c r="L356" s="267" t="e">
        <f>INDEX('calcolo base'!$H:$H, MATCH($A356, 'calcolo base'!$A:$A, 0))</f>
        <v>#N/A</v>
      </c>
      <c r="M356" s="50" t="e">
        <f t="shared" si="86"/>
        <v>#N/A</v>
      </c>
      <c r="N356" s="50" t="e">
        <f t="shared" si="87"/>
        <v>#N/A</v>
      </c>
      <c r="O356" s="50" t="e">
        <f t="shared" si="88"/>
        <v>#N/A</v>
      </c>
      <c r="P356" s="50" t="e">
        <f t="shared" si="89"/>
        <v>#N/A</v>
      </c>
      <c r="Q356" s="51" t="e">
        <f t="shared" si="90"/>
        <v>#N/A</v>
      </c>
      <c r="R356" s="205" t="e">
        <f t="shared" si="91"/>
        <v>#N/A</v>
      </c>
      <c r="S356" s="279" t="e">
        <f>IF(R356="si",0,IF(E356="si",0,IF(J356&gt;K356,0,+K356-J356)))+IF('calcolo base'!P1816="SI",('Commissioni De Angeli'!K356-'Commissioni De Angeli'!J356),0)</f>
        <v>#N/A</v>
      </c>
      <c r="T356" s="117" t="e">
        <f t="shared" si="92"/>
        <v>#N/A</v>
      </c>
      <c r="U356" s="272" t="e">
        <f>IF(Q356=0,'calcolo base'!L2955,(T356+Q356))</f>
        <v>#N/A</v>
      </c>
      <c r="V356" s="119"/>
    </row>
    <row r="357" spans="2:22">
      <c r="B357" s="47"/>
      <c r="C357" s="35"/>
      <c r="D357" s="53"/>
      <c r="E357" s="53"/>
      <c r="F357" s="48"/>
      <c r="G357" s="243" t="e">
        <f>INDEX('calcolo base'!$B:$B, MATCH($A357, 'calcolo base'!$A:$A, 0))</f>
        <v>#N/A</v>
      </c>
      <c r="H357" s="54" t="e">
        <f t="shared" si="84"/>
        <v>#N/A</v>
      </c>
      <c r="I357" s="259" t="e">
        <f>IF(  OR(      INDEX('calcolo base'!$D:$D, MATCH($A357, 'calcolo base'!$A:$A, 0)) = 0,
      INDEX('calcolo base'!$D:$D, MATCH($A357, 'calcolo base'!$A:$A, 0)) = ""   ),
   INDEX('calcolo base'!$K:$K, MATCH($A357, 'calcolo base'!$A:$A, 0)),
   INDEX('calcolo base'!$J:$J, MATCH($A357, 'calcolo base'!$A:$A, 0))
) / 1000</f>
        <v>#N/A</v>
      </c>
      <c r="J357" s="50" t="e">
        <f t="shared" si="85"/>
        <v>#N/A</v>
      </c>
      <c r="K357" s="50"/>
      <c r="L357" s="267" t="e">
        <f>INDEX('calcolo base'!$H:$H, MATCH($A357, 'calcolo base'!$A:$A, 0))</f>
        <v>#N/A</v>
      </c>
      <c r="M357" s="50" t="e">
        <f t="shared" si="86"/>
        <v>#N/A</v>
      </c>
      <c r="N357" s="50" t="e">
        <f t="shared" si="87"/>
        <v>#N/A</v>
      </c>
      <c r="O357" s="50" t="e">
        <f t="shared" si="88"/>
        <v>#N/A</v>
      </c>
      <c r="P357" s="50" t="e">
        <f t="shared" si="89"/>
        <v>#N/A</v>
      </c>
      <c r="Q357" s="51" t="e">
        <f t="shared" si="90"/>
        <v>#N/A</v>
      </c>
      <c r="R357" s="205" t="e">
        <f t="shared" si="91"/>
        <v>#N/A</v>
      </c>
      <c r="S357" s="279" t="e">
        <f>IF(R357="si",0,IF(E357="si",0,IF(J357&gt;K357,0,+K357-J357)))+IF('calcolo base'!P1817="SI",('Commissioni De Angeli'!K357-'Commissioni De Angeli'!J357),0)</f>
        <v>#N/A</v>
      </c>
      <c r="T357" s="117" t="e">
        <f t="shared" si="92"/>
        <v>#N/A</v>
      </c>
      <c r="U357" s="272" t="e">
        <f>IF(Q357=0,'calcolo base'!L2956,(T357+Q357))</f>
        <v>#N/A</v>
      </c>
      <c r="V357" s="119"/>
    </row>
    <row r="358" spans="2:22">
      <c r="B358" s="47"/>
      <c r="C358" s="35"/>
      <c r="D358" s="53"/>
      <c r="E358" s="53"/>
      <c r="F358" s="48"/>
      <c r="G358" s="243" t="e">
        <f>INDEX('calcolo base'!$B:$B, MATCH($A358, 'calcolo base'!$A:$A, 0))</f>
        <v>#N/A</v>
      </c>
      <c r="H358" s="54" t="e">
        <f t="shared" si="84"/>
        <v>#N/A</v>
      </c>
      <c r="I358" s="259" t="e">
        <f>IF(  OR(      INDEX('calcolo base'!$D:$D, MATCH($A358, 'calcolo base'!$A:$A, 0)) = 0,
      INDEX('calcolo base'!$D:$D, MATCH($A358, 'calcolo base'!$A:$A, 0)) = ""   ),
   INDEX('calcolo base'!$K:$K, MATCH($A358, 'calcolo base'!$A:$A, 0)),
   INDEX('calcolo base'!$J:$J, MATCH($A358, 'calcolo base'!$A:$A, 0))
) / 1000</f>
        <v>#N/A</v>
      </c>
      <c r="J358" s="50" t="e">
        <f t="shared" si="85"/>
        <v>#N/A</v>
      </c>
      <c r="K358" s="50"/>
      <c r="L358" s="267" t="e">
        <f>INDEX('calcolo base'!$H:$H, MATCH($A358, 'calcolo base'!$A:$A, 0))</f>
        <v>#N/A</v>
      </c>
      <c r="M358" s="50" t="e">
        <f t="shared" si="86"/>
        <v>#N/A</v>
      </c>
      <c r="N358" s="50" t="e">
        <f t="shared" si="87"/>
        <v>#N/A</v>
      </c>
      <c r="O358" s="50" t="e">
        <f t="shared" si="88"/>
        <v>#N/A</v>
      </c>
      <c r="P358" s="50" t="e">
        <f t="shared" si="89"/>
        <v>#N/A</v>
      </c>
      <c r="Q358" s="51" t="e">
        <f t="shared" si="90"/>
        <v>#N/A</v>
      </c>
      <c r="R358" s="205" t="e">
        <f t="shared" si="91"/>
        <v>#N/A</v>
      </c>
      <c r="S358" s="279" t="e">
        <f>IF(R358="si",0,IF(E358="si",0,IF(J358&gt;K358,0,+K358-J358)))+IF('calcolo base'!P1818="SI",('Commissioni De Angeli'!K358-'Commissioni De Angeli'!J358),0)</f>
        <v>#N/A</v>
      </c>
      <c r="T358" s="117" t="e">
        <f t="shared" si="92"/>
        <v>#N/A</v>
      </c>
      <c r="U358" s="272" t="e">
        <f>IF(Q358=0,'calcolo base'!L2957,(T358+Q358))</f>
        <v>#N/A</v>
      </c>
      <c r="V358" s="119"/>
    </row>
    <row r="359" spans="2:22">
      <c r="B359" s="47"/>
      <c r="C359" s="35"/>
      <c r="D359" s="53"/>
      <c r="E359" s="53"/>
      <c r="F359" s="48"/>
      <c r="G359" s="243" t="e">
        <f>INDEX('calcolo base'!$B:$B, MATCH($A359, 'calcolo base'!$A:$A, 0))</f>
        <v>#N/A</v>
      </c>
      <c r="H359" s="54" t="e">
        <f t="shared" si="84"/>
        <v>#N/A</v>
      </c>
      <c r="I359" s="259" t="e">
        <f>IF(  OR(      INDEX('calcolo base'!$D:$D, MATCH($A359, 'calcolo base'!$A:$A, 0)) = 0,
      INDEX('calcolo base'!$D:$D, MATCH($A359, 'calcolo base'!$A:$A, 0)) = ""   ),
   INDEX('calcolo base'!$K:$K, MATCH($A359, 'calcolo base'!$A:$A, 0)),
   INDEX('calcolo base'!$J:$J, MATCH($A359, 'calcolo base'!$A:$A, 0))
) / 1000</f>
        <v>#N/A</v>
      </c>
      <c r="J359" s="50" t="e">
        <f t="shared" si="85"/>
        <v>#N/A</v>
      </c>
      <c r="K359" s="50"/>
      <c r="L359" s="267" t="e">
        <f>INDEX('calcolo base'!$H:$H, MATCH($A359, 'calcolo base'!$A:$A, 0))</f>
        <v>#N/A</v>
      </c>
      <c r="M359" s="50" t="e">
        <f t="shared" si="86"/>
        <v>#N/A</v>
      </c>
      <c r="N359" s="50" t="e">
        <f t="shared" si="87"/>
        <v>#N/A</v>
      </c>
      <c r="O359" s="50" t="e">
        <f t="shared" si="88"/>
        <v>#N/A</v>
      </c>
      <c r="P359" s="50" t="e">
        <f t="shared" si="89"/>
        <v>#N/A</v>
      </c>
      <c r="Q359" s="51" t="e">
        <f t="shared" si="90"/>
        <v>#N/A</v>
      </c>
      <c r="R359" s="205" t="e">
        <f t="shared" si="91"/>
        <v>#N/A</v>
      </c>
      <c r="S359" s="279" t="e">
        <f>IF(R359="si",0,IF(E359="si",0,IF(J359&gt;K359,0,+K359-J359)))+IF('calcolo base'!P1819="SI",('Commissioni De Angeli'!K359-'Commissioni De Angeli'!J359),0)</f>
        <v>#N/A</v>
      </c>
      <c r="T359" s="117" t="e">
        <f t="shared" si="92"/>
        <v>#N/A</v>
      </c>
      <c r="U359" s="272" t="e">
        <f>IF(Q359=0,'calcolo base'!L2958,(T359+Q359))</f>
        <v>#N/A</v>
      </c>
      <c r="V359" s="119"/>
    </row>
    <row r="360" spans="2:22">
      <c r="B360" s="47"/>
      <c r="C360" s="35"/>
      <c r="D360" s="53"/>
      <c r="E360" s="53"/>
      <c r="F360" s="48"/>
      <c r="G360" s="243" t="e">
        <f>INDEX('calcolo base'!$B:$B, MATCH($A360, 'calcolo base'!$A:$A, 0))</f>
        <v>#N/A</v>
      </c>
      <c r="H360" s="54" t="e">
        <f t="shared" si="84"/>
        <v>#N/A</v>
      </c>
      <c r="I360" s="259" t="e">
        <f>IF(  OR(      INDEX('calcolo base'!$D:$D, MATCH($A360, 'calcolo base'!$A:$A, 0)) = 0,
      INDEX('calcolo base'!$D:$D, MATCH($A360, 'calcolo base'!$A:$A, 0)) = ""   ),
   INDEX('calcolo base'!$K:$K, MATCH($A360, 'calcolo base'!$A:$A, 0)),
   INDEX('calcolo base'!$J:$J, MATCH($A360, 'calcolo base'!$A:$A, 0))
) / 1000</f>
        <v>#N/A</v>
      </c>
      <c r="J360" s="50" t="e">
        <f t="shared" si="85"/>
        <v>#N/A</v>
      </c>
      <c r="K360" s="50"/>
      <c r="L360" s="267" t="e">
        <f>INDEX('calcolo base'!$H:$H, MATCH($A360, 'calcolo base'!$A:$A, 0))</f>
        <v>#N/A</v>
      </c>
      <c r="M360" s="50" t="e">
        <f t="shared" si="86"/>
        <v>#N/A</v>
      </c>
      <c r="N360" s="50" t="e">
        <f t="shared" si="87"/>
        <v>#N/A</v>
      </c>
      <c r="O360" s="50" t="e">
        <f t="shared" si="88"/>
        <v>#N/A</v>
      </c>
      <c r="P360" s="50" t="e">
        <f t="shared" si="89"/>
        <v>#N/A</v>
      </c>
      <c r="Q360" s="51" t="e">
        <f t="shared" si="90"/>
        <v>#N/A</v>
      </c>
      <c r="R360" s="205" t="e">
        <f t="shared" si="91"/>
        <v>#N/A</v>
      </c>
      <c r="S360" s="279" t="e">
        <f>IF(R360="si",0,IF(E360="si",0,IF(J360&gt;K360,0,+K360-J360)))+IF('calcolo base'!P1820="SI",('Commissioni De Angeli'!K360-'Commissioni De Angeli'!J360),0)</f>
        <v>#N/A</v>
      </c>
      <c r="T360" s="117" t="e">
        <f t="shared" si="92"/>
        <v>#N/A</v>
      </c>
      <c r="U360" s="272" t="e">
        <f>IF(Q360=0,'calcolo base'!L2959,(T360+Q360))</f>
        <v>#N/A</v>
      </c>
      <c r="V360" s="119"/>
    </row>
    <row r="361" spans="2:22">
      <c r="B361" s="47"/>
      <c r="C361" s="35"/>
      <c r="D361" s="53"/>
      <c r="E361" s="53"/>
      <c r="F361" s="48"/>
      <c r="G361" s="243" t="e">
        <f>INDEX('calcolo base'!$B:$B, MATCH($A361, 'calcolo base'!$A:$A, 0))</f>
        <v>#N/A</v>
      </c>
      <c r="H361" s="54" t="e">
        <f t="shared" si="84"/>
        <v>#N/A</v>
      </c>
      <c r="I361" s="259" t="e">
        <f>IF(  OR(      INDEX('calcolo base'!$D:$D, MATCH($A361, 'calcolo base'!$A:$A, 0)) = 0,
      INDEX('calcolo base'!$D:$D, MATCH($A361, 'calcolo base'!$A:$A, 0)) = ""   ),
   INDEX('calcolo base'!$K:$K, MATCH($A361, 'calcolo base'!$A:$A, 0)),
   INDEX('calcolo base'!$J:$J, MATCH($A361, 'calcolo base'!$A:$A, 0))
) / 1000</f>
        <v>#N/A</v>
      </c>
      <c r="J361" s="50" t="e">
        <f t="shared" si="85"/>
        <v>#N/A</v>
      </c>
      <c r="K361" s="50"/>
      <c r="L361" s="267" t="e">
        <f>INDEX('calcolo base'!$H:$H, MATCH($A361, 'calcolo base'!$A:$A, 0))</f>
        <v>#N/A</v>
      </c>
      <c r="M361" s="50" t="e">
        <f t="shared" si="86"/>
        <v>#N/A</v>
      </c>
      <c r="N361" s="50" t="e">
        <f t="shared" si="87"/>
        <v>#N/A</v>
      </c>
      <c r="O361" s="50" t="e">
        <f t="shared" si="88"/>
        <v>#N/A</v>
      </c>
      <c r="P361" s="50" t="e">
        <f t="shared" si="89"/>
        <v>#N/A</v>
      </c>
      <c r="Q361" s="51" t="e">
        <f t="shared" si="90"/>
        <v>#N/A</v>
      </c>
      <c r="R361" s="205" t="e">
        <f t="shared" si="91"/>
        <v>#N/A</v>
      </c>
      <c r="S361" s="279" t="e">
        <f>IF(R361="si",0,IF(E361="si",0,IF(J361&gt;K361,0,+K361-J361)))+IF('calcolo base'!P1821="SI",('Commissioni De Angeli'!K361-'Commissioni De Angeli'!J361),0)</f>
        <v>#N/A</v>
      </c>
      <c r="T361" s="117" t="e">
        <f t="shared" si="92"/>
        <v>#N/A</v>
      </c>
      <c r="U361" s="272" t="e">
        <f>IF(Q361=0,'calcolo base'!L2960,(T361+Q361))</f>
        <v>#N/A</v>
      </c>
      <c r="V361" s="119"/>
    </row>
    <row r="362" spans="2:22">
      <c r="B362" s="47"/>
      <c r="C362" s="35"/>
      <c r="D362" s="53"/>
      <c r="E362" s="53"/>
      <c r="F362" s="48"/>
      <c r="G362" s="243" t="e">
        <f>INDEX('calcolo base'!$B:$B, MATCH($A362, 'calcolo base'!$A:$A, 0))</f>
        <v>#N/A</v>
      </c>
      <c r="H362" s="54" t="e">
        <f t="shared" si="84"/>
        <v>#N/A</v>
      </c>
      <c r="I362" s="259" t="e">
        <f>IF(  OR(      INDEX('calcolo base'!$D:$D, MATCH($A362, 'calcolo base'!$A:$A, 0)) = 0,
      INDEX('calcolo base'!$D:$D, MATCH($A362, 'calcolo base'!$A:$A, 0)) = ""   ),
   INDEX('calcolo base'!$K:$K, MATCH($A362, 'calcolo base'!$A:$A, 0)),
   INDEX('calcolo base'!$J:$J, MATCH($A362, 'calcolo base'!$A:$A, 0))
) / 1000</f>
        <v>#N/A</v>
      </c>
      <c r="J362" s="50" t="e">
        <f t="shared" si="85"/>
        <v>#N/A</v>
      </c>
      <c r="K362" s="50"/>
      <c r="L362" s="267" t="e">
        <f>INDEX('calcolo base'!$H:$H, MATCH($A362, 'calcolo base'!$A:$A, 0))</f>
        <v>#N/A</v>
      </c>
      <c r="M362" s="50" t="e">
        <f t="shared" si="86"/>
        <v>#N/A</v>
      </c>
      <c r="N362" s="50" t="e">
        <f t="shared" si="87"/>
        <v>#N/A</v>
      </c>
      <c r="O362" s="50" t="e">
        <f t="shared" si="88"/>
        <v>#N/A</v>
      </c>
      <c r="P362" s="50" t="e">
        <f t="shared" si="89"/>
        <v>#N/A</v>
      </c>
      <c r="Q362" s="51" t="e">
        <f t="shared" si="90"/>
        <v>#N/A</v>
      </c>
      <c r="R362" s="205" t="e">
        <f t="shared" si="91"/>
        <v>#N/A</v>
      </c>
      <c r="S362" s="279" t="e">
        <f>IF(R362="si",0,IF(E362="si",0,IF(J362&gt;K362,0,+K362-J362)))+IF('calcolo base'!P1822="SI",('Commissioni De Angeli'!K362-'Commissioni De Angeli'!J362),0)</f>
        <v>#N/A</v>
      </c>
      <c r="T362" s="117" t="e">
        <f t="shared" si="92"/>
        <v>#N/A</v>
      </c>
      <c r="U362" s="272" t="e">
        <f>IF(Q362=0,'calcolo base'!L2961,(T362+Q362))</f>
        <v>#N/A</v>
      </c>
      <c r="V362" s="119"/>
    </row>
    <row r="363" spans="2:22">
      <c r="B363" s="47"/>
      <c r="C363" s="35"/>
      <c r="D363" s="53"/>
      <c r="E363" s="53"/>
      <c r="F363" s="48"/>
      <c r="G363" s="243" t="e">
        <f>INDEX('calcolo base'!$B:$B, MATCH($A363, 'calcolo base'!$A:$A, 0))</f>
        <v>#N/A</v>
      </c>
      <c r="H363" s="54" t="e">
        <f t="shared" si="84"/>
        <v>#N/A</v>
      </c>
      <c r="I363" s="259" t="e">
        <f>IF(  OR(      INDEX('calcolo base'!$D:$D, MATCH($A363, 'calcolo base'!$A:$A, 0)) = 0,
      INDEX('calcolo base'!$D:$D, MATCH($A363, 'calcolo base'!$A:$A, 0)) = ""   ),
   INDEX('calcolo base'!$K:$K, MATCH($A363, 'calcolo base'!$A:$A, 0)),
   INDEX('calcolo base'!$J:$J, MATCH($A363, 'calcolo base'!$A:$A, 0))
) / 1000</f>
        <v>#N/A</v>
      </c>
      <c r="J363" s="50" t="e">
        <f t="shared" si="85"/>
        <v>#N/A</v>
      </c>
      <c r="K363" s="50"/>
      <c r="L363" s="267" t="e">
        <f>INDEX('calcolo base'!$H:$H, MATCH($A363, 'calcolo base'!$A:$A, 0))</f>
        <v>#N/A</v>
      </c>
      <c r="M363" s="50" t="e">
        <f t="shared" si="86"/>
        <v>#N/A</v>
      </c>
      <c r="N363" s="50" t="e">
        <f t="shared" si="87"/>
        <v>#N/A</v>
      </c>
      <c r="O363" s="50" t="e">
        <f t="shared" si="88"/>
        <v>#N/A</v>
      </c>
      <c r="P363" s="50" t="e">
        <f t="shared" si="89"/>
        <v>#N/A</v>
      </c>
      <c r="Q363" s="51" t="e">
        <f t="shared" si="90"/>
        <v>#N/A</v>
      </c>
      <c r="R363" s="205" t="e">
        <f t="shared" si="91"/>
        <v>#N/A</v>
      </c>
      <c r="S363" s="279" t="e">
        <f>IF(R363="si",0,IF(E363="si",0,IF(J363&gt;K363,0,+K363-J363)))+IF('calcolo base'!P1823="SI",('Commissioni De Angeli'!K363-'Commissioni De Angeli'!J363),0)</f>
        <v>#N/A</v>
      </c>
      <c r="T363" s="117" t="e">
        <f t="shared" si="92"/>
        <v>#N/A</v>
      </c>
      <c r="U363" s="272" t="e">
        <f>IF(Q363=0,'calcolo base'!L2962,(T363+Q363))</f>
        <v>#N/A</v>
      </c>
      <c r="V363" s="119"/>
    </row>
    <row r="364" spans="2:22">
      <c r="B364" s="47"/>
      <c r="C364" s="35"/>
      <c r="D364" s="53"/>
      <c r="E364" s="53"/>
      <c r="F364" s="48"/>
      <c r="G364" s="243" t="e">
        <f>INDEX('calcolo base'!$B:$B, MATCH($A364, 'calcolo base'!$A:$A, 0))</f>
        <v>#N/A</v>
      </c>
      <c r="H364" s="54" t="e">
        <f t="shared" ref="H364:H427" si="93">IF(G364=0,"",+G364)</f>
        <v>#N/A</v>
      </c>
      <c r="I364" s="259" t="e">
        <f>IF(  OR(      INDEX('calcolo base'!$D:$D, MATCH($A364, 'calcolo base'!$A:$A, 0)) = 0,
      INDEX('calcolo base'!$D:$D, MATCH($A364, 'calcolo base'!$A:$A, 0)) = ""   ),
   INDEX('calcolo base'!$K:$K, MATCH($A364, 'calcolo base'!$A:$A, 0)),
   INDEX('calcolo base'!$J:$J, MATCH($A364, 'calcolo base'!$A:$A, 0))
) / 1000</f>
        <v>#N/A</v>
      </c>
      <c r="J364" s="50" t="e">
        <f t="shared" ref="J364:J427" si="94">+F364+I364</f>
        <v>#N/A</v>
      </c>
      <c r="K364" s="50"/>
      <c r="L364" s="267" t="e">
        <f>INDEX('calcolo base'!$H:$H, MATCH($A364, 'calcolo base'!$A:$A, 0))</f>
        <v>#N/A</v>
      </c>
      <c r="M364" s="50" t="e">
        <f t="shared" ref="M364:M427" si="95">IF(L364=0,0,J364*L364)</f>
        <v>#N/A</v>
      </c>
      <c r="N364" s="50" t="e">
        <f t="shared" ref="N364:N427" si="96">IF(E364="si",K364*1.5%,IF($L364&gt;=5%,IF($I364=0,0,(IF($G364="RAME",($J364)*1.5%,0)+IF($G364="rame smaltato",($K364)*1.5%,0))),0))</f>
        <v>#N/A</v>
      </c>
      <c r="O364" s="50" t="e">
        <f t="shared" ref="O364:O427" si="97">IF($I364=0,0,(IF($G364="alluminio",($J364)*3%,0)+IF($G364="alluminio smaltato",($K364)*3%,0)))</f>
        <v>#N/A</v>
      </c>
      <c r="P364" s="50" t="e">
        <f t="shared" ref="P364:P427" si="98">IF(H364="alluminio",0,IF(L364&lt;5%,F364*8%,0))</f>
        <v>#N/A</v>
      </c>
      <c r="Q364" s="51" t="e">
        <f t="shared" ref="Q364:Q427" si="99">+(N364*D364)+(O364*D364)+(P364*D364)</f>
        <v>#N/A</v>
      </c>
      <c r="R364" s="205" t="e">
        <f t="shared" ref="R364:R427" si="100">IF(H364="ALLUMINIO",0,IF(L364&lt;5%,"si",0))</f>
        <v>#N/A</v>
      </c>
      <c r="S364" s="279" t="e">
        <f>IF(R364="si",0,IF(E364="si",0,IF(J364&gt;K364,0,+K364-J364)))+IF('calcolo base'!P1824="SI",('Commissioni De Angeli'!K364-'Commissioni De Angeli'!J364),0)</f>
        <v>#N/A</v>
      </c>
      <c r="T364" s="117" t="e">
        <f t="shared" ref="T364:T427" si="101">+(S364)*D364*40%</f>
        <v>#N/A</v>
      </c>
      <c r="U364" s="272" t="e">
        <f>IF(Q364=0,'calcolo base'!L2963,(T364+Q364))</f>
        <v>#N/A</v>
      </c>
      <c r="V364" s="119"/>
    </row>
    <row r="365" spans="2:22">
      <c r="B365" s="47"/>
      <c r="C365" s="35"/>
      <c r="D365" s="53"/>
      <c r="E365" s="53"/>
      <c r="F365" s="48"/>
      <c r="G365" s="243" t="e">
        <f>INDEX('calcolo base'!$B:$B, MATCH($A365, 'calcolo base'!$A:$A, 0))</f>
        <v>#N/A</v>
      </c>
      <c r="H365" s="54" t="e">
        <f t="shared" si="93"/>
        <v>#N/A</v>
      </c>
      <c r="I365" s="259" t="e">
        <f>IF(  OR(      INDEX('calcolo base'!$D:$D, MATCH($A365, 'calcolo base'!$A:$A, 0)) = 0,
      INDEX('calcolo base'!$D:$D, MATCH($A365, 'calcolo base'!$A:$A, 0)) = ""   ),
   INDEX('calcolo base'!$K:$K, MATCH($A365, 'calcolo base'!$A:$A, 0)),
   INDEX('calcolo base'!$J:$J, MATCH($A365, 'calcolo base'!$A:$A, 0))
) / 1000</f>
        <v>#N/A</v>
      </c>
      <c r="J365" s="50" t="e">
        <f t="shared" si="94"/>
        <v>#N/A</v>
      </c>
      <c r="K365" s="50"/>
      <c r="L365" s="267" t="e">
        <f>INDEX('calcolo base'!$H:$H, MATCH($A365, 'calcolo base'!$A:$A, 0))</f>
        <v>#N/A</v>
      </c>
      <c r="M365" s="50" t="e">
        <f t="shared" si="95"/>
        <v>#N/A</v>
      </c>
      <c r="N365" s="50" t="e">
        <f t="shared" si="96"/>
        <v>#N/A</v>
      </c>
      <c r="O365" s="50" t="e">
        <f t="shared" si="97"/>
        <v>#N/A</v>
      </c>
      <c r="P365" s="50" t="e">
        <f t="shared" si="98"/>
        <v>#N/A</v>
      </c>
      <c r="Q365" s="51" t="e">
        <f t="shared" si="99"/>
        <v>#N/A</v>
      </c>
      <c r="R365" s="205" t="e">
        <f t="shared" si="100"/>
        <v>#N/A</v>
      </c>
      <c r="S365" s="279" t="e">
        <f>IF(R365="si",0,IF(E365="si",0,IF(J365&gt;K365,0,+K365-J365)))+IF('calcolo base'!P1825="SI",('Commissioni De Angeli'!K365-'Commissioni De Angeli'!J365),0)</f>
        <v>#N/A</v>
      </c>
      <c r="T365" s="117" t="e">
        <f t="shared" si="101"/>
        <v>#N/A</v>
      </c>
      <c r="U365" s="272" t="e">
        <f>IF(Q365=0,'calcolo base'!L2964,(T365+Q365))</f>
        <v>#N/A</v>
      </c>
      <c r="V365" s="119"/>
    </row>
    <row r="366" spans="2:22">
      <c r="B366" s="47"/>
      <c r="C366" s="35"/>
      <c r="D366" s="53"/>
      <c r="E366" s="53"/>
      <c r="F366" s="48"/>
      <c r="G366" s="243" t="e">
        <f>INDEX('calcolo base'!$B:$B, MATCH($A366, 'calcolo base'!$A:$A, 0))</f>
        <v>#N/A</v>
      </c>
      <c r="H366" s="54" t="e">
        <f t="shared" si="93"/>
        <v>#N/A</v>
      </c>
      <c r="I366" s="259" t="e">
        <f>IF(  OR(      INDEX('calcolo base'!$D:$D, MATCH($A366, 'calcolo base'!$A:$A, 0)) = 0,
      INDEX('calcolo base'!$D:$D, MATCH($A366, 'calcolo base'!$A:$A, 0)) = ""   ),
   INDEX('calcolo base'!$K:$K, MATCH($A366, 'calcolo base'!$A:$A, 0)),
   INDEX('calcolo base'!$J:$J, MATCH($A366, 'calcolo base'!$A:$A, 0))
) / 1000</f>
        <v>#N/A</v>
      </c>
      <c r="J366" s="50" t="e">
        <f t="shared" si="94"/>
        <v>#N/A</v>
      </c>
      <c r="K366" s="50"/>
      <c r="L366" s="267" t="e">
        <f>INDEX('calcolo base'!$H:$H, MATCH($A366, 'calcolo base'!$A:$A, 0))</f>
        <v>#N/A</v>
      </c>
      <c r="M366" s="50" t="e">
        <f t="shared" si="95"/>
        <v>#N/A</v>
      </c>
      <c r="N366" s="50" t="e">
        <f t="shared" si="96"/>
        <v>#N/A</v>
      </c>
      <c r="O366" s="50" t="e">
        <f t="shared" si="97"/>
        <v>#N/A</v>
      </c>
      <c r="P366" s="50" t="e">
        <f t="shared" si="98"/>
        <v>#N/A</v>
      </c>
      <c r="Q366" s="51" t="e">
        <f t="shared" si="99"/>
        <v>#N/A</v>
      </c>
      <c r="R366" s="205" t="e">
        <f t="shared" si="100"/>
        <v>#N/A</v>
      </c>
      <c r="S366" s="279" t="e">
        <f>IF(R366="si",0,IF(E366="si",0,IF(J366&gt;K366,0,+K366-J366)))+IF('calcolo base'!P1826="SI",('Commissioni De Angeli'!K366-'Commissioni De Angeli'!J366),0)</f>
        <v>#N/A</v>
      </c>
      <c r="T366" s="117" t="e">
        <f t="shared" si="101"/>
        <v>#N/A</v>
      </c>
      <c r="U366" s="272" t="e">
        <f>IF(Q366=0,'calcolo base'!L2965,(T366+Q366))</f>
        <v>#N/A</v>
      </c>
      <c r="V366" s="119"/>
    </row>
    <row r="367" spans="2:22">
      <c r="B367" s="47"/>
      <c r="C367" s="35"/>
      <c r="D367" s="53"/>
      <c r="E367" s="53"/>
      <c r="F367" s="48"/>
      <c r="G367" s="243" t="e">
        <f>INDEX('calcolo base'!$B:$B, MATCH($A367, 'calcolo base'!$A:$A, 0))</f>
        <v>#N/A</v>
      </c>
      <c r="H367" s="54" t="e">
        <f t="shared" si="93"/>
        <v>#N/A</v>
      </c>
      <c r="I367" s="259" t="e">
        <f>IF(  OR(      INDEX('calcolo base'!$D:$D, MATCH($A367, 'calcolo base'!$A:$A, 0)) = 0,
      INDEX('calcolo base'!$D:$D, MATCH($A367, 'calcolo base'!$A:$A, 0)) = ""   ),
   INDEX('calcolo base'!$K:$K, MATCH($A367, 'calcolo base'!$A:$A, 0)),
   INDEX('calcolo base'!$J:$J, MATCH($A367, 'calcolo base'!$A:$A, 0))
) / 1000</f>
        <v>#N/A</v>
      </c>
      <c r="J367" s="50" t="e">
        <f t="shared" si="94"/>
        <v>#N/A</v>
      </c>
      <c r="K367" s="50"/>
      <c r="L367" s="267" t="e">
        <f>INDEX('calcolo base'!$H:$H, MATCH($A367, 'calcolo base'!$A:$A, 0))</f>
        <v>#N/A</v>
      </c>
      <c r="M367" s="50" t="e">
        <f t="shared" si="95"/>
        <v>#N/A</v>
      </c>
      <c r="N367" s="50" t="e">
        <f t="shared" si="96"/>
        <v>#N/A</v>
      </c>
      <c r="O367" s="50" t="e">
        <f t="shared" si="97"/>
        <v>#N/A</v>
      </c>
      <c r="P367" s="50" t="e">
        <f t="shared" si="98"/>
        <v>#N/A</v>
      </c>
      <c r="Q367" s="51" t="e">
        <f t="shared" si="99"/>
        <v>#N/A</v>
      </c>
      <c r="R367" s="205" t="e">
        <f t="shared" si="100"/>
        <v>#N/A</v>
      </c>
      <c r="S367" s="279" t="e">
        <f>IF(R367="si",0,IF(E367="si",0,IF(J367&gt;K367,0,+K367-J367)))+IF('calcolo base'!P1827="SI",('Commissioni De Angeli'!K367-'Commissioni De Angeli'!J367),0)</f>
        <v>#N/A</v>
      </c>
      <c r="T367" s="117" t="e">
        <f t="shared" si="101"/>
        <v>#N/A</v>
      </c>
      <c r="U367" s="272" t="e">
        <f>IF(Q367=0,'calcolo base'!L2966,(T367+Q367))</f>
        <v>#N/A</v>
      </c>
      <c r="V367" s="119"/>
    </row>
    <row r="368" spans="2:22">
      <c r="B368" s="47"/>
      <c r="C368" s="35"/>
      <c r="D368" s="53"/>
      <c r="E368" s="53"/>
      <c r="F368" s="48"/>
      <c r="G368" s="243" t="e">
        <f>INDEX('calcolo base'!$B:$B, MATCH($A368, 'calcolo base'!$A:$A, 0))</f>
        <v>#N/A</v>
      </c>
      <c r="H368" s="54" t="e">
        <f t="shared" si="93"/>
        <v>#N/A</v>
      </c>
      <c r="I368" s="259" t="e">
        <f>IF(  OR(      INDEX('calcolo base'!$D:$D, MATCH($A368, 'calcolo base'!$A:$A, 0)) = 0,
      INDEX('calcolo base'!$D:$D, MATCH($A368, 'calcolo base'!$A:$A, 0)) = ""   ),
   INDEX('calcolo base'!$K:$K, MATCH($A368, 'calcolo base'!$A:$A, 0)),
   INDEX('calcolo base'!$J:$J, MATCH($A368, 'calcolo base'!$A:$A, 0))
) / 1000</f>
        <v>#N/A</v>
      </c>
      <c r="J368" s="50" t="e">
        <f t="shared" si="94"/>
        <v>#N/A</v>
      </c>
      <c r="K368" s="50"/>
      <c r="L368" s="267" t="e">
        <f>INDEX('calcolo base'!$H:$H, MATCH($A368, 'calcolo base'!$A:$A, 0))</f>
        <v>#N/A</v>
      </c>
      <c r="M368" s="50" t="e">
        <f t="shared" si="95"/>
        <v>#N/A</v>
      </c>
      <c r="N368" s="50" t="e">
        <f t="shared" si="96"/>
        <v>#N/A</v>
      </c>
      <c r="O368" s="50" t="e">
        <f t="shared" si="97"/>
        <v>#N/A</v>
      </c>
      <c r="P368" s="50" t="e">
        <f t="shared" si="98"/>
        <v>#N/A</v>
      </c>
      <c r="Q368" s="51" t="e">
        <f t="shared" si="99"/>
        <v>#N/A</v>
      </c>
      <c r="R368" s="205" t="e">
        <f t="shared" si="100"/>
        <v>#N/A</v>
      </c>
      <c r="S368" s="279" t="e">
        <f>IF(R368="si",0,IF(E368="si",0,IF(J368&gt;K368,0,+K368-J368)))+IF('calcolo base'!P1828="SI",('Commissioni De Angeli'!K368-'Commissioni De Angeli'!J368),0)</f>
        <v>#N/A</v>
      </c>
      <c r="T368" s="117" t="e">
        <f t="shared" si="101"/>
        <v>#N/A</v>
      </c>
      <c r="U368" s="272" t="e">
        <f>IF(Q368=0,'calcolo base'!L2967,(T368+Q368))</f>
        <v>#N/A</v>
      </c>
      <c r="V368" s="119"/>
    </row>
    <row r="369" spans="2:22">
      <c r="B369" s="47"/>
      <c r="C369" s="35"/>
      <c r="D369" s="53"/>
      <c r="E369" s="53"/>
      <c r="F369" s="48"/>
      <c r="G369" s="243" t="e">
        <f>INDEX('calcolo base'!$B:$B, MATCH($A369, 'calcolo base'!$A:$A, 0))</f>
        <v>#N/A</v>
      </c>
      <c r="H369" s="54" t="e">
        <f t="shared" si="93"/>
        <v>#N/A</v>
      </c>
      <c r="I369" s="259" t="e">
        <f>IF(  OR(      INDEX('calcolo base'!$D:$D, MATCH($A369, 'calcolo base'!$A:$A, 0)) = 0,
      INDEX('calcolo base'!$D:$D, MATCH($A369, 'calcolo base'!$A:$A, 0)) = ""   ),
   INDEX('calcolo base'!$K:$K, MATCH($A369, 'calcolo base'!$A:$A, 0)),
   INDEX('calcolo base'!$J:$J, MATCH($A369, 'calcolo base'!$A:$A, 0))
) / 1000</f>
        <v>#N/A</v>
      </c>
      <c r="J369" s="50" t="e">
        <f t="shared" si="94"/>
        <v>#N/A</v>
      </c>
      <c r="K369" s="50"/>
      <c r="L369" s="267" t="e">
        <f>INDEX('calcolo base'!$H:$H, MATCH($A369, 'calcolo base'!$A:$A, 0))</f>
        <v>#N/A</v>
      </c>
      <c r="M369" s="50" t="e">
        <f t="shared" si="95"/>
        <v>#N/A</v>
      </c>
      <c r="N369" s="50" t="e">
        <f t="shared" si="96"/>
        <v>#N/A</v>
      </c>
      <c r="O369" s="50" t="e">
        <f t="shared" si="97"/>
        <v>#N/A</v>
      </c>
      <c r="P369" s="50" t="e">
        <f t="shared" si="98"/>
        <v>#N/A</v>
      </c>
      <c r="Q369" s="51" t="e">
        <f t="shared" si="99"/>
        <v>#N/A</v>
      </c>
      <c r="R369" s="205" t="e">
        <f t="shared" si="100"/>
        <v>#N/A</v>
      </c>
      <c r="S369" s="279" t="e">
        <f>IF(R369="si",0,IF(E369="si",0,IF(J369&gt;K369,0,+K369-J369)))+IF('calcolo base'!P1829="SI",('Commissioni De Angeli'!K369-'Commissioni De Angeli'!J369),0)</f>
        <v>#N/A</v>
      </c>
      <c r="T369" s="117" t="e">
        <f t="shared" si="101"/>
        <v>#N/A</v>
      </c>
      <c r="U369" s="272" t="e">
        <f>IF(Q369=0,'calcolo base'!L2968,(T369+Q369))</f>
        <v>#N/A</v>
      </c>
      <c r="V369" s="119"/>
    </row>
    <row r="370" spans="2:22">
      <c r="B370" s="47"/>
      <c r="C370" s="35"/>
      <c r="D370" s="53"/>
      <c r="E370" s="53"/>
      <c r="F370" s="48"/>
      <c r="G370" s="243" t="e">
        <f>INDEX('calcolo base'!$B:$B, MATCH($A370, 'calcolo base'!$A:$A, 0))</f>
        <v>#N/A</v>
      </c>
      <c r="H370" s="54" t="e">
        <f t="shared" si="93"/>
        <v>#N/A</v>
      </c>
      <c r="I370" s="259" t="e">
        <f>IF(  OR(      INDEX('calcolo base'!$D:$D, MATCH($A370, 'calcolo base'!$A:$A, 0)) = 0,
      INDEX('calcolo base'!$D:$D, MATCH($A370, 'calcolo base'!$A:$A, 0)) = ""   ),
   INDEX('calcolo base'!$K:$K, MATCH($A370, 'calcolo base'!$A:$A, 0)),
   INDEX('calcolo base'!$J:$J, MATCH($A370, 'calcolo base'!$A:$A, 0))
) / 1000</f>
        <v>#N/A</v>
      </c>
      <c r="J370" s="50" t="e">
        <f t="shared" si="94"/>
        <v>#N/A</v>
      </c>
      <c r="K370" s="50"/>
      <c r="L370" s="267" t="e">
        <f>INDEX('calcolo base'!$H:$H, MATCH($A370, 'calcolo base'!$A:$A, 0))</f>
        <v>#N/A</v>
      </c>
      <c r="M370" s="50" t="e">
        <f t="shared" si="95"/>
        <v>#N/A</v>
      </c>
      <c r="N370" s="50" t="e">
        <f t="shared" si="96"/>
        <v>#N/A</v>
      </c>
      <c r="O370" s="50" t="e">
        <f t="shared" si="97"/>
        <v>#N/A</v>
      </c>
      <c r="P370" s="50" t="e">
        <f t="shared" si="98"/>
        <v>#N/A</v>
      </c>
      <c r="Q370" s="51" t="e">
        <f t="shared" si="99"/>
        <v>#N/A</v>
      </c>
      <c r="R370" s="205" t="e">
        <f t="shared" si="100"/>
        <v>#N/A</v>
      </c>
      <c r="S370" s="279" t="e">
        <f>IF(R370="si",0,IF(E370="si",0,IF(J370&gt;K370,0,+K370-J370)))+IF('calcolo base'!P1830="SI",('Commissioni De Angeli'!K370-'Commissioni De Angeli'!J370),0)</f>
        <v>#N/A</v>
      </c>
      <c r="T370" s="117" t="e">
        <f t="shared" si="101"/>
        <v>#N/A</v>
      </c>
      <c r="U370" s="272" t="e">
        <f>IF(Q370=0,'calcolo base'!L2969,(T370+Q370))</f>
        <v>#N/A</v>
      </c>
      <c r="V370" s="119"/>
    </row>
    <row r="371" spans="2:22">
      <c r="B371" s="47"/>
      <c r="C371" s="35"/>
      <c r="D371" s="53"/>
      <c r="E371" s="53"/>
      <c r="F371" s="48"/>
      <c r="G371" s="243" t="e">
        <f>INDEX('calcolo base'!$B:$B, MATCH($A371, 'calcolo base'!$A:$A, 0))</f>
        <v>#N/A</v>
      </c>
      <c r="H371" s="54" t="e">
        <f t="shared" si="93"/>
        <v>#N/A</v>
      </c>
      <c r="I371" s="259" t="e">
        <f>IF(  OR(      INDEX('calcolo base'!$D:$D, MATCH($A371, 'calcolo base'!$A:$A, 0)) = 0,
      INDEX('calcolo base'!$D:$D, MATCH($A371, 'calcolo base'!$A:$A, 0)) = ""   ),
   INDEX('calcolo base'!$K:$K, MATCH($A371, 'calcolo base'!$A:$A, 0)),
   INDEX('calcolo base'!$J:$J, MATCH($A371, 'calcolo base'!$A:$A, 0))
) / 1000</f>
        <v>#N/A</v>
      </c>
      <c r="J371" s="50" t="e">
        <f t="shared" si="94"/>
        <v>#N/A</v>
      </c>
      <c r="K371" s="50"/>
      <c r="L371" s="267" t="e">
        <f>INDEX('calcolo base'!$H:$H, MATCH($A371, 'calcolo base'!$A:$A, 0))</f>
        <v>#N/A</v>
      </c>
      <c r="M371" s="50" t="e">
        <f t="shared" si="95"/>
        <v>#N/A</v>
      </c>
      <c r="N371" s="50" t="e">
        <f t="shared" si="96"/>
        <v>#N/A</v>
      </c>
      <c r="O371" s="50" t="e">
        <f t="shared" si="97"/>
        <v>#N/A</v>
      </c>
      <c r="P371" s="50" t="e">
        <f t="shared" si="98"/>
        <v>#N/A</v>
      </c>
      <c r="Q371" s="51" t="e">
        <f t="shared" si="99"/>
        <v>#N/A</v>
      </c>
      <c r="R371" s="205" t="e">
        <f t="shared" si="100"/>
        <v>#N/A</v>
      </c>
      <c r="S371" s="279" t="e">
        <f>IF(R371="si",0,IF(E371="si",0,IF(J371&gt;K371,0,+K371-J371)))+IF('calcolo base'!P1831="SI",('Commissioni De Angeli'!K371-'Commissioni De Angeli'!J371),0)</f>
        <v>#N/A</v>
      </c>
      <c r="T371" s="117" t="e">
        <f t="shared" si="101"/>
        <v>#N/A</v>
      </c>
      <c r="U371" s="272" t="e">
        <f>IF(Q371=0,'calcolo base'!L2970,(T371+Q371))</f>
        <v>#N/A</v>
      </c>
      <c r="V371" s="119"/>
    </row>
    <row r="372" spans="2:22">
      <c r="B372" s="47"/>
      <c r="C372" s="35"/>
      <c r="D372" s="53"/>
      <c r="E372" s="53"/>
      <c r="F372" s="48"/>
      <c r="G372" s="243" t="e">
        <f>INDEX('calcolo base'!$B:$B, MATCH($A372, 'calcolo base'!$A:$A, 0))</f>
        <v>#N/A</v>
      </c>
      <c r="H372" s="54" t="e">
        <f t="shared" si="93"/>
        <v>#N/A</v>
      </c>
      <c r="I372" s="259" t="e">
        <f>IF(  OR(      INDEX('calcolo base'!$D:$D, MATCH($A372, 'calcolo base'!$A:$A, 0)) = 0,
      INDEX('calcolo base'!$D:$D, MATCH($A372, 'calcolo base'!$A:$A, 0)) = ""   ),
   INDEX('calcolo base'!$K:$K, MATCH($A372, 'calcolo base'!$A:$A, 0)),
   INDEX('calcolo base'!$J:$J, MATCH($A372, 'calcolo base'!$A:$A, 0))
) / 1000</f>
        <v>#N/A</v>
      </c>
      <c r="J372" s="50" t="e">
        <f t="shared" si="94"/>
        <v>#N/A</v>
      </c>
      <c r="K372" s="50"/>
      <c r="L372" s="267" t="e">
        <f>INDEX('calcolo base'!$H:$H, MATCH($A372, 'calcolo base'!$A:$A, 0))</f>
        <v>#N/A</v>
      </c>
      <c r="M372" s="50" t="e">
        <f t="shared" si="95"/>
        <v>#N/A</v>
      </c>
      <c r="N372" s="50" t="e">
        <f t="shared" si="96"/>
        <v>#N/A</v>
      </c>
      <c r="O372" s="50" t="e">
        <f t="shared" si="97"/>
        <v>#N/A</v>
      </c>
      <c r="P372" s="50" t="e">
        <f t="shared" si="98"/>
        <v>#N/A</v>
      </c>
      <c r="Q372" s="51" t="e">
        <f t="shared" si="99"/>
        <v>#N/A</v>
      </c>
      <c r="R372" s="205" t="e">
        <f t="shared" si="100"/>
        <v>#N/A</v>
      </c>
      <c r="S372" s="279" t="e">
        <f>IF(R372="si",0,IF(E372="si",0,IF(J372&gt;K372,0,+K372-J372)))+IF('calcolo base'!P1832="SI",('Commissioni De Angeli'!K372-'Commissioni De Angeli'!J372),0)</f>
        <v>#N/A</v>
      </c>
      <c r="T372" s="117" t="e">
        <f t="shared" si="101"/>
        <v>#N/A</v>
      </c>
      <c r="U372" s="272" t="e">
        <f>IF(Q372=0,'calcolo base'!L2971,(T372+Q372))</f>
        <v>#N/A</v>
      </c>
      <c r="V372" s="119"/>
    </row>
    <row r="373" spans="2:22">
      <c r="B373" s="47"/>
      <c r="C373" s="35"/>
      <c r="D373" s="53"/>
      <c r="E373" s="53"/>
      <c r="F373" s="48"/>
      <c r="G373" s="243" t="e">
        <f>INDEX('calcolo base'!$B:$B, MATCH($A373, 'calcolo base'!$A:$A, 0))</f>
        <v>#N/A</v>
      </c>
      <c r="H373" s="54" t="e">
        <f t="shared" si="93"/>
        <v>#N/A</v>
      </c>
      <c r="I373" s="259" t="e">
        <f>IF(  OR(      INDEX('calcolo base'!$D:$D, MATCH($A373, 'calcolo base'!$A:$A, 0)) = 0,
      INDEX('calcolo base'!$D:$D, MATCH($A373, 'calcolo base'!$A:$A, 0)) = ""   ),
   INDEX('calcolo base'!$K:$K, MATCH($A373, 'calcolo base'!$A:$A, 0)),
   INDEX('calcolo base'!$J:$J, MATCH($A373, 'calcolo base'!$A:$A, 0))
) / 1000</f>
        <v>#N/A</v>
      </c>
      <c r="J373" s="50" t="e">
        <f t="shared" si="94"/>
        <v>#N/A</v>
      </c>
      <c r="K373" s="50"/>
      <c r="L373" s="267" t="e">
        <f>INDEX('calcolo base'!$H:$H, MATCH($A373, 'calcolo base'!$A:$A, 0))</f>
        <v>#N/A</v>
      </c>
      <c r="M373" s="50" t="e">
        <f t="shared" si="95"/>
        <v>#N/A</v>
      </c>
      <c r="N373" s="50" t="e">
        <f t="shared" si="96"/>
        <v>#N/A</v>
      </c>
      <c r="O373" s="50" t="e">
        <f t="shared" si="97"/>
        <v>#N/A</v>
      </c>
      <c r="P373" s="50" t="e">
        <f t="shared" si="98"/>
        <v>#N/A</v>
      </c>
      <c r="Q373" s="51" t="e">
        <f t="shared" si="99"/>
        <v>#N/A</v>
      </c>
      <c r="R373" s="205" t="e">
        <f t="shared" si="100"/>
        <v>#N/A</v>
      </c>
      <c r="S373" s="279" t="e">
        <f>IF(R373="si",0,IF(E373="si",0,IF(J373&gt;K373,0,+K373-J373)))+IF('calcolo base'!P1833="SI",('Commissioni De Angeli'!K373-'Commissioni De Angeli'!J373),0)</f>
        <v>#N/A</v>
      </c>
      <c r="T373" s="117" t="e">
        <f t="shared" si="101"/>
        <v>#N/A</v>
      </c>
      <c r="U373" s="272" t="e">
        <f>IF(Q373=0,'calcolo base'!L2972,(T373+Q373))</f>
        <v>#N/A</v>
      </c>
      <c r="V373" s="119"/>
    </row>
    <row r="374" spans="2:22">
      <c r="B374" s="47"/>
      <c r="C374" s="35"/>
      <c r="D374" s="53"/>
      <c r="E374" s="53"/>
      <c r="F374" s="48"/>
      <c r="G374" s="243" t="e">
        <f>INDEX('calcolo base'!$B:$B, MATCH($A374, 'calcolo base'!$A:$A, 0))</f>
        <v>#N/A</v>
      </c>
      <c r="H374" s="54" t="e">
        <f t="shared" si="93"/>
        <v>#N/A</v>
      </c>
      <c r="I374" s="259" t="e">
        <f>IF(  OR(      INDEX('calcolo base'!$D:$D, MATCH($A374, 'calcolo base'!$A:$A, 0)) = 0,
      INDEX('calcolo base'!$D:$D, MATCH($A374, 'calcolo base'!$A:$A, 0)) = ""   ),
   INDEX('calcolo base'!$K:$K, MATCH($A374, 'calcolo base'!$A:$A, 0)),
   INDEX('calcolo base'!$J:$J, MATCH($A374, 'calcolo base'!$A:$A, 0))
) / 1000</f>
        <v>#N/A</v>
      </c>
      <c r="J374" s="50" t="e">
        <f t="shared" si="94"/>
        <v>#N/A</v>
      </c>
      <c r="K374" s="50"/>
      <c r="L374" s="267" t="e">
        <f>INDEX('calcolo base'!$H:$H, MATCH($A374, 'calcolo base'!$A:$A, 0))</f>
        <v>#N/A</v>
      </c>
      <c r="M374" s="50" t="e">
        <f t="shared" si="95"/>
        <v>#N/A</v>
      </c>
      <c r="N374" s="50" t="e">
        <f t="shared" si="96"/>
        <v>#N/A</v>
      </c>
      <c r="O374" s="50" t="e">
        <f t="shared" si="97"/>
        <v>#N/A</v>
      </c>
      <c r="P374" s="50" t="e">
        <f t="shared" si="98"/>
        <v>#N/A</v>
      </c>
      <c r="Q374" s="51" t="e">
        <f t="shared" si="99"/>
        <v>#N/A</v>
      </c>
      <c r="R374" s="205" t="e">
        <f t="shared" si="100"/>
        <v>#N/A</v>
      </c>
      <c r="S374" s="279" t="e">
        <f>IF(R374="si",0,IF(E374="si",0,IF(J374&gt;K374,0,+K374-J374)))+IF('calcolo base'!P1834="SI",('Commissioni De Angeli'!K374-'Commissioni De Angeli'!J374),0)</f>
        <v>#N/A</v>
      </c>
      <c r="T374" s="117" t="e">
        <f t="shared" si="101"/>
        <v>#N/A</v>
      </c>
      <c r="U374" s="272" t="e">
        <f>IF(Q374=0,'calcolo base'!L2973,(T374+Q374))</f>
        <v>#N/A</v>
      </c>
      <c r="V374" s="119"/>
    </row>
    <row r="375" spans="2:22">
      <c r="B375" s="47"/>
      <c r="C375" s="35"/>
      <c r="D375" s="53"/>
      <c r="E375" s="53"/>
      <c r="F375" s="48"/>
      <c r="G375" s="243" t="e">
        <f>INDEX('calcolo base'!$B:$B, MATCH($A375, 'calcolo base'!$A:$A, 0))</f>
        <v>#N/A</v>
      </c>
      <c r="H375" s="54" t="e">
        <f t="shared" si="93"/>
        <v>#N/A</v>
      </c>
      <c r="I375" s="259" t="e">
        <f>IF(  OR(      INDEX('calcolo base'!$D:$D, MATCH($A375, 'calcolo base'!$A:$A, 0)) = 0,
      INDEX('calcolo base'!$D:$D, MATCH($A375, 'calcolo base'!$A:$A, 0)) = ""   ),
   INDEX('calcolo base'!$K:$K, MATCH($A375, 'calcolo base'!$A:$A, 0)),
   INDEX('calcolo base'!$J:$J, MATCH($A375, 'calcolo base'!$A:$A, 0))
) / 1000</f>
        <v>#N/A</v>
      </c>
      <c r="J375" s="50" t="e">
        <f t="shared" si="94"/>
        <v>#N/A</v>
      </c>
      <c r="K375" s="50"/>
      <c r="L375" s="267" t="e">
        <f>INDEX('calcolo base'!$H:$H, MATCH($A375, 'calcolo base'!$A:$A, 0))</f>
        <v>#N/A</v>
      </c>
      <c r="M375" s="50" t="e">
        <f t="shared" si="95"/>
        <v>#N/A</v>
      </c>
      <c r="N375" s="50" t="e">
        <f t="shared" si="96"/>
        <v>#N/A</v>
      </c>
      <c r="O375" s="50" t="e">
        <f t="shared" si="97"/>
        <v>#N/A</v>
      </c>
      <c r="P375" s="50" t="e">
        <f t="shared" si="98"/>
        <v>#N/A</v>
      </c>
      <c r="Q375" s="51" t="e">
        <f t="shared" si="99"/>
        <v>#N/A</v>
      </c>
      <c r="R375" s="205" t="e">
        <f t="shared" si="100"/>
        <v>#N/A</v>
      </c>
      <c r="S375" s="279" t="e">
        <f>IF(R375="si",0,IF(E375="si",0,IF(J375&gt;K375,0,+K375-J375)))+IF('calcolo base'!P1835="SI",('Commissioni De Angeli'!K375-'Commissioni De Angeli'!J375),0)</f>
        <v>#N/A</v>
      </c>
      <c r="T375" s="117" t="e">
        <f t="shared" si="101"/>
        <v>#N/A</v>
      </c>
      <c r="U375" s="272" t="e">
        <f>IF(Q375=0,'calcolo base'!L2974,(T375+Q375))</f>
        <v>#N/A</v>
      </c>
      <c r="V375" s="119"/>
    </row>
    <row r="376" spans="2:22">
      <c r="B376" s="47"/>
      <c r="C376" s="35"/>
      <c r="D376" s="53"/>
      <c r="E376" s="53"/>
      <c r="F376" s="48"/>
      <c r="G376" s="243" t="e">
        <f>INDEX('calcolo base'!$B:$B, MATCH($A376, 'calcolo base'!$A:$A, 0))</f>
        <v>#N/A</v>
      </c>
      <c r="H376" s="54" t="e">
        <f t="shared" si="93"/>
        <v>#N/A</v>
      </c>
      <c r="I376" s="259" t="e">
        <f>IF(  OR(      INDEX('calcolo base'!$D:$D, MATCH($A376, 'calcolo base'!$A:$A, 0)) = 0,
      INDEX('calcolo base'!$D:$D, MATCH($A376, 'calcolo base'!$A:$A, 0)) = ""   ),
   INDEX('calcolo base'!$K:$K, MATCH($A376, 'calcolo base'!$A:$A, 0)),
   INDEX('calcolo base'!$J:$J, MATCH($A376, 'calcolo base'!$A:$A, 0))
) / 1000</f>
        <v>#N/A</v>
      </c>
      <c r="J376" s="50" t="e">
        <f t="shared" si="94"/>
        <v>#N/A</v>
      </c>
      <c r="K376" s="50"/>
      <c r="L376" s="267" t="e">
        <f>INDEX('calcolo base'!$H:$H, MATCH($A376, 'calcolo base'!$A:$A, 0))</f>
        <v>#N/A</v>
      </c>
      <c r="M376" s="50" t="e">
        <f t="shared" si="95"/>
        <v>#N/A</v>
      </c>
      <c r="N376" s="50" t="e">
        <f t="shared" si="96"/>
        <v>#N/A</v>
      </c>
      <c r="O376" s="50" t="e">
        <f t="shared" si="97"/>
        <v>#N/A</v>
      </c>
      <c r="P376" s="50" t="e">
        <f t="shared" si="98"/>
        <v>#N/A</v>
      </c>
      <c r="Q376" s="51" t="e">
        <f t="shared" si="99"/>
        <v>#N/A</v>
      </c>
      <c r="R376" s="205" t="e">
        <f t="shared" si="100"/>
        <v>#N/A</v>
      </c>
      <c r="S376" s="279" t="e">
        <f>IF(R376="si",0,IF(E376="si",0,IF(J376&gt;K376,0,+K376-J376)))+IF('calcolo base'!P1836="SI",('Commissioni De Angeli'!K376-'Commissioni De Angeli'!J376),0)</f>
        <v>#N/A</v>
      </c>
      <c r="T376" s="117" t="e">
        <f t="shared" si="101"/>
        <v>#N/A</v>
      </c>
      <c r="U376" s="272" t="e">
        <f>IF(Q376=0,'calcolo base'!L2975,(T376+Q376))</f>
        <v>#N/A</v>
      </c>
      <c r="V376" s="119"/>
    </row>
    <row r="377" spans="2:22">
      <c r="B377" s="47"/>
      <c r="C377" s="35"/>
      <c r="D377" s="53"/>
      <c r="E377" s="53"/>
      <c r="F377" s="48"/>
      <c r="G377" s="243" t="e">
        <f>INDEX('calcolo base'!$B:$B, MATCH($A377, 'calcolo base'!$A:$A, 0))</f>
        <v>#N/A</v>
      </c>
      <c r="H377" s="54" t="e">
        <f t="shared" si="93"/>
        <v>#N/A</v>
      </c>
      <c r="I377" s="259" t="e">
        <f>IF(  OR(      INDEX('calcolo base'!$D:$D, MATCH($A377, 'calcolo base'!$A:$A, 0)) = 0,
      INDEX('calcolo base'!$D:$D, MATCH($A377, 'calcolo base'!$A:$A, 0)) = ""   ),
   INDEX('calcolo base'!$K:$K, MATCH($A377, 'calcolo base'!$A:$A, 0)),
   INDEX('calcolo base'!$J:$J, MATCH($A377, 'calcolo base'!$A:$A, 0))
) / 1000</f>
        <v>#N/A</v>
      </c>
      <c r="J377" s="50" t="e">
        <f t="shared" si="94"/>
        <v>#N/A</v>
      </c>
      <c r="K377" s="50"/>
      <c r="L377" s="267" t="e">
        <f>INDEX('calcolo base'!$H:$H, MATCH($A377, 'calcolo base'!$A:$A, 0))</f>
        <v>#N/A</v>
      </c>
      <c r="M377" s="50" t="e">
        <f t="shared" si="95"/>
        <v>#N/A</v>
      </c>
      <c r="N377" s="50" t="e">
        <f t="shared" si="96"/>
        <v>#N/A</v>
      </c>
      <c r="O377" s="50" t="e">
        <f t="shared" si="97"/>
        <v>#N/A</v>
      </c>
      <c r="P377" s="50" t="e">
        <f t="shared" si="98"/>
        <v>#N/A</v>
      </c>
      <c r="Q377" s="51" t="e">
        <f t="shared" si="99"/>
        <v>#N/A</v>
      </c>
      <c r="R377" s="205" t="e">
        <f t="shared" si="100"/>
        <v>#N/A</v>
      </c>
      <c r="S377" s="279" t="e">
        <f>IF(R377="si",0,IF(E377="si",0,IF(J377&gt;K377,0,+K377-J377)))+IF('calcolo base'!P1837="SI",('Commissioni De Angeli'!K377-'Commissioni De Angeli'!J377),0)</f>
        <v>#N/A</v>
      </c>
      <c r="T377" s="117" t="e">
        <f t="shared" si="101"/>
        <v>#N/A</v>
      </c>
      <c r="U377" s="272" t="e">
        <f>IF(Q377=0,'calcolo base'!L2976,(T377+Q377))</f>
        <v>#N/A</v>
      </c>
      <c r="V377" s="119"/>
    </row>
    <row r="378" spans="2:22">
      <c r="B378" s="47"/>
      <c r="C378" s="35"/>
      <c r="D378" s="53"/>
      <c r="E378" s="53"/>
      <c r="F378" s="48"/>
      <c r="G378" s="243" t="e">
        <f>INDEX('calcolo base'!$B:$B, MATCH($A378, 'calcolo base'!$A:$A, 0))</f>
        <v>#N/A</v>
      </c>
      <c r="H378" s="54" t="e">
        <f t="shared" si="93"/>
        <v>#N/A</v>
      </c>
      <c r="I378" s="259" t="e">
        <f>IF(  OR(      INDEX('calcolo base'!$D:$D, MATCH($A378, 'calcolo base'!$A:$A, 0)) = 0,
      INDEX('calcolo base'!$D:$D, MATCH($A378, 'calcolo base'!$A:$A, 0)) = ""   ),
   INDEX('calcolo base'!$K:$K, MATCH($A378, 'calcolo base'!$A:$A, 0)),
   INDEX('calcolo base'!$J:$J, MATCH($A378, 'calcolo base'!$A:$A, 0))
) / 1000</f>
        <v>#N/A</v>
      </c>
      <c r="J378" s="50" t="e">
        <f t="shared" si="94"/>
        <v>#N/A</v>
      </c>
      <c r="K378" s="50"/>
      <c r="L378" s="267" t="e">
        <f>INDEX('calcolo base'!$H:$H, MATCH($A378, 'calcolo base'!$A:$A, 0))</f>
        <v>#N/A</v>
      </c>
      <c r="M378" s="50" t="e">
        <f t="shared" si="95"/>
        <v>#N/A</v>
      </c>
      <c r="N378" s="50" t="e">
        <f t="shared" si="96"/>
        <v>#N/A</v>
      </c>
      <c r="O378" s="50" t="e">
        <f t="shared" si="97"/>
        <v>#N/A</v>
      </c>
      <c r="P378" s="50" t="e">
        <f t="shared" si="98"/>
        <v>#N/A</v>
      </c>
      <c r="Q378" s="51" t="e">
        <f t="shared" si="99"/>
        <v>#N/A</v>
      </c>
      <c r="R378" s="205" t="e">
        <f t="shared" si="100"/>
        <v>#N/A</v>
      </c>
      <c r="S378" s="279" t="e">
        <f>IF(R378="si",0,IF(E378="si",0,IF(J378&gt;K378,0,+K378-J378)))+IF('calcolo base'!P1838="SI",('Commissioni De Angeli'!K378-'Commissioni De Angeli'!J378),0)</f>
        <v>#N/A</v>
      </c>
      <c r="T378" s="117" t="e">
        <f t="shared" si="101"/>
        <v>#N/A</v>
      </c>
      <c r="U378" s="272" t="e">
        <f>IF(Q378=0,'calcolo base'!L2977,(T378+Q378))</f>
        <v>#N/A</v>
      </c>
      <c r="V378" s="119"/>
    </row>
    <row r="379" spans="2:22">
      <c r="B379" s="47"/>
      <c r="C379" s="35"/>
      <c r="D379" s="53"/>
      <c r="E379" s="53"/>
      <c r="F379" s="48"/>
      <c r="G379" s="243" t="e">
        <f>INDEX('calcolo base'!$B:$B, MATCH($A379, 'calcolo base'!$A:$A, 0))</f>
        <v>#N/A</v>
      </c>
      <c r="H379" s="54" t="e">
        <f t="shared" si="93"/>
        <v>#N/A</v>
      </c>
      <c r="I379" s="259" t="e">
        <f>IF(  OR(      INDEX('calcolo base'!$D:$D, MATCH($A379, 'calcolo base'!$A:$A, 0)) = 0,
      INDEX('calcolo base'!$D:$D, MATCH($A379, 'calcolo base'!$A:$A, 0)) = ""   ),
   INDEX('calcolo base'!$K:$K, MATCH($A379, 'calcolo base'!$A:$A, 0)),
   INDEX('calcolo base'!$J:$J, MATCH($A379, 'calcolo base'!$A:$A, 0))
) / 1000</f>
        <v>#N/A</v>
      </c>
      <c r="J379" s="50" t="e">
        <f t="shared" si="94"/>
        <v>#N/A</v>
      </c>
      <c r="K379" s="50"/>
      <c r="L379" s="267" t="e">
        <f>INDEX('calcolo base'!$H:$H, MATCH($A379, 'calcolo base'!$A:$A, 0))</f>
        <v>#N/A</v>
      </c>
      <c r="M379" s="50" t="e">
        <f t="shared" si="95"/>
        <v>#N/A</v>
      </c>
      <c r="N379" s="50" t="e">
        <f t="shared" si="96"/>
        <v>#N/A</v>
      </c>
      <c r="O379" s="50" t="e">
        <f t="shared" si="97"/>
        <v>#N/A</v>
      </c>
      <c r="P379" s="50" t="e">
        <f t="shared" si="98"/>
        <v>#N/A</v>
      </c>
      <c r="Q379" s="51" t="e">
        <f t="shared" si="99"/>
        <v>#N/A</v>
      </c>
      <c r="R379" s="205" t="e">
        <f t="shared" si="100"/>
        <v>#N/A</v>
      </c>
      <c r="S379" s="279" t="e">
        <f>IF(R379="si",0,IF(E379="si",0,IF(J379&gt;K379,0,+K379-J379)))+IF('calcolo base'!P1839="SI",('Commissioni De Angeli'!K379-'Commissioni De Angeli'!J379),0)</f>
        <v>#N/A</v>
      </c>
      <c r="T379" s="117" t="e">
        <f t="shared" si="101"/>
        <v>#N/A</v>
      </c>
      <c r="U379" s="272" t="e">
        <f>IF(Q379=0,'calcolo base'!L2978,(T379+Q379))</f>
        <v>#N/A</v>
      </c>
      <c r="V379" s="119"/>
    </row>
    <row r="380" spans="2:22">
      <c r="B380" s="47"/>
      <c r="C380" s="35"/>
      <c r="D380" s="53"/>
      <c r="E380" s="53"/>
      <c r="F380" s="48"/>
      <c r="G380" s="243" t="e">
        <f>INDEX('calcolo base'!$B:$B, MATCH($A380, 'calcolo base'!$A:$A, 0))</f>
        <v>#N/A</v>
      </c>
      <c r="H380" s="54" t="e">
        <f t="shared" si="93"/>
        <v>#N/A</v>
      </c>
      <c r="I380" s="259" t="e">
        <f>IF(  OR(      INDEX('calcolo base'!$D:$D, MATCH($A380, 'calcolo base'!$A:$A, 0)) = 0,
      INDEX('calcolo base'!$D:$D, MATCH($A380, 'calcolo base'!$A:$A, 0)) = ""   ),
   INDEX('calcolo base'!$K:$K, MATCH($A380, 'calcolo base'!$A:$A, 0)),
   INDEX('calcolo base'!$J:$J, MATCH($A380, 'calcolo base'!$A:$A, 0))
) / 1000</f>
        <v>#N/A</v>
      </c>
      <c r="J380" s="50" t="e">
        <f t="shared" si="94"/>
        <v>#N/A</v>
      </c>
      <c r="K380" s="50"/>
      <c r="L380" s="267" t="e">
        <f>INDEX('calcolo base'!$H:$H, MATCH($A380, 'calcolo base'!$A:$A, 0))</f>
        <v>#N/A</v>
      </c>
      <c r="M380" s="50" t="e">
        <f t="shared" si="95"/>
        <v>#N/A</v>
      </c>
      <c r="N380" s="50" t="e">
        <f t="shared" si="96"/>
        <v>#N/A</v>
      </c>
      <c r="O380" s="50" t="e">
        <f t="shared" si="97"/>
        <v>#N/A</v>
      </c>
      <c r="P380" s="50" t="e">
        <f t="shared" si="98"/>
        <v>#N/A</v>
      </c>
      <c r="Q380" s="51" t="e">
        <f t="shared" si="99"/>
        <v>#N/A</v>
      </c>
      <c r="R380" s="205" t="e">
        <f t="shared" si="100"/>
        <v>#N/A</v>
      </c>
      <c r="S380" s="279" t="e">
        <f>IF(R380="si",0,IF(E380="si",0,IF(J380&gt;K380,0,+K380-J380)))+IF('calcolo base'!P1840="SI",('Commissioni De Angeli'!K380-'Commissioni De Angeli'!J380),0)</f>
        <v>#N/A</v>
      </c>
      <c r="T380" s="117" t="e">
        <f t="shared" si="101"/>
        <v>#N/A</v>
      </c>
      <c r="U380" s="272" t="e">
        <f>IF(Q380=0,'calcolo base'!L2979,(T380+Q380))</f>
        <v>#N/A</v>
      </c>
      <c r="V380" s="119"/>
    </row>
    <row r="381" spans="2:22">
      <c r="B381" s="47"/>
      <c r="C381" s="35"/>
      <c r="D381" s="53"/>
      <c r="E381" s="53"/>
      <c r="F381" s="48"/>
      <c r="G381" s="243" t="e">
        <f>INDEX('calcolo base'!$B:$B, MATCH($A381, 'calcolo base'!$A:$A, 0))</f>
        <v>#N/A</v>
      </c>
      <c r="H381" s="54" t="e">
        <f t="shared" si="93"/>
        <v>#N/A</v>
      </c>
      <c r="I381" s="259" t="e">
        <f>IF(  OR(      INDEX('calcolo base'!$D:$D, MATCH($A381, 'calcolo base'!$A:$A, 0)) = 0,
      INDEX('calcolo base'!$D:$D, MATCH($A381, 'calcolo base'!$A:$A, 0)) = ""   ),
   INDEX('calcolo base'!$K:$K, MATCH($A381, 'calcolo base'!$A:$A, 0)),
   INDEX('calcolo base'!$J:$J, MATCH($A381, 'calcolo base'!$A:$A, 0))
) / 1000</f>
        <v>#N/A</v>
      </c>
      <c r="J381" s="50" t="e">
        <f t="shared" si="94"/>
        <v>#N/A</v>
      </c>
      <c r="K381" s="50"/>
      <c r="L381" s="267" t="e">
        <f>INDEX('calcolo base'!$H:$H, MATCH($A381, 'calcolo base'!$A:$A, 0))</f>
        <v>#N/A</v>
      </c>
      <c r="M381" s="50" t="e">
        <f t="shared" si="95"/>
        <v>#N/A</v>
      </c>
      <c r="N381" s="50" t="e">
        <f t="shared" si="96"/>
        <v>#N/A</v>
      </c>
      <c r="O381" s="50" t="e">
        <f t="shared" si="97"/>
        <v>#N/A</v>
      </c>
      <c r="P381" s="50" t="e">
        <f t="shared" si="98"/>
        <v>#N/A</v>
      </c>
      <c r="Q381" s="51" t="e">
        <f t="shared" si="99"/>
        <v>#N/A</v>
      </c>
      <c r="R381" s="205" t="e">
        <f t="shared" si="100"/>
        <v>#N/A</v>
      </c>
      <c r="S381" s="279" t="e">
        <f>IF(R381="si",0,IF(E381="si",0,IF(J381&gt;K381,0,+K381-J381)))+IF('calcolo base'!P1841="SI",('Commissioni De Angeli'!K381-'Commissioni De Angeli'!J381),0)</f>
        <v>#N/A</v>
      </c>
      <c r="T381" s="117" t="e">
        <f t="shared" si="101"/>
        <v>#N/A</v>
      </c>
      <c r="U381" s="272" t="e">
        <f>IF(Q381=0,'calcolo base'!L2980,(T381+Q381))</f>
        <v>#N/A</v>
      </c>
      <c r="V381" s="119"/>
    </row>
    <row r="382" spans="2:22">
      <c r="B382" s="47"/>
      <c r="C382" s="35"/>
      <c r="D382" s="53"/>
      <c r="E382" s="53"/>
      <c r="F382" s="48"/>
      <c r="G382" s="243" t="e">
        <f>INDEX('calcolo base'!$B:$B, MATCH($A382, 'calcolo base'!$A:$A, 0))</f>
        <v>#N/A</v>
      </c>
      <c r="H382" s="54" t="e">
        <f t="shared" si="93"/>
        <v>#N/A</v>
      </c>
      <c r="I382" s="259" t="e">
        <f>IF(  OR(      INDEX('calcolo base'!$D:$D, MATCH($A382, 'calcolo base'!$A:$A, 0)) = 0,
      INDEX('calcolo base'!$D:$D, MATCH($A382, 'calcolo base'!$A:$A, 0)) = ""   ),
   INDEX('calcolo base'!$K:$K, MATCH($A382, 'calcolo base'!$A:$A, 0)),
   INDEX('calcolo base'!$J:$J, MATCH($A382, 'calcolo base'!$A:$A, 0))
) / 1000</f>
        <v>#N/A</v>
      </c>
      <c r="J382" s="50" t="e">
        <f t="shared" si="94"/>
        <v>#N/A</v>
      </c>
      <c r="K382" s="50"/>
      <c r="L382" s="267" t="e">
        <f>INDEX('calcolo base'!$H:$H, MATCH($A382, 'calcolo base'!$A:$A, 0))</f>
        <v>#N/A</v>
      </c>
      <c r="M382" s="50" t="e">
        <f t="shared" si="95"/>
        <v>#N/A</v>
      </c>
      <c r="N382" s="50" t="e">
        <f t="shared" si="96"/>
        <v>#N/A</v>
      </c>
      <c r="O382" s="50" t="e">
        <f t="shared" si="97"/>
        <v>#N/A</v>
      </c>
      <c r="P382" s="50" t="e">
        <f t="shared" si="98"/>
        <v>#N/A</v>
      </c>
      <c r="Q382" s="51" t="e">
        <f t="shared" si="99"/>
        <v>#N/A</v>
      </c>
      <c r="R382" s="205" t="e">
        <f t="shared" si="100"/>
        <v>#N/A</v>
      </c>
      <c r="S382" s="279" t="e">
        <f>IF(R382="si",0,IF(E382="si",0,IF(J382&gt;K382,0,+K382-J382)))+IF('calcolo base'!P1842="SI",('Commissioni De Angeli'!K382-'Commissioni De Angeli'!J382),0)</f>
        <v>#N/A</v>
      </c>
      <c r="T382" s="117" t="e">
        <f t="shared" si="101"/>
        <v>#N/A</v>
      </c>
      <c r="U382" s="272" t="e">
        <f>IF(Q382=0,'calcolo base'!L2981,(T382+Q382))</f>
        <v>#N/A</v>
      </c>
      <c r="V382" s="119"/>
    </row>
    <row r="383" spans="2:22">
      <c r="B383" s="47"/>
      <c r="C383" s="35"/>
      <c r="D383" s="53"/>
      <c r="E383" s="53"/>
      <c r="F383" s="48"/>
      <c r="G383" s="243" t="e">
        <f>INDEX('calcolo base'!$B:$B, MATCH($A383, 'calcolo base'!$A:$A, 0))</f>
        <v>#N/A</v>
      </c>
      <c r="H383" s="54" t="e">
        <f t="shared" si="93"/>
        <v>#N/A</v>
      </c>
      <c r="I383" s="259" t="e">
        <f>IF(  OR(      INDEX('calcolo base'!$D:$D, MATCH($A383, 'calcolo base'!$A:$A, 0)) = 0,
      INDEX('calcolo base'!$D:$D, MATCH($A383, 'calcolo base'!$A:$A, 0)) = ""   ),
   INDEX('calcolo base'!$K:$K, MATCH($A383, 'calcolo base'!$A:$A, 0)),
   INDEX('calcolo base'!$J:$J, MATCH($A383, 'calcolo base'!$A:$A, 0))
) / 1000</f>
        <v>#N/A</v>
      </c>
      <c r="J383" s="50" t="e">
        <f t="shared" si="94"/>
        <v>#N/A</v>
      </c>
      <c r="K383" s="50"/>
      <c r="L383" s="267" t="e">
        <f>INDEX('calcolo base'!$H:$H, MATCH($A383, 'calcolo base'!$A:$A, 0))</f>
        <v>#N/A</v>
      </c>
      <c r="M383" s="50" t="e">
        <f t="shared" si="95"/>
        <v>#N/A</v>
      </c>
      <c r="N383" s="50" t="e">
        <f t="shared" si="96"/>
        <v>#N/A</v>
      </c>
      <c r="O383" s="50" t="e">
        <f t="shared" si="97"/>
        <v>#N/A</v>
      </c>
      <c r="P383" s="50" t="e">
        <f t="shared" si="98"/>
        <v>#N/A</v>
      </c>
      <c r="Q383" s="51" t="e">
        <f t="shared" si="99"/>
        <v>#N/A</v>
      </c>
      <c r="R383" s="205" t="e">
        <f t="shared" si="100"/>
        <v>#N/A</v>
      </c>
      <c r="S383" s="279" t="e">
        <f>IF(R383="si",0,IF(E383="si",0,IF(J383&gt;K383,0,+K383-J383)))+IF('calcolo base'!P1843="SI",('Commissioni De Angeli'!K383-'Commissioni De Angeli'!J383),0)</f>
        <v>#N/A</v>
      </c>
      <c r="T383" s="117" t="e">
        <f t="shared" si="101"/>
        <v>#N/A</v>
      </c>
      <c r="U383" s="272" t="e">
        <f>IF(Q383=0,'calcolo base'!L2982,(T383+Q383))</f>
        <v>#N/A</v>
      </c>
      <c r="V383" s="119"/>
    </row>
    <row r="384" spans="2:22">
      <c r="B384" s="47"/>
      <c r="C384" s="35"/>
      <c r="D384" s="53"/>
      <c r="E384" s="53"/>
      <c r="F384" s="48"/>
      <c r="G384" s="243" t="e">
        <f>INDEX('calcolo base'!$B:$B, MATCH($A384, 'calcolo base'!$A:$A, 0))</f>
        <v>#N/A</v>
      </c>
      <c r="H384" s="54" t="e">
        <f t="shared" si="93"/>
        <v>#N/A</v>
      </c>
      <c r="I384" s="259" t="e">
        <f>IF(  OR(      INDEX('calcolo base'!$D:$D, MATCH($A384, 'calcolo base'!$A:$A, 0)) = 0,
      INDEX('calcolo base'!$D:$D, MATCH($A384, 'calcolo base'!$A:$A, 0)) = ""   ),
   INDEX('calcolo base'!$K:$K, MATCH($A384, 'calcolo base'!$A:$A, 0)),
   INDEX('calcolo base'!$J:$J, MATCH($A384, 'calcolo base'!$A:$A, 0))
) / 1000</f>
        <v>#N/A</v>
      </c>
      <c r="J384" s="50" t="e">
        <f t="shared" si="94"/>
        <v>#N/A</v>
      </c>
      <c r="K384" s="50"/>
      <c r="L384" s="267" t="e">
        <f>INDEX('calcolo base'!$H:$H, MATCH($A384, 'calcolo base'!$A:$A, 0))</f>
        <v>#N/A</v>
      </c>
      <c r="M384" s="50" t="e">
        <f t="shared" si="95"/>
        <v>#N/A</v>
      </c>
      <c r="N384" s="50" t="e">
        <f t="shared" si="96"/>
        <v>#N/A</v>
      </c>
      <c r="O384" s="50" t="e">
        <f t="shared" si="97"/>
        <v>#N/A</v>
      </c>
      <c r="P384" s="50" t="e">
        <f t="shared" si="98"/>
        <v>#N/A</v>
      </c>
      <c r="Q384" s="51" t="e">
        <f t="shared" si="99"/>
        <v>#N/A</v>
      </c>
      <c r="R384" s="205" t="e">
        <f t="shared" si="100"/>
        <v>#N/A</v>
      </c>
      <c r="S384" s="279" t="e">
        <f>IF(R384="si",0,IF(E384="si",0,IF(J384&gt;K384,0,+K384-J384)))+IF('calcolo base'!P1844="SI",('Commissioni De Angeli'!K384-'Commissioni De Angeli'!J384),0)</f>
        <v>#N/A</v>
      </c>
      <c r="T384" s="117" t="e">
        <f t="shared" si="101"/>
        <v>#N/A</v>
      </c>
      <c r="U384" s="272" t="e">
        <f>IF(Q384=0,'calcolo base'!L2983,(T384+Q384))</f>
        <v>#N/A</v>
      </c>
      <c r="V384" s="119"/>
    </row>
    <row r="385" spans="2:22">
      <c r="B385" s="47"/>
      <c r="C385" s="35"/>
      <c r="D385" s="53"/>
      <c r="E385" s="53"/>
      <c r="F385" s="48"/>
      <c r="G385" s="243" t="e">
        <f>INDEX('calcolo base'!$B:$B, MATCH($A385, 'calcolo base'!$A:$A, 0))</f>
        <v>#N/A</v>
      </c>
      <c r="H385" s="54" t="e">
        <f t="shared" si="93"/>
        <v>#N/A</v>
      </c>
      <c r="I385" s="259" t="e">
        <f>IF(  OR(      INDEX('calcolo base'!$D:$D, MATCH($A385, 'calcolo base'!$A:$A, 0)) = 0,
      INDEX('calcolo base'!$D:$D, MATCH($A385, 'calcolo base'!$A:$A, 0)) = ""   ),
   INDEX('calcolo base'!$K:$K, MATCH($A385, 'calcolo base'!$A:$A, 0)),
   INDEX('calcolo base'!$J:$J, MATCH($A385, 'calcolo base'!$A:$A, 0))
) / 1000</f>
        <v>#N/A</v>
      </c>
      <c r="J385" s="50" t="e">
        <f t="shared" si="94"/>
        <v>#N/A</v>
      </c>
      <c r="K385" s="50"/>
      <c r="L385" s="267" t="e">
        <f>INDEX('calcolo base'!$H:$H, MATCH($A385, 'calcolo base'!$A:$A, 0))</f>
        <v>#N/A</v>
      </c>
      <c r="M385" s="50" t="e">
        <f t="shared" si="95"/>
        <v>#N/A</v>
      </c>
      <c r="N385" s="50" t="e">
        <f t="shared" si="96"/>
        <v>#N/A</v>
      </c>
      <c r="O385" s="50" t="e">
        <f t="shared" si="97"/>
        <v>#N/A</v>
      </c>
      <c r="P385" s="50" t="e">
        <f t="shared" si="98"/>
        <v>#N/A</v>
      </c>
      <c r="Q385" s="51" t="e">
        <f t="shared" si="99"/>
        <v>#N/A</v>
      </c>
      <c r="R385" s="205" t="e">
        <f t="shared" si="100"/>
        <v>#N/A</v>
      </c>
      <c r="S385" s="279" t="e">
        <f>IF(R385="si",0,IF(E385="si",0,IF(J385&gt;K385,0,+K385-J385)))+IF('calcolo base'!P1845="SI",('Commissioni De Angeli'!K385-'Commissioni De Angeli'!J385),0)</f>
        <v>#N/A</v>
      </c>
      <c r="T385" s="117" t="e">
        <f t="shared" si="101"/>
        <v>#N/A</v>
      </c>
      <c r="U385" s="272" t="e">
        <f>IF(Q385=0,'calcolo base'!L2984,(T385+Q385))</f>
        <v>#N/A</v>
      </c>
      <c r="V385" s="119"/>
    </row>
    <row r="386" spans="2:22">
      <c r="B386" s="47"/>
      <c r="C386" s="35"/>
      <c r="D386" s="53"/>
      <c r="E386" s="53"/>
      <c r="F386" s="48"/>
      <c r="G386" s="243" t="e">
        <f>INDEX('calcolo base'!$B:$B, MATCH($A386, 'calcolo base'!$A:$A, 0))</f>
        <v>#N/A</v>
      </c>
      <c r="H386" s="54" t="e">
        <f t="shared" si="93"/>
        <v>#N/A</v>
      </c>
      <c r="I386" s="259" t="e">
        <f>IF(  OR(      INDEX('calcolo base'!$D:$D, MATCH($A386, 'calcolo base'!$A:$A, 0)) = 0,
      INDEX('calcolo base'!$D:$D, MATCH($A386, 'calcolo base'!$A:$A, 0)) = ""   ),
   INDEX('calcolo base'!$K:$K, MATCH($A386, 'calcolo base'!$A:$A, 0)),
   INDEX('calcolo base'!$J:$J, MATCH($A386, 'calcolo base'!$A:$A, 0))
) / 1000</f>
        <v>#N/A</v>
      </c>
      <c r="J386" s="50" t="e">
        <f t="shared" si="94"/>
        <v>#N/A</v>
      </c>
      <c r="K386" s="50"/>
      <c r="L386" s="267" t="e">
        <f>INDEX('calcolo base'!$H:$H, MATCH($A386, 'calcolo base'!$A:$A, 0))</f>
        <v>#N/A</v>
      </c>
      <c r="M386" s="50" t="e">
        <f t="shared" si="95"/>
        <v>#N/A</v>
      </c>
      <c r="N386" s="50" t="e">
        <f t="shared" si="96"/>
        <v>#N/A</v>
      </c>
      <c r="O386" s="50" t="e">
        <f t="shared" si="97"/>
        <v>#N/A</v>
      </c>
      <c r="P386" s="50" t="e">
        <f t="shared" si="98"/>
        <v>#N/A</v>
      </c>
      <c r="Q386" s="51" t="e">
        <f t="shared" si="99"/>
        <v>#N/A</v>
      </c>
      <c r="R386" s="205" t="e">
        <f t="shared" si="100"/>
        <v>#N/A</v>
      </c>
      <c r="S386" s="279" t="e">
        <f>IF(R386="si",0,IF(E386="si",0,IF(J386&gt;K386,0,+K386-J386)))+IF('calcolo base'!P1846="SI",('Commissioni De Angeli'!K386-'Commissioni De Angeli'!J386),0)</f>
        <v>#N/A</v>
      </c>
      <c r="T386" s="117" t="e">
        <f t="shared" si="101"/>
        <v>#N/A</v>
      </c>
      <c r="U386" s="272" t="e">
        <f>IF(Q386=0,'calcolo base'!L2985,(T386+Q386))</f>
        <v>#N/A</v>
      </c>
      <c r="V386" s="119"/>
    </row>
    <row r="387" spans="2:22">
      <c r="B387" s="47"/>
      <c r="C387" s="35"/>
      <c r="D387" s="53"/>
      <c r="E387" s="53"/>
      <c r="F387" s="48"/>
      <c r="G387" s="243" t="e">
        <f>INDEX('calcolo base'!$B:$B, MATCH($A387, 'calcolo base'!$A:$A, 0))</f>
        <v>#N/A</v>
      </c>
      <c r="H387" s="54" t="e">
        <f t="shared" si="93"/>
        <v>#N/A</v>
      </c>
      <c r="I387" s="259" t="e">
        <f>IF(  OR(      INDEX('calcolo base'!$D:$D, MATCH($A387, 'calcolo base'!$A:$A, 0)) = 0,
      INDEX('calcolo base'!$D:$D, MATCH($A387, 'calcolo base'!$A:$A, 0)) = ""   ),
   INDEX('calcolo base'!$K:$K, MATCH($A387, 'calcolo base'!$A:$A, 0)),
   INDEX('calcolo base'!$J:$J, MATCH($A387, 'calcolo base'!$A:$A, 0))
) / 1000</f>
        <v>#N/A</v>
      </c>
      <c r="J387" s="50" t="e">
        <f t="shared" si="94"/>
        <v>#N/A</v>
      </c>
      <c r="K387" s="50"/>
      <c r="L387" s="267" t="e">
        <f>INDEX('calcolo base'!$H:$H, MATCH($A387, 'calcolo base'!$A:$A, 0))</f>
        <v>#N/A</v>
      </c>
      <c r="M387" s="50" t="e">
        <f t="shared" si="95"/>
        <v>#N/A</v>
      </c>
      <c r="N387" s="50" t="e">
        <f t="shared" si="96"/>
        <v>#N/A</v>
      </c>
      <c r="O387" s="50" t="e">
        <f t="shared" si="97"/>
        <v>#N/A</v>
      </c>
      <c r="P387" s="50" t="e">
        <f t="shared" si="98"/>
        <v>#N/A</v>
      </c>
      <c r="Q387" s="51" t="e">
        <f t="shared" si="99"/>
        <v>#N/A</v>
      </c>
      <c r="R387" s="205" t="e">
        <f t="shared" si="100"/>
        <v>#N/A</v>
      </c>
      <c r="S387" s="279" t="e">
        <f>IF(R387="si",0,IF(E387="si",0,IF(J387&gt;K387,0,+K387-J387)))+IF('calcolo base'!P1847="SI",('Commissioni De Angeli'!K387-'Commissioni De Angeli'!J387),0)</f>
        <v>#N/A</v>
      </c>
      <c r="T387" s="117" t="e">
        <f t="shared" si="101"/>
        <v>#N/A</v>
      </c>
      <c r="U387" s="272" t="e">
        <f>IF(Q387=0,'calcolo base'!L2986,(T387+Q387))</f>
        <v>#N/A</v>
      </c>
      <c r="V387" s="119"/>
    </row>
    <row r="388" spans="2:22">
      <c r="B388" s="47"/>
      <c r="C388" s="35"/>
      <c r="D388" s="53"/>
      <c r="E388" s="53"/>
      <c r="F388" s="48"/>
      <c r="G388" s="243" t="e">
        <f>INDEX('calcolo base'!$B:$B, MATCH($A388, 'calcolo base'!$A:$A, 0))</f>
        <v>#N/A</v>
      </c>
      <c r="H388" s="54" t="e">
        <f t="shared" si="93"/>
        <v>#N/A</v>
      </c>
      <c r="I388" s="259" t="e">
        <f>IF(  OR(      INDEX('calcolo base'!$D:$D, MATCH($A388, 'calcolo base'!$A:$A, 0)) = 0,
      INDEX('calcolo base'!$D:$D, MATCH($A388, 'calcolo base'!$A:$A, 0)) = ""   ),
   INDEX('calcolo base'!$K:$K, MATCH($A388, 'calcolo base'!$A:$A, 0)),
   INDEX('calcolo base'!$J:$J, MATCH($A388, 'calcolo base'!$A:$A, 0))
) / 1000</f>
        <v>#N/A</v>
      </c>
      <c r="J388" s="50" t="e">
        <f t="shared" si="94"/>
        <v>#N/A</v>
      </c>
      <c r="K388" s="50"/>
      <c r="L388" s="267" t="e">
        <f>INDEX('calcolo base'!$H:$H, MATCH($A388, 'calcolo base'!$A:$A, 0))</f>
        <v>#N/A</v>
      </c>
      <c r="M388" s="50" t="e">
        <f t="shared" si="95"/>
        <v>#N/A</v>
      </c>
      <c r="N388" s="50" t="e">
        <f t="shared" si="96"/>
        <v>#N/A</v>
      </c>
      <c r="O388" s="50" t="e">
        <f t="shared" si="97"/>
        <v>#N/A</v>
      </c>
      <c r="P388" s="50" t="e">
        <f t="shared" si="98"/>
        <v>#N/A</v>
      </c>
      <c r="Q388" s="51" t="e">
        <f t="shared" si="99"/>
        <v>#N/A</v>
      </c>
      <c r="R388" s="205" t="e">
        <f t="shared" si="100"/>
        <v>#N/A</v>
      </c>
      <c r="S388" s="279" t="e">
        <f>IF(R388="si",0,IF(E388="si",0,IF(J388&gt;K388,0,+K388-J388)))+IF('calcolo base'!P1848="SI",('Commissioni De Angeli'!K388-'Commissioni De Angeli'!J388),0)</f>
        <v>#N/A</v>
      </c>
      <c r="T388" s="117" t="e">
        <f t="shared" si="101"/>
        <v>#N/A</v>
      </c>
      <c r="U388" s="272" t="e">
        <f>IF(Q388=0,'calcolo base'!L2987,(T388+Q388))</f>
        <v>#N/A</v>
      </c>
      <c r="V388" s="119"/>
    </row>
    <row r="389" spans="2:22">
      <c r="B389" s="47"/>
      <c r="C389" s="35"/>
      <c r="D389" s="53"/>
      <c r="E389" s="53"/>
      <c r="F389" s="48"/>
      <c r="G389" s="243" t="e">
        <f>INDEX('calcolo base'!$B:$B, MATCH($A389, 'calcolo base'!$A:$A, 0))</f>
        <v>#N/A</v>
      </c>
      <c r="H389" s="54" t="e">
        <f t="shared" si="93"/>
        <v>#N/A</v>
      </c>
      <c r="I389" s="259" t="e">
        <f>IF(  OR(      INDEX('calcolo base'!$D:$D, MATCH($A389, 'calcolo base'!$A:$A, 0)) = 0,
      INDEX('calcolo base'!$D:$D, MATCH($A389, 'calcolo base'!$A:$A, 0)) = ""   ),
   INDEX('calcolo base'!$K:$K, MATCH($A389, 'calcolo base'!$A:$A, 0)),
   INDEX('calcolo base'!$J:$J, MATCH($A389, 'calcolo base'!$A:$A, 0))
) / 1000</f>
        <v>#N/A</v>
      </c>
      <c r="J389" s="50" t="e">
        <f t="shared" si="94"/>
        <v>#N/A</v>
      </c>
      <c r="K389" s="50"/>
      <c r="L389" s="267" t="e">
        <f>INDEX('calcolo base'!$H:$H, MATCH($A389, 'calcolo base'!$A:$A, 0))</f>
        <v>#N/A</v>
      </c>
      <c r="M389" s="50" t="e">
        <f t="shared" si="95"/>
        <v>#N/A</v>
      </c>
      <c r="N389" s="50" t="e">
        <f t="shared" si="96"/>
        <v>#N/A</v>
      </c>
      <c r="O389" s="50" t="e">
        <f t="shared" si="97"/>
        <v>#N/A</v>
      </c>
      <c r="P389" s="50" t="e">
        <f t="shared" si="98"/>
        <v>#N/A</v>
      </c>
      <c r="Q389" s="51" t="e">
        <f t="shared" si="99"/>
        <v>#N/A</v>
      </c>
      <c r="R389" s="205" t="e">
        <f t="shared" si="100"/>
        <v>#N/A</v>
      </c>
      <c r="S389" s="279" t="e">
        <f>IF(R389="si",0,IF(E389="si",0,IF(J389&gt;K389,0,+K389-J389)))+IF('calcolo base'!P1849="SI",('Commissioni De Angeli'!K389-'Commissioni De Angeli'!J389),0)</f>
        <v>#N/A</v>
      </c>
      <c r="T389" s="117" t="e">
        <f t="shared" si="101"/>
        <v>#N/A</v>
      </c>
      <c r="U389" s="272" t="e">
        <f>IF(Q389=0,'calcolo base'!L2988,(T389+Q389))</f>
        <v>#N/A</v>
      </c>
      <c r="V389" s="119"/>
    </row>
    <row r="390" spans="2:22">
      <c r="B390" s="47"/>
      <c r="C390" s="35"/>
      <c r="D390" s="53"/>
      <c r="E390" s="53"/>
      <c r="F390" s="48"/>
      <c r="G390" s="243" t="e">
        <f>INDEX('calcolo base'!$B:$B, MATCH($A390, 'calcolo base'!$A:$A, 0))</f>
        <v>#N/A</v>
      </c>
      <c r="H390" s="54" t="e">
        <f t="shared" si="93"/>
        <v>#N/A</v>
      </c>
      <c r="I390" s="259" t="e">
        <f>IF(  OR(      INDEX('calcolo base'!$D:$D, MATCH($A390, 'calcolo base'!$A:$A, 0)) = 0,
      INDEX('calcolo base'!$D:$D, MATCH($A390, 'calcolo base'!$A:$A, 0)) = ""   ),
   INDEX('calcolo base'!$K:$K, MATCH($A390, 'calcolo base'!$A:$A, 0)),
   INDEX('calcolo base'!$J:$J, MATCH($A390, 'calcolo base'!$A:$A, 0))
) / 1000</f>
        <v>#N/A</v>
      </c>
      <c r="J390" s="50" t="e">
        <f t="shared" si="94"/>
        <v>#N/A</v>
      </c>
      <c r="K390" s="50"/>
      <c r="L390" s="267" t="e">
        <f>INDEX('calcolo base'!$H:$H, MATCH($A390, 'calcolo base'!$A:$A, 0))</f>
        <v>#N/A</v>
      </c>
      <c r="M390" s="50" t="e">
        <f t="shared" si="95"/>
        <v>#N/A</v>
      </c>
      <c r="N390" s="50" t="e">
        <f t="shared" si="96"/>
        <v>#N/A</v>
      </c>
      <c r="O390" s="50" t="e">
        <f t="shared" si="97"/>
        <v>#N/A</v>
      </c>
      <c r="P390" s="50" t="e">
        <f t="shared" si="98"/>
        <v>#N/A</v>
      </c>
      <c r="Q390" s="51" t="e">
        <f t="shared" si="99"/>
        <v>#N/A</v>
      </c>
      <c r="R390" s="205" t="e">
        <f t="shared" si="100"/>
        <v>#N/A</v>
      </c>
      <c r="S390" s="279" t="e">
        <f>IF(R390="si",0,IF(E390="si",0,IF(J390&gt;K390,0,+K390-J390)))+IF('calcolo base'!P1850="SI",('Commissioni De Angeli'!K390-'Commissioni De Angeli'!J390),0)</f>
        <v>#N/A</v>
      </c>
      <c r="T390" s="117" t="e">
        <f t="shared" si="101"/>
        <v>#N/A</v>
      </c>
      <c r="U390" s="272" t="e">
        <f>IF(Q390=0,'calcolo base'!L2989,(T390+Q390))</f>
        <v>#N/A</v>
      </c>
      <c r="V390" s="119"/>
    </row>
    <row r="391" spans="2:22">
      <c r="B391" s="47"/>
      <c r="C391" s="35"/>
      <c r="D391" s="53"/>
      <c r="E391" s="53"/>
      <c r="F391" s="48"/>
      <c r="G391" s="243" t="e">
        <f>INDEX('calcolo base'!$B:$B, MATCH($A391, 'calcolo base'!$A:$A, 0))</f>
        <v>#N/A</v>
      </c>
      <c r="H391" s="54" t="e">
        <f t="shared" si="93"/>
        <v>#N/A</v>
      </c>
      <c r="I391" s="259" t="e">
        <f>IF(  OR(      INDEX('calcolo base'!$D:$D, MATCH($A391, 'calcolo base'!$A:$A, 0)) = 0,
      INDEX('calcolo base'!$D:$D, MATCH($A391, 'calcolo base'!$A:$A, 0)) = ""   ),
   INDEX('calcolo base'!$K:$K, MATCH($A391, 'calcolo base'!$A:$A, 0)),
   INDEX('calcolo base'!$J:$J, MATCH($A391, 'calcolo base'!$A:$A, 0))
) / 1000</f>
        <v>#N/A</v>
      </c>
      <c r="J391" s="50" t="e">
        <f t="shared" si="94"/>
        <v>#N/A</v>
      </c>
      <c r="K391" s="50"/>
      <c r="L391" s="267" t="e">
        <f>INDEX('calcolo base'!$H:$H, MATCH($A391, 'calcolo base'!$A:$A, 0))</f>
        <v>#N/A</v>
      </c>
      <c r="M391" s="50" t="e">
        <f t="shared" si="95"/>
        <v>#N/A</v>
      </c>
      <c r="N391" s="50" t="e">
        <f t="shared" si="96"/>
        <v>#N/A</v>
      </c>
      <c r="O391" s="50" t="e">
        <f t="shared" si="97"/>
        <v>#N/A</v>
      </c>
      <c r="P391" s="50" t="e">
        <f t="shared" si="98"/>
        <v>#N/A</v>
      </c>
      <c r="Q391" s="51" t="e">
        <f t="shared" si="99"/>
        <v>#N/A</v>
      </c>
      <c r="R391" s="205" t="e">
        <f t="shared" si="100"/>
        <v>#N/A</v>
      </c>
      <c r="S391" s="279" t="e">
        <f>IF(R391="si",0,IF(E391="si",0,IF(J391&gt;K391,0,+K391-J391)))+IF('calcolo base'!P1851="SI",('Commissioni De Angeli'!K391-'Commissioni De Angeli'!J391),0)</f>
        <v>#N/A</v>
      </c>
      <c r="T391" s="117" t="e">
        <f t="shared" si="101"/>
        <v>#N/A</v>
      </c>
      <c r="U391" s="272" t="e">
        <f>IF(Q391=0,'calcolo base'!L2990,(T391+Q391))</f>
        <v>#N/A</v>
      </c>
      <c r="V391" s="119"/>
    </row>
    <row r="392" spans="2:22">
      <c r="B392" s="47"/>
      <c r="C392" s="35"/>
      <c r="D392" s="53"/>
      <c r="E392" s="53"/>
      <c r="F392" s="48"/>
      <c r="G392" s="243" t="e">
        <f>INDEX('calcolo base'!$B:$B, MATCH($A392, 'calcolo base'!$A:$A, 0))</f>
        <v>#N/A</v>
      </c>
      <c r="H392" s="54" t="e">
        <f t="shared" si="93"/>
        <v>#N/A</v>
      </c>
      <c r="I392" s="259" t="e">
        <f>IF(  OR(      INDEX('calcolo base'!$D:$D, MATCH($A392, 'calcolo base'!$A:$A, 0)) = 0,
      INDEX('calcolo base'!$D:$D, MATCH($A392, 'calcolo base'!$A:$A, 0)) = ""   ),
   INDEX('calcolo base'!$K:$K, MATCH($A392, 'calcolo base'!$A:$A, 0)),
   INDEX('calcolo base'!$J:$J, MATCH($A392, 'calcolo base'!$A:$A, 0))
) / 1000</f>
        <v>#N/A</v>
      </c>
      <c r="J392" s="50" t="e">
        <f t="shared" si="94"/>
        <v>#N/A</v>
      </c>
      <c r="K392" s="50"/>
      <c r="L392" s="267" t="e">
        <f>INDEX('calcolo base'!$H:$H, MATCH($A392, 'calcolo base'!$A:$A, 0))</f>
        <v>#N/A</v>
      </c>
      <c r="M392" s="50" t="e">
        <f t="shared" si="95"/>
        <v>#N/A</v>
      </c>
      <c r="N392" s="50" t="e">
        <f t="shared" si="96"/>
        <v>#N/A</v>
      </c>
      <c r="O392" s="50" t="e">
        <f t="shared" si="97"/>
        <v>#N/A</v>
      </c>
      <c r="P392" s="50" t="e">
        <f t="shared" si="98"/>
        <v>#N/A</v>
      </c>
      <c r="Q392" s="51" t="e">
        <f t="shared" si="99"/>
        <v>#N/A</v>
      </c>
      <c r="R392" s="205" t="e">
        <f t="shared" si="100"/>
        <v>#N/A</v>
      </c>
      <c r="S392" s="279" t="e">
        <f>IF(R392="si",0,IF(E392="si",0,IF(J392&gt;K392,0,+K392-J392)))+IF('calcolo base'!P1852="SI",('Commissioni De Angeli'!K392-'Commissioni De Angeli'!J392),0)</f>
        <v>#N/A</v>
      </c>
      <c r="T392" s="117" t="e">
        <f t="shared" si="101"/>
        <v>#N/A</v>
      </c>
      <c r="U392" s="272" t="e">
        <f>IF(Q392=0,'calcolo base'!L2991,(T392+Q392))</f>
        <v>#N/A</v>
      </c>
      <c r="V392" s="119"/>
    </row>
    <row r="393" spans="2:22">
      <c r="B393" s="47"/>
      <c r="C393" s="35"/>
      <c r="D393" s="53"/>
      <c r="E393" s="53"/>
      <c r="F393" s="48"/>
      <c r="G393" s="243" t="e">
        <f>INDEX('calcolo base'!$B:$B, MATCH($A393, 'calcolo base'!$A:$A, 0))</f>
        <v>#N/A</v>
      </c>
      <c r="H393" s="54" t="e">
        <f t="shared" si="93"/>
        <v>#N/A</v>
      </c>
      <c r="I393" s="259" t="e">
        <f>IF(  OR(      INDEX('calcolo base'!$D:$D, MATCH($A393, 'calcolo base'!$A:$A, 0)) = 0,
      INDEX('calcolo base'!$D:$D, MATCH($A393, 'calcolo base'!$A:$A, 0)) = ""   ),
   INDEX('calcolo base'!$K:$K, MATCH($A393, 'calcolo base'!$A:$A, 0)),
   INDEX('calcolo base'!$J:$J, MATCH($A393, 'calcolo base'!$A:$A, 0))
) / 1000</f>
        <v>#N/A</v>
      </c>
      <c r="J393" s="50" t="e">
        <f t="shared" si="94"/>
        <v>#N/A</v>
      </c>
      <c r="K393" s="50"/>
      <c r="L393" s="267" t="e">
        <f>INDEX('calcolo base'!$H:$H, MATCH($A393, 'calcolo base'!$A:$A, 0))</f>
        <v>#N/A</v>
      </c>
      <c r="M393" s="50" t="e">
        <f t="shared" si="95"/>
        <v>#N/A</v>
      </c>
      <c r="N393" s="50" t="e">
        <f t="shared" si="96"/>
        <v>#N/A</v>
      </c>
      <c r="O393" s="50" t="e">
        <f t="shared" si="97"/>
        <v>#N/A</v>
      </c>
      <c r="P393" s="50" t="e">
        <f t="shared" si="98"/>
        <v>#N/A</v>
      </c>
      <c r="Q393" s="51" t="e">
        <f t="shared" si="99"/>
        <v>#N/A</v>
      </c>
      <c r="R393" s="205" t="e">
        <f t="shared" si="100"/>
        <v>#N/A</v>
      </c>
      <c r="S393" s="279" t="e">
        <f>IF(R393="si",0,IF(E393="si",0,IF(J393&gt;K393,0,+K393-J393)))+IF('calcolo base'!P1853="SI",('Commissioni De Angeli'!K393-'Commissioni De Angeli'!J393),0)</f>
        <v>#N/A</v>
      </c>
      <c r="T393" s="117" t="e">
        <f t="shared" si="101"/>
        <v>#N/A</v>
      </c>
      <c r="U393" s="272" t="e">
        <f>IF(Q393=0,'calcolo base'!L2992,(T393+Q393))</f>
        <v>#N/A</v>
      </c>
      <c r="V393" s="119"/>
    </row>
    <row r="394" spans="2:22">
      <c r="B394" s="47"/>
      <c r="C394" s="35"/>
      <c r="D394" s="53"/>
      <c r="E394" s="53"/>
      <c r="F394" s="48"/>
      <c r="G394" s="243" t="e">
        <f>INDEX('calcolo base'!$B:$B, MATCH($A394, 'calcolo base'!$A:$A, 0))</f>
        <v>#N/A</v>
      </c>
      <c r="H394" s="54" t="e">
        <f t="shared" si="93"/>
        <v>#N/A</v>
      </c>
      <c r="I394" s="259" t="e">
        <f>IF(  OR(      INDEX('calcolo base'!$D:$D, MATCH($A394, 'calcolo base'!$A:$A, 0)) = 0,
      INDEX('calcolo base'!$D:$D, MATCH($A394, 'calcolo base'!$A:$A, 0)) = ""   ),
   INDEX('calcolo base'!$K:$K, MATCH($A394, 'calcolo base'!$A:$A, 0)),
   INDEX('calcolo base'!$J:$J, MATCH($A394, 'calcolo base'!$A:$A, 0))
) / 1000</f>
        <v>#N/A</v>
      </c>
      <c r="J394" s="50" t="e">
        <f t="shared" si="94"/>
        <v>#N/A</v>
      </c>
      <c r="K394" s="50"/>
      <c r="L394" s="267" t="e">
        <f>INDEX('calcolo base'!$H:$H, MATCH($A394, 'calcolo base'!$A:$A, 0))</f>
        <v>#N/A</v>
      </c>
      <c r="M394" s="50" t="e">
        <f t="shared" si="95"/>
        <v>#N/A</v>
      </c>
      <c r="N394" s="50" t="e">
        <f t="shared" si="96"/>
        <v>#N/A</v>
      </c>
      <c r="O394" s="50" t="e">
        <f t="shared" si="97"/>
        <v>#N/A</v>
      </c>
      <c r="P394" s="50" t="e">
        <f t="shared" si="98"/>
        <v>#N/A</v>
      </c>
      <c r="Q394" s="51" t="e">
        <f t="shared" si="99"/>
        <v>#N/A</v>
      </c>
      <c r="R394" s="205" t="e">
        <f t="shared" si="100"/>
        <v>#N/A</v>
      </c>
      <c r="S394" s="279" t="e">
        <f>IF(R394="si",0,IF(E394="si",0,IF(J394&gt;K394,0,+K394-J394)))+IF('calcolo base'!P1854="SI",('Commissioni De Angeli'!K394-'Commissioni De Angeli'!J394),0)</f>
        <v>#N/A</v>
      </c>
      <c r="T394" s="117" t="e">
        <f t="shared" si="101"/>
        <v>#N/A</v>
      </c>
      <c r="U394" s="272" t="e">
        <f>IF(Q394=0,'calcolo base'!L2993,(T394+Q394))</f>
        <v>#N/A</v>
      </c>
      <c r="V394" s="119"/>
    </row>
    <row r="395" spans="2:22">
      <c r="B395" s="47"/>
      <c r="C395" s="35"/>
      <c r="D395" s="53"/>
      <c r="E395" s="53"/>
      <c r="F395" s="48"/>
      <c r="G395" s="243" t="e">
        <f>INDEX('calcolo base'!$B:$B, MATCH($A395, 'calcolo base'!$A:$A, 0))</f>
        <v>#N/A</v>
      </c>
      <c r="H395" s="54" t="e">
        <f t="shared" si="93"/>
        <v>#N/A</v>
      </c>
      <c r="I395" s="259" t="e">
        <f>IF(  OR(      INDEX('calcolo base'!$D:$D, MATCH($A395, 'calcolo base'!$A:$A, 0)) = 0,
      INDEX('calcolo base'!$D:$D, MATCH($A395, 'calcolo base'!$A:$A, 0)) = ""   ),
   INDEX('calcolo base'!$K:$K, MATCH($A395, 'calcolo base'!$A:$A, 0)),
   INDEX('calcolo base'!$J:$J, MATCH($A395, 'calcolo base'!$A:$A, 0))
) / 1000</f>
        <v>#N/A</v>
      </c>
      <c r="J395" s="50" t="e">
        <f t="shared" si="94"/>
        <v>#N/A</v>
      </c>
      <c r="K395" s="50"/>
      <c r="L395" s="267" t="e">
        <f>INDEX('calcolo base'!$H:$H, MATCH($A395, 'calcolo base'!$A:$A, 0))</f>
        <v>#N/A</v>
      </c>
      <c r="M395" s="50" t="e">
        <f t="shared" si="95"/>
        <v>#N/A</v>
      </c>
      <c r="N395" s="50" t="e">
        <f t="shared" si="96"/>
        <v>#N/A</v>
      </c>
      <c r="O395" s="50" t="e">
        <f t="shared" si="97"/>
        <v>#N/A</v>
      </c>
      <c r="P395" s="50" t="e">
        <f t="shared" si="98"/>
        <v>#N/A</v>
      </c>
      <c r="Q395" s="51" t="e">
        <f t="shared" si="99"/>
        <v>#N/A</v>
      </c>
      <c r="R395" s="205" t="e">
        <f t="shared" si="100"/>
        <v>#N/A</v>
      </c>
      <c r="S395" s="279" t="e">
        <f>IF(R395="si",0,IF(E395="si",0,IF(J395&gt;K395,0,+K395-J395)))+IF('calcolo base'!P1855="SI",('Commissioni De Angeli'!K395-'Commissioni De Angeli'!J395),0)</f>
        <v>#N/A</v>
      </c>
      <c r="T395" s="117" t="e">
        <f t="shared" si="101"/>
        <v>#N/A</v>
      </c>
      <c r="U395" s="272" t="e">
        <f>IF(Q395=0,'calcolo base'!L2994,(T395+Q395))</f>
        <v>#N/A</v>
      </c>
      <c r="V395" s="119"/>
    </row>
    <row r="396" spans="2:22">
      <c r="B396" s="47"/>
      <c r="C396" s="35"/>
      <c r="D396" s="53"/>
      <c r="E396" s="53"/>
      <c r="F396" s="48"/>
      <c r="G396" s="243" t="e">
        <f>INDEX('calcolo base'!$B:$B, MATCH($A396, 'calcolo base'!$A:$A, 0))</f>
        <v>#N/A</v>
      </c>
      <c r="H396" s="54" t="e">
        <f t="shared" si="93"/>
        <v>#N/A</v>
      </c>
      <c r="I396" s="259" t="e">
        <f>IF(  OR(      INDEX('calcolo base'!$D:$D, MATCH($A396, 'calcolo base'!$A:$A, 0)) = 0,
      INDEX('calcolo base'!$D:$D, MATCH($A396, 'calcolo base'!$A:$A, 0)) = ""   ),
   INDEX('calcolo base'!$K:$K, MATCH($A396, 'calcolo base'!$A:$A, 0)),
   INDEX('calcolo base'!$J:$J, MATCH($A396, 'calcolo base'!$A:$A, 0))
) / 1000</f>
        <v>#N/A</v>
      </c>
      <c r="J396" s="50" t="e">
        <f t="shared" si="94"/>
        <v>#N/A</v>
      </c>
      <c r="K396" s="50"/>
      <c r="L396" s="267" t="e">
        <f>INDEX('calcolo base'!$H:$H, MATCH($A396, 'calcolo base'!$A:$A, 0))</f>
        <v>#N/A</v>
      </c>
      <c r="M396" s="50" t="e">
        <f t="shared" si="95"/>
        <v>#N/A</v>
      </c>
      <c r="N396" s="50" t="e">
        <f t="shared" si="96"/>
        <v>#N/A</v>
      </c>
      <c r="O396" s="50" t="e">
        <f t="shared" si="97"/>
        <v>#N/A</v>
      </c>
      <c r="P396" s="50" t="e">
        <f t="shared" si="98"/>
        <v>#N/A</v>
      </c>
      <c r="Q396" s="51" t="e">
        <f t="shared" si="99"/>
        <v>#N/A</v>
      </c>
      <c r="R396" s="205" t="e">
        <f t="shared" si="100"/>
        <v>#N/A</v>
      </c>
      <c r="S396" s="279" t="e">
        <f>IF(R396="si",0,IF(E396="si",0,IF(J396&gt;K396,0,+K396-J396)))+IF('calcolo base'!P1856="SI",('Commissioni De Angeli'!K396-'Commissioni De Angeli'!J396),0)</f>
        <v>#N/A</v>
      </c>
      <c r="T396" s="117" t="e">
        <f t="shared" si="101"/>
        <v>#N/A</v>
      </c>
      <c r="U396" s="272" t="e">
        <f>IF(Q396=0,'calcolo base'!L2995,(T396+Q396))</f>
        <v>#N/A</v>
      </c>
      <c r="V396" s="119"/>
    </row>
    <row r="397" spans="2:22">
      <c r="B397" s="47"/>
      <c r="C397" s="35"/>
      <c r="D397" s="53"/>
      <c r="E397" s="53"/>
      <c r="F397" s="48"/>
      <c r="G397" s="243" t="e">
        <f>INDEX('calcolo base'!$B:$B, MATCH($A397, 'calcolo base'!$A:$A, 0))</f>
        <v>#N/A</v>
      </c>
      <c r="H397" s="54" t="e">
        <f t="shared" si="93"/>
        <v>#N/A</v>
      </c>
      <c r="I397" s="259" t="e">
        <f>IF(  OR(      INDEX('calcolo base'!$D:$D, MATCH($A397, 'calcolo base'!$A:$A, 0)) = 0,
      INDEX('calcolo base'!$D:$D, MATCH($A397, 'calcolo base'!$A:$A, 0)) = ""   ),
   INDEX('calcolo base'!$K:$K, MATCH($A397, 'calcolo base'!$A:$A, 0)),
   INDEX('calcolo base'!$J:$J, MATCH($A397, 'calcolo base'!$A:$A, 0))
) / 1000</f>
        <v>#N/A</v>
      </c>
      <c r="J397" s="50" t="e">
        <f t="shared" si="94"/>
        <v>#N/A</v>
      </c>
      <c r="K397" s="50"/>
      <c r="L397" s="267" t="e">
        <f>INDEX('calcolo base'!$H:$H, MATCH($A397, 'calcolo base'!$A:$A, 0))</f>
        <v>#N/A</v>
      </c>
      <c r="M397" s="50" t="e">
        <f t="shared" si="95"/>
        <v>#N/A</v>
      </c>
      <c r="N397" s="50" t="e">
        <f t="shared" si="96"/>
        <v>#N/A</v>
      </c>
      <c r="O397" s="50" t="e">
        <f t="shared" si="97"/>
        <v>#N/A</v>
      </c>
      <c r="P397" s="50" t="e">
        <f t="shared" si="98"/>
        <v>#N/A</v>
      </c>
      <c r="Q397" s="51" t="e">
        <f t="shared" si="99"/>
        <v>#N/A</v>
      </c>
      <c r="R397" s="205" t="e">
        <f t="shared" si="100"/>
        <v>#N/A</v>
      </c>
      <c r="S397" s="279" t="e">
        <f>IF(R397="si",0,IF(E397="si",0,IF(J397&gt;K397,0,+K397-J397)))+IF('calcolo base'!P1857="SI",('Commissioni De Angeli'!K397-'Commissioni De Angeli'!J397),0)</f>
        <v>#N/A</v>
      </c>
      <c r="T397" s="117" t="e">
        <f t="shared" si="101"/>
        <v>#N/A</v>
      </c>
      <c r="U397" s="272" t="e">
        <f>IF(Q397=0,'calcolo base'!L2996,(T397+Q397))</f>
        <v>#N/A</v>
      </c>
      <c r="V397" s="119"/>
    </row>
    <row r="398" spans="2:22">
      <c r="B398" s="47"/>
      <c r="C398" s="35"/>
      <c r="D398" s="53"/>
      <c r="E398" s="53"/>
      <c r="F398" s="48"/>
      <c r="G398" s="243" t="e">
        <f>INDEX('calcolo base'!$B:$B, MATCH($A398, 'calcolo base'!$A:$A, 0))</f>
        <v>#N/A</v>
      </c>
      <c r="H398" s="54" t="e">
        <f t="shared" si="93"/>
        <v>#N/A</v>
      </c>
      <c r="I398" s="259" t="e">
        <f>IF(  OR(      INDEX('calcolo base'!$D:$D, MATCH($A398, 'calcolo base'!$A:$A, 0)) = 0,
      INDEX('calcolo base'!$D:$D, MATCH($A398, 'calcolo base'!$A:$A, 0)) = ""   ),
   INDEX('calcolo base'!$K:$K, MATCH($A398, 'calcolo base'!$A:$A, 0)),
   INDEX('calcolo base'!$J:$J, MATCH($A398, 'calcolo base'!$A:$A, 0))
) / 1000</f>
        <v>#N/A</v>
      </c>
      <c r="J398" s="50" t="e">
        <f t="shared" si="94"/>
        <v>#N/A</v>
      </c>
      <c r="K398" s="50"/>
      <c r="L398" s="267" t="e">
        <f>INDEX('calcolo base'!$H:$H, MATCH($A398, 'calcolo base'!$A:$A, 0))</f>
        <v>#N/A</v>
      </c>
      <c r="M398" s="50" t="e">
        <f t="shared" si="95"/>
        <v>#N/A</v>
      </c>
      <c r="N398" s="50" t="e">
        <f t="shared" si="96"/>
        <v>#N/A</v>
      </c>
      <c r="O398" s="50" t="e">
        <f t="shared" si="97"/>
        <v>#N/A</v>
      </c>
      <c r="P398" s="50" t="e">
        <f t="shared" si="98"/>
        <v>#N/A</v>
      </c>
      <c r="Q398" s="51" t="e">
        <f t="shared" si="99"/>
        <v>#N/A</v>
      </c>
      <c r="R398" s="205" t="e">
        <f t="shared" si="100"/>
        <v>#N/A</v>
      </c>
      <c r="S398" s="279" t="e">
        <f>IF(R398="si",0,IF(E398="si",0,IF(J398&gt;K398,0,+K398-J398)))+IF('calcolo base'!P1858="SI",('Commissioni De Angeli'!K398-'Commissioni De Angeli'!J398),0)</f>
        <v>#N/A</v>
      </c>
      <c r="T398" s="117" t="e">
        <f t="shared" si="101"/>
        <v>#N/A</v>
      </c>
      <c r="U398" s="272" t="e">
        <f>IF(Q398=0,'calcolo base'!L2997,(T398+Q398))</f>
        <v>#N/A</v>
      </c>
      <c r="V398" s="119"/>
    </row>
    <row r="399" spans="2:22">
      <c r="B399" s="47"/>
      <c r="C399" s="35"/>
      <c r="D399" s="53"/>
      <c r="E399" s="53"/>
      <c r="F399" s="48"/>
      <c r="G399" s="243" t="e">
        <f>INDEX('calcolo base'!$B:$B, MATCH($A399, 'calcolo base'!$A:$A, 0))</f>
        <v>#N/A</v>
      </c>
      <c r="H399" s="54" t="e">
        <f t="shared" si="93"/>
        <v>#N/A</v>
      </c>
      <c r="I399" s="259" t="e">
        <f>IF(  OR(      INDEX('calcolo base'!$D:$D, MATCH($A399, 'calcolo base'!$A:$A, 0)) = 0,
      INDEX('calcolo base'!$D:$D, MATCH($A399, 'calcolo base'!$A:$A, 0)) = ""   ),
   INDEX('calcolo base'!$K:$K, MATCH($A399, 'calcolo base'!$A:$A, 0)),
   INDEX('calcolo base'!$J:$J, MATCH($A399, 'calcolo base'!$A:$A, 0))
) / 1000</f>
        <v>#N/A</v>
      </c>
      <c r="J399" s="50" t="e">
        <f t="shared" si="94"/>
        <v>#N/A</v>
      </c>
      <c r="K399" s="50"/>
      <c r="L399" s="267" t="e">
        <f>INDEX('calcolo base'!$H:$H, MATCH($A399, 'calcolo base'!$A:$A, 0))</f>
        <v>#N/A</v>
      </c>
      <c r="M399" s="50" t="e">
        <f t="shared" si="95"/>
        <v>#N/A</v>
      </c>
      <c r="N399" s="50" t="e">
        <f t="shared" si="96"/>
        <v>#N/A</v>
      </c>
      <c r="O399" s="50" t="e">
        <f t="shared" si="97"/>
        <v>#N/A</v>
      </c>
      <c r="P399" s="50" t="e">
        <f t="shared" si="98"/>
        <v>#N/A</v>
      </c>
      <c r="Q399" s="51" t="e">
        <f t="shared" si="99"/>
        <v>#N/A</v>
      </c>
      <c r="R399" s="205" t="e">
        <f t="shared" si="100"/>
        <v>#N/A</v>
      </c>
      <c r="S399" s="279" t="e">
        <f>IF(R399="si",0,IF(E399="si",0,IF(J399&gt;K399,0,+K399-J399)))+IF('calcolo base'!P1859="SI",('Commissioni De Angeli'!K399-'Commissioni De Angeli'!J399),0)</f>
        <v>#N/A</v>
      </c>
      <c r="T399" s="117" t="e">
        <f t="shared" si="101"/>
        <v>#N/A</v>
      </c>
      <c r="U399" s="272" t="e">
        <f>IF(Q399=0,'calcolo base'!L2998,(T399+Q399))</f>
        <v>#N/A</v>
      </c>
      <c r="V399" s="119"/>
    </row>
    <row r="400" spans="2:22">
      <c r="B400" s="47"/>
      <c r="C400" s="35"/>
      <c r="D400" s="53"/>
      <c r="E400" s="53"/>
      <c r="F400" s="48"/>
      <c r="G400" s="243" t="e">
        <f>INDEX('calcolo base'!$B:$B, MATCH($A400, 'calcolo base'!$A:$A, 0))</f>
        <v>#N/A</v>
      </c>
      <c r="H400" s="54" t="e">
        <f t="shared" si="93"/>
        <v>#N/A</v>
      </c>
      <c r="I400" s="259" t="e">
        <f>IF(  OR(      INDEX('calcolo base'!$D:$D, MATCH($A400, 'calcolo base'!$A:$A, 0)) = 0,
      INDEX('calcolo base'!$D:$D, MATCH($A400, 'calcolo base'!$A:$A, 0)) = ""   ),
   INDEX('calcolo base'!$K:$K, MATCH($A400, 'calcolo base'!$A:$A, 0)),
   INDEX('calcolo base'!$J:$J, MATCH($A400, 'calcolo base'!$A:$A, 0))
) / 1000</f>
        <v>#N/A</v>
      </c>
      <c r="J400" s="50" t="e">
        <f t="shared" si="94"/>
        <v>#N/A</v>
      </c>
      <c r="K400" s="50"/>
      <c r="L400" s="267" t="e">
        <f>INDEX('calcolo base'!$H:$H, MATCH($A400, 'calcolo base'!$A:$A, 0))</f>
        <v>#N/A</v>
      </c>
      <c r="M400" s="50" t="e">
        <f t="shared" si="95"/>
        <v>#N/A</v>
      </c>
      <c r="N400" s="50" t="e">
        <f t="shared" si="96"/>
        <v>#N/A</v>
      </c>
      <c r="O400" s="50" t="e">
        <f t="shared" si="97"/>
        <v>#N/A</v>
      </c>
      <c r="P400" s="50" t="e">
        <f t="shared" si="98"/>
        <v>#N/A</v>
      </c>
      <c r="Q400" s="51" t="e">
        <f t="shared" si="99"/>
        <v>#N/A</v>
      </c>
      <c r="R400" s="205" t="e">
        <f t="shared" si="100"/>
        <v>#N/A</v>
      </c>
      <c r="S400" s="279" t="e">
        <f>IF(R400="si",0,IF(E400="si",0,IF(J400&gt;K400,0,+K400-J400)))+IF('calcolo base'!P1860="SI",('Commissioni De Angeli'!K400-'Commissioni De Angeli'!J400),0)</f>
        <v>#N/A</v>
      </c>
      <c r="T400" s="117" t="e">
        <f t="shared" si="101"/>
        <v>#N/A</v>
      </c>
      <c r="U400" s="272" t="e">
        <f>IF(Q400=0,'calcolo base'!L2999,(T400+Q400))</f>
        <v>#N/A</v>
      </c>
      <c r="V400" s="119"/>
    </row>
    <row r="401" spans="2:22">
      <c r="B401" s="47"/>
      <c r="C401" s="35"/>
      <c r="D401" s="53"/>
      <c r="E401" s="53"/>
      <c r="F401" s="48"/>
      <c r="G401" s="243" t="e">
        <f>INDEX('calcolo base'!$B:$B, MATCH($A401, 'calcolo base'!$A:$A, 0))</f>
        <v>#N/A</v>
      </c>
      <c r="H401" s="54" t="e">
        <f t="shared" si="93"/>
        <v>#N/A</v>
      </c>
      <c r="I401" s="259" t="e">
        <f>IF(  OR(      INDEX('calcolo base'!$D:$D, MATCH($A401, 'calcolo base'!$A:$A, 0)) = 0,
      INDEX('calcolo base'!$D:$D, MATCH($A401, 'calcolo base'!$A:$A, 0)) = ""   ),
   INDEX('calcolo base'!$K:$K, MATCH($A401, 'calcolo base'!$A:$A, 0)),
   INDEX('calcolo base'!$J:$J, MATCH($A401, 'calcolo base'!$A:$A, 0))
) / 1000</f>
        <v>#N/A</v>
      </c>
      <c r="J401" s="50" t="e">
        <f t="shared" si="94"/>
        <v>#N/A</v>
      </c>
      <c r="K401" s="50"/>
      <c r="L401" s="267" t="e">
        <f>INDEX('calcolo base'!$H:$H, MATCH($A401, 'calcolo base'!$A:$A, 0))</f>
        <v>#N/A</v>
      </c>
      <c r="M401" s="50" t="e">
        <f t="shared" si="95"/>
        <v>#N/A</v>
      </c>
      <c r="N401" s="50" t="e">
        <f t="shared" si="96"/>
        <v>#N/A</v>
      </c>
      <c r="O401" s="50" t="e">
        <f t="shared" si="97"/>
        <v>#N/A</v>
      </c>
      <c r="P401" s="50" t="e">
        <f t="shared" si="98"/>
        <v>#N/A</v>
      </c>
      <c r="Q401" s="51" t="e">
        <f t="shared" si="99"/>
        <v>#N/A</v>
      </c>
      <c r="R401" s="205" t="e">
        <f t="shared" si="100"/>
        <v>#N/A</v>
      </c>
      <c r="S401" s="279" t="e">
        <f>IF(R401="si",0,IF(E401="si",0,IF(J401&gt;K401,0,+K401-J401)))+IF('calcolo base'!P1861="SI",('Commissioni De Angeli'!K401-'Commissioni De Angeli'!J401),0)</f>
        <v>#N/A</v>
      </c>
      <c r="T401" s="117" t="e">
        <f t="shared" si="101"/>
        <v>#N/A</v>
      </c>
      <c r="U401" s="272" t="e">
        <f>IF(Q401=0,'calcolo base'!L3000,(T401+Q401))</f>
        <v>#N/A</v>
      </c>
      <c r="V401" s="119"/>
    </row>
    <row r="402" spans="2:22">
      <c r="B402" s="47"/>
      <c r="C402" s="35"/>
      <c r="D402" s="53"/>
      <c r="E402" s="53"/>
      <c r="F402" s="48"/>
      <c r="G402" s="243" t="e">
        <f>INDEX('calcolo base'!$B:$B, MATCH($A402, 'calcolo base'!$A:$A, 0))</f>
        <v>#N/A</v>
      </c>
      <c r="H402" s="54" t="e">
        <f t="shared" si="93"/>
        <v>#N/A</v>
      </c>
      <c r="I402" s="259" t="e">
        <f>IF(  OR(      INDEX('calcolo base'!$D:$D, MATCH($A402, 'calcolo base'!$A:$A, 0)) = 0,
      INDEX('calcolo base'!$D:$D, MATCH($A402, 'calcolo base'!$A:$A, 0)) = ""   ),
   INDEX('calcolo base'!$K:$K, MATCH($A402, 'calcolo base'!$A:$A, 0)),
   INDEX('calcolo base'!$J:$J, MATCH($A402, 'calcolo base'!$A:$A, 0))
) / 1000</f>
        <v>#N/A</v>
      </c>
      <c r="J402" s="50" t="e">
        <f t="shared" si="94"/>
        <v>#N/A</v>
      </c>
      <c r="K402" s="50"/>
      <c r="L402" s="267" t="e">
        <f>INDEX('calcolo base'!$H:$H, MATCH($A402, 'calcolo base'!$A:$A, 0))</f>
        <v>#N/A</v>
      </c>
      <c r="M402" s="50" t="e">
        <f t="shared" si="95"/>
        <v>#N/A</v>
      </c>
      <c r="N402" s="50" t="e">
        <f t="shared" si="96"/>
        <v>#N/A</v>
      </c>
      <c r="O402" s="50" t="e">
        <f t="shared" si="97"/>
        <v>#N/A</v>
      </c>
      <c r="P402" s="50" t="e">
        <f t="shared" si="98"/>
        <v>#N/A</v>
      </c>
      <c r="Q402" s="51" t="e">
        <f t="shared" si="99"/>
        <v>#N/A</v>
      </c>
      <c r="R402" s="205" t="e">
        <f t="shared" si="100"/>
        <v>#N/A</v>
      </c>
      <c r="S402" s="279" t="e">
        <f>IF(R402="si",0,IF(E402="si",0,IF(J402&gt;K402,0,+K402-J402)))+IF('calcolo base'!P1862="SI",('Commissioni De Angeli'!K402-'Commissioni De Angeli'!J402),0)</f>
        <v>#N/A</v>
      </c>
      <c r="T402" s="117" t="e">
        <f t="shared" si="101"/>
        <v>#N/A</v>
      </c>
      <c r="U402" s="272" t="e">
        <f>IF(Q402=0,'calcolo base'!L3001,(T402+Q402))</f>
        <v>#N/A</v>
      </c>
      <c r="V402" s="119"/>
    </row>
    <row r="403" spans="2:22">
      <c r="B403" s="47"/>
      <c r="C403" s="35"/>
      <c r="D403" s="53"/>
      <c r="E403" s="53"/>
      <c r="F403" s="48"/>
      <c r="G403" s="243" t="e">
        <f>INDEX('calcolo base'!$B:$B, MATCH($A403, 'calcolo base'!$A:$A, 0))</f>
        <v>#N/A</v>
      </c>
      <c r="H403" s="54" t="e">
        <f t="shared" si="93"/>
        <v>#N/A</v>
      </c>
      <c r="I403" s="259" t="e">
        <f>IF(  OR(      INDEX('calcolo base'!$D:$D, MATCH($A403, 'calcolo base'!$A:$A, 0)) = 0,
      INDEX('calcolo base'!$D:$D, MATCH($A403, 'calcolo base'!$A:$A, 0)) = ""   ),
   INDEX('calcolo base'!$K:$K, MATCH($A403, 'calcolo base'!$A:$A, 0)),
   INDEX('calcolo base'!$J:$J, MATCH($A403, 'calcolo base'!$A:$A, 0))
) / 1000</f>
        <v>#N/A</v>
      </c>
      <c r="J403" s="50" t="e">
        <f t="shared" si="94"/>
        <v>#N/A</v>
      </c>
      <c r="K403" s="50"/>
      <c r="L403" s="267" t="e">
        <f>INDEX('calcolo base'!$H:$H, MATCH($A403, 'calcolo base'!$A:$A, 0))</f>
        <v>#N/A</v>
      </c>
      <c r="M403" s="50" t="e">
        <f t="shared" si="95"/>
        <v>#N/A</v>
      </c>
      <c r="N403" s="50" t="e">
        <f t="shared" si="96"/>
        <v>#N/A</v>
      </c>
      <c r="O403" s="50" t="e">
        <f t="shared" si="97"/>
        <v>#N/A</v>
      </c>
      <c r="P403" s="50" t="e">
        <f t="shared" si="98"/>
        <v>#N/A</v>
      </c>
      <c r="Q403" s="51" t="e">
        <f t="shared" si="99"/>
        <v>#N/A</v>
      </c>
      <c r="R403" s="205" t="e">
        <f t="shared" si="100"/>
        <v>#N/A</v>
      </c>
      <c r="S403" s="279" t="e">
        <f>IF(R403="si",0,IF(E403="si",0,IF(J403&gt;K403,0,+K403-J403)))+IF('calcolo base'!P1863="SI",('Commissioni De Angeli'!K403-'Commissioni De Angeli'!J403),0)</f>
        <v>#N/A</v>
      </c>
      <c r="T403" s="117" t="e">
        <f t="shared" si="101"/>
        <v>#N/A</v>
      </c>
      <c r="U403" s="272" t="e">
        <f>IF(Q403=0,'calcolo base'!L3002,(T403+Q403))</f>
        <v>#N/A</v>
      </c>
      <c r="V403" s="119"/>
    </row>
    <row r="404" spans="2:22">
      <c r="B404" s="47"/>
      <c r="C404" s="35"/>
      <c r="D404" s="53"/>
      <c r="E404" s="53"/>
      <c r="F404" s="48"/>
      <c r="G404" s="243" t="e">
        <f>INDEX('calcolo base'!$B:$B, MATCH($A404, 'calcolo base'!$A:$A, 0))</f>
        <v>#N/A</v>
      </c>
      <c r="H404" s="54" t="e">
        <f t="shared" si="93"/>
        <v>#N/A</v>
      </c>
      <c r="I404" s="259" t="e">
        <f>IF(  OR(      INDEX('calcolo base'!$D:$D, MATCH($A404, 'calcolo base'!$A:$A, 0)) = 0,
      INDEX('calcolo base'!$D:$D, MATCH($A404, 'calcolo base'!$A:$A, 0)) = ""   ),
   INDEX('calcolo base'!$K:$K, MATCH($A404, 'calcolo base'!$A:$A, 0)),
   INDEX('calcolo base'!$J:$J, MATCH($A404, 'calcolo base'!$A:$A, 0))
) / 1000</f>
        <v>#N/A</v>
      </c>
      <c r="J404" s="50" t="e">
        <f t="shared" si="94"/>
        <v>#N/A</v>
      </c>
      <c r="K404" s="50"/>
      <c r="L404" s="267" t="e">
        <f>INDEX('calcolo base'!$H:$H, MATCH($A404, 'calcolo base'!$A:$A, 0))</f>
        <v>#N/A</v>
      </c>
      <c r="M404" s="50" t="e">
        <f t="shared" si="95"/>
        <v>#N/A</v>
      </c>
      <c r="N404" s="50" t="e">
        <f t="shared" si="96"/>
        <v>#N/A</v>
      </c>
      <c r="O404" s="50" t="e">
        <f t="shared" si="97"/>
        <v>#N/A</v>
      </c>
      <c r="P404" s="50" t="e">
        <f t="shared" si="98"/>
        <v>#N/A</v>
      </c>
      <c r="Q404" s="51" t="e">
        <f t="shared" si="99"/>
        <v>#N/A</v>
      </c>
      <c r="R404" s="205" t="e">
        <f t="shared" si="100"/>
        <v>#N/A</v>
      </c>
      <c r="S404" s="279" t="e">
        <f>IF(R404="si",0,IF(E404="si",0,IF(J404&gt;K404,0,+K404-J404)))+IF('calcolo base'!P1864="SI",('Commissioni De Angeli'!K404-'Commissioni De Angeli'!J404),0)</f>
        <v>#N/A</v>
      </c>
      <c r="T404" s="117" t="e">
        <f t="shared" si="101"/>
        <v>#N/A</v>
      </c>
      <c r="U404" s="272" t="e">
        <f>IF(Q404=0,'calcolo base'!L3003,(T404+Q404))</f>
        <v>#N/A</v>
      </c>
      <c r="V404" s="119"/>
    </row>
    <row r="405" spans="2:22">
      <c r="B405" s="47"/>
      <c r="C405" s="35"/>
      <c r="D405" s="53"/>
      <c r="E405" s="53"/>
      <c r="F405" s="48"/>
      <c r="G405" s="243" t="e">
        <f>INDEX('calcolo base'!$B:$B, MATCH($A405, 'calcolo base'!$A:$A, 0))</f>
        <v>#N/A</v>
      </c>
      <c r="H405" s="54" t="e">
        <f t="shared" si="93"/>
        <v>#N/A</v>
      </c>
      <c r="I405" s="259" t="e">
        <f>IF(  OR(      INDEX('calcolo base'!$D:$D, MATCH($A405, 'calcolo base'!$A:$A, 0)) = 0,
      INDEX('calcolo base'!$D:$D, MATCH($A405, 'calcolo base'!$A:$A, 0)) = ""   ),
   INDEX('calcolo base'!$K:$K, MATCH($A405, 'calcolo base'!$A:$A, 0)),
   INDEX('calcolo base'!$J:$J, MATCH($A405, 'calcolo base'!$A:$A, 0))
) / 1000</f>
        <v>#N/A</v>
      </c>
      <c r="J405" s="50" t="e">
        <f t="shared" si="94"/>
        <v>#N/A</v>
      </c>
      <c r="K405" s="50"/>
      <c r="L405" s="267" t="e">
        <f>INDEX('calcolo base'!$H:$H, MATCH($A405, 'calcolo base'!$A:$A, 0))</f>
        <v>#N/A</v>
      </c>
      <c r="M405" s="50" t="e">
        <f t="shared" si="95"/>
        <v>#N/A</v>
      </c>
      <c r="N405" s="50" t="e">
        <f t="shared" si="96"/>
        <v>#N/A</v>
      </c>
      <c r="O405" s="50" t="e">
        <f t="shared" si="97"/>
        <v>#N/A</v>
      </c>
      <c r="P405" s="50" t="e">
        <f t="shared" si="98"/>
        <v>#N/A</v>
      </c>
      <c r="Q405" s="51" t="e">
        <f t="shared" si="99"/>
        <v>#N/A</v>
      </c>
      <c r="R405" s="205" t="e">
        <f t="shared" si="100"/>
        <v>#N/A</v>
      </c>
      <c r="S405" s="279" t="e">
        <f>IF(R405="si",0,IF(E405="si",0,IF(J405&gt;K405,0,+K405-J405)))+IF('calcolo base'!P1865="SI",('Commissioni De Angeli'!K405-'Commissioni De Angeli'!J405),0)</f>
        <v>#N/A</v>
      </c>
      <c r="T405" s="117" t="e">
        <f t="shared" si="101"/>
        <v>#N/A</v>
      </c>
      <c r="U405" s="272" t="e">
        <f>IF(Q405=0,'calcolo base'!L3004,(T405+Q405))</f>
        <v>#N/A</v>
      </c>
      <c r="V405" s="119"/>
    </row>
    <row r="406" spans="2:22">
      <c r="B406" s="47"/>
      <c r="C406" s="35"/>
      <c r="D406" s="53"/>
      <c r="E406" s="53"/>
      <c r="F406" s="48"/>
      <c r="G406" s="243" t="e">
        <f>INDEX('calcolo base'!$B:$B, MATCH($A406, 'calcolo base'!$A:$A, 0))</f>
        <v>#N/A</v>
      </c>
      <c r="H406" s="54" t="e">
        <f t="shared" si="93"/>
        <v>#N/A</v>
      </c>
      <c r="I406" s="259" t="e">
        <f>IF(  OR(      INDEX('calcolo base'!$D:$D, MATCH($A406, 'calcolo base'!$A:$A, 0)) = 0,
      INDEX('calcolo base'!$D:$D, MATCH($A406, 'calcolo base'!$A:$A, 0)) = ""   ),
   INDEX('calcolo base'!$K:$K, MATCH($A406, 'calcolo base'!$A:$A, 0)),
   INDEX('calcolo base'!$J:$J, MATCH($A406, 'calcolo base'!$A:$A, 0))
) / 1000</f>
        <v>#N/A</v>
      </c>
      <c r="J406" s="50" t="e">
        <f t="shared" si="94"/>
        <v>#N/A</v>
      </c>
      <c r="K406" s="50"/>
      <c r="L406" s="267" t="e">
        <f>INDEX('calcolo base'!$H:$H, MATCH($A406, 'calcolo base'!$A:$A, 0))</f>
        <v>#N/A</v>
      </c>
      <c r="M406" s="50" t="e">
        <f t="shared" si="95"/>
        <v>#N/A</v>
      </c>
      <c r="N406" s="50" t="e">
        <f t="shared" si="96"/>
        <v>#N/A</v>
      </c>
      <c r="O406" s="50" t="e">
        <f t="shared" si="97"/>
        <v>#N/A</v>
      </c>
      <c r="P406" s="50" t="e">
        <f t="shared" si="98"/>
        <v>#N/A</v>
      </c>
      <c r="Q406" s="51" t="e">
        <f t="shared" si="99"/>
        <v>#N/A</v>
      </c>
      <c r="R406" s="205" t="e">
        <f t="shared" si="100"/>
        <v>#N/A</v>
      </c>
      <c r="S406" s="279" t="e">
        <f>IF(R406="si",0,IF(E406="si",0,IF(J406&gt;K406,0,+K406-J406)))+IF('calcolo base'!P1866="SI",('Commissioni De Angeli'!K406-'Commissioni De Angeli'!J406),0)</f>
        <v>#N/A</v>
      </c>
      <c r="T406" s="117" t="e">
        <f t="shared" si="101"/>
        <v>#N/A</v>
      </c>
      <c r="U406" s="272" t="e">
        <f>IF(Q406=0,'calcolo base'!L3005,(T406+Q406))</f>
        <v>#N/A</v>
      </c>
      <c r="V406" s="119"/>
    </row>
    <row r="407" spans="2:22">
      <c r="B407" s="47"/>
      <c r="C407" s="35"/>
      <c r="D407" s="53"/>
      <c r="E407" s="53"/>
      <c r="F407" s="48"/>
      <c r="G407" s="243" t="e">
        <f>INDEX('calcolo base'!$B:$B, MATCH($A407, 'calcolo base'!$A:$A, 0))</f>
        <v>#N/A</v>
      </c>
      <c r="H407" s="54" t="e">
        <f t="shared" si="93"/>
        <v>#N/A</v>
      </c>
      <c r="I407" s="259" t="e">
        <f>IF(  OR(      INDEX('calcolo base'!$D:$D, MATCH($A407, 'calcolo base'!$A:$A, 0)) = 0,
      INDEX('calcolo base'!$D:$D, MATCH($A407, 'calcolo base'!$A:$A, 0)) = ""   ),
   INDEX('calcolo base'!$K:$K, MATCH($A407, 'calcolo base'!$A:$A, 0)),
   INDEX('calcolo base'!$J:$J, MATCH($A407, 'calcolo base'!$A:$A, 0))
) / 1000</f>
        <v>#N/A</v>
      </c>
      <c r="J407" s="50" t="e">
        <f t="shared" si="94"/>
        <v>#N/A</v>
      </c>
      <c r="K407" s="50"/>
      <c r="L407" s="267" t="e">
        <f>INDEX('calcolo base'!$H:$H, MATCH($A407, 'calcolo base'!$A:$A, 0))</f>
        <v>#N/A</v>
      </c>
      <c r="M407" s="50" t="e">
        <f t="shared" si="95"/>
        <v>#N/A</v>
      </c>
      <c r="N407" s="50" t="e">
        <f t="shared" si="96"/>
        <v>#N/A</v>
      </c>
      <c r="O407" s="50" t="e">
        <f t="shared" si="97"/>
        <v>#N/A</v>
      </c>
      <c r="P407" s="50" t="e">
        <f t="shared" si="98"/>
        <v>#N/A</v>
      </c>
      <c r="Q407" s="51" t="e">
        <f t="shared" si="99"/>
        <v>#N/A</v>
      </c>
      <c r="R407" s="205" t="e">
        <f t="shared" si="100"/>
        <v>#N/A</v>
      </c>
      <c r="S407" s="279" t="e">
        <f>IF(R407="si",0,IF(E407="si",0,IF(J407&gt;K407,0,+K407-J407)))+IF('calcolo base'!P1867="SI",('Commissioni De Angeli'!K407-'Commissioni De Angeli'!J407),0)</f>
        <v>#N/A</v>
      </c>
      <c r="T407" s="117" t="e">
        <f t="shared" si="101"/>
        <v>#N/A</v>
      </c>
      <c r="U407" s="272" t="e">
        <f>IF(Q407=0,'calcolo base'!L3006,(T407+Q407))</f>
        <v>#N/A</v>
      </c>
      <c r="V407" s="119"/>
    </row>
    <row r="408" spans="2:22">
      <c r="B408" s="47"/>
      <c r="C408" s="35"/>
      <c r="D408" s="53"/>
      <c r="E408" s="53"/>
      <c r="F408" s="48"/>
      <c r="G408" s="243" t="e">
        <f>INDEX('calcolo base'!$B:$B, MATCH($A408, 'calcolo base'!$A:$A, 0))</f>
        <v>#N/A</v>
      </c>
      <c r="H408" s="54" t="e">
        <f t="shared" si="93"/>
        <v>#N/A</v>
      </c>
      <c r="I408" s="259" t="e">
        <f>IF(  OR(      INDEX('calcolo base'!$D:$D, MATCH($A408, 'calcolo base'!$A:$A, 0)) = 0,
      INDEX('calcolo base'!$D:$D, MATCH($A408, 'calcolo base'!$A:$A, 0)) = ""   ),
   INDEX('calcolo base'!$K:$K, MATCH($A408, 'calcolo base'!$A:$A, 0)),
   INDEX('calcolo base'!$J:$J, MATCH($A408, 'calcolo base'!$A:$A, 0))
) / 1000</f>
        <v>#N/A</v>
      </c>
      <c r="J408" s="50" t="e">
        <f t="shared" si="94"/>
        <v>#N/A</v>
      </c>
      <c r="K408" s="50"/>
      <c r="L408" s="267" t="e">
        <f>INDEX('calcolo base'!$H:$H, MATCH($A408, 'calcolo base'!$A:$A, 0))</f>
        <v>#N/A</v>
      </c>
      <c r="M408" s="50" t="e">
        <f t="shared" si="95"/>
        <v>#N/A</v>
      </c>
      <c r="N408" s="50" t="e">
        <f t="shared" si="96"/>
        <v>#N/A</v>
      </c>
      <c r="O408" s="50" t="e">
        <f t="shared" si="97"/>
        <v>#N/A</v>
      </c>
      <c r="P408" s="50" t="e">
        <f t="shared" si="98"/>
        <v>#N/A</v>
      </c>
      <c r="Q408" s="51" t="e">
        <f t="shared" si="99"/>
        <v>#N/A</v>
      </c>
      <c r="R408" s="205" t="e">
        <f t="shared" si="100"/>
        <v>#N/A</v>
      </c>
      <c r="S408" s="279" t="e">
        <f>IF(R408="si",0,IF(E408="si",0,IF(J408&gt;K408,0,+K408-J408)))+IF('calcolo base'!P1868="SI",('Commissioni De Angeli'!K408-'Commissioni De Angeli'!J408),0)</f>
        <v>#N/A</v>
      </c>
      <c r="T408" s="117" t="e">
        <f t="shared" si="101"/>
        <v>#N/A</v>
      </c>
      <c r="U408" s="272" t="e">
        <f>IF(Q408=0,'calcolo base'!L3007,(T408+Q408))</f>
        <v>#N/A</v>
      </c>
      <c r="V408" s="119"/>
    </row>
    <row r="409" spans="2:22">
      <c r="B409" s="47"/>
      <c r="C409" s="35"/>
      <c r="D409" s="53"/>
      <c r="E409" s="53"/>
      <c r="F409" s="48"/>
      <c r="G409" s="243" t="e">
        <f>INDEX('calcolo base'!$B:$B, MATCH($A409, 'calcolo base'!$A:$A, 0))</f>
        <v>#N/A</v>
      </c>
      <c r="H409" s="54" t="e">
        <f t="shared" si="93"/>
        <v>#N/A</v>
      </c>
      <c r="I409" s="259" t="e">
        <f>IF(  OR(      INDEX('calcolo base'!$D:$D, MATCH($A409, 'calcolo base'!$A:$A, 0)) = 0,
      INDEX('calcolo base'!$D:$D, MATCH($A409, 'calcolo base'!$A:$A, 0)) = ""   ),
   INDEX('calcolo base'!$K:$K, MATCH($A409, 'calcolo base'!$A:$A, 0)),
   INDEX('calcolo base'!$J:$J, MATCH($A409, 'calcolo base'!$A:$A, 0))
) / 1000</f>
        <v>#N/A</v>
      </c>
      <c r="J409" s="50" t="e">
        <f t="shared" si="94"/>
        <v>#N/A</v>
      </c>
      <c r="K409" s="50"/>
      <c r="L409" s="267" t="e">
        <f>INDEX('calcolo base'!$H:$H, MATCH($A409, 'calcolo base'!$A:$A, 0))</f>
        <v>#N/A</v>
      </c>
      <c r="M409" s="50" t="e">
        <f t="shared" si="95"/>
        <v>#N/A</v>
      </c>
      <c r="N409" s="50" t="e">
        <f t="shared" si="96"/>
        <v>#N/A</v>
      </c>
      <c r="O409" s="50" t="e">
        <f t="shared" si="97"/>
        <v>#N/A</v>
      </c>
      <c r="P409" s="50" t="e">
        <f t="shared" si="98"/>
        <v>#N/A</v>
      </c>
      <c r="Q409" s="51" t="e">
        <f t="shared" si="99"/>
        <v>#N/A</v>
      </c>
      <c r="R409" s="205" t="e">
        <f t="shared" si="100"/>
        <v>#N/A</v>
      </c>
      <c r="S409" s="279" t="e">
        <f>IF(R409="si",0,IF(E409="si",0,IF(J409&gt;K409,0,+K409-J409)))+IF('calcolo base'!P1869="SI",('Commissioni De Angeli'!K409-'Commissioni De Angeli'!J409),0)</f>
        <v>#N/A</v>
      </c>
      <c r="T409" s="117" t="e">
        <f t="shared" si="101"/>
        <v>#N/A</v>
      </c>
      <c r="U409" s="272" t="e">
        <f>IF(Q409=0,'calcolo base'!L3008,(T409+Q409))</f>
        <v>#N/A</v>
      </c>
      <c r="V409" s="119"/>
    </row>
    <row r="410" spans="2:22">
      <c r="B410" s="47"/>
      <c r="C410" s="35"/>
      <c r="D410" s="53"/>
      <c r="E410" s="53"/>
      <c r="F410" s="48"/>
      <c r="G410" s="243" t="e">
        <f>INDEX('calcolo base'!$B:$B, MATCH($A410, 'calcolo base'!$A:$A, 0))</f>
        <v>#N/A</v>
      </c>
      <c r="H410" s="54" t="e">
        <f t="shared" si="93"/>
        <v>#N/A</v>
      </c>
      <c r="I410" s="259" t="e">
        <f>IF(  OR(      INDEX('calcolo base'!$D:$D, MATCH($A410, 'calcolo base'!$A:$A, 0)) = 0,
      INDEX('calcolo base'!$D:$D, MATCH($A410, 'calcolo base'!$A:$A, 0)) = ""   ),
   INDEX('calcolo base'!$K:$K, MATCH($A410, 'calcolo base'!$A:$A, 0)),
   INDEX('calcolo base'!$J:$J, MATCH($A410, 'calcolo base'!$A:$A, 0))
) / 1000</f>
        <v>#N/A</v>
      </c>
      <c r="J410" s="50" t="e">
        <f t="shared" si="94"/>
        <v>#N/A</v>
      </c>
      <c r="K410" s="50"/>
      <c r="L410" s="267" t="e">
        <f>INDEX('calcolo base'!$H:$H, MATCH($A410, 'calcolo base'!$A:$A, 0))</f>
        <v>#N/A</v>
      </c>
      <c r="M410" s="50" t="e">
        <f t="shared" si="95"/>
        <v>#N/A</v>
      </c>
      <c r="N410" s="50" t="e">
        <f t="shared" si="96"/>
        <v>#N/A</v>
      </c>
      <c r="O410" s="50" t="e">
        <f t="shared" si="97"/>
        <v>#N/A</v>
      </c>
      <c r="P410" s="50" t="e">
        <f t="shared" si="98"/>
        <v>#N/A</v>
      </c>
      <c r="Q410" s="51" t="e">
        <f t="shared" si="99"/>
        <v>#N/A</v>
      </c>
      <c r="R410" s="205" t="e">
        <f t="shared" si="100"/>
        <v>#N/A</v>
      </c>
      <c r="S410" s="279" t="e">
        <f>IF(R410="si",0,IF(E410="si",0,IF(J410&gt;K410,0,+K410-J410)))+IF('calcolo base'!P1870="SI",('Commissioni De Angeli'!K410-'Commissioni De Angeli'!J410),0)</f>
        <v>#N/A</v>
      </c>
      <c r="T410" s="117" t="e">
        <f t="shared" si="101"/>
        <v>#N/A</v>
      </c>
      <c r="U410" s="272" t="e">
        <f>IF(Q410=0,'calcolo base'!L3009,(T410+Q410))</f>
        <v>#N/A</v>
      </c>
      <c r="V410" s="119"/>
    </row>
    <row r="411" spans="2:22">
      <c r="B411" s="47"/>
      <c r="C411" s="35"/>
      <c r="D411" s="53"/>
      <c r="E411" s="53"/>
      <c r="F411" s="48"/>
      <c r="G411" s="243" t="e">
        <f>INDEX('calcolo base'!$B:$B, MATCH($A411, 'calcolo base'!$A:$A, 0))</f>
        <v>#N/A</v>
      </c>
      <c r="H411" s="54" t="e">
        <f t="shared" si="93"/>
        <v>#N/A</v>
      </c>
      <c r="I411" s="259" t="e">
        <f>IF(  OR(      INDEX('calcolo base'!$D:$D, MATCH($A411, 'calcolo base'!$A:$A, 0)) = 0,
      INDEX('calcolo base'!$D:$D, MATCH($A411, 'calcolo base'!$A:$A, 0)) = ""   ),
   INDEX('calcolo base'!$K:$K, MATCH($A411, 'calcolo base'!$A:$A, 0)),
   INDEX('calcolo base'!$J:$J, MATCH($A411, 'calcolo base'!$A:$A, 0))
) / 1000</f>
        <v>#N/A</v>
      </c>
      <c r="J411" s="50" t="e">
        <f t="shared" si="94"/>
        <v>#N/A</v>
      </c>
      <c r="K411" s="50"/>
      <c r="L411" s="267" t="e">
        <f>INDEX('calcolo base'!$H:$H, MATCH($A411, 'calcolo base'!$A:$A, 0))</f>
        <v>#N/A</v>
      </c>
      <c r="M411" s="50" t="e">
        <f t="shared" si="95"/>
        <v>#N/A</v>
      </c>
      <c r="N411" s="50" t="e">
        <f t="shared" si="96"/>
        <v>#N/A</v>
      </c>
      <c r="O411" s="50" t="e">
        <f t="shared" si="97"/>
        <v>#N/A</v>
      </c>
      <c r="P411" s="50" t="e">
        <f t="shared" si="98"/>
        <v>#N/A</v>
      </c>
      <c r="Q411" s="51" t="e">
        <f t="shared" si="99"/>
        <v>#N/A</v>
      </c>
      <c r="R411" s="205" t="e">
        <f t="shared" si="100"/>
        <v>#N/A</v>
      </c>
      <c r="S411" s="279" t="e">
        <f>IF(R411="si",0,IF(E411="si",0,IF(J411&gt;K411,0,+K411-J411)))+IF('calcolo base'!P1871="SI",('Commissioni De Angeli'!K411-'Commissioni De Angeli'!J411),0)</f>
        <v>#N/A</v>
      </c>
      <c r="T411" s="117" t="e">
        <f t="shared" si="101"/>
        <v>#N/A</v>
      </c>
      <c r="U411" s="272" t="e">
        <f>IF(Q411=0,'calcolo base'!L3010,(T411+Q411))</f>
        <v>#N/A</v>
      </c>
      <c r="V411" s="119"/>
    </row>
    <row r="412" spans="2:22">
      <c r="B412" s="47"/>
      <c r="C412" s="35"/>
      <c r="D412" s="53"/>
      <c r="E412" s="53"/>
      <c r="F412" s="48"/>
      <c r="G412" s="243" t="e">
        <f>INDEX('calcolo base'!$B:$B, MATCH($A412, 'calcolo base'!$A:$A, 0))</f>
        <v>#N/A</v>
      </c>
      <c r="H412" s="54" t="e">
        <f t="shared" si="93"/>
        <v>#N/A</v>
      </c>
      <c r="I412" s="259" t="e">
        <f>IF(  OR(      INDEX('calcolo base'!$D:$D, MATCH($A412, 'calcolo base'!$A:$A, 0)) = 0,
      INDEX('calcolo base'!$D:$D, MATCH($A412, 'calcolo base'!$A:$A, 0)) = ""   ),
   INDEX('calcolo base'!$K:$K, MATCH($A412, 'calcolo base'!$A:$A, 0)),
   INDEX('calcolo base'!$J:$J, MATCH($A412, 'calcolo base'!$A:$A, 0))
) / 1000</f>
        <v>#N/A</v>
      </c>
      <c r="J412" s="50" t="e">
        <f t="shared" si="94"/>
        <v>#N/A</v>
      </c>
      <c r="K412" s="50"/>
      <c r="L412" s="267" t="e">
        <f>INDEX('calcolo base'!$H:$H, MATCH($A412, 'calcolo base'!$A:$A, 0))</f>
        <v>#N/A</v>
      </c>
      <c r="M412" s="50" t="e">
        <f t="shared" si="95"/>
        <v>#N/A</v>
      </c>
      <c r="N412" s="50" t="e">
        <f t="shared" si="96"/>
        <v>#N/A</v>
      </c>
      <c r="O412" s="50" t="e">
        <f t="shared" si="97"/>
        <v>#N/A</v>
      </c>
      <c r="P412" s="50" t="e">
        <f t="shared" si="98"/>
        <v>#N/A</v>
      </c>
      <c r="Q412" s="51" t="e">
        <f t="shared" si="99"/>
        <v>#N/A</v>
      </c>
      <c r="R412" s="205" t="e">
        <f t="shared" si="100"/>
        <v>#N/A</v>
      </c>
      <c r="S412" s="279" t="e">
        <f>IF(R412="si",0,IF(E412="si",0,IF(J412&gt;K412,0,+K412-J412)))+IF('calcolo base'!P1872="SI",('Commissioni De Angeli'!K412-'Commissioni De Angeli'!J412),0)</f>
        <v>#N/A</v>
      </c>
      <c r="T412" s="117" t="e">
        <f t="shared" si="101"/>
        <v>#N/A</v>
      </c>
      <c r="U412" s="272" t="e">
        <f>IF(Q412=0,'calcolo base'!L3011,(T412+Q412))</f>
        <v>#N/A</v>
      </c>
      <c r="V412" s="119"/>
    </row>
    <row r="413" spans="2:22">
      <c r="B413" s="47"/>
      <c r="C413" s="35"/>
      <c r="D413" s="53"/>
      <c r="E413" s="53"/>
      <c r="F413" s="48"/>
      <c r="G413" s="243" t="e">
        <f>INDEX('calcolo base'!$B:$B, MATCH($A413, 'calcolo base'!$A:$A, 0))</f>
        <v>#N/A</v>
      </c>
      <c r="H413" s="54" t="e">
        <f t="shared" si="93"/>
        <v>#N/A</v>
      </c>
      <c r="I413" s="259" t="e">
        <f>IF(  OR(      INDEX('calcolo base'!$D:$D, MATCH($A413, 'calcolo base'!$A:$A, 0)) = 0,
      INDEX('calcolo base'!$D:$D, MATCH($A413, 'calcolo base'!$A:$A, 0)) = ""   ),
   INDEX('calcolo base'!$K:$K, MATCH($A413, 'calcolo base'!$A:$A, 0)),
   INDEX('calcolo base'!$J:$J, MATCH($A413, 'calcolo base'!$A:$A, 0))
) / 1000</f>
        <v>#N/A</v>
      </c>
      <c r="J413" s="50" t="e">
        <f t="shared" si="94"/>
        <v>#N/A</v>
      </c>
      <c r="K413" s="50"/>
      <c r="L413" s="267" t="e">
        <f>INDEX('calcolo base'!$H:$H, MATCH($A413, 'calcolo base'!$A:$A, 0))</f>
        <v>#N/A</v>
      </c>
      <c r="M413" s="50" t="e">
        <f t="shared" si="95"/>
        <v>#N/A</v>
      </c>
      <c r="N413" s="50" t="e">
        <f t="shared" si="96"/>
        <v>#N/A</v>
      </c>
      <c r="O413" s="50" t="e">
        <f t="shared" si="97"/>
        <v>#N/A</v>
      </c>
      <c r="P413" s="50" t="e">
        <f t="shared" si="98"/>
        <v>#N/A</v>
      </c>
      <c r="Q413" s="51" t="e">
        <f t="shared" si="99"/>
        <v>#N/A</v>
      </c>
      <c r="R413" s="205" t="e">
        <f t="shared" si="100"/>
        <v>#N/A</v>
      </c>
      <c r="S413" s="279" t="e">
        <f>IF(R413="si",0,IF(E413="si",0,IF(J413&gt;K413,0,+K413-J413)))+IF('calcolo base'!P1873="SI",('Commissioni De Angeli'!K413-'Commissioni De Angeli'!J413),0)</f>
        <v>#N/A</v>
      </c>
      <c r="T413" s="117" t="e">
        <f t="shared" si="101"/>
        <v>#N/A</v>
      </c>
      <c r="U413" s="272" t="e">
        <f>IF(Q413=0,'calcolo base'!L3012,(T413+Q413))</f>
        <v>#N/A</v>
      </c>
      <c r="V413" s="119"/>
    </row>
    <row r="414" spans="2:22">
      <c r="B414" s="47"/>
      <c r="C414" s="35"/>
      <c r="D414" s="53"/>
      <c r="E414" s="53"/>
      <c r="F414" s="48"/>
      <c r="G414" s="243" t="e">
        <f>INDEX('calcolo base'!$B:$B, MATCH($A414, 'calcolo base'!$A:$A, 0))</f>
        <v>#N/A</v>
      </c>
      <c r="H414" s="54" t="e">
        <f t="shared" si="93"/>
        <v>#N/A</v>
      </c>
      <c r="I414" s="259" t="e">
        <f>IF(  OR(      INDEX('calcolo base'!$D:$D, MATCH($A414, 'calcolo base'!$A:$A, 0)) = 0,
      INDEX('calcolo base'!$D:$D, MATCH($A414, 'calcolo base'!$A:$A, 0)) = ""   ),
   INDEX('calcolo base'!$K:$K, MATCH($A414, 'calcolo base'!$A:$A, 0)),
   INDEX('calcolo base'!$J:$J, MATCH($A414, 'calcolo base'!$A:$A, 0))
) / 1000</f>
        <v>#N/A</v>
      </c>
      <c r="J414" s="50" t="e">
        <f t="shared" si="94"/>
        <v>#N/A</v>
      </c>
      <c r="K414" s="50"/>
      <c r="L414" s="267" t="e">
        <f>INDEX('calcolo base'!$H:$H, MATCH($A414, 'calcolo base'!$A:$A, 0))</f>
        <v>#N/A</v>
      </c>
      <c r="M414" s="50" t="e">
        <f t="shared" si="95"/>
        <v>#N/A</v>
      </c>
      <c r="N414" s="50" t="e">
        <f t="shared" si="96"/>
        <v>#N/A</v>
      </c>
      <c r="O414" s="50" t="e">
        <f t="shared" si="97"/>
        <v>#N/A</v>
      </c>
      <c r="P414" s="50" t="e">
        <f t="shared" si="98"/>
        <v>#N/A</v>
      </c>
      <c r="Q414" s="51" t="e">
        <f t="shared" si="99"/>
        <v>#N/A</v>
      </c>
      <c r="R414" s="205" t="e">
        <f t="shared" si="100"/>
        <v>#N/A</v>
      </c>
      <c r="S414" s="279" t="e">
        <f>IF(R414="si",0,IF(E414="si",0,IF(J414&gt;K414,0,+K414-J414)))+IF('calcolo base'!P1874="SI",('Commissioni De Angeli'!K414-'Commissioni De Angeli'!J414),0)</f>
        <v>#N/A</v>
      </c>
      <c r="T414" s="117" t="e">
        <f t="shared" si="101"/>
        <v>#N/A</v>
      </c>
      <c r="U414" s="272" t="e">
        <f>IF(Q414=0,'calcolo base'!L3013,(T414+Q414))</f>
        <v>#N/A</v>
      </c>
      <c r="V414" s="119"/>
    </row>
    <row r="415" spans="2:22">
      <c r="B415" s="47"/>
      <c r="C415" s="35"/>
      <c r="D415" s="53"/>
      <c r="E415" s="53"/>
      <c r="F415" s="48"/>
      <c r="G415" s="243" t="e">
        <f>INDEX('calcolo base'!$B:$B, MATCH($A415, 'calcolo base'!$A:$A, 0))</f>
        <v>#N/A</v>
      </c>
      <c r="H415" s="54" t="e">
        <f t="shared" si="93"/>
        <v>#N/A</v>
      </c>
      <c r="I415" s="259" t="e">
        <f>IF(  OR(      INDEX('calcolo base'!$D:$D, MATCH($A415, 'calcolo base'!$A:$A, 0)) = 0,
      INDEX('calcolo base'!$D:$D, MATCH($A415, 'calcolo base'!$A:$A, 0)) = ""   ),
   INDEX('calcolo base'!$K:$K, MATCH($A415, 'calcolo base'!$A:$A, 0)),
   INDEX('calcolo base'!$J:$J, MATCH($A415, 'calcolo base'!$A:$A, 0))
) / 1000</f>
        <v>#N/A</v>
      </c>
      <c r="J415" s="50" t="e">
        <f t="shared" si="94"/>
        <v>#N/A</v>
      </c>
      <c r="K415" s="50"/>
      <c r="L415" s="267" t="e">
        <f>INDEX('calcolo base'!$H:$H, MATCH($A415, 'calcolo base'!$A:$A, 0))</f>
        <v>#N/A</v>
      </c>
      <c r="M415" s="50" t="e">
        <f t="shared" si="95"/>
        <v>#N/A</v>
      </c>
      <c r="N415" s="50" t="e">
        <f t="shared" si="96"/>
        <v>#N/A</v>
      </c>
      <c r="O415" s="50" t="e">
        <f t="shared" si="97"/>
        <v>#N/A</v>
      </c>
      <c r="P415" s="50" t="e">
        <f t="shared" si="98"/>
        <v>#N/A</v>
      </c>
      <c r="Q415" s="51" t="e">
        <f t="shared" si="99"/>
        <v>#N/A</v>
      </c>
      <c r="R415" s="205" t="e">
        <f t="shared" si="100"/>
        <v>#N/A</v>
      </c>
      <c r="S415" s="279" t="e">
        <f>IF(R415="si",0,IF(E415="si",0,IF(J415&gt;K415,0,+K415-J415)))+IF('calcolo base'!P1875="SI",('Commissioni De Angeli'!K415-'Commissioni De Angeli'!J415),0)</f>
        <v>#N/A</v>
      </c>
      <c r="T415" s="117" t="e">
        <f t="shared" si="101"/>
        <v>#N/A</v>
      </c>
      <c r="U415" s="272" t="e">
        <f>IF(Q415=0,'calcolo base'!L3014,(T415+Q415))</f>
        <v>#N/A</v>
      </c>
      <c r="V415" s="119"/>
    </row>
    <row r="416" spans="2:22">
      <c r="B416" s="47"/>
      <c r="C416" s="35"/>
      <c r="D416" s="53"/>
      <c r="E416" s="53"/>
      <c r="F416" s="48"/>
      <c r="G416" s="243" t="e">
        <f>INDEX('calcolo base'!$B:$B, MATCH($A416, 'calcolo base'!$A:$A, 0))</f>
        <v>#N/A</v>
      </c>
      <c r="H416" s="54" t="e">
        <f t="shared" si="93"/>
        <v>#N/A</v>
      </c>
      <c r="I416" s="259" t="e">
        <f>IF(  OR(      INDEX('calcolo base'!$D:$D, MATCH($A416, 'calcolo base'!$A:$A, 0)) = 0,
      INDEX('calcolo base'!$D:$D, MATCH($A416, 'calcolo base'!$A:$A, 0)) = ""   ),
   INDEX('calcolo base'!$K:$K, MATCH($A416, 'calcolo base'!$A:$A, 0)),
   INDEX('calcolo base'!$J:$J, MATCH($A416, 'calcolo base'!$A:$A, 0))
) / 1000</f>
        <v>#N/A</v>
      </c>
      <c r="J416" s="50" t="e">
        <f t="shared" si="94"/>
        <v>#N/A</v>
      </c>
      <c r="K416" s="50"/>
      <c r="L416" s="267" t="e">
        <f>INDEX('calcolo base'!$H:$H, MATCH($A416, 'calcolo base'!$A:$A, 0))</f>
        <v>#N/A</v>
      </c>
      <c r="M416" s="50" t="e">
        <f t="shared" si="95"/>
        <v>#N/A</v>
      </c>
      <c r="N416" s="50" t="e">
        <f t="shared" si="96"/>
        <v>#N/A</v>
      </c>
      <c r="O416" s="50" t="e">
        <f t="shared" si="97"/>
        <v>#N/A</v>
      </c>
      <c r="P416" s="50" t="e">
        <f t="shared" si="98"/>
        <v>#N/A</v>
      </c>
      <c r="Q416" s="51" t="e">
        <f t="shared" si="99"/>
        <v>#N/A</v>
      </c>
      <c r="R416" s="205" t="e">
        <f t="shared" si="100"/>
        <v>#N/A</v>
      </c>
      <c r="S416" s="279" t="e">
        <f>IF(R416="si",0,IF(E416="si",0,IF(J416&gt;K416,0,+K416-J416)))+IF('calcolo base'!P1876="SI",('Commissioni De Angeli'!K416-'Commissioni De Angeli'!J416),0)</f>
        <v>#N/A</v>
      </c>
      <c r="T416" s="117" t="e">
        <f t="shared" si="101"/>
        <v>#N/A</v>
      </c>
      <c r="U416" s="272" t="e">
        <f>IF(Q416=0,'calcolo base'!L3015,(T416+Q416))</f>
        <v>#N/A</v>
      </c>
      <c r="V416" s="119"/>
    </row>
    <row r="417" spans="2:22">
      <c r="B417" s="47"/>
      <c r="C417" s="35"/>
      <c r="D417" s="53"/>
      <c r="E417" s="53"/>
      <c r="F417" s="48"/>
      <c r="G417" s="243" t="e">
        <f>INDEX('calcolo base'!$B:$B, MATCH($A417, 'calcolo base'!$A:$A, 0))</f>
        <v>#N/A</v>
      </c>
      <c r="H417" s="54" t="e">
        <f t="shared" si="93"/>
        <v>#N/A</v>
      </c>
      <c r="I417" s="259" t="e">
        <f>IF(  OR(      INDEX('calcolo base'!$D:$D, MATCH($A417, 'calcolo base'!$A:$A, 0)) = 0,
      INDEX('calcolo base'!$D:$D, MATCH($A417, 'calcolo base'!$A:$A, 0)) = ""   ),
   INDEX('calcolo base'!$K:$K, MATCH($A417, 'calcolo base'!$A:$A, 0)),
   INDEX('calcolo base'!$J:$J, MATCH($A417, 'calcolo base'!$A:$A, 0))
) / 1000</f>
        <v>#N/A</v>
      </c>
      <c r="J417" s="50" t="e">
        <f t="shared" si="94"/>
        <v>#N/A</v>
      </c>
      <c r="K417" s="50"/>
      <c r="L417" s="267" t="e">
        <f>INDEX('calcolo base'!$H:$H, MATCH($A417, 'calcolo base'!$A:$A, 0))</f>
        <v>#N/A</v>
      </c>
      <c r="M417" s="50" t="e">
        <f t="shared" si="95"/>
        <v>#N/A</v>
      </c>
      <c r="N417" s="50" t="e">
        <f t="shared" si="96"/>
        <v>#N/A</v>
      </c>
      <c r="O417" s="50" t="e">
        <f t="shared" si="97"/>
        <v>#N/A</v>
      </c>
      <c r="P417" s="50" t="e">
        <f t="shared" si="98"/>
        <v>#N/A</v>
      </c>
      <c r="Q417" s="51" t="e">
        <f t="shared" si="99"/>
        <v>#N/A</v>
      </c>
      <c r="R417" s="205" t="e">
        <f t="shared" si="100"/>
        <v>#N/A</v>
      </c>
      <c r="S417" s="279" t="e">
        <f>IF(R417="si",0,IF(E417="si",0,IF(J417&gt;K417,0,+K417-J417)))+IF('calcolo base'!P1877="SI",('Commissioni De Angeli'!K417-'Commissioni De Angeli'!J417),0)</f>
        <v>#N/A</v>
      </c>
      <c r="T417" s="117" t="e">
        <f t="shared" si="101"/>
        <v>#N/A</v>
      </c>
      <c r="U417" s="272" t="e">
        <f>IF(Q417=0,'calcolo base'!L3016,(T417+Q417))</f>
        <v>#N/A</v>
      </c>
      <c r="V417" s="119"/>
    </row>
    <row r="418" spans="2:22">
      <c r="B418" s="47"/>
      <c r="C418" s="35"/>
      <c r="D418" s="53"/>
      <c r="E418" s="53"/>
      <c r="F418" s="48"/>
      <c r="G418" s="243" t="e">
        <f>INDEX('calcolo base'!$B:$B, MATCH($A418, 'calcolo base'!$A:$A, 0))</f>
        <v>#N/A</v>
      </c>
      <c r="H418" s="54" t="e">
        <f t="shared" si="93"/>
        <v>#N/A</v>
      </c>
      <c r="I418" s="259" t="e">
        <f>IF(  OR(      INDEX('calcolo base'!$D:$D, MATCH($A418, 'calcolo base'!$A:$A, 0)) = 0,
      INDEX('calcolo base'!$D:$D, MATCH($A418, 'calcolo base'!$A:$A, 0)) = ""   ),
   INDEX('calcolo base'!$K:$K, MATCH($A418, 'calcolo base'!$A:$A, 0)),
   INDEX('calcolo base'!$J:$J, MATCH($A418, 'calcolo base'!$A:$A, 0))
) / 1000</f>
        <v>#N/A</v>
      </c>
      <c r="J418" s="50" t="e">
        <f t="shared" si="94"/>
        <v>#N/A</v>
      </c>
      <c r="K418" s="50"/>
      <c r="L418" s="267" t="e">
        <f>INDEX('calcolo base'!$H:$H, MATCH($A418, 'calcolo base'!$A:$A, 0))</f>
        <v>#N/A</v>
      </c>
      <c r="M418" s="50" t="e">
        <f t="shared" si="95"/>
        <v>#N/A</v>
      </c>
      <c r="N418" s="50" t="e">
        <f t="shared" si="96"/>
        <v>#N/A</v>
      </c>
      <c r="O418" s="50" t="e">
        <f t="shared" si="97"/>
        <v>#N/A</v>
      </c>
      <c r="P418" s="50" t="e">
        <f t="shared" si="98"/>
        <v>#N/A</v>
      </c>
      <c r="Q418" s="51" t="e">
        <f t="shared" si="99"/>
        <v>#N/A</v>
      </c>
      <c r="R418" s="205" t="e">
        <f t="shared" si="100"/>
        <v>#N/A</v>
      </c>
      <c r="S418" s="279" t="e">
        <f>IF(R418="si",0,IF(E418="si",0,IF(J418&gt;K418,0,+K418-J418)))+IF('calcolo base'!P1878="SI",('Commissioni De Angeli'!K418-'Commissioni De Angeli'!J418),0)</f>
        <v>#N/A</v>
      </c>
      <c r="T418" s="117" t="e">
        <f t="shared" si="101"/>
        <v>#N/A</v>
      </c>
      <c r="U418" s="272" t="e">
        <f>IF(Q418=0,'calcolo base'!L3017,(T418+Q418))</f>
        <v>#N/A</v>
      </c>
      <c r="V418" s="119"/>
    </row>
    <row r="419" spans="2:22">
      <c r="B419" s="47"/>
      <c r="C419" s="35"/>
      <c r="D419" s="53"/>
      <c r="E419" s="53"/>
      <c r="F419" s="48"/>
      <c r="G419" s="243" t="e">
        <f>INDEX('calcolo base'!$B:$B, MATCH($A419, 'calcolo base'!$A:$A, 0))</f>
        <v>#N/A</v>
      </c>
      <c r="H419" s="54" t="e">
        <f t="shared" si="93"/>
        <v>#N/A</v>
      </c>
      <c r="I419" s="259" t="e">
        <f>IF(  OR(      INDEX('calcolo base'!$D:$D, MATCH($A419, 'calcolo base'!$A:$A, 0)) = 0,
      INDEX('calcolo base'!$D:$D, MATCH($A419, 'calcolo base'!$A:$A, 0)) = ""   ),
   INDEX('calcolo base'!$K:$K, MATCH($A419, 'calcolo base'!$A:$A, 0)),
   INDEX('calcolo base'!$J:$J, MATCH($A419, 'calcolo base'!$A:$A, 0))
) / 1000</f>
        <v>#N/A</v>
      </c>
      <c r="J419" s="50" t="e">
        <f t="shared" si="94"/>
        <v>#N/A</v>
      </c>
      <c r="K419" s="50"/>
      <c r="L419" s="267" t="e">
        <f>INDEX('calcolo base'!$H:$H, MATCH($A419, 'calcolo base'!$A:$A, 0))</f>
        <v>#N/A</v>
      </c>
      <c r="M419" s="50" t="e">
        <f t="shared" si="95"/>
        <v>#N/A</v>
      </c>
      <c r="N419" s="50" t="e">
        <f t="shared" si="96"/>
        <v>#N/A</v>
      </c>
      <c r="O419" s="50" t="e">
        <f t="shared" si="97"/>
        <v>#N/A</v>
      </c>
      <c r="P419" s="50" t="e">
        <f t="shared" si="98"/>
        <v>#N/A</v>
      </c>
      <c r="Q419" s="51" t="e">
        <f t="shared" si="99"/>
        <v>#N/A</v>
      </c>
      <c r="R419" s="205" t="e">
        <f t="shared" si="100"/>
        <v>#N/A</v>
      </c>
      <c r="S419" s="279" t="e">
        <f>IF(R419="si",0,IF(E419="si",0,IF(J419&gt;K419,0,+K419-J419)))+IF('calcolo base'!P1879="SI",('Commissioni De Angeli'!K419-'Commissioni De Angeli'!J419),0)</f>
        <v>#N/A</v>
      </c>
      <c r="T419" s="117" t="e">
        <f t="shared" si="101"/>
        <v>#N/A</v>
      </c>
      <c r="U419" s="272" t="e">
        <f>IF(Q419=0,'calcolo base'!L3018,(T419+Q419))</f>
        <v>#N/A</v>
      </c>
      <c r="V419" s="119"/>
    </row>
    <row r="420" spans="2:22">
      <c r="B420" s="47"/>
      <c r="C420" s="35"/>
      <c r="D420" s="53"/>
      <c r="E420" s="53"/>
      <c r="F420" s="48"/>
      <c r="G420" s="243" t="e">
        <f>INDEX('calcolo base'!$B:$B, MATCH($A420, 'calcolo base'!$A:$A, 0))</f>
        <v>#N/A</v>
      </c>
      <c r="H420" s="54" t="e">
        <f t="shared" si="93"/>
        <v>#N/A</v>
      </c>
      <c r="I420" s="259" t="e">
        <f>IF(  OR(      INDEX('calcolo base'!$D:$D, MATCH($A420, 'calcolo base'!$A:$A, 0)) = 0,
      INDEX('calcolo base'!$D:$D, MATCH($A420, 'calcolo base'!$A:$A, 0)) = ""   ),
   INDEX('calcolo base'!$K:$K, MATCH($A420, 'calcolo base'!$A:$A, 0)),
   INDEX('calcolo base'!$J:$J, MATCH($A420, 'calcolo base'!$A:$A, 0))
) / 1000</f>
        <v>#N/A</v>
      </c>
      <c r="J420" s="50" t="e">
        <f t="shared" si="94"/>
        <v>#N/A</v>
      </c>
      <c r="K420" s="50"/>
      <c r="L420" s="267" t="e">
        <f>INDEX('calcolo base'!$H:$H, MATCH($A420, 'calcolo base'!$A:$A, 0))</f>
        <v>#N/A</v>
      </c>
      <c r="M420" s="50" t="e">
        <f t="shared" si="95"/>
        <v>#N/A</v>
      </c>
      <c r="N420" s="50" t="e">
        <f t="shared" si="96"/>
        <v>#N/A</v>
      </c>
      <c r="O420" s="50" t="e">
        <f t="shared" si="97"/>
        <v>#N/A</v>
      </c>
      <c r="P420" s="50" t="e">
        <f t="shared" si="98"/>
        <v>#N/A</v>
      </c>
      <c r="Q420" s="51" t="e">
        <f t="shared" si="99"/>
        <v>#N/A</v>
      </c>
      <c r="R420" s="205" t="e">
        <f t="shared" si="100"/>
        <v>#N/A</v>
      </c>
      <c r="S420" s="279" t="e">
        <f>IF(R420="si",0,IF(E420="si",0,IF(J420&gt;K420,0,+K420-J420)))+IF('calcolo base'!P1880="SI",('Commissioni De Angeli'!K420-'Commissioni De Angeli'!J420),0)</f>
        <v>#N/A</v>
      </c>
      <c r="T420" s="117" t="e">
        <f t="shared" si="101"/>
        <v>#N/A</v>
      </c>
      <c r="U420" s="272" t="e">
        <f>IF(Q420=0,'calcolo base'!L3019,(T420+Q420))</f>
        <v>#N/A</v>
      </c>
      <c r="V420" s="119"/>
    </row>
    <row r="421" spans="2:22">
      <c r="B421" s="47"/>
      <c r="C421" s="35"/>
      <c r="D421" s="53"/>
      <c r="E421" s="53"/>
      <c r="F421" s="48"/>
      <c r="G421" s="243" t="e">
        <f>INDEX('calcolo base'!$B:$B, MATCH($A421, 'calcolo base'!$A:$A, 0))</f>
        <v>#N/A</v>
      </c>
      <c r="H421" s="54" t="e">
        <f t="shared" si="93"/>
        <v>#N/A</v>
      </c>
      <c r="I421" s="259" t="e">
        <f>IF(  OR(      INDEX('calcolo base'!$D:$D, MATCH($A421, 'calcolo base'!$A:$A, 0)) = 0,
      INDEX('calcolo base'!$D:$D, MATCH($A421, 'calcolo base'!$A:$A, 0)) = ""   ),
   INDEX('calcolo base'!$K:$K, MATCH($A421, 'calcolo base'!$A:$A, 0)),
   INDEX('calcolo base'!$J:$J, MATCH($A421, 'calcolo base'!$A:$A, 0))
) / 1000</f>
        <v>#N/A</v>
      </c>
      <c r="J421" s="50" t="e">
        <f t="shared" si="94"/>
        <v>#N/A</v>
      </c>
      <c r="K421" s="50"/>
      <c r="L421" s="267" t="e">
        <f>INDEX('calcolo base'!$H:$H, MATCH($A421, 'calcolo base'!$A:$A, 0))</f>
        <v>#N/A</v>
      </c>
      <c r="M421" s="50" t="e">
        <f t="shared" si="95"/>
        <v>#N/A</v>
      </c>
      <c r="N421" s="50" t="e">
        <f t="shared" si="96"/>
        <v>#N/A</v>
      </c>
      <c r="O421" s="50" t="e">
        <f t="shared" si="97"/>
        <v>#N/A</v>
      </c>
      <c r="P421" s="50" t="e">
        <f t="shared" si="98"/>
        <v>#N/A</v>
      </c>
      <c r="Q421" s="51" t="e">
        <f t="shared" si="99"/>
        <v>#N/A</v>
      </c>
      <c r="R421" s="205" t="e">
        <f t="shared" si="100"/>
        <v>#N/A</v>
      </c>
      <c r="S421" s="279" t="e">
        <f>IF(R421="si",0,IF(E421="si",0,IF(J421&gt;K421,0,+K421-J421)))+IF('calcolo base'!P1881="SI",('Commissioni De Angeli'!K421-'Commissioni De Angeli'!J421),0)</f>
        <v>#N/A</v>
      </c>
      <c r="T421" s="117" t="e">
        <f t="shared" si="101"/>
        <v>#N/A</v>
      </c>
      <c r="U421" s="272" t="e">
        <f>IF(Q421=0,'calcolo base'!L3020,(T421+Q421))</f>
        <v>#N/A</v>
      </c>
      <c r="V421" s="119"/>
    </row>
    <row r="422" spans="2:22">
      <c r="B422" s="47"/>
      <c r="C422" s="35"/>
      <c r="D422" s="53"/>
      <c r="E422" s="53"/>
      <c r="F422" s="48"/>
      <c r="G422" s="243" t="e">
        <f>INDEX('calcolo base'!$B:$B, MATCH($A422, 'calcolo base'!$A:$A, 0))</f>
        <v>#N/A</v>
      </c>
      <c r="H422" s="54" t="e">
        <f t="shared" si="93"/>
        <v>#N/A</v>
      </c>
      <c r="I422" s="259" t="e">
        <f>IF(  OR(      INDEX('calcolo base'!$D:$D, MATCH($A422, 'calcolo base'!$A:$A, 0)) = 0,
      INDEX('calcolo base'!$D:$D, MATCH($A422, 'calcolo base'!$A:$A, 0)) = ""   ),
   INDEX('calcolo base'!$K:$K, MATCH($A422, 'calcolo base'!$A:$A, 0)),
   INDEX('calcolo base'!$J:$J, MATCH($A422, 'calcolo base'!$A:$A, 0))
) / 1000</f>
        <v>#N/A</v>
      </c>
      <c r="J422" s="50" t="e">
        <f t="shared" si="94"/>
        <v>#N/A</v>
      </c>
      <c r="K422" s="50"/>
      <c r="L422" s="267" t="e">
        <f>INDEX('calcolo base'!$H:$H, MATCH($A422, 'calcolo base'!$A:$A, 0))</f>
        <v>#N/A</v>
      </c>
      <c r="M422" s="50" t="e">
        <f t="shared" si="95"/>
        <v>#N/A</v>
      </c>
      <c r="N422" s="50" t="e">
        <f t="shared" si="96"/>
        <v>#N/A</v>
      </c>
      <c r="O422" s="50" t="e">
        <f t="shared" si="97"/>
        <v>#N/A</v>
      </c>
      <c r="P422" s="50" t="e">
        <f t="shared" si="98"/>
        <v>#N/A</v>
      </c>
      <c r="Q422" s="51" t="e">
        <f t="shared" si="99"/>
        <v>#N/A</v>
      </c>
      <c r="R422" s="205" t="e">
        <f t="shared" si="100"/>
        <v>#N/A</v>
      </c>
      <c r="S422" s="279" t="e">
        <f>IF(R422="si",0,IF(E422="si",0,IF(J422&gt;K422,0,+K422-J422)))+IF('calcolo base'!P1882="SI",('Commissioni De Angeli'!K422-'Commissioni De Angeli'!J422),0)</f>
        <v>#N/A</v>
      </c>
      <c r="T422" s="117" t="e">
        <f t="shared" si="101"/>
        <v>#N/A</v>
      </c>
      <c r="U422" s="272" t="e">
        <f>IF(Q422=0,'calcolo base'!L3021,(T422+Q422))</f>
        <v>#N/A</v>
      </c>
      <c r="V422" s="119"/>
    </row>
    <row r="423" spans="2:22">
      <c r="B423" s="47"/>
      <c r="C423" s="35"/>
      <c r="D423" s="53"/>
      <c r="E423" s="53"/>
      <c r="F423" s="48"/>
      <c r="G423" s="243" t="e">
        <f>INDEX('calcolo base'!$B:$B, MATCH($A423, 'calcolo base'!$A:$A, 0))</f>
        <v>#N/A</v>
      </c>
      <c r="H423" s="54" t="e">
        <f t="shared" si="93"/>
        <v>#N/A</v>
      </c>
      <c r="I423" s="259" t="e">
        <f>IF(  OR(      INDEX('calcolo base'!$D:$D, MATCH($A423, 'calcolo base'!$A:$A, 0)) = 0,
      INDEX('calcolo base'!$D:$D, MATCH($A423, 'calcolo base'!$A:$A, 0)) = ""   ),
   INDEX('calcolo base'!$K:$K, MATCH($A423, 'calcolo base'!$A:$A, 0)),
   INDEX('calcolo base'!$J:$J, MATCH($A423, 'calcolo base'!$A:$A, 0))
) / 1000</f>
        <v>#N/A</v>
      </c>
      <c r="J423" s="50" t="e">
        <f t="shared" si="94"/>
        <v>#N/A</v>
      </c>
      <c r="K423" s="50"/>
      <c r="L423" s="267" t="e">
        <f>INDEX('calcolo base'!$H:$H, MATCH($A423, 'calcolo base'!$A:$A, 0))</f>
        <v>#N/A</v>
      </c>
      <c r="M423" s="50" t="e">
        <f t="shared" si="95"/>
        <v>#N/A</v>
      </c>
      <c r="N423" s="50" t="e">
        <f t="shared" si="96"/>
        <v>#N/A</v>
      </c>
      <c r="O423" s="50" t="e">
        <f t="shared" si="97"/>
        <v>#N/A</v>
      </c>
      <c r="P423" s="50" t="e">
        <f t="shared" si="98"/>
        <v>#N/A</v>
      </c>
      <c r="Q423" s="51" t="e">
        <f t="shared" si="99"/>
        <v>#N/A</v>
      </c>
      <c r="R423" s="205" t="e">
        <f t="shared" si="100"/>
        <v>#N/A</v>
      </c>
      <c r="S423" s="279" t="e">
        <f>IF(R423="si",0,IF(E423="si",0,IF(J423&gt;K423,0,+K423-J423)))+IF('calcolo base'!P1883="SI",('Commissioni De Angeli'!K423-'Commissioni De Angeli'!J423),0)</f>
        <v>#N/A</v>
      </c>
      <c r="T423" s="117" t="e">
        <f t="shared" si="101"/>
        <v>#N/A</v>
      </c>
      <c r="U423" s="272" t="e">
        <f>IF(Q423=0,'calcolo base'!L3022,(T423+Q423))</f>
        <v>#N/A</v>
      </c>
      <c r="V423" s="119"/>
    </row>
    <row r="424" spans="2:22">
      <c r="B424" s="47"/>
      <c r="C424" s="35"/>
      <c r="D424" s="53"/>
      <c r="E424" s="53"/>
      <c r="F424" s="48"/>
      <c r="G424" s="243" t="e">
        <f>INDEX('calcolo base'!$B:$B, MATCH($A424, 'calcolo base'!$A:$A, 0))</f>
        <v>#N/A</v>
      </c>
      <c r="H424" s="54" t="e">
        <f t="shared" si="93"/>
        <v>#N/A</v>
      </c>
      <c r="I424" s="259" t="e">
        <f>IF(  OR(      INDEX('calcolo base'!$D:$D, MATCH($A424, 'calcolo base'!$A:$A, 0)) = 0,
      INDEX('calcolo base'!$D:$D, MATCH($A424, 'calcolo base'!$A:$A, 0)) = ""   ),
   INDEX('calcolo base'!$K:$K, MATCH($A424, 'calcolo base'!$A:$A, 0)),
   INDEX('calcolo base'!$J:$J, MATCH($A424, 'calcolo base'!$A:$A, 0))
) / 1000</f>
        <v>#N/A</v>
      </c>
      <c r="J424" s="50" t="e">
        <f t="shared" si="94"/>
        <v>#N/A</v>
      </c>
      <c r="K424" s="50"/>
      <c r="L424" s="267" t="e">
        <f>INDEX('calcolo base'!$H:$H, MATCH($A424, 'calcolo base'!$A:$A, 0))</f>
        <v>#N/A</v>
      </c>
      <c r="M424" s="50" t="e">
        <f t="shared" si="95"/>
        <v>#N/A</v>
      </c>
      <c r="N424" s="50" t="e">
        <f t="shared" si="96"/>
        <v>#N/A</v>
      </c>
      <c r="O424" s="50" t="e">
        <f t="shared" si="97"/>
        <v>#N/A</v>
      </c>
      <c r="P424" s="50" t="e">
        <f t="shared" si="98"/>
        <v>#N/A</v>
      </c>
      <c r="Q424" s="51" t="e">
        <f t="shared" si="99"/>
        <v>#N/A</v>
      </c>
      <c r="R424" s="205" t="e">
        <f t="shared" si="100"/>
        <v>#N/A</v>
      </c>
      <c r="S424" s="279" t="e">
        <f>IF(R424="si",0,IF(E424="si",0,IF(J424&gt;K424,0,+K424-J424)))+IF('calcolo base'!P1884="SI",('Commissioni De Angeli'!K424-'Commissioni De Angeli'!J424),0)</f>
        <v>#N/A</v>
      </c>
      <c r="T424" s="117" t="e">
        <f t="shared" si="101"/>
        <v>#N/A</v>
      </c>
      <c r="U424" s="272" t="e">
        <f>IF(Q424=0,'calcolo base'!L3023,(T424+Q424))</f>
        <v>#N/A</v>
      </c>
      <c r="V424" s="119"/>
    </row>
    <row r="425" spans="2:22">
      <c r="B425" s="47"/>
      <c r="C425" s="35"/>
      <c r="D425" s="53"/>
      <c r="E425" s="53"/>
      <c r="F425" s="48"/>
      <c r="G425" s="243" t="e">
        <f>INDEX('calcolo base'!$B:$B, MATCH($A425, 'calcolo base'!$A:$A, 0))</f>
        <v>#N/A</v>
      </c>
      <c r="H425" s="54" t="e">
        <f t="shared" si="93"/>
        <v>#N/A</v>
      </c>
      <c r="I425" s="259" t="e">
        <f>IF(  OR(      INDEX('calcolo base'!$D:$D, MATCH($A425, 'calcolo base'!$A:$A, 0)) = 0,
      INDEX('calcolo base'!$D:$D, MATCH($A425, 'calcolo base'!$A:$A, 0)) = ""   ),
   INDEX('calcolo base'!$K:$K, MATCH($A425, 'calcolo base'!$A:$A, 0)),
   INDEX('calcolo base'!$J:$J, MATCH($A425, 'calcolo base'!$A:$A, 0))
) / 1000</f>
        <v>#N/A</v>
      </c>
      <c r="J425" s="50" t="e">
        <f t="shared" si="94"/>
        <v>#N/A</v>
      </c>
      <c r="K425" s="50"/>
      <c r="L425" s="267" t="e">
        <f>INDEX('calcolo base'!$H:$H, MATCH($A425, 'calcolo base'!$A:$A, 0))</f>
        <v>#N/A</v>
      </c>
      <c r="M425" s="50" t="e">
        <f t="shared" si="95"/>
        <v>#N/A</v>
      </c>
      <c r="N425" s="50" t="e">
        <f t="shared" si="96"/>
        <v>#N/A</v>
      </c>
      <c r="O425" s="50" t="e">
        <f t="shared" si="97"/>
        <v>#N/A</v>
      </c>
      <c r="P425" s="50" t="e">
        <f t="shared" si="98"/>
        <v>#N/A</v>
      </c>
      <c r="Q425" s="51" t="e">
        <f t="shared" si="99"/>
        <v>#N/A</v>
      </c>
      <c r="R425" s="205" t="e">
        <f t="shared" si="100"/>
        <v>#N/A</v>
      </c>
      <c r="S425" s="279" t="e">
        <f>IF(R425="si",0,IF(E425="si",0,IF(J425&gt;K425,0,+K425-J425)))+IF('calcolo base'!P1885="SI",('Commissioni De Angeli'!K425-'Commissioni De Angeli'!J425),0)</f>
        <v>#N/A</v>
      </c>
      <c r="T425" s="117" t="e">
        <f t="shared" si="101"/>
        <v>#N/A</v>
      </c>
      <c r="U425" s="272" t="e">
        <f>IF(Q425=0,'calcolo base'!L3024,(T425+Q425))</f>
        <v>#N/A</v>
      </c>
      <c r="V425" s="119"/>
    </row>
    <row r="426" spans="2:22">
      <c r="B426" s="47"/>
      <c r="C426" s="35"/>
      <c r="D426" s="53"/>
      <c r="E426" s="53"/>
      <c r="F426" s="48"/>
      <c r="G426" s="243" t="e">
        <f>INDEX('calcolo base'!$B:$B, MATCH($A426, 'calcolo base'!$A:$A, 0))</f>
        <v>#N/A</v>
      </c>
      <c r="H426" s="54" t="e">
        <f t="shared" si="93"/>
        <v>#N/A</v>
      </c>
      <c r="I426" s="259" t="e">
        <f>IF(  OR(      INDEX('calcolo base'!$D:$D, MATCH($A426, 'calcolo base'!$A:$A, 0)) = 0,
      INDEX('calcolo base'!$D:$D, MATCH($A426, 'calcolo base'!$A:$A, 0)) = ""   ),
   INDEX('calcolo base'!$K:$K, MATCH($A426, 'calcolo base'!$A:$A, 0)),
   INDEX('calcolo base'!$J:$J, MATCH($A426, 'calcolo base'!$A:$A, 0))
) / 1000</f>
        <v>#N/A</v>
      </c>
      <c r="J426" s="50" t="e">
        <f t="shared" si="94"/>
        <v>#N/A</v>
      </c>
      <c r="K426" s="50"/>
      <c r="L426" s="267" t="e">
        <f>INDEX('calcolo base'!$H:$H, MATCH($A426, 'calcolo base'!$A:$A, 0))</f>
        <v>#N/A</v>
      </c>
      <c r="M426" s="50" t="e">
        <f t="shared" si="95"/>
        <v>#N/A</v>
      </c>
      <c r="N426" s="50" t="e">
        <f t="shared" si="96"/>
        <v>#N/A</v>
      </c>
      <c r="O426" s="50" t="e">
        <f t="shared" si="97"/>
        <v>#N/A</v>
      </c>
      <c r="P426" s="50" t="e">
        <f t="shared" si="98"/>
        <v>#N/A</v>
      </c>
      <c r="Q426" s="51" t="e">
        <f t="shared" si="99"/>
        <v>#N/A</v>
      </c>
      <c r="R426" s="205" t="e">
        <f t="shared" si="100"/>
        <v>#N/A</v>
      </c>
      <c r="S426" s="279" t="e">
        <f>IF(R426="si",0,IF(E426="si",0,IF(J426&gt;K426,0,+K426-J426)))+IF('calcolo base'!P1886="SI",('Commissioni De Angeli'!K426-'Commissioni De Angeli'!J426),0)</f>
        <v>#N/A</v>
      </c>
      <c r="T426" s="117" t="e">
        <f t="shared" si="101"/>
        <v>#N/A</v>
      </c>
      <c r="U426" s="272" t="e">
        <f>IF(Q426=0,'calcolo base'!L3025,(T426+Q426))</f>
        <v>#N/A</v>
      </c>
      <c r="V426" s="119"/>
    </row>
    <row r="427" spans="2:22">
      <c r="B427" s="47"/>
      <c r="C427" s="35"/>
      <c r="D427" s="53"/>
      <c r="E427" s="53"/>
      <c r="F427" s="48"/>
      <c r="G427" s="243" t="e">
        <f>INDEX('calcolo base'!$B:$B, MATCH($A427, 'calcolo base'!$A:$A, 0))</f>
        <v>#N/A</v>
      </c>
      <c r="H427" s="54" t="e">
        <f t="shared" si="93"/>
        <v>#N/A</v>
      </c>
      <c r="I427" s="259" t="e">
        <f>IF(  OR(      INDEX('calcolo base'!$D:$D, MATCH($A427, 'calcolo base'!$A:$A, 0)) = 0,
      INDEX('calcolo base'!$D:$D, MATCH($A427, 'calcolo base'!$A:$A, 0)) = ""   ),
   INDEX('calcolo base'!$K:$K, MATCH($A427, 'calcolo base'!$A:$A, 0)),
   INDEX('calcolo base'!$J:$J, MATCH($A427, 'calcolo base'!$A:$A, 0))
) / 1000</f>
        <v>#N/A</v>
      </c>
      <c r="J427" s="50" t="e">
        <f t="shared" si="94"/>
        <v>#N/A</v>
      </c>
      <c r="K427" s="50"/>
      <c r="L427" s="267" t="e">
        <f>INDEX('calcolo base'!$H:$H, MATCH($A427, 'calcolo base'!$A:$A, 0))</f>
        <v>#N/A</v>
      </c>
      <c r="M427" s="50" t="e">
        <f t="shared" si="95"/>
        <v>#N/A</v>
      </c>
      <c r="N427" s="50" t="e">
        <f t="shared" si="96"/>
        <v>#N/A</v>
      </c>
      <c r="O427" s="50" t="e">
        <f t="shared" si="97"/>
        <v>#N/A</v>
      </c>
      <c r="P427" s="50" t="e">
        <f t="shared" si="98"/>
        <v>#N/A</v>
      </c>
      <c r="Q427" s="51" t="e">
        <f t="shared" si="99"/>
        <v>#N/A</v>
      </c>
      <c r="R427" s="205" t="e">
        <f t="shared" si="100"/>
        <v>#N/A</v>
      </c>
      <c r="S427" s="279" t="e">
        <f>IF(R427="si",0,IF(E427="si",0,IF(J427&gt;K427,0,+K427-J427)))+IF('calcolo base'!P1887="SI",('Commissioni De Angeli'!K427-'Commissioni De Angeli'!J427),0)</f>
        <v>#N/A</v>
      </c>
      <c r="T427" s="117" t="e">
        <f t="shared" si="101"/>
        <v>#N/A</v>
      </c>
      <c r="U427" s="272" t="e">
        <f>IF(Q427=0,'calcolo base'!L3026,(T427+Q427))</f>
        <v>#N/A</v>
      </c>
      <c r="V427" s="119"/>
    </row>
    <row r="428" spans="2:22">
      <c r="B428" s="47"/>
      <c r="C428" s="35"/>
      <c r="D428" s="53"/>
      <c r="E428" s="53"/>
      <c r="F428" s="48"/>
      <c r="G428" s="243" t="e">
        <f>INDEX('calcolo base'!$B:$B, MATCH($A428, 'calcolo base'!$A:$A, 0))</f>
        <v>#N/A</v>
      </c>
      <c r="H428" s="54" t="e">
        <f t="shared" ref="H428:H491" si="102">IF(G428=0,"",+G428)</f>
        <v>#N/A</v>
      </c>
      <c r="I428" s="259" t="e">
        <f>IF(  OR(      INDEX('calcolo base'!$D:$D, MATCH($A428, 'calcolo base'!$A:$A, 0)) = 0,
      INDEX('calcolo base'!$D:$D, MATCH($A428, 'calcolo base'!$A:$A, 0)) = ""   ),
   INDEX('calcolo base'!$K:$K, MATCH($A428, 'calcolo base'!$A:$A, 0)),
   INDEX('calcolo base'!$J:$J, MATCH($A428, 'calcolo base'!$A:$A, 0))
) / 1000</f>
        <v>#N/A</v>
      </c>
      <c r="J428" s="50" t="e">
        <f t="shared" ref="J428:J491" si="103">+F428+I428</f>
        <v>#N/A</v>
      </c>
      <c r="K428" s="50"/>
      <c r="L428" s="267" t="e">
        <f>INDEX('calcolo base'!$H:$H, MATCH($A428, 'calcolo base'!$A:$A, 0))</f>
        <v>#N/A</v>
      </c>
      <c r="M428" s="50" t="e">
        <f t="shared" ref="M428:M491" si="104">IF(L428=0,0,J428*L428)</f>
        <v>#N/A</v>
      </c>
      <c r="N428" s="50" t="e">
        <f t="shared" ref="N428:N491" si="105">IF(E428="si",K428*1.5%,IF($L428&gt;=5%,IF($I428=0,0,(IF($G428="RAME",($J428)*1.5%,0)+IF($G428="rame smaltato",($K428)*1.5%,0))),0))</f>
        <v>#N/A</v>
      </c>
      <c r="O428" s="50" t="e">
        <f t="shared" ref="O428:O491" si="106">IF($I428=0,0,(IF($G428="alluminio",($J428)*3%,0)+IF($G428="alluminio smaltato",($K428)*3%,0)))</f>
        <v>#N/A</v>
      </c>
      <c r="P428" s="50" t="e">
        <f t="shared" ref="P428:P491" si="107">IF(H428="alluminio",0,IF(L428&lt;5%,F428*8%,0))</f>
        <v>#N/A</v>
      </c>
      <c r="Q428" s="51" t="e">
        <f t="shared" ref="Q428:Q491" si="108">+(N428*D428)+(O428*D428)+(P428*D428)</f>
        <v>#N/A</v>
      </c>
      <c r="R428" s="205" t="e">
        <f t="shared" ref="R428:R491" si="109">IF(H428="ALLUMINIO",0,IF(L428&lt;5%,"si",0))</f>
        <v>#N/A</v>
      </c>
      <c r="S428" s="279" t="e">
        <f>IF(R428="si",0,IF(E428="si",0,IF(J428&gt;K428,0,+K428-J428)))+IF('calcolo base'!P1888="SI",('Commissioni De Angeli'!K428-'Commissioni De Angeli'!J428),0)</f>
        <v>#N/A</v>
      </c>
      <c r="T428" s="117" t="e">
        <f t="shared" ref="T428:T491" si="110">+(S428)*D428*40%</f>
        <v>#N/A</v>
      </c>
      <c r="U428" s="272" t="e">
        <f>IF(Q428=0,'calcolo base'!L3027,(T428+Q428))</f>
        <v>#N/A</v>
      </c>
      <c r="V428" s="119"/>
    </row>
    <row r="429" spans="2:22">
      <c r="B429" s="47"/>
      <c r="C429" s="35"/>
      <c r="D429" s="53"/>
      <c r="E429" s="53"/>
      <c r="F429" s="48"/>
      <c r="G429" s="243" t="e">
        <f>INDEX('calcolo base'!$B:$B, MATCH($A429, 'calcolo base'!$A:$A, 0))</f>
        <v>#N/A</v>
      </c>
      <c r="H429" s="54" t="e">
        <f t="shared" si="102"/>
        <v>#N/A</v>
      </c>
      <c r="I429" s="259" t="e">
        <f>IF(  OR(      INDEX('calcolo base'!$D:$D, MATCH($A429, 'calcolo base'!$A:$A, 0)) = 0,
      INDEX('calcolo base'!$D:$D, MATCH($A429, 'calcolo base'!$A:$A, 0)) = ""   ),
   INDEX('calcolo base'!$K:$K, MATCH($A429, 'calcolo base'!$A:$A, 0)),
   INDEX('calcolo base'!$J:$J, MATCH($A429, 'calcolo base'!$A:$A, 0))
) / 1000</f>
        <v>#N/A</v>
      </c>
      <c r="J429" s="50" t="e">
        <f t="shared" si="103"/>
        <v>#N/A</v>
      </c>
      <c r="K429" s="50"/>
      <c r="L429" s="267" t="e">
        <f>INDEX('calcolo base'!$H:$H, MATCH($A429, 'calcolo base'!$A:$A, 0))</f>
        <v>#N/A</v>
      </c>
      <c r="M429" s="50" t="e">
        <f t="shared" si="104"/>
        <v>#N/A</v>
      </c>
      <c r="N429" s="50" t="e">
        <f t="shared" si="105"/>
        <v>#N/A</v>
      </c>
      <c r="O429" s="50" t="e">
        <f t="shared" si="106"/>
        <v>#N/A</v>
      </c>
      <c r="P429" s="50" t="e">
        <f t="shared" si="107"/>
        <v>#N/A</v>
      </c>
      <c r="Q429" s="51" t="e">
        <f t="shared" si="108"/>
        <v>#N/A</v>
      </c>
      <c r="R429" s="205" t="e">
        <f t="shared" si="109"/>
        <v>#N/A</v>
      </c>
      <c r="S429" s="279" t="e">
        <f>IF(R429="si",0,IF(E429="si",0,IF(J429&gt;K429,0,+K429-J429)))+IF('calcolo base'!P1889="SI",('Commissioni De Angeli'!K429-'Commissioni De Angeli'!J429),0)</f>
        <v>#N/A</v>
      </c>
      <c r="T429" s="117" t="e">
        <f t="shared" si="110"/>
        <v>#N/A</v>
      </c>
      <c r="U429" s="272" t="e">
        <f>IF(Q429=0,'calcolo base'!L3028,(T429+Q429))</f>
        <v>#N/A</v>
      </c>
      <c r="V429" s="119"/>
    </row>
    <row r="430" spans="2:22">
      <c r="B430" s="47"/>
      <c r="C430" s="35"/>
      <c r="D430" s="53"/>
      <c r="E430" s="53"/>
      <c r="F430" s="48"/>
      <c r="G430" s="243" t="e">
        <f>INDEX('calcolo base'!$B:$B, MATCH($A430, 'calcolo base'!$A:$A, 0))</f>
        <v>#N/A</v>
      </c>
      <c r="H430" s="54" t="e">
        <f t="shared" si="102"/>
        <v>#N/A</v>
      </c>
      <c r="I430" s="259" t="e">
        <f>IF(  OR(      INDEX('calcolo base'!$D:$D, MATCH($A430, 'calcolo base'!$A:$A, 0)) = 0,
      INDEX('calcolo base'!$D:$D, MATCH($A430, 'calcolo base'!$A:$A, 0)) = ""   ),
   INDEX('calcolo base'!$K:$K, MATCH($A430, 'calcolo base'!$A:$A, 0)),
   INDEX('calcolo base'!$J:$J, MATCH($A430, 'calcolo base'!$A:$A, 0))
) / 1000</f>
        <v>#N/A</v>
      </c>
      <c r="J430" s="50" t="e">
        <f t="shared" si="103"/>
        <v>#N/A</v>
      </c>
      <c r="K430" s="50"/>
      <c r="L430" s="267" t="e">
        <f>INDEX('calcolo base'!$H:$H, MATCH($A430, 'calcolo base'!$A:$A, 0))</f>
        <v>#N/A</v>
      </c>
      <c r="M430" s="50" t="e">
        <f t="shared" si="104"/>
        <v>#N/A</v>
      </c>
      <c r="N430" s="50" t="e">
        <f t="shared" si="105"/>
        <v>#N/A</v>
      </c>
      <c r="O430" s="50" t="e">
        <f t="shared" si="106"/>
        <v>#N/A</v>
      </c>
      <c r="P430" s="50" t="e">
        <f t="shared" si="107"/>
        <v>#N/A</v>
      </c>
      <c r="Q430" s="51" t="e">
        <f t="shared" si="108"/>
        <v>#N/A</v>
      </c>
      <c r="R430" s="205" t="e">
        <f t="shared" si="109"/>
        <v>#N/A</v>
      </c>
      <c r="S430" s="279" t="e">
        <f>IF(R430="si",0,IF(E430="si",0,IF(J430&gt;K430,0,+K430-J430)))+IF('calcolo base'!P1890="SI",('Commissioni De Angeli'!K430-'Commissioni De Angeli'!J430),0)</f>
        <v>#N/A</v>
      </c>
      <c r="T430" s="117" t="e">
        <f t="shared" si="110"/>
        <v>#N/A</v>
      </c>
      <c r="U430" s="272" t="e">
        <f>IF(Q430=0,'calcolo base'!L3029,(T430+Q430))</f>
        <v>#N/A</v>
      </c>
      <c r="V430" s="119"/>
    </row>
    <row r="431" spans="2:22">
      <c r="B431" s="47"/>
      <c r="C431" s="35"/>
      <c r="D431" s="53"/>
      <c r="E431" s="53"/>
      <c r="F431" s="48"/>
      <c r="G431" s="243" t="e">
        <f>INDEX('calcolo base'!$B:$B, MATCH($A431, 'calcolo base'!$A:$A, 0))</f>
        <v>#N/A</v>
      </c>
      <c r="H431" s="54" t="e">
        <f t="shared" si="102"/>
        <v>#N/A</v>
      </c>
      <c r="I431" s="259" t="e">
        <f>IF(  OR(      INDEX('calcolo base'!$D:$D, MATCH($A431, 'calcolo base'!$A:$A, 0)) = 0,
      INDEX('calcolo base'!$D:$D, MATCH($A431, 'calcolo base'!$A:$A, 0)) = ""   ),
   INDEX('calcolo base'!$K:$K, MATCH($A431, 'calcolo base'!$A:$A, 0)),
   INDEX('calcolo base'!$J:$J, MATCH($A431, 'calcolo base'!$A:$A, 0))
) / 1000</f>
        <v>#N/A</v>
      </c>
      <c r="J431" s="50" t="e">
        <f t="shared" si="103"/>
        <v>#N/A</v>
      </c>
      <c r="K431" s="50"/>
      <c r="L431" s="267" t="e">
        <f>INDEX('calcolo base'!$H:$H, MATCH($A431, 'calcolo base'!$A:$A, 0))</f>
        <v>#N/A</v>
      </c>
      <c r="M431" s="50" t="e">
        <f t="shared" si="104"/>
        <v>#N/A</v>
      </c>
      <c r="N431" s="50" t="e">
        <f t="shared" si="105"/>
        <v>#N/A</v>
      </c>
      <c r="O431" s="50" t="e">
        <f t="shared" si="106"/>
        <v>#N/A</v>
      </c>
      <c r="P431" s="50" t="e">
        <f t="shared" si="107"/>
        <v>#N/A</v>
      </c>
      <c r="Q431" s="51" t="e">
        <f t="shared" si="108"/>
        <v>#N/A</v>
      </c>
      <c r="R431" s="205" t="e">
        <f t="shared" si="109"/>
        <v>#N/A</v>
      </c>
      <c r="S431" s="279" t="e">
        <f>IF(R431="si",0,IF(E431="si",0,IF(J431&gt;K431,0,+K431-J431)))+IF('calcolo base'!P1891="SI",('Commissioni De Angeli'!K431-'Commissioni De Angeli'!J431),0)</f>
        <v>#N/A</v>
      </c>
      <c r="T431" s="117" t="e">
        <f t="shared" si="110"/>
        <v>#N/A</v>
      </c>
      <c r="U431" s="272" t="e">
        <f>IF(Q431=0,'calcolo base'!L3030,(T431+Q431))</f>
        <v>#N/A</v>
      </c>
      <c r="V431" s="119"/>
    </row>
    <row r="432" spans="2:22">
      <c r="B432" s="47"/>
      <c r="C432" s="35"/>
      <c r="D432" s="53"/>
      <c r="E432" s="53"/>
      <c r="F432" s="48"/>
      <c r="G432" s="243" t="e">
        <f>INDEX('calcolo base'!$B:$B, MATCH($A432, 'calcolo base'!$A:$A, 0))</f>
        <v>#N/A</v>
      </c>
      <c r="H432" s="54" t="e">
        <f t="shared" si="102"/>
        <v>#N/A</v>
      </c>
      <c r="I432" s="259" t="e">
        <f>IF(  OR(      INDEX('calcolo base'!$D:$D, MATCH($A432, 'calcolo base'!$A:$A, 0)) = 0,
      INDEX('calcolo base'!$D:$D, MATCH($A432, 'calcolo base'!$A:$A, 0)) = ""   ),
   INDEX('calcolo base'!$K:$K, MATCH($A432, 'calcolo base'!$A:$A, 0)),
   INDEX('calcolo base'!$J:$J, MATCH($A432, 'calcolo base'!$A:$A, 0))
) / 1000</f>
        <v>#N/A</v>
      </c>
      <c r="J432" s="50" t="e">
        <f t="shared" si="103"/>
        <v>#N/A</v>
      </c>
      <c r="K432" s="50"/>
      <c r="L432" s="267" t="e">
        <f>INDEX('calcolo base'!$H:$H, MATCH($A432, 'calcolo base'!$A:$A, 0))</f>
        <v>#N/A</v>
      </c>
      <c r="M432" s="50" t="e">
        <f t="shared" si="104"/>
        <v>#N/A</v>
      </c>
      <c r="N432" s="50" t="e">
        <f t="shared" si="105"/>
        <v>#N/A</v>
      </c>
      <c r="O432" s="50" t="e">
        <f t="shared" si="106"/>
        <v>#N/A</v>
      </c>
      <c r="P432" s="50" t="e">
        <f t="shared" si="107"/>
        <v>#N/A</v>
      </c>
      <c r="Q432" s="51" t="e">
        <f t="shared" si="108"/>
        <v>#N/A</v>
      </c>
      <c r="R432" s="205" t="e">
        <f t="shared" si="109"/>
        <v>#N/A</v>
      </c>
      <c r="S432" s="279" t="e">
        <f>IF(R432="si",0,IF(E432="si",0,IF(J432&gt;K432,0,+K432-J432)))+IF('calcolo base'!P1892="SI",('Commissioni De Angeli'!K432-'Commissioni De Angeli'!J432),0)</f>
        <v>#N/A</v>
      </c>
      <c r="T432" s="117" t="e">
        <f t="shared" si="110"/>
        <v>#N/A</v>
      </c>
      <c r="U432" s="272" t="e">
        <f>IF(Q432=0,'calcolo base'!L3031,(T432+Q432))</f>
        <v>#N/A</v>
      </c>
      <c r="V432" s="119"/>
    </row>
    <row r="433" spans="2:22">
      <c r="B433" s="47"/>
      <c r="C433" s="35"/>
      <c r="D433" s="53"/>
      <c r="E433" s="53"/>
      <c r="F433" s="48"/>
      <c r="G433" s="243" t="e">
        <f>INDEX('calcolo base'!$B:$B, MATCH($A433, 'calcolo base'!$A:$A, 0))</f>
        <v>#N/A</v>
      </c>
      <c r="H433" s="54" t="e">
        <f t="shared" si="102"/>
        <v>#N/A</v>
      </c>
      <c r="I433" s="259" t="e">
        <f>IF(  OR(      INDEX('calcolo base'!$D:$D, MATCH($A433, 'calcolo base'!$A:$A, 0)) = 0,
      INDEX('calcolo base'!$D:$D, MATCH($A433, 'calcolo base'!$A:$A, 0)) = ""   ),
   INDEX('calcolo base'!$K:$K, MATCH($A433, 'calcolo base'!$A:$A, 0)),
   INDEX('calcolo base'!$J:$J, MATCH($A433, 'calcolo base'!$A:$A, 0))
) / 1000</f>
        <v>#N/A</v>
      </c>
      <c r="J433" s="50" t="e">
        <f t="shared" si="103"/>
        <v>#N/A</v>
      </c>
      <c r="K433" s="50"/>
      <c r="L433" s="267" t="e">
        <f>INDEX('calcolo base'!$H:$H, MATCH($A433, 'calcolo base'!$A:$A, 0))</f>
        <v>#N/A</v>
      </c>
      <c r="M433" s="50" t="e">
        <f t="shared" si="104"/>
        <v>#N/A</v>
      </c>
      <c r="N433" s="50" t="e">
        <f t="shared" si="105"/>
        <v>#N/A</v>
      </c>
      <c r="O433" s="50" t="e">
        <f t="shared" si="106"/>
        <v>#N/A</v>
      </c>
      <c r="P433" s="50" t="e">
        <f t="shared" si="107"/>
        <v>#N/A</v>
      </c>
      <c r="Q433" s="51" t="e">
        <f t="shared" si="108"/>
        <v>#N/A</v>
      </c>
      <c r="R433" s="205" t="e">
        <f t="shared" si="109"/>
        <v>#N/A</v>
      </c>
      <c r="S433" s="279" t="e">
        <f>IF(R433="si",0,IF(E433="si",0,IF(J433&gt;K433,0,+K433-J433)))+IF('calcolo base'!P1893="SI",('Commissioni De Angeli'!K433-'Commissioni De Angeli'!J433),0)</f>
        <v>#N/A</v>
      </c>
      <c r="T433" s="117" t="e">
        <f t="shared" si="110"/>
        <v>#N/A</v>
      </c>
      <c r="U433" s="272" t="e">
        <f>IF(Q433=0,'calcolo base'!L3032,(T433+Q433))</f>
        <v>#N/A</v>
      </c>
      <c r="V433" s="119"/>
    </row>
    <row r="434" spans="2:22">
      <c r="B434" s="47"/>
      <c r="C434" s="35"/>
      <c r="D434" s="53"/>
      <c r="E434" s="53"/>
      <c r="F434" s="48"/>
      <c r="G434" s="243" t="e">
        <f>INDEX('calcolo base'!$B:$B, MATCH($A434, 'calcolo base'!$A:$A, 0))</f>
        <v>#N/A</v>
      </c>
      <c r="H434" s="54" t="e">
        <f t="shared" si="102"/>
        <v>#N/A</v>
      </c>
      <c r="I434" s="259" t="e">
        <f>IF(  OR(      INDEX('calcolo base'!$D:$D, MATCH($A434, 'calcolo base'!$A:$A, 0)) = 0,
      INDEX('calcolo base'!$D:$D, MATCH($A434, 'calcolo base'!$A:$A, 0)) = ""   ),
   INDEX('calcolo base'!$K:$K, MATCH($A434, 'calcolo base'!$A:$A, 0)),
   INDEX('calcolo base'!$J:$J, MATCH($A434, 'calcolo base'!$A:$A, 0))
) / 1000</f>
        <v>#N/A</v>
      </c>
      <c r="J434" s="50" t="e">
        <f t="shared" si="103"/>
        <v>#N/A</v>
      </c>
      <c r="K434" s="50"/>
      <c r="L434" s="267" t="e">
        <f>INDEX('calcolo base'!$H:$H, MATCH($A434, 'calcolo base'!$A:$A, 0))</f>
        <v>#N/A</v>
      </c>
      <c r="M434" s="50" t="e">
        <f t="shared" si="104"/>
        <v>#N/A</v>
      </c>
      <c r="N434" s="50" t="e">
        <f t="shared" si="105"/>
        <v>#N/A</v>
      </c>
      <c r="O434" s="50" t="e">
        <f t="shared" si="106"/>
        <v>#N/A</v>
      </c>
      <c r="P434" s="50" t="e">
        <f t="shared" si="107"/>
        <v>#N/A</v>
      </c>
      <c r="Q434" s="51" t="e">
        <f t="shared" si="108"/>
        <v>#N/A</v>
      </c>
      <c r="R434" s="205" t="e">
        <f t="shared" si="109"/>
        <v>#N/A</v>
      </c>
      <c r="S434" s="279" t="e">
        <f>IF(R434="si",0,IF(E434="si",0,IF(J434&gt;K434,0,+K434-J434)))+IF('calcolo base'!P1894="SI",('Commissioni De Angeli'!K434-'Commissioni De Angeli'!J434),0)</f>
        <v>#N/A</v>
      </c>
      <c r="T434" s="117" t="e">
        <f t="shared" si="110"/>
        <v>#N/A</v>
      </c>
      <c r="U434" s="272" t="e">
        <f>IF(Q434=0,'calcolo base'!L3033,(T434+Q434))</f>
        <v>#N/A</v>
      </c>
      <c r="V434" s="119"/>
    </row>
    <row r="435" spans="2:22">
      <c r="B435" s="47"/>
      <c r="C435" s="35"/>
      <c r="D435" s="53"/>
      <c r="E435" s="53"/>
      <c r="F435" s="48"/>
      <c r="G435" s="243" t="e">
        <f>INDEX('calcolo base'!$B:$B, MATCH($A435, 'calcolo base'!$A:$A, 0))</f>
        <v>#N/A</v>
      </c>
      <c r="H435" s="54" t="e">
        <f t="shared" si="102"/>
        <v>#N/A</v>
      </c>
      <c r="I435" s="259" t="e">
        <f>IF(  OR(      INDEX('calcolo base'!$D:$D, MATCH($A435, 'calcolo base'!$A:$A, 0)) = 0,
      INDEX('calcolo base'!$D:$D, MATCH($A435, 'calcolo base'!$A:$A, 0)) = ""   ),
   INDEX('calcolo base'!$K:$K, MATCH($A435, 'calcolo base'!$A:$A, 0)),
   INDEX('calcolo base'!$J:$J, MATCH($A435, 'calcolo base'!$A:$A, 0))
) / 1000</f>
        <v>#N/A</v>
      </c>
      <c r="J435" s="50" t="e">
        <f t="shared" si="103"/>
        <v>#N/A</v>
      </c>
      <c r="K435" s="50"/>
      <c r="L435" s="267" t="e">
        <f>INDEX('calcolo base'!$H:$H, MATCH($A435, 'calcolo base'!$A:$A, 0))</f>
        <v>#N/A</v>
      </c>
      <c r="M435" s="50" t="e">
        <f t="shared" si="104"/>
        <v>#N/A</v>
      </c>
      <c r="N435" s="50" t="e">
        <f t="shared" si="105"/>
        <v>#N/A</v>
      </c>
      <c r="O435" s="50" t="e">
        <f t="shared" si="106"/>
        <v>#N/A</v>
      </c>
      <c r="P435" s="50" t="e">
        <f t="shared" si="107"/>
        <v>#N/A</v>
      </c>
      <c r="Q435" s="51" t="e">
        <f t="shared" si="108"/>
        <v>#N/A</v>
      </c>
      <c r="R435" s="205" t="e">
        <f t="shared" si="109"/>
        <v>#N/A</v>
      </c>
      <c r="S435" s="279" t="e">
        <f>IF(R435="si",0,IF(E435="si",0,IF(J435&gt;K435,0,+K435-J435)))+IF('calcolo base'!P1895="SI",('Commissioni De Angeli'!K435-'Commissioni De Angeli'!J435),0)</f>
        <v>#N/A</v>
      </c>
      <c r="T435" s="117" t="e">
        <f t="shared" si="110"/>
        <v>#N/A</v>
      </c>
      <c r="U435" s="272" t="e">
        <f>IF(Q435=0,'calcolo base'!L3034,(T435+Q435))</f>
        <v>#N/A</v>
      </c>
      <c r="V435" s="119"/>
    </row>
    <row r="436" spans="2:22">
      <c r="B436" s="47"/>
      <c r="C436" s="35"/>
      <c r="D436" s="53"/>
      <c r="E436" s="53"/>
      <c r="F436" s="48"/>
      <c r="G436" s="243" t="e">
        <f>INDEX('calcolo base'!$B:$B, MATCH($A436, 'calcolo base'!$A:$A, 0))</f>
        <v>#N/A</v>
      </c>
      <c r="H436" s="54" t="e">
        <f t="shared" si="102"/>
        <v>#N/A</v>
      </c>
      <c r="I436" s="259" t="e">
        <f>IF(  OR(      INDEX('calcolo base'!$D:$D, MATCH($A436, 'calcolo base'!$A:$A, 0)) = 0,
      INDEX('calcolo base'!$D:$D, MATCH($A436, 'calcolo base'!$A:$A, 0)) = ""   ),
   INDEX('calcolo base'!$K:$K, MATCH($A436, 'calcolo base'!$A:$A, 0)),
   INDEX('calcolo base'!$J:$J, MATCH($A436, 'calcolo base'!$A:$A, 0))
) / 1000</f>
        <v>#N/A</v>
      </c>
      <c r="J436" s="50" t="e">
        <f t="shared" si="103"/>
        <v>#N/A</v>
      </c>
      <c r="K436" s="50"/>
      <c r="L436" s="267" t="e">
        <f>INDEX('calcolo base'!$H:$H, MATCH($A436, 'calcolo base'!$A:$A, 0))</f>
        <v>#N/A</v>
      </c>
      <c r="M436" s="50" t="e">
        <f t="shared" si="104"/>
        <v>#N/A</v>
      </c>
      <c r="N436" s="50" t="e">
        <f t="shared" si="105"/>
        <v>#N/A</v>
      </c>
      <c r="O436" s="50" t="e">
        <f t="shared" si="106"/>
        <v>#N/A</v>
      </c>
      <c r="P436" s="50" t="e">
        <f t="shared" si="107"/>
        <v>#N/A</v>
      </c>
      <c r="Q436" s="51" t="e">
        <f t="shared" si="108"/>
        <v>#N/A</v>
      </c>
      <c r="R436" s="205" t="e">
        <f t="shared" si="109"/>
        <v>#N/A</v>
      </c>
      <c r="S436" s="279" t="e">
        <f>IF(R436="si",0,IF(E436="si",0,IF(J436&gt;K436,0,+K436-J436)))+IF('calcolo base'!P1896="SI",('Commissioni De Angeli'!K436-'Commissioni De Angeli'!J436),0)</f>
        <v>#N/A</v>
      </c>
      <c r="T436" s="117" t="e">
        <f t="shared" si="110"/>
        <v>#N/A</v>
      </c>
      <c r="U436" s="272" t="e">
        <f>IF(Q436=0,'calcolo base'!L3035,(T436+Q436))</f>
        <v>#N/A</v>
      </c>
      <c r="V436" s="119"/>
    </row>
    <row r="437" spans="2:22">
      <c r="B437" s="47"/>
      <c r="C437" s="35"/>
      <c r="D437" s="53"/>
      <c r="E437" s="53"/>
      <c r="F437" s="48"/>
      <c r="G437" s="243" t="e">
        <f>INDEX('calcolo base'!$B:$B, MATCH($A437, 'calcolo base'!$A:$A, 0))</f>
        <v>#N/A</v>
      </c>
      <c r="H437" s="54" t="e">
        <f t="shared" si="102"/>
        <v>#N/A</v>
      </c>
      <c r="I437" s="259" t="e">
        <f>IF(  OR(      INDEX('calcolo base'!$D:$D, MATCH($A437, 'calcolo base'!$A:$A, 0)) = 0,
      INDEX('calcolo base'!$D:$D, MATCH($A437, 'calcolo base'!$A:$A, 0)) = ""   ),
   INDEX('calcolo base'!$K:$K, MATCH($A437, 'calcolo base'!$A:$A, 0)),
   INDEX('calcolo base'!$J:$J, MATCH($A437, 'calcolo base'!$A:$A, 0))
) / 1000</f>
        <v>#N/A</v>
      </c>
      <c r="J437" s="50" t="e">
        <f t="shared" si="103"/>
        <v>#N/A</v>
      </c>
      <c r="K437" s="50"/>
      <c r="L437" s="267" t="e">
        <f>INDEX('calcolo base'!$H:$H, MATCH($A437, 'calcolo base'!$A:$A, 0))</f>
        <v>#N/A</v>
      </c>
      <c r="M437" s="50" t="e">
        <f t="shared" si="104"/>
        <v>#N/A</v>
      </c>
      <c r="N437" s="50" t="e">
        <f t="shared" si="105"/>
        <v>#N/A</v>
      </c>
      <c r="O437" s="50" t="e">
        <f t="shared" si="106"/>
        <v>#N/A</v>
      </c>
      <c r="P437" s="50" t="e">
        <f t="shared" si="107"/>
        <v>#N/A</v>
      </c>
      <c r="Q437" s="51" t="e">
        <f t="shared" si="108"/>
        <v>#N/A</v>
      </c>
      <c r="R437" s="205" t="e">
        <f t="shared" si="109"/>
        <v>#N/A</v>
      </c>
      <c r="S437" s="279" t="e">
        <f>IF(R437="si",0,IF(E437="si",0,IF(J437&gt;K437,0,+K437-J437)))+IF('calcolo base'!P1897="SI",('Commissioni De Angeli'!K437-'Commissioni De Angeli'!J437),0)</f>
        <v>#N/A</v>
      </c>
      <c r="T437" s="117" t="e">
        <f t="shared" si="110"/>
        <v>#N/A</v>
      </c>
      <c r="U437" s="272" t="e">
        <f>IF(Q437=0,'calcolo base'!L3036,(T437+Q437))</f>
        <v>#N/A</v>
      </c>
      <c r="V437" s="119"/>
    </row>
    <row r="438" spans="2:22">
      <c r="B438" s="47"/>
      <c r="C438" s="35"/>
      <c r="D438" s="53"/>
      <c r="E438" s="53"/>
      <c r="F438" s="48"/>
      <c r="G438" s="243" t="e">
        <f>INDEX('calcolo base'!$B:$B, MATCH($A438, 'calcolo base'!$A:$A, 0))</f>
        <v>#N/A</v>
      </c>
      <c r="H438" s="54" t="e">
        <f t="shared" si="102"/>
        <v>#N/A</v>
      </c>
      <c r="I438" s="259" t="e">
        <f>IF(  OR(      INDEX('calcolo base'!$D:$D, MATCH($A438, 'calcolo base'!$A:$A, 0)) = 0,
      INDEX('calcolo base'!$D:$D, MATCH($A438, 'calcolo base'!$A:$A, 0)) = ""   ),
   INDEX('calcolo base'!$K:$K, MATCH($A438, 'calcolo base'!$A:$A, 0)),
   INDEX('calcolo base'!$J:$J, MATCH($A438, 'calcolo base'!$A:$A, 0))
) / 1000</f>
        <v>#N/A</v>
      </c>
      <c r="J438" s="50" t="e">
        <f t="shared" si="103"/>
        <v>#N/A</v>
      </c>
      <c r="K438" s="50"/>
      <c r="L438" s="267" t="e">
        <f>INDEX('calcolo base'!$H:$H, MATCH($A438, 'calcolo base'!$A:$A, 0))</f>
        <v>#N/A</v>
      </c>
      <c r="M438" s="50" t="e">
        <f t="shared" si="104"/>
        <v>#N/A</v>
      </c>
      <c r="N438" s="50" t="e">
        <f t="shared" si="105"/>
        <v>#N/A</v>
      </c>
      <c r="O438" s="50" t="e">
        <f t="shared" si="106"/>
        <v>#N/A</v>
      </c>
      <c r="P438" s="50" t="e">
        <f t="shared" si="107"/>
        <v>#N/A</v>
      </c>
      <c r="Q438" s="51" t="e">
        <f t="shared" si="108"/>
        <v>#N/A</v>
      </c>
      <c r="R438" s="205" t="e">
        <f t="shared" si="109"/>
        <v>#N/A</v>
      </c>
      <c r="S438" s="279" t="e">
        <f>IF(R438="si",0,IF(E438="si",0,IF(J438&gt;K438,0,+K438-J438)))+IF('calcolo base'!P1898="SI",('Commissioni De Angeli'!K438-'Commissioni De Angeli'!J438),0)</f>
        <v>#N/A</v>
      </c>
      <c r="T438" s="117" t="e">
        <f t="shared" si="110"/>
        <v>#N/A</v>
      </c>
      <c r="U438" s="272" t="e">
        <f>IF(Q438=0,'calcolo base'!L3037,(T438+Q438))</f>
        <v>#N/A</v>
      </c>
      <c r="V438" s="119"/>
    </row>
    <row r="439" spans="2:22">
      <c r="B439" s="47"/>
      <c r="C439" s="35"/>
      <c r="D439" s="53"/>
      <c r="E439" s="53"/>
      <c r="F439" s="48"/>
      <c r="G439" s="243" t="e">
        <f>INDEX('calcolo base'!$B:$B, MATCH($A439, 'calcolo base'!$A:$A, 0))</f>
        <v>#N/A</v>
      </c>
      <c r="H439" s="54" t="e">
        <f t="shared" si="102"/>
        <v>#N/A</v>
      </c>
      <c r="I439" s="259" t="e">
        <f>IF(  OR(      INDEX('calcolo base'!$D:$D, MATCH($A439, 'calcolo base'!$A:$A, 0)) = 0,
      INDEX('calcolo base'!$D:$D, MATCH($A439, 'calcolo base'!$A:$A, 0)) = ""   ),
   INDEX('calcolo base'!$K:$K, MATCH($A439, 'calcolo base'!$A:$A, 0)),
   INDEX('calcolo base'!$J:$J, MATCH($A439, 'calcolo base'!$A:$A, 0))
) / 1000</f>
        <v>#N/A</v>
      </c>
      <c r="J439" s="50" t="e">
        <f t="shared" si="103"/>
        <v>#N/A</v>
      </c>
      <c r="K439" s="50"/>
      <c r="L439" s="267" t="e">
        <f>INDEX('calcolo base'!$H:$H, MATCH($A439, 'calcolo base'!$A:$A, 0))</f>
        <v>#N/A</v>
      </c>
      <c r="M439" s="50" t="e">
        <f t="shared" si="104"/>
        <v>#N/A</v>
      </c>
      <c r="N439" s="50" t="e">
        <f t="shared" si="105"/>
        <v>#N/A</v>
      </c>
      <c r="O439" s="50" t="e">
        <f t="shared" si="106"/>
        <v>#N/A</v>
      </c>
      <c r="P439" s="50" t="e">
        <f t="shared" si="107"/>
        <v>#N/A</v>
      </c>
      <c r="Q439" s="51" t="e">
        <f t="shared" si="108"/>
        <v>#N/A</v>
      </c>
      <c r="R439" s="205" t="e">
        <f t="shared" si="109"/>
        <v>#N/A</v>
      </c>
      <c r="S439" s="279" t="e">
        <f>IF(R439="si",0,IF(E439="si",0,IF(J439&gt;K439,0,+K439-J439)))+IF('calcolo base'!P1899="SI",('Commissioni De Angeli'!K439-'Commissioni De Angeli'!J439),0)</f>
        <v>#N/A</v>
      </c>
      <c r="T439" s="117" t="e">
        <f t="shared" si="110"/>
        <v>#N/A</v>
      </c>
      <c r="U439" s="272" t="e">
        <f>IF(Q439=0,'calcolo base'!L3038,(T439+Q439))</f>
        <v>#N/A</v>
      </c>
      <c r="V439" s="119"/>
    </row>
    <row r="440" spans="2:22">
      <c r="B440" s="47"/>
      <c r="C440" s="35"/>
      <c r="D440" s="53"/>
      <c r="E440" s="53"/>
      <c r="F440" s="48"/>
      <c r="G440" s="243" t="e">
        <f>INDEX('calcolo base'!$B:$B, MATCH($A440, 'calcolo base'!$A:$A, 0))</f>
        <v>#N/A</v>
      </c>
      <c r="H440" s="54" t="e">
        <f t="shared" si="102"/>
        <v>#N/A</v>
      </c>
      <c r="I440" s="259" t="e">
        <f>IF(  OR(      INDEX('calcolo base'!$D:$D, MATCH($A440, 'calcolo base'!$A:$A, 0)) = 0,
      INDEX('calcolo base'!$D:$D, MATCH($A440, 'calcolo base'!$A:$A, 0)) = ""   ),
   INDEX('calcolo base'!$K:$K, MATCH($A440, 'calcolo base'!$A:$A, 0)),
   INDEX('calcolo base'!$J:$J, MATCH($A440, 'calcolo base'!$A:$A, 0))
) / 1000</f>
        <v>#N/A</v>
      </c>
      <c r="J440" s="50" t="e">
        <f t="shared" si="103"/>
        <v>#N/A</v>
      </c>
      <c r="K440" s="50"/>
      <c r="L440" s="267" t="e">
        <f>INDEX('calcolo base'!$H:$H, MATCH($A440, 'calcolo base'!$A:$A, 0))</f>
        <v>#N/A</v>
      </c>
      <c r="M440" s="50" t="e">
        <f t="shared" si="104"/>
        <v>#N/A</v>
      </c>
      <c r="N440" s="50" t="e">
        <f t="shared" si="105"/>
        <v>#N/A</v>
      </c>
      <c r="O440" s="50" t="e">
        <f t="shared" si="106"/>
        <v>#N/A</v>
      </c>
      <c r="P440" s="50" t="e">
        <f t="shared" si="107"/>
        <v>#N/A</v>
      </c>
      <c r="Q440" s="51" t="e">
        <f t="shared" si="108"/>
        <v>#N/A</v>
      </c>
      <c r="R440" s="205" t="e">
        <f t="shared" si="109"/>
        <v>#N/A</v>
      </c>
      <c r="S440" s="279" t="e">
        <f>IF(R440="si",0,IF(E440="si",0,IF(J440&gt;K440,0,+K440-J440)))+IF('calcolo base'!P1900="SI",('Commissioni De Angeli'!K440-'Commissioni De Angeli'!J440),0)</f>
        <v>#N/A</v>
      </c>
      <c r="T440" s="117" t="e">
        <f t="shared" si="110"/>
        <v>#N/A</v>
      </c>
      <c r="U440" s="272" t="e">
        <f>IF(Q440=0,'calcolo base'!L3039,(T440+Q440))</f>
        <v>#N/A</v>
      </c>
      <c r="V440" s="119"/>
    </row>
    <row r="441" spans="2:22">
      <c r="B441" s="47"/>
      <c r="C441" s="35"/>
      <c r="D441" s="53"/>
      <c r="E441" s="53"/>
      <c r="F441" s="48"/>
      <c r="G441" s="243" t="e">
        <f>INDEX('calcolo base'!$B:$B, MATCH($A441, 'calcolo base'!$A:$A, 0))</f>
        <v>#N/A</v>
      </c>
      <c r="H441" s="54" t="e">
        <f t="shared" si="102"/>
        <v>#N/A</v>
      </c>
      <c r="I441" s="259" t="e">
        <f>IF(  OR(      INDEX('calcolo base'!$D:$D, MATCH($A441, 'calcolo base'!$A:$A, 0)) = 0,
      INDEX('calcolo base'!$D:$D, MATCH($A441, 'calcolo base'!$A:$A, 0)) = ""   ),
   INDEX('calcolo base'!$K:$K, MATCH($A441, 'calcolo base'!$A:$A, 0)),
   INDEX('calcolo base'!$J:$J, MATCH($A441, 'calcolo base'!$A:$A, 0))
) / 1000</f>
        <v>#N/A</v>
      </c>
      <c r="J441" s="50" t="e">
        <f t="shared" si="103"/>
        <v>#N/A</v>
      </c>
      <c r="K441" s="50"/>
      <c r="L441" s="267" t="e">
        <f>INDEX('calcolo base'!$H:$H, MATCH($A441, 'calcolo base'!$A:$A, 0))</f>
        <v>#N/A</v>
      </c>
      <c r="M441" s="50" t="e">
        <f t="shared" si="104"/>
        <v>#N/A</v>
      </c>
      <c r="N441" s="50" t="e">
        <f t="shared" si="105"/>
        <v>#N/A</v>
      </c>
      <c r="O441" s="50" t="e">
        <f t="shared" si="106"/>
        <v>#N/A</v>
      </c>
      <c r="P441" s="50" t="e">
        <f t="shared" si="107"/>
        <v>#N/A</v>
      </c>
      <c r="Q441" s="51" t="e">
        <f t="shared" si="108"/>
        <v>#N/A</v>
      </c>
      <c r="R441" s="205" t="e">
        <f t="shared" si="109"/>
        <v>#N/A</v>
      </c>
      <c r="S441" s="279" t="e">
        <f>IF(R441="si",0,IF(E441="si",0,IF(J441&gt;K441,0,+K441-J441)))+IF('calcolo base'!P1901="SI",('Commissioni De Angeli'!K441-'Commissioni De Angeli'!J441),0)</f>
        <v>#N/A</v>
      </c>
      <c r="T441" s="117" t="e">
        <f t="shared" si="110"/>
        <v>#N/A</v>
      </c>
      <c r="U441" s="272" t="e">
        <f>IF(Q441=0,'calcolo base'!L3040,(T441+Q441))</f>
        <v>#N/A</v>
      </c>
      <c r="V441" s="119"/>
    </row>
    <row r="442" spans="2:22">
      <c r="B442" s="47"/>
      <c r="C442" s="35"/>
      <c r="D442" s="53"/>
      <c r="E442" s="53"/>
      <c r="F442" s="48"/>
      <c r="G442" s="243" t="e">
        <f>INDEX('calcolo base'!$B:$B, MATCH($A442, 'calcolo base'!$A:$A, 0))</f>
        <v>#N/A</v>
      </c>
      <c r="H442" s="54" t="e">
        <f t="shared" si="102"/>
        <v>#N/A</v>
      </c>
      <c r="I442" s="259" t="e">
        <f>IF(  OR(      INDEX('calcolo base'!$D:$D, MATCH($A442, 'calcolo base'!$A:$A, 0)) = 0,
      INDEX('calcolo base'!$D:$D, MATCH($A442, 'calcolo base'!$A:$A, 0)) = ""   ),
   INDEX('calcolo base'!$K:$K, MATCH($A442, 'calcolo base'!$A:$A, 0)),
   INDEX('calcolo base'!$J:$J, MATCH($A442, 'calcolo base'!$A:$A, 0))
) / 1000</f>
        <v>#N/A</v>
      </c>
      <c r="J442" s="50" t="e">
        <f t="shared" si="103"/>
        <v>#N/A</v>
      </c>
      <c r="K442" s="50"/>
      <c r="L442" s="267" t="e">
        <f>INDEX('calcolo base'!$H:$H, MATCH($A442, 'calcolo base'!$A:$A, 0))</f>
        <v>#N/A</v>
      </c>
      <c r="M442" s="50" t="e">
        <f t="shared" si="104"/>
        <v>#N/A</v>
      </c>
      <c r="N442" s="50" t="e">
        <f t="shared" si="105"/>
        <v>#N/A</v>
      </c>
      <c r="O442" s="50" t="e">
        <f t="shared" si="106"/>
        <v>#N/A</v>
      </c>
      <c r="P442" s="50" t="e">
        <f t="shared" si="107"/>
        <v>#N/A</v>
      </c>
      <c r="Q442" s="51" t="e">
        <f t="shared" si="108"/>
        <v>#N/A</v>
      </c>
      <c r="R442" s="205" t="e">
        <f t="shared" si="109"/>
        <v>#N/A</v>
      </c>
      <c r="S442" s="279" t="e">
        <f>IF(R442="si",0,IF(E442="si",0,IF(J442&gt;K442,0,+K442-J442)))+IF('calcolo base'!P1902="SI",('Commissioni De Angeli'!K442-'Commissioni De Angeli'!J442),0)</f>
        <v>#N/A</v>
      </c>
      <c r="T442" s="117" t="e">
        <f t="shared" si="110"/>
        <v>#N/A</v>
      </c>
      <c r="U442" s="272" t="e">
        <f>IF(Q442=0,'calcolo base'!L3041,(T442+Q442))</f>
        <v>#N/A</v>
      </c>
      <c r="V442" s="119"/>
    </row>
    <row r="443" spans="2:22">
      <c r="B443" s="47"/>
      <c r="C443" s="35"/>
      <c r="D443" s="53"/>
      <c r="E443" s="53"/>
      <c r="F443" s="48"/>
      <c r="G443" s="243" t="e">
        <f>INDEX('calcolo base'!$B:$B, MATCH($A443, 'calcolo base'!$A:$A, 0))</f>
        <v>#N/A</v>
      </c>
      <c r="H443" s="54" t="e">
        <f t="shared" si="102"/>
        <v>#N/A</v>
      </c>
      <c r="I443" s="259" t="e">
        <f>IF(  OR(      INDEX('calcolo base'!$D:$D, MATCH($A443, 'calcolo base'!$A:$A, 0)) = 0,
      INDEX('calcolo base'!$D:$D, MATCH($A443, 'calcolo base'!$A:$A, 0)) = ""   ),
   INDEX('calcolo base'!$K:$K, MATCH($A443, 'calcolo base'!$A:$A, 0)),
   INDEX('calcolo base'!$J:$J, MATCH($A443, 'calcolo base'!$A:$A, 0))
) / 1000</f>
        <v>#N/A</v>
      </c>
      <c r="J443" s="50" t="e">
        <f t="shared" si="103"/>
        <v>#N/A</v>
      </c>
      <c r="K443" s="50"/>
      <c r="L443" s="267" t="e">
        <f>INDEX('calcolo base'!$H:$H, MATCH($A443, 'calcolo base'!$A:$A, 0))</f>
        <v>#N/A</v>
      </c>
      <c r="M443" s="50" t="e">
        <f t="shared" si="104"/>
        <v>#N/A</v>
      </c>
      <c r="N443" s="50" t="e">
        <f t="shared" si="105"/>
        <v>#N/A</v>
      </c>
      <c r="O443" s="50" t="e">
        <f t="shared" si="106"/>
        <v>#N/A</v>
      </c>
      <c r="P443" s="50" t="e">
        <f t="shared" si="107"/>
        <v>#N/A</v>
      </c>
      <c r="Q443" s="51" t="e">
        <f t="shared" si="108"/>
        <v>#N/A</v>
      </c>
      <c r="R443" s="205" t="e">
        <f t="shared" si="109"/>
        <v>#N/A</v>
      </c>
      <c r="S443" s="279" t="e">
        <f>IF(R443="si",0,IF(E443="si",0,IF(J443&gt;K443,0,+K443-J443)))+IF('calcolo base'!P1903="SI",('Commissioni De Angeli'!K443-'Commissioni De Angeli'!J443),0)</f>
        <v>#N/A</v>
      </c>
      <c r="T443" s="117" t="e">
        <f t="shared" si="110"/>
        <v>#N/A</v>
      </c>
      <c r="U443" s="272" t="e">
        <f>IF(Q443=0,'calcolo base'!L3042,(T443+Q443))</f>
        <v>#N/A</v>
      </c>
      <c r="V443" s="119"/>
    </row>
    <row r="444" spans="2:22">
      <c r="B444" s="47"/>
      <c r="C444" s="35"/>
      <c r="D444" s="53"/>
      <c r="E444" s="53"/>
      <c r="F444" s="48"/>
      <c r="G444" s="243" t="e">
        <f>INDEX('calcolo base'!$B:$B, MATCH($A444, 'calcolo base'!$A:$A, 0))</f>
        <v>#N/A</v>
      </c>
      <c r="H444" s="54" t="e">
        <f t="shared" si="102"/>
        <v>#N/A</v>
      </c>
      <c r="I444" s="259" t="e">
        <f>IF(  OR(      INDEX('calcolo base'!$D:$D, MATCH($A444, 'calcolo base'!$A:$A, 0)) = 0,
      INDEX('calcolo base'!$D:$D, MATCH($A444, 'calcolo base'!$A:$A, 0)) = ""   ),
   INDEX('calcolo base'!$K:$K, MATCH($A444, 'calcolo base'!$A:$A, 0)),
   INDEX('calcolo base'!$J:$J, MATCH($A444, 'calcolo base'!$A:$A, 0))
) / 1000</f>
        <v>#N/A</v>
      </c>
      <c r="J444" s="50" t="e">
        <f t="shared" si="103"/>
        <v>#N/A</v>
      </c>
      <c r="K444" s="50"/>
      <c r="L444" s="267" t="e">
        <f>INDEX('calcolo base'!$H:$H, MATCH($A444, 'calcolo base'!$A:$A, 0))</f>
        <v>#N/A</v>
      </c>
      <c r="M444" s="50" t="e">
        <f t="shared" si="104"/>
        <v>#N/A</v>
      </c>
      <c r="N444" s="50" t="e">
        <f t="shared" si="105"/>
        <v>#N/A</v>
      </c>
      <c r="O444" s="50" t="e">
        <f t="shared" si="106"/>
        <v>#N/A</v>
      </c>
      <c r="P444" s="50" t="e">
        <f t="shared" si="107"/>
        <v>#N/A</v>
      </c>
      <c r="Q444" s="51" t="e">
        <f t="shared" si="108"/>
        <v>#N/A</v>
      </c>
      <c r="R444" s="205" t="e">
        <f t="shared" si="109"/>
        <v>#N/A</v>
      </c>
      <c r="S444" s="279" t="e">
        <f>IF(R444="si",0,IF(E444="si",0,IF(J444&gt;K444,0,+K444-J444)))+IF('calcolo base'!P1904="SI",('Commissioni De Angeli'!K444-'Commissioni De Angeli'!J444),0)</f>
        <v>#N/A</v>
      </c>
      <c r="T444" s="117" t="e">
        <f t="shared" si="110"/>
        <v>#N/A</v>
      </c>
      <c r="U444" s="272" t="e">
        <f>IF(Q444=0,'calcolo base'!L3043,(T444+Q444))</f>
        <v>#N/A</v>
      </c>
      <c r="V444" s="119"/>
    </row>
    <row r="445" spans="2:22">
      <c r="B445" s="47"/>
      <c r="C445" s="35"/>
      <c r="D445" s="53"/>
      <c r="E445" s="53"/>
      <c r="F445" s="48"/>
      <c r="G445" s="243" t="e">
        <f>INDEX('calcolo base'!$B:$B, MATCH($A445, 'calcolo base'!$A:$A, 0))</f>
        <v>#N/A</v>
      </c>
      <c r="H445" s="54" t="e">
        <f t="shared" si="102"/>
        <v>#N/A</v>
      </c>
      <c r="I445" s="259" t="e">
        <f>IF(  OR(      INDEX('calcolo base'!$D:$D, MATCH($A445, 'calcolo base'!$A:$A, 0)) = 0,
      INDEX('calcolo base'!$D:$D, MATCH($A445, 'calcolo base'!$A:$A, 0)) = ""   ),
   INDEX('calcolo base'!$K:$K, MATCH($A445, 'calcolo base'!$A:$A, 0)),
   INDEX('calcolo base'!$J:$J, MATCH($A445, 'calcolo base'!$A:$A, 0))
) / 1000</f>
        <v>#N/A</v>
      </c>
      <c r="J445" s="50" t="e">
        <f t="shared" si="103"/>
        <v>#N/A</v>
      </c>
      <c r="K445" s="50"/>
      <c r="L445" s="267" t="e">
        <f>INDEX('calcolo base'!$H:$H, MATCH($A445, 'calcolo base'!$A:$A, 0))</f>
        <v>#N/A</v>
      </c>
      <c r="M445" s="50" t="e">
        <f t="shared" si="104"/>
        <v>#N/A</v>
      </c>
      <c r="N445" s="50" t="e">
        <f t="shared" si="105"/>
        <v>#N/A</v>
      </c>
      <c r="O445" s="50" t="e">
        <f t="shared" si="106"/>
        <v>#N/A</v>
      </c>
      <c r="P445" s="50" t="e">
        <f t="shared" si="107"/>
        <v>#N/A</v>
      </c>
      <c r="Q445" s="51" t="e">
        <f t="shared" si="108"/>
        <v>#N/A</v>
      </c>
      <c r="R445" s="205" t="e">
        <f t="shared" si="109"/>
        <v>#N/A</v>
      </c>
      <c r="S445" s="279" t="e">
        <f>IF(R445="si",0,IF(E445="si",0,IF(J445&gt;K445,0,+K445-J445)))+IF('calcolo base'!P1905="SI",('Commissioni De Angeli'!K445-'Commissioni De Angeli'!J445),0)</f>
        <v>#N/A</v>
      </c>
      <c r="T445" s="117" t="e">
        <f t="shared" si="110"/>
        <v>#N/A</v>
      </c>
      <c r="U445" s="272" t="e">
        <f>IF(Q445=0,'calcolo base'!L3044,(T445+Q445))</f>
        <v>#N/A</v>
      </c>
      <c r="V445" s="119"/>
    </row>
    <row r="446" spans="2:22">
      <c r="B446" s="47"/>
      <c r="C446" s="35"/>
      <c r="D446" s="53"/>
      <c r="E446" s="53"/>
      <c r="F446" s="48"/>
      <c r="G446" s="243" t="e">
        <f>INDEX('calcolo base'!$B:$B, MATCH($A446, 'calcolo base'!$A:$A, 0))</f>
        <v>#N/A</v>
      </c>
      <c r="H446" s="54" t="e">
        <f t="shared" si="102"/>
        <v>#N/A</v>
      </c>
      <c r="I446" s="259" t="e">
        <f>IF(  OR(      INDEX('calcolo base'!$D:$D, MATCH($A446, 'calcolo base'!$A:$A, 0)) = 0,
      INDEX('calcolo base'!$D:$D, MATCH($A446, 'calcolo base'!$A:$A, 0)) = ""   ),
   INDEX('calcolo base'!$K:$K, MATCH($A446, 'calcolo base'!$A:$A, 0)),
   INDEX('calcolo base'!$J:$J, MATCH($A446, 'calcolo base'!$A:$A, 0))
) / 1000</f>
        <v>#N/A</v>
      </c>
      <c r="J446" s="50" t="e">
        <f t="shared" si="103"/>
        <v>#N/A</v>
      </c>
      <c r="K446" s="50"/>
      <c r="L446" s="267" t="e">
        <f>INDEX('calcolo base'!$H:$H, MATCH($A446, 'calcolo base'!$A:$A, 0))</f>
        <v>#N/A</v>
      </c>
      <c r="M446" s="50" t="e">
        <f t="shared" si="104"/>
        <v>#N/A</v>
      </c>
      <c r="N446" s="50" t="e">
        <f t="shared" si="105"/>
        <v>#N/A</v>
      </c>
      <c r="O446" s="50" t="e">
        <f t="shared" si="106"/>
        <v>#N/A</v>
      </c>
      <c r="P446" s="50" t="e">
        <f t="shared" si="107"/>
        <v>#N/A</v>
      </c>
      <c r="Q446" s="51" t="e">
        <f t="shared" si="108"/>
        <v>#N/A</v>
      </c>
      <c r="R446" s="205" t="e">
        <f t="shared" si="109"/>
        <v>#N/A</v>
      </c>
      <c r="S446" s="279" t="e">
        <f>IF(R446="si",0,IF(E446="si",0,IF(J446&gt;K446,0,+K446-J446)))+IF('calcolo base'!P1906="SI",('Commissioni De Angeli'!K446-'Commissioni De Angeli'!J446),0)</f>
        <v>#N/A</v>
      </c>
      <c r="T446" s="117" t="e">
        <f t="shared" si="110"/>
        <v>#N/A</v>
      </c>
      <c r="U446" s="272" t="e">
        <f>IF(Q446=0,'calcolo base'!L3045,(T446+Q446))</f>
        <v>#N/A</v>
      </c>
      <c r="V446" s="119"/>
    </row>
    <row r="447" spans="2:22">
      <c r="B447" s="47"/>
      <c r="C447" s="35"/>
      <c r="D447" s="53"/>
      <c r="E447" s="53"/>
      <c r="F447" s="48"/>
      <c r="G447" s="243" t="e">
        <f>INDEX('calcolo base'!$B:$B, MATCH($A447, 'calcolo base'!$A:$A, 0))</f>
        <v>#N/A</v>
      </c>
      <c r="H447" s="54" t="e">
        <f t="shared" si="102"/>
        <v>#N/A</v>
      </c>
      <c r="I447" s="259" t="e">
        <f>IF(  OR(      INDEX('calcolo base'!$D:$D, MATCH($A447, 'calcolo base'!$A:$A, 0)) = 0,
      INDEX('calcolo base'!$D:$D, MATCH($A447, 'calcolo base'!$A:$A, 0)) = ""   ),
   INDEX('calcolo base'!$K:$K, MATCH($A447, 'calcolo base'!$A:$A, 0)),
   INDEX('calcolo base'!$J:$J, MATCH($A447, 'calcolo base'!$A:$A, 0))
) / 1000</f>
        <v>#N/A</v>
      </c>
      <c r="J447" s="50" t="e">
        <f t="shared" si="103"/>
        <v>#N/A</v>
      </c>
      <c r="K447" s="50"/>
      <c r="L447" s="267" t="e">
        <f>INDEX('calcolo base'!$H:$H, MATCH($A447, 'calcolo base'!$A:$A, 0))</f>
        <v>#N/A</v>
      </c>
      <c r="M447" s="50" t="e">
        <f t="shared" si="104"/>
        <v>#N/A</v>
      </c>
      <c r="N447" s="50" t="e">
        <f t="shared" si="105"/>
        <v>#N/A</v>
      </c>
      <c r="O447" s="50" t="e">
        <f t="shared" si="106"/>
        <v>#N/A</v>
      </c>
      <c r="P447" s="50" t="e">
        <f t="shared" si="107"/>
        <v>#N/A</v>
      </c>
      <c r="Q447" s="51" t="e">
        <f t="shared" si="108"/>
        <v>#N/A</v>
      </c>
      <c r="R447" s="205" t="e">
        <f t="shared" si="109"/>
        <v>#N/A</v>
      </c>
      <c r="S447" s="279" t="e">
        <f>IF(R447="si",0,IF(E447="si",0,IF(J447&gt;K447,0,+K447-J447)))+IF('calcolo base'!P1907="SI",('Commissioni De Angeli'!K447-'Commissioni De Angeli'!J447),0)</f>
        <v>#N/A</v>
      </c>
      <c r="T447" s="117" t="e">
        <f t="shared" si="110"/>
        <v>#N/A</v>
      </c>
      <c r="U447" s="272" t="e">
        <f>IF(Q447=0,'calcolo base'!L3046,(T447+Q447))</f>
        <v>#N/A</v>
      </c>
      <c r="V447" s="119"/>
    </row>
    <row r="448" spans="2:22">
      <c r="B448" s="47"/>
      <c r="C448" s="35"/>
      <c r="D448" s="53"/>
      <c r="E448" s="53"/>
      <c r="F448" s="48"/>
      <c r="G448" s="243" t="e">
        <f>INDEX('calcolo base'!$B:$B, MATCH($A448, 'calcolo base'!$A:$A, 0))</f>
        <v>#N/A</v>
      </c>
      <c r="H448" s="54" t="e">
        <f t="shared" si="102"/>
        <v>#N/A</v>
      </c>
      <c r="I448" s="259" t="e">
        <f>IF(  OR(      INDEX('calcolo base'!$D:$D, MATCH($A448, 'calcolo base'!$A:$A, 0)) = 0,
      INDEX('calcolo base'!$D:$D, MATCH($A448, 'calcolo base'!$A:$A, 0)) = ""   ),
   INDEX('calcolo base'!$K:$K, MATCH($A448, 'calcolo base'!$A:$A, 0)),
   INDEX('calcolo base'!$J:$J, MATCH($A448, 'calcolo base'!$A:$A, 0))
) / 1000</f>
        <v>#N/A</v>
      </c>
      <c r="J448" s="50" t="e">
        <f t="shared" si="103"/>
        <v>#N/A</v>
      </c>
      <c r="K448" s="50"/>
      <c r="L448" s="267" t="e">
        <f>INDEX('calcolo base'!$H:$H, MATCH($A448, 'calcolo base'!$A:$A, 0))</f>
        <v>#N/A</v>
      </c>
      <c r="M448" s="50" t="e">
        <f t="shared" si="104"/>
        <v>#N/A</v>
      </c>
      <c r="N448" s="50" t="e">
        <f t="shared" si="105"/>
        <v>#N/A</v>
      </c>
      <c r="O448" s="50" t="e">
        <f t="shared" si="106"/>
        <v>#N/A</v>
      </c>
      <c r="P448" s="50" t="e">
        <f t="shared" si="107"/>
        <v>#N/A</v>
      </c>
      <c r="Q448" s="51" t="e">
        <f t="shared" si="108"/>
        <v>#N/A</v>
      </c>
      <c r="R448" s="205" t="e">
        <f t="shared" si="109"/>
        <v>#N/A</v>
      </c>
      <c r="S448" s="279" t="e">
        <f>IF(R448="si",0,IF(E448="si",0,IF(J448&gt;K448,0,+K448-J448)))+IF('calcolo base'!P1908="SI",('Commissioni De Angeli'!K448-'Commissioni De Angeli'!J448),0)</f>
        <v>#N/A</v>
      </c>
      <c r="T448" s="117" t="e">
        <f t="shared" si="110"/>
        <v>#N/A</v>
      </c>
      <c r="U448" s="272" t="e">
        <f>IF(Q448=0,'calcolo base'!L3047,(T448+Q448))</f>
        <v>#N/A</v>
      </c>
      <c r="V448" s="119"/>
    </row>
    <row r="449" spans="2:22">
      <c r="B449" s="47"/>
      <c r="C449" s="35"/>
      <c r="D449" s="53"/>
      <c r="E449" s="53"/>
      <c r="F449" s="48"/>
      <c r="G449" s="243" t="e">
        <f>INDEX('calcolo base'!$B:$B, MATCH($A449, 'calcolo base'!$A:$A, 0))</f>
        <v>#N/A</v>
      </c>
      <c r="H449" s="54" t="e">
        <f t="shared" si="102"/>
        <v>#N/A</v>
      </c>
      <c r="I449" s="259" t="e">
        <f>IF(  OR(      INDEX('calcolo base'!$D:$D, MATCH($A449, 'calcolo base'!$A:$A, 0)) = 0,
      INDEX('calcolo base'!$D:$D, MATCH($A449, 'calcolo base'!$A:$A, 0)) = ""   ),
   INDEX('calcolo base'!$K:$K, MATCH($A449, 'calcolo base'!$A:$A, 0)),
   INDEX('calcolo base'!$J:$J, MATCH($A449, 'calcolo base'!$A:$A, 0))
) / 1000</f>
        <v>#N/A</v>
      </c>
      <c r="J449" s="50" t="e">
        <f t="shared" si="103"/>
        <v>#N/A</v>
      </c>
      <c r="K449" s="50"/>
      <c r="L449" s="267" t="e">
        <f>INDEX('calcolo base'!$H:$H, MATCH($A449, 'calcolo base'!$A:$A, 0))</f>
        <v>#N/A</v>
      </c>
      <c r="M449" s="50" t="e">
        <f t="shared" si="104"/>
        <v>#N/A</v>
      </c>
      <c r="N449" s="50" t="e">
        <f t="shared" si="105"/>
        <v>#N/A</v>
      </c>
      <c r="O449" s="50" t="e">
        <f t="shared" si="106"/>
        <v>#N/A</v>
      </c>
      <c r="P449" s="50" t="e">
        <f t="shared" si="107"/>
        <v>#N/A</v>
      </c>
      <c r="Q449" s="51" t="e">
        <f t="shared" si="108"/>
        <v>#N/A</v>
      </c>
      <c r="R449" s="205" t="e">
        <f t="shared" si="109"/>
        <v>#N/A</v>
      </c>
      <c r="S449" s="279" t="e">
        <f>IF(R449="si",0,IF(E449="si",0,IF(J449&gt;K449,0,+K449-J449)))+IF('calcolo base'!P1909="SI",('Commissioni De Angeli'!K449-'Commissioni De Angeli'!J449),0)</f>
        <v>#N/A</v>
      </c>
      <c r="T449" s="117" t="e">
        <f t="shared" si="110"/>
        <v>#N/A</v>
      </c>
      <c r="U449" s="272" t="e">
        <f>IF(Q449=0,'calcolo base'!L3048,(T449+Q449))</f>
        <v>#N/A</v>
      </c>
      <c r="V449" s="119"/>
    </row>
    <row r="450" spans="2:22">
      <c r="B450" s="47"/>
      <c r="C450" s="35"/>
      <c r="D450" s="53"/>
      <c r="E450" s="53"/>
      <c r="F450" s="48"/>
      <c r="G450" s="243" t="e">
        <f>INDEX('calcolo base'!$B:$B, MATCH($A450, 'calcolo base'!$A:$A, 0))</f>
        <v>#N/A</v>
      </c>
      <c r="H450" s="54" t="e">
        <f t="shared" si="102"/>
        <v>#N/A</v>
      </c>
      <c r="I450" s="259" t="e">
        <f>IF(  OR(      INDEX('calcolo base'!$D:$D, MATCH($A450, 'calcolo base'!$A:$A, 0)) = 0,
      INDEX('calcolo base'!$D:$D, MATCH($A450, 'calcolo base'!$A:$A, 0)) = ""   ),
   INDEX('calcolo base'!$K:$K, MATCH($A450, 'calcolo base'!$A:$A, 0)),
   INDEX('calcolo base'!$J:$J, MATCH($A450, 'calcolo base'!$A:$A, 0))
) / 1000</f>
        <v>#N/A</v>
      </c>
      <c r="J450" s="50" t="e">
        <f t="shared" si="103"/>
        <v>#N/A</v>
      </c>
      <c r="K450" s="50"/>
      <c r="L450" s="267" t="e">
        <f>INDEX('calcolo base'!$H:$H, MATCH($A450, 'calcolo base'!$A:$A, 0))</f>
        <v>#N/A</v>
      </c>
      <c r="M450" s="50" t="e">
        <f t="shared" si="104"/>
        <v>#N/A</v>
      </c>
      <c r="N450" s="50" t="e">
        <f t="shared" si="105"/>
        <v>#N/A</v>
      </c>
      <c r="O450" s="50" t="e">
        <f t="shared" si="106"/>
        <v>#N/A</v>
      </c>
      <c r="P450" s="50" t="e">
        <f t="shared" si="107"/>
        <v>#N/A</v>
      </c>
      <c r="Q450" s="51" t="e">
        <f t="shared" si="108"/>
        <v>#N/A</v>
      </c>
      <c r="R450" s="205" t="e">
        <f t="shared" si="109"/>
        <v>#N/A</v>
      </c>
      <c r="S450" s="279" t="e">
        <f>IF(R450="si",0,IF(E450="si",0,IF(J450&gt;K450,0,+K450-J450)))+IF('calcolo base'!P1910="SI",('Commissioni De Angeli'!K450-'Commissioni De Angeli'!J450),0)</f>
        <v>#N/A</v>
      </c>
      <c r="T450" s="117" t="e">
        <f t="shared" si="110"/>
        <v>#N/A</v>
      </c>
      <c r="U450" s="272" t="e">
        <f>IF(Q450=0,'calcolo base'!L3049,(T450+Q450))</f>
        <v>#N/A</v>
      </c>
      <c r="V450" s="119"/>
    </row>
    <row r="451" spans="2:22">
      <c r="B451" s="47"/>
      <c r="C451" s="35"/>
      <c r="D451" s="53"/>
      <c r="E451" s="53"/>
      <c r="F451" s="48"/>
      <c r="G451" s="243" t="e">
        <f>INDEX('calcolo base'!$B:$B, MATCH($A451, 'calcolo base'!$A:$A, 0))</f>
        <v>#N/A</v>
      </c>
      <c r="H451" s="54" t="e">
        <f t="shared" si="102"/>
        <v>#N/A</v>
      </c>
      <c r="I451" s="259" t="e">
        <f>IF(  OR(      INDEX('calcolo base'!$D:$D, MATCH($A451, 'calcolo base'!$A:$A, 0)) = 0,
      INDEX('calcolo base'!$D:$D, MATCH($A451, 'calcolo base'!$A:$A, 0)) = ""   ),
   INDEX('calcolo base'!$K:$K, MATCH($A451, 'calcolo base'!$A:$A, 0)),
   INDEX('calcolo base'!$J:$J, MATCH($A451, 'calcolo base'!$A:$A, 0))
) / 1000</f>
        <v>#N/A</v>
      </c>
      <c r="J451" s="50" t="e">
        <f t="shared" si="103"/>
        <v>#N/A</v>
      </c>
      <c r="K451" s="50"/>
      <c r="L451" s="267" t="e">
        <f>INDEX('calcolo base'!$H:$H, MATCH($A451, 'calcolo base'!$A:$A, 0))</f>
        <v>#N/A</v>
      </c>
      <c r="M451" s="50" t="e">
        <f t="shared" si="104"/>
        <v>#N/A</v>
      </c>
      <c r="N451" s="50" t="e">
        <f t="shared" si="105"/>
        <v>#N/A</v>
      </c>
      <c r="O451" s="50" t="e">
        <f t="shared" si="106"/>
        <v>#N/A</v>
      </c>
      <c r="P451" s="50" t="e">
        <f t="shared" si="107"/>
        <v>#N/A</v>
      </c>
      <c r="Q451" s="51" t="e">
        <f t="shared" si="108"/>
        <v>#N/A</v>
      </c>
      <c r="R451" s="205" t="e">
        <f t="shared" si="109"/>
        <v>#N/A</v>
      </c>
      <c r="S451" s="279" t="e">
        <f>IF(R451="si",0,IF(E451="si",0,IF(J451&gt;K451,0,+K451-J451)))+IF('calcolo base'!P1911="SI",('Commissioni De Angeli'!K451-'Commissioni De Angeli'!J451),0)</f>
        <v>#N/A</v>
      </c>
      <c r="T451" s="117" t="e">
        <f t="shared" si="110"/>
        <v>#N/A</v>
      </c>
      <c r="U451" s="272" t="e">
        <f>IF(Q451=0,'calcolo base'!L3050,(T451+Q451))</f>
        <v>#N/A</v>
      </c>
      <c r="V451" s="119"/>
    </row>
    <row r="452" spans="2:22">
      <c r="B452" s="47"/>
      <c r="C452" s="35"/>
      <c r="D452" s="53"/>
      <c r="E452" s="53"/>
      <c r="F452" s="48"/>
      <c r="G452" s="243" t="e">
        <f>INDEX('calcolo base'!$B:$B, MATCH($A452, 'calcolo base'!$A:$A, 0))</f>
        <v>#N/A</v>
      </c>
      <c r="H452" s="54" t="e">
        <f t="shared" si="102"/>
        <v>#N/A</v>
      </c>
      <c r="I452" s="259" t="e">
        <f>IF(  OR(      INDEX('calcolo base'!$D:$D, MATCH($A452, 'calcolo base'!$A:$A, 0)) = 0,
      INDEX('calcolo base'!$D:$D, MATCH($A452, 'calcolo base'!$A:$A, 0)) = ""   ),
   INDEX('calcolo base'!$K:$K, MATCH($A452, 'calcolo base'!$A:$A, 0)),
   INDEX('calcolo base'!$J:$J, MATCH($A452, 'calcolo base'!$A:$A, 0))
) / 1000</f>
        <v>#N/A</v>
      </c>
      <c r="J452" s="50" t="e">
        <f t="shared" si="103"/>
        <v>#N/A</v>
      </c>
      <c r="K452" s="50"/>
      <c r="L452" s="267" t="e">
        <f>INDEX('calcolo base'!$H:$H, MATCH($A452, 'calcolo base'!$A:$A, 0))</f>
        <v>#N/A</v>
      </c>
      <c r="M452" s="50" t="e">
        <f t="shared" si="104"/>
        <v>#N/A</v>
      </c>
      <c r="N452" s="50" t="e">
        <f t="shared" si="105"/>
        <v>#N/A</v>
      </c>
      <c r="O452" s="50" t="e">
        <f t="shared" si="106"/>
        <v>#N/A</v>
      </c>
      <c r="P452" s="50" t="e">
        <f t="shared" si="107"/>
        <v>#N/A</v>
      </c>
      <c r="Q452" s="51" t="e">
        <f t="shared" si="108"/>
        <v>#N/A</v>
      </c>
      <c r="R452" s="205" t="e">
        <f t="shared" si="109"/>
        <v>#N/A</v>
      </c>
      <c r="S452" s="279" t="e">
        <f>IF(R452="si",0,IF(E452="si",0,IF(J452&gt;K452,0,+K452-J452)))+IF('calcolo base'!P1912="SI",('Commissioni De Angeli'!K452-'Commissioni De Angeli'!J452),0)</f>
        <v>#N/A</v>
      </c>
      <c r="T452" s="117" t="e">
        <f t="shared" si="110"/>
        <v>#N/A</v>
      </c>
      <c r="U452" s="272" t="e">
        <f>IF(Q452=0,'calcolo base'!L3051,(T452+Q452))</f>
        <v>#N/A</v>
      </c>
      <c r="V452" s="119"/>
    </row>
    <row r="453" spans="2:22">
      <c r="B453" s="47"/>
      <c r="C453" s="35"/>
      <c r="D453" s="53"/>
      <c r="E453" s="53"/>
      <c r="F453" s="48"/>
      <c r="G453" s="243" t="e">
        <f>INDEX('calcolo base'!$B:$B, MATCH($A453, 'calcolo base'!$A:$A, 0))</f>
        <v>#N/A</v>
      </c>
      <c r="H453" s="54" t="e">
        <f t="shared" si="102"/>
        <v>#N/A</v>
      </c>
      <c r="I453" s="259" t="e">
        <f>IF(  OR(      INDEX('calcolo base'!$D:$D, MATCH($A453, 'calcolo base'!$A:$A, 0)) = 0,
      INDEX('calcolo base'!$D:$D, MATCH($A453, 'calcolo base'!$A:$A, 0)) = ""   ),
   INDEX('calcolo base'!$K:$K, MATCH($A453, 'calcolo base'!$A:$A, 0)),
   INDEX('calcolo base'!$J:$J, MATCH($A453, 'calcolo base'!$A:$A, 0))
) / 1000</f>
        <v>#N/A</v>
      </c>
      <c r="J453" s="50" t="e">
        <f t="shared" si="103"/>
        <v>#N/A</v>
      </c>
      <c r="K453" s="50"/>
      <c r="L453" s="267" t="e">
        <f>INDEX('calcolo base'!$H:$H, MATCH($A453, 'calcolo base'!$A:$A, 0))</f>
        <v>#N/A</v>
      </c>
      <c r="M453" s="50" t="e">
        <f t="shared" si="104"/>
        <v>#N/A</v>
      </c>
      <c r="N453" s="50" t="e">
        <f t="shared" si="105"/>
        <v>#N/A</v>
      </c>
      <c r="O453" s="50" t="e">
        <f t="shared" si="106"/>
        <v>#N/A</v>
      </c>
      <c r="P453" s="50" t="e">
        <f t="shared" si="107"/>
        <v>#N/A</v>
      </c>
      <c r="Q453" s="51" t="e">
        <f t="shared" si="108"/>
        <v>#N/A</v>
      </c>
      <c r="R453" s="205" t="e">
        <f t="shared" si="109"/>
        <v>#N/A</v>
      </c>
      <c r="S453" s="279" t="e">
        <f>IF(R453="si",0,IF(E453="si",0,IF(J453&gt;K453,0,+K453-J453)))+IF('calcolo base'!P1913="SI",('Commissioni De Angeli'!K453-'Commissioni De Angeli'!J453),0)</f>
        <v>#N/A</v>
      </c>
      <c r="T453" s="117" t="e">
        <f t="shared" si="110"/>
        <v>#N/A</v>
      </c>
      <c r="U453" s="272" t="e">
        <f>IF(Q453=0,'calcolo base'!L3052,(T453+Q453))</f>
        <v>#N/A</v>
      </c>
      <c r="V453" s="119"/>
    </row>
    <row r="454" spans="2:22">
      <c r="B454" s="47"/>
      <c r="C454" s="35"/>
      <c r="D454" s="53"/>
      <c r="E454" s="53"/>
      <c r="F454" s="48"/>
      <c r="G454" s="243" t="e">
        <f>INDEX('calcolo base'!$B:$B, MATCH($A454, 'calcolo base'!$A:$A, 0))</f>
        <v>#N/A</v>
      </c>
      <c r="H454" s="54" t="e">
        <f t="shared" si="102"/>
        <v>#N/A</v>
      </c>
      <c r="I454" s="259" t="e">
        <f>IF(  OR(      INDEX('calcolo base'!$D:$D, MATCH($A454, 'calcolo base'!$A:$A, 0)) = 0,
      INDEX('calcolo base'!$D:$D, MATCH($A454, 'calcolo base'!$A:$A, 0)) = ""   ),
   INDEX('calcolo base'!$K:$K, MATCH($A454, 'calcolo base'!$A:$A, 0)),
   INDEX('calcolo base'!$J:$J, MATCH($A454, 'calcolo base'!$A:$A, 0))
) / 1000</f>
        <v>#N/A</v>
      </c>
      <c r="J454" s="50" t="e">
        <f t="shared" si="103"/>
        <v>#N/A</v>
      </c>
      <c r="K454" s="50"/>
      <c r="L454" s="267" t="e">
        <f>INDEX('calcolo base'!$H:$H, MATCH($A454, 'calcolo base'!$A:$A, 0))</f>
        <v>#N/A</v>
      </c>
      <c r="M454" s="50" t="e">
        <f t="shared" si="104"/>
        <v>#N/A</v>
      </c>
      <c r="N454" s="50" t="e">
        <f t="shared" si="105"/>
        <v>#N/A</v>
      </c>
      <c r="O454" s="50" t="e">
        <f t="shared" si="106"/>
        <v>#N/A</v>
      </c>
      <c r="P454" s="50" t="e">
        <f t="shared" si="107"/>
        <v>#N/A</v>
      </c>
      <c r="Q454" s="51" t="e">
        <f t="shared" si="108"/>
        <v>#N/A</v>
      </c>
      <c r="R454" s="205" t="e">
        <f t="shared" si="109"/>
        <v>#N/A</v>
      </c>
      <c r="S454" s="279" t="e">
        <f>IF(R454="si",0,IF(E454="si",0,IF(J454&gt;K454,0,+K454-J454)))+IF('calcolo base'!P1914="SI",('Commissioni De Angeli'!K454-'Commissioni De Angeli'!J454),0)</f>
        <v>#N/A</v>
      </c>
      <c r="T454" s="117" t="e">
        <f t="shared" si="110"/>
        <v>#N/A</v>
      </c>
      <c r="U454" s="272" t="e">
        <f>IF(Q454=0,'calcolo base'!L3053,(T454+Q454))</f>
        <v>#N/A</v>
      </c>
      <c r="V454" s="119"/>
    </row>
    <row r="455" spans="2:22">
      <c r="B455" s="47"/>
      <c r="C455" s="35"/>
      <c r="D455" s="53"/>
      <c r="E455" s="53"/>
      <c r="F455" s="48"/>
      <c r="G455" s="243" t="e">
        <f>INDEX('calcolo base'!$B:$B, MATCH($A455, 'calcolo base'!$A:$A, 0))</f>
        <v>#N/A</v>
      </c>
      <c r="H455" s="54" t="e">
        <f t="shared" si="102"/>
        <v>#N/A</v>
      </c>
      <c r="I455" s="259" t="e">
        <f>IF(  OR(      INDEX('calcolo base'!$D:$D, MATCH($A455, 'calcolo base'!$A:$A, 0)) = 0,
      INDEX('calcolo base'!$D:$D, MATCH($A455, 'calcolo base'!$A:$A, 0)) = ""   ),
   INDEX('calcolo base'!$K:$K, MATCH($A455, 'calcolo base'!$A:$A, 0)),
   INDEX('calcolo base'!$J:$J, MATCH($A455, 'calcolo base'!$A:$A, 0))
) / 1000</f>
        <v>#N/A</v>
      </c>
      <c r="J455" s="50" t="e">
        <f t="shared" si="103"/>
        <v>#N/A</v>
      </c>
      <c r="K455" s="50"/>
      <c r="L455" s="267" t="e">
        <f>INDEX('calcolo base'!$H:$H, MATCH($A455, 'calcolo base'!$A:$A, 0))</f>
        <v>#N/A</v>
      </c>
      <c r="M455" s="50" t="e">
        <f t="shared" si="104"/>
        <v>#N/A</v>
      </c>
      <c r="N455" s="50" t="e">
        <f t="shared" si="105"/>
        <v>#N/A</v>
      </c>
      <c r="O455" s="50" t="e">
        <f t="shared" si="106"/>
        <v>#N/A</v>
      </c>
      <c r="P455" s="50" t="e">
        <f t="shared" si="107"/>
        <v>#N/A</v>
      </c>
      <c r="Q455" s="51" t="e">
        <f t="shared" si="108"/>
        <v>#N/A</v>
      </c>
      <c r="R455" s="205" t="e">
        <f t="shared" si="109"/>
        <v>#N/A</v>
      </c>
      <c r="S455" s="279" t="e">
        <f>IF(R455="si",0,IF(E455="si",0,IF(J455&gt;K455,0,+K455-J455)))+IF('calcolo base'!P1915="SI",('Commissioni De Angeli'!K455-'Commissioni De Angeli'!J455),0)</f>
        <v>#N/A</v>
      </c>
      <c r="T455" s="117" t="e">
        <f t="shared" si="110"/>
        <v>#N/A</v>
      </c>
      <c r="U455" s="272" t="e">
        <f>IF(Q455=0,'calcolo base'!L3054,(T455+Q455))</f>
        <v>#N/A</v>
      </c>
      <c r="V455" s="119"/>
    </row>
    <row r="456" spans="2:22">
      <c r="B456" s="47"/>
      <c r="C456" s="35"/>
      <c r="D456" s="53"/>
      <c r="E456" s="53"/>
      <c r="F456" s="48"/>
      <c r="G456" s="243" t="e">
        <f>INDEX('calcolo base'!$B:$B, MATCH($A456, 'calcolo base'!$A:$A, 0))</f>
        <v>#N/A</v>
      </c>
      <c r="H456" s="54" t="e">
        <f t="shared" si="102"/>
        <v>#N/A</v>
      </c>
      <c r="I456" s="259" t="e">
        <f>IF(  OR(      INDEX('calcolo base'!$D:$D, MATCH($A456, 'calcolo base'!$A:$A, 0)) = 0,
      INDEX('calcolo base'!$D:$D, MATCH($A456, 'calcolo base'!$A:$A, 0)) = ""   ),
   INDEX('calcolo base'!$K:$K, MATCH($A456, 'calcolo base'!$A:$A, 0)),
   INDEX('calcolo base'!$J:$J, MATCH($A456, 'calcolo base'!$A:$A, 0))
) / 1000</f>
        <v>#N/A</v>
      </c>
      <c r="J456" s="50" t="e">
        <f t="shared" si="103"/>
        <v>#N/A</v>
      </c>
      <c r="K456" s="50"/>
      <c r="L456" s="267" t="e">
        <f>INDEX('calcolo base'!$H:$H, MATCH($A456, 'calcolo base'!$A:$A, 0))</f>
        <v>#N/A</v>
      </c>
      <c r="M456" s="50" t="e">
        <f t="shared" si="104"/>
        <v>#N/A</v>
      </c>
      <c r="N456" s="50" t="e">
        <f t="shared" si="105"/>
        <v>#N/A</v>
      </c>
      <c r="O456" s="50" t="e">
        <f t="shared" si="106"/>
        <v>#N/A</v>
      </c>
      <c r="P456" s="50" t="e">
        <f t="shared" si="107"/>
        <v>#N/A</v>
      </c>
      <c r="Q456" s="51" t="e">
        <f t="shared" si="108"/>
        <v>#N/A</v>
      </c>
      <c r="R456" s="205" t="e">
        <f t="shared" si="109"/>
        <v>#N/A</v>
      </c>
      <c r="S456" s="279" t="e">
        <f>IF(R456="si",0,IF(E456="si",0,IF(J456&gt;K456,0,+K456-J456)))+IF('calcolo base'!P1916="SI",('Commissioni De Angeli'!K456-'Commissioni De Angeli'!J456),0)</f>
        <v>#N/A</v>
      </c>
      <c r="T456" s="117" t="e">
        <f t="shared" si="110"/>
        <v>#N/A</v>
      </c>
      <c r="U456" s="272" t="e">
        <f>IF(Q456=0,'calcolo base'!L3055,(T456+Q456))</f>
        <v>#N/A</v>
      </c>
      <c r="V456" s="119"/>
    </row>
    <row r="457" spans="2:22">
      <c r="B457" s="47"/>
      <c r="C457" s="35"/>
      <c r="D457" s="53"/>
      <c r="E457" s="53"/>
      <c r="F457" s="48"/>
      <c r="G457" s="243" t="e">
        <f>INDEX('calcolo base'!$B:$B, MATCH($A457, 'calcolo base'!$A:$A, 0))</f>
        <v>#N/A</v>
      </c>
      <c r="H457" s="54" t="e">
        <f t="shared" si="102"/>
        <v>#N/A</v>
      </c>
      <c r="I457" s="259" t="e">
        <f>IF(  OR(      INDEX('calcolo base'!$D:$D, MATCH($A457, 'calcolo base'!$A:$A, 0)) = 0,
      INDEX('calcolo base'!$D:$D, MATCH($A457, 'calcolo base'!$A:$A, 0)) = ""   ),
   INDEX('calcolo base'!$K:$K, MATCH($A457, 'calcolo base'!$A:$A, 0)),
   INDEX('calcolo base'!$J:$J, MATCH($A457, 'calcolo base'!$A:$A, 0))
) / 1000</f>
        <v>#N/A</v>
      </c>
      <c r="J457" s="50" t="e">
        <f t="shared" si="103"/>
        <v>#N/A</v>
      </c>
      <c r="K457" s="50"/>
      <c r="L457" s="267" t="e">
        <f>INDEX('calcolo base'!$H:$H, MATCH($A457, 'calcolo base'!$A:$A, 0))</f>
        <v>#N/A</v>
      </c>
      <c r="M457" s="50" t="e">
        <f t="shared" si="104"/>
        <v>#N/A</v>
      </c>
      <c r="N457" s="50" t="e">
        <f t="shared" si="105"/>
        <v>#N/A</v>
      </c>
      <c r="O457" s="50" t="e">
        <f t="shared" si="106"/>
        <v>#N/A</v>
      </c>
      <c r="P457" s="50" t="e">
        <f t="shared" si="107"/>
        <v>#N/A</v>
      </c>
      <c r="Q457" s="51" t="e">
        <f t="shared" si="108"/>
        <v>#N/A</v>
      </c>
      <c r="R457" s="205" t="e">
        <f t="shared" si="109"/>
        <v>#N/A</v>
      </c>
      <c r="S457" s="279" t="e">
        <f>IF(R457="si",0,IF(E457="si",0,IF(J457&gt;K457,0,+K457-J457)))+IF('calcolo base'!P1917="SI",('Commissioni De Angeli'!K457-'Commissioni De Angeli'!J457),0)</f>
        <v>#N/A</v>
      </c>
      <c r="T457" s="117" t="e">
        <f t="shared" si="110"/>
        <v>#N/A</v>
      </c>
      <c r="U457" s="272" t="e">
        <f>IF(Q457=0,'calcolo base'!L3056,(T457+Q457))</f>
        <v>#N/A</v>
      </c>
      <c r="V457" s="119"/>
    </row>
    <row r="458" spans="2:22">
      <c r="B458" s="47"/>
      <c r="C458" s="35"/>
      <c r="D458" s="53"/>
      <c r="E458" s="53"/>
      <c r="F458" s="48"/>
      <c r="G458" s="243" t="e">
        <f>INDEX('calcolo base'!$B:$B, MATCH($A458, 'calcolo base'!$A:$A, 0))</f>
        <v>#N/A</v>
      </c>
      <c r="H458" s="54" t="e">
        <f t="shared" si="102"/>
        <v>#N/A</v>
      </c>
      <c r="I458" s="259" t="e">
        <f>IF(  OR(      INDEX('calcolo base'!$D:$D, MATCH($A458, 'calcolo base'!$A:$A, 0)) = 0,
      INDEX('calcolo base'!$D:$D, MATCH($A458, 'calcolo base'!$A:$A, 0)) = ""   ),
   INDEX('calcolo base'!$K:$K, MATCH($A458, 'calcolo base'!$A:$A, 0)),
   INDEX('calcolo base'!$J:$J, MATCH($A458, 'calcolo base'!$A:$A, 0))
) / 1000</f>
        <v>#N/A</v>
      </c>
      <c r="J458" s="50" t="e">
        <f t="shared" si="103"/>
        <v>#N/A</v>
      </c>
      <c r="K458" s="50"/>
      <c r="L458" s="267" t="e">
        <f>INDEX('calcolo base'!$H:$H, MATCH($A458, 'calcolo base'!$A:$A, 0))</f>
        <v>#N/A</v>
      </c>
      <c r="M458" s="50" t="e">
        <f t="shared" si="104"/>
        <v>#N/A</v>
      </c>
      <c r="N458" s="50" t="e">
        <f t="shared" si="105"/>
        <v>#N/A</v>
      </c>
      <c r="O458" s="50" t="e">
        <f t="shared" si="106"/>
        <v>#N/A</v>
      </c>
      <c r="P458" s="50" t="e">
        <f t="shared" si="107"/>
        <v>#N/A</v>
      </c>
      <c r="Q458" s="51" t="e">
        <f t="shared" si="108"/>
        <v>#N/A</v>
      </c>
      <c r="R458" s="205" t="e">
        <f t="shared" si="109"/>
        <v>#N/A</v>
      </c>
      <c r="S458" s="279" t="e">
        <f>IF(R458="si",0,IF(E458="si",0,IF(J458&gt;K458,0,+K458-J458)))+IF('calcolo base'!P1918="SI",('Commissioni De Angeli'!K458-'Commissioni De Angeli'!J458),0)</f>
        <v>#N/A</v>
      </c>
      <c r="T458" s="117" t="e">
        <f t="shared" si="110"/>
        <v>#N/A</v>
      </c>
      <c r="U458" s="272" t="e">
        <f>IF(Q458=0,'calcolo base'!L3057,(T458+Q458))</f>
        <v>#N/A</v>
      </c>
      <c r="V458" s="119"/>
    </row>
    <row r="459" spans="2:22">
      <c r="B459" s="47"/>
      <c r="C459" s="35"/>
      <c r="D459" s="53"/>
      <c r="E459" s="53"/>
      <c r="F459" s="48"/>
      <c r="G459" s="243" t="e">
        <f>INDEX('calcolo base'!$B:$B, MATCH($A459, 'calcolo base'!$A:$A, 0))</f>
        <v>#N/A</v>
      </c>
      <c r="H459" s="54" t="e">
        <f t="shared" si="102"/>
        <v>#N/A</v>
      </c>
      <c r="I459" s="259" t="e">
        <f>IF(  OR(      INDEX('calcolo base'!$D:$D, MATCH($A459, 'calcolo base'!$A:$A, 0)) = 0,
      INDEX('calcolo base'!$D:$D, MATCH($A459, 'calcolo base'!$A:$A, 0)) = ""   ),
   INDEX('calcolo base'!$K:$K, MATCH($A459, 'calcolo base'!$A:$A, 0)),
   INDEX('calcolo base'!$J:$J, MATCH($A459, 'calcolo base'!$A:$A, 0))
) / 1000</f>
        <v>#N/A</v>
      </c>
      <c r="J459" s="50" t="e">
        <f t="shared" si="103"/>
        <v>#N/A</v>
      </c>
      <c r="K459" s="50"/>
      <c r="L459" s="267" t="e">
        <f>INDEX('calcolo base'!$H:$H, MATCH($A459, 'calcolo base'!$A:$A, 0))</f>
        <v>#N/A</v>
      </c>
      <c r="M459" s="50" t="e">
        <f t="shared" si="104"/>
        <v>#N/A</v>
      </c>
      <c r="N459" s="50" t="e">
        <f t="shared" si="105"/>
        <v>#N/A</v>
      </c>
      <c r="O459" s="50" t="e">
        <f t="shared" si="106"/>
        <v>#N/A</v>
      </c>
      <c r="P459" s="50" t="e">
        <f t="shared" si="107"/>
        <v>#N/A</v>
      </c>
      <c r="Q459" s="51" t="e">
        <f t="shared" si="108"/>
        <v>#N/A</v>
      </c>
      <c r="R459" s="205" t="e">
        <f t="shared" si="109"/>
        <v>#N/A</v>
      </c>
      <c r="S459" s="279" t="e">
        <f>IF(R459="si",0,IF(E459="si",0,IF(J459&gt;K459,0,+K459-J459)))+IF('calcolo base'!P1919="SI",('Commissioni De Angeli'!K459-'Commissioni De Angeli'!J459),0)</f>
        <v>#N/A</v>
      </c>
      <c r="T459" s="117" t="e">
        <f t="shared" si="110"/>
        <v>#N/A</v>
      </c>
      <c r="U459" s="272" t="e">
        <f>IF(Q459=0,'calcolo base'!L3058,(T459+Q459))</f>
        <v>#N/A</v>
      </c>
      <c r="V459" s="119"/>
    </row>
    <row r="460" spans="2:22">
      <c r="B460" s="47"/>
      <c r="C460" s="35"/>
      <c r="D460" s="53"/>
      <c r="E460" s="53"/>
      <c r="F460" s="48"/>
      <c r="G460" s="243" t="e">
        <f>INDEX('calcolo base'!$B:$B, MATCH($A460, 'calcolo base'!$A:$A, 0))</f>
        <v>#N/A</v>
      </c>
      <c r="H460" s="54" t="e">
        <f t="shared" si="102"/>
        <v>#N/A</v>
      </c>
      <c r="I460" s="259" t="e">
        <f>IF(  OR(      INDEX('calcolo base'!$D:$D, MATCH($A460, 'calcolo base'!$A:$A, 0)) = 0,
      INDEX('calcolo base'!$D:$D, MATCH($A460, 'calcolo base'!$A:$A, 0)) = ""   ),
   INDEX('calcolo base'!$K:$K, MATCH($A460, 'calcolo base'!$A:$A, 0)),
   INDEX('calcolo base'!$J:$J, MATCH($A460, 'calcolo base'!$A:$A, 0))
) / 1000</f>
        <v>#N/A</v>
      </c>
      <c r="J460" s="50" t="e">
        <f t="shared" si="103"/>
        <v>#N/A</v>
      </c>
      <c r="K460" s="50"/>
      <c r="L460" s="267" t="e">
        <f>INDEX('calcolo base'!$H:$H, MATCH($A460, 'calcolo base'!$A:$A, 0))</f>
        <v>#N/A</v>
      </c>
      <c r="M460" s="50" t="e">
        <f t="shared" si="104"/>
        <v>#N/A</v>
      </c>
      <c r="N460" s="50" t="e">
        <f t="shared" si="105"/>
        <v>#N/A</v>
      </c>
      <c r="O460" s="50" t="e">
        <f t="shared" si="106"/>
        <v>#N/A</v>
      </c>
      <c r="P460" s="50" t="e">
        <f t="shared" si="107"/>
        <v>#N/A</v>
      </c>
      <c r="Q460" s="51" t="e">
        <f t="shared" si="108"/>
        <v>#N/A</v>
      </c>
      <c r="R460" s="205" t="e">
        <f t="shared" si="109"/>
        <v>#N/A</v>
      </c>
      <c r="S460" s="279" t="e">
        <f>IF(R460="si",0,IF(E460="si",0,IF(J460&gt;K460,0,+K460-J460)))+IF('calcolo base'!P1920="SI",('Commissioni De Angeli'!K460-'Commissioni De Angeli'!J460),0)</f>
        <v>#N/A</v>
      </c>
      <c r="T460" s="117" t="e">
        <f t="shared" si="110"/>
        <v>#N/A</v>
      </c>
      <c r="U460" s="272" t="e">
        <f>IF(Q460=0,'calcolo base'!L3059,(T460+Q460))</f>
        <v>#N/A</v>
      </c>
      <c r="V460" s="119"/>
    </row>
    <row r="461" spans="2:22">
      <c r="B461" s="47"/>
      <c r="C461" s="35"/>
      <c r="D461" s="53"/>
      <c r="E461" s="53"/>
      <c r="F461" s="48"/>
      <c r="G461" s="243" t="e">
        <f>INDEX('calcolo base'!$B:$B, MATCH($A461, 'calcolo base'!$A:$A, 0))</f>
        <v>#N/A</v>
      </c>
      <c r="H461" s="54" t="e">
        <f t="shared" si="102"/>
        <v>#N/A</v>
      </c>
      <c r="I461" s="259" t="e">
        <f>IF(  OR(      INDEX('calcolo base'!$D:$D, MATCH($A461, 'calcolo base'!$A:$A, 0)) = 0,
      INDEX('calcolo base'!$D:$D, MATCH($A461, 'calcolo base'!$A:$A, 0)) = ""   ),
   INDEX('calcolo base'!$K:$K, MATCH($A461, 'calcolo base'!$A:$A, 0)),
   INDEX('calcolo base'!$J:$J, MATCH($A461, 'calcolo base'!$A:$A, 0))
) / 1000</f>
        <v>#N/A</v>
      </c>
      <c r="J461" s="50" t="e">
        <f t="shared" si="103"/>
        <v>#N/A</v>
      </c>
      <c r="K461" s="50"/>
      <c r="L461" s="267" t="e">
        <f>INDEX('calcolo base'!$H:$H, MATCH($A461, 'calcolo base'!$A:$A, 0))</f>
        <v>#N/A</v>
      </c>
      <c r="M461" s="50" t="e">
        <f t="shared" si="104"/>
        <v>#N/A</v>
      </c>
      <c r="N461" s="50" t="e">
        <f t="shared" si="105"/>
        <v>#N/A</v>
      </c>
      <c r="O461" s="50" t="e">
        <f t="shared" si="106"/>
        <v>#N/A</v>
      </c>
      <c r="P461" s="50" t="e">
        <f t="shared" si="107"/>
        <v>#N/A</v>
      </c>
      <c r="Q461" s="51" t="e">
        <f t="shared" si="108"/>
        <v>#N/A</v>
      </c>
      <c r="R461" s="205" t="e">
        <f t="shared" si="109"/>
        <v>#N/A</v>
      </c>
      <c r="S461" s="279" t="e">
        <f>IF(R461="si",0,IF(E461="si",0,IF(J461&gt;K461,0,+K461-J461)))+IF('calcolo base'!P1921="SI",('Commissioni De Angeli'!K461-'Commissioni De Angeli'!J461),0)</f>
        <v>#N/A</v>
      </c>
      <c r="T461" s="117" t="e">
        <f t="shared" si="110"/>
        <v>#N/A</v>
      </c>
      <c r="U461" s="272" t="e">
        <f>IF(Q461=0,'calcolo base'!L3060,(T461+Q461))</f>
        <v>#N/A</v>
      </c>
      <c r="V461" s="119"/>
    </row>
    <row r="462" spans="2:22">
      <c r="B462" s="47"/>
      <c r="C462" s="35"/>
      <c r="D462" s="53"/>
      <c r="E462" s="53"/>
      <c r="F462" s="48"/>
      <c r="G462" s="243" t="e">
        <f>INDEX('calcolo base'!$B:$B, MATCH($A462, 'calcolo base'!$A:$A, 0))</f>
        <v>#N/A</v>
      </c>
      <c r="H462" s="54" t="e">
        <f t="shared" si="102"/>
        <v>#N/A</v>
      </c>
      <c r="I462" s="259" t="e">
        <f>IF(  OR(      INDEX('calcolo base'!$D:$D, MATCH($A462, 'calcolo base'!$A:$A, 0)) = 0,
      INDEX('calcolo base'!$D:$D, MATCH($A462, 'calcolo base'!$A:$A, 0)) = ""   ),
   INDEX('calcolo base'!$K:$K, MATCH($A462, 'calcolo base'!$A:$A, 0)),
   INDEX('calcolo base'!$J:$J, MATCH($A462, 'calcolo base'!$A:$A, 0))
) / 1000</f>
        <v>#N/A</v>
      </c>
      <c r="J462" s="50" t="e">
        <f t="shared" si="103"/>
        <v>#N/A</v>
      </c>
      <c r="K462" s="50"/>
      <c r="L462" s="267" t="e">
        <f>INDEX('calcolo base'!$H:$H, MATCH($A462, 'calcolo base'!$A:$A, 0))</f>
        <v>#N/A</v>
      </c>
      <c r="M462" s="50" t="e">
        <f t="shared" si="104"/>
        <v>#N/A</v>
      </c>
      <c r="N462" s="50" t="e">
        <f t="shared" si="105"/>
        <v>#N/A</v>
      </c>
      <c r="O462" s="50" t="e">
        <f t="shared" si="106"/>
        <v>#N/A</v>
      </c>
      <c r="P462" s="50" t="e">
        <f t="shared" si="107"/>
        <v>#N/A</v>
      </c>
      <c r="Q462" s="51" t="e">
        <f t="shared" si="108"/>
        <v>#N/A</v>
      </c>
      <c r="R462" s="205" t="e">
        <f t="shared" si="109"/>
        <v>#N/A</v>
      </c>
      <c r="S462" s="279" t="e">
        <f>IF(R462="si",0,IF(E462="si",0,IF(J462&gt;K462,0,+K462-J462)))+IF('calcolo base'!P1922="SI",('Commissioni De Angeli'!K462-'Commissioni De Angeli'!J462),0)</f>
        <v>#N/A</v>
      </c>
      <c r="T462" s="117" t="e">
        <f t="shared" si="110"/>
        <v>#N/A</v>
      </c>
      <c r="U462" s="272" t="e">
        <f>IF(Q462=0,'calcolo base'!L3061,(T462+Q462))</f>
        <v>#N/A</v>
      </c>
      <c r="V462" s="119"/>
    </row>
    <row r="463" spans="2:22">
      <c r="B463" s="47"/>
      <c r="C463" s="35"/>
      <c r="D463" s="53"/>
      <c r="E463" s="53"/>
      <c r="F463" s="48"/>
      <c r="G463" s="243" t="e">
        <f>INDEX('calcolo base'!$B:$B, MATCH($A463, 'calcolo base'!$A:$A, 0))</f>
        <v>#N/A</v>
      </c>
      <c r="H463" s="54" t="e">
        <f t="shared" si="102"/>
        <v>#N/A</v>
      </c>
      <c r="I463" s="259" t="e">
        <f>IF(  OR(      INDEX('calcolo base'!$D:$D, MATCH($A463, 'calcolo base'!$A:$A, 0)) = 0,
      INDEX('calcolo base'!$D:$D, MATCH($A463, 'calcolo base'!$A:$A, 0)) = ""   ),
   INDEX('calcolo base'!$K:$K, MATCH($A463, 'calcolo base'!$A:$A, 0)),
   INDEX('calcolo base'!$J:$J, MATCH($A463, 'calcolo base'!$A:$A, 0))
) / 1000</f>
        <v>#N/A</v>
      </c>
      <c r="J463" s="50" t="e">
        <f t="shared" si="103"/>
        <v>#N/A</v>
      </c>
      <c r="K463" s="50"/>
      <c r="L463" s="267" t="e">
        <f>INDEX('calcolo base'!$H:$H, MATCH($A463, 'calcolo base'!$A:$A, 0))</f>
        <v>#N/A</v>
      </c>
      <c r="M463" s="50" t="e">
        <f t="shared" si="104"/>
        <v>#N/A</v>
      </c>
      <c r="N463" s="50" t="e">
        <f t="shared" si="105"/>
        <v>#N/A</v>
      </c>
      <c r="O463" s="50" t="e">
        <f t="shared" si="106"/>
        <v>#N/A</v>
      </c>
      <c r="P463" s="50" t="e">
        <f t="shared" si="107"/>
        <v>#N/A</v>
      </c>
      <c r="Q463" s="51" t="e">
        <f t="shared" si="108"/>
        <v>#N/A</v>
      </c>
      <c r="R463" s="205" t="e">
        <f t="shared" si="109"/>
        <v>#N/A</v>
      </c>
      <c r="S463" s="279" t="e">
        <f>IF(R463="si",0,IF(E463="si",0,IF(J463&gt;K463,0,+K463-J463)))+IF('calcolo base'!P1923="SI",('Commissioni De Angeli'!K463-'Commissioni De Angeli'!J463),0)</f>
        <v>#N/A</v>
      </c>
      <c r="T463" s="117" t="e">
        <f t="shared" si="110"/>
        <v>#N/A</v>
      </c>
      <c r="U463" s="272" t="e">
        <f>IF(Q463=0,'calcolo base'!L3062,(T463+Q463))</f>
        <v>#N/A</v>
      </c>
      <c r="V463" s="119"/>
    </row>
    <row r="464" spans="2:22">
      <c r="B464" s="47"/>
      <c r="C464" s="35"/>
      <c r="D464" s="53"/>
      <c r="E464" s="53"/>
      <c r="F464" s="48"/>
      <c r="G464" s="243" t="e">
        <f>INDEX('calcolo base'!$B:$B, MATCH($A464, 'calcolo base'!$A:$A, 0))</f>
        <v>#N/A</v>
      </c>
      <c r="H464" s="54" t="e">
        <f t="shared" si="102"/>
        <v>#N/A</v>
      </c>
      <c r="I464" s="259" t="e">
        <f>IF(  OR(      INDEX('calcolo base'!$D:$D, MATCH($A464, 'calcolo base'!$A:$A, 0)) = 0,
      INDEX('calcolo base'!$D:$D, MATCH($A464, 'calcolo base'!$A:$A, 0)) = ""   ),
   INDEX('calcolo base'!$K:$K, MATCH($A464, 'calcolo base'!$A:$A, 0)),
   INDEX('calcolo base'!$J:$J, MATCH($A464, 'calcolo base'!$A:$A, 0))
) / 1000</f>
        <v>#N/A</v>
      </c>
      <c r="J464" s="50" t="e">
        <f t="shared" si="103"/>
        <v>#N/A</v>
      </c>
      <c r="K464" s="50"/>
      <c r="L464" s="267" t="e">
        <f>INDEX('calcolo base'!$H:$H, MATCH($A464, 'calcolo base'!$A:$A, 0))</f>
        <v>#N/A</v>
      </c>
      <c r="M464" s="50" t="e">
        <f t="shared" si="104"/>
        <v>#N/A</v>
      </c>
      <c r="N464" s="50" t="e">
        <f t="shared" si="105"/>
        <v>#N/A</v>
      </c>
      <c r="O464" s="50" t="e">
        <f t="shared" si="106"/>
        <v>#N/A</v>
      </c>
      <c r="P464" s="50" t="e">
        <f t="shared" si="107"/>
        <v>#N/A</v>
      </c>
      <c r="Q464" s="51" t="e">
        <f t="shared" si="108"/>
        <v>#N/A</v>
      </c>
      <c r="R464" s="205" t="e">
        <f t="shared" si="109"/>
        <v>#N/A</v>
      </c>
      <c r="S464" s="279" t="e">
        <f>IF(R464="si",0,IF(E464="si",0,IF(J464&gt;K464,0,+K464-J464)))+IF('calcolo base'!P1924="SI",('Commissioni De Angeli'!K464-'Commissioni De Angeli'!J464),0)</f>
        <v>#N/A</v>
      </c>
      <c r="T464" s="117" t="e">
        <f t="shared" si="110"/>
        <v>#N/A</v>
      </c>
      <c r="U464" s="272" t="e">
        <f>IF(Q464=0,'calcolo base'!L3063,(T464+Q464))</f>
        <v>#N/A</v>
      </c>
      <c r="V464" s="119"/>
    </row>
    <row r="465" spans="2:22">
      <c r="B465" s="47"/>
      <c r="C465" s="35"/>
      <c r="D465" s="53"/>
      <c r="E465" s="53"/>
      <c r="F465" s="48"/>
      <c r="G465" s="243" t="e">
        <f>INDEX('calcolo base'!$B:$B, MATCH($A465, 'calcolo base'!$A:$A, 0))</f>
        <v>#N/A</v>
      </c>
      <c r="H465" s="54" t="e">
        <f t="shared" si="102"/>
        <v>#N/A</v>
      </c>
      <c r="I465" s="259" t="e">
        <f>IF(  OR(      INDEX('calcolo base'!$D:$D, MATCH($A465, 'calcolo base'!$A:$A, 0)) = 0,
      INDEX('calcolo base'!$D:$D, MATCH($A465, 'calcolo base'!$A:$A, 0)) = ""   ),
   INDEX('calcolo base'!$K:$K, MATCH($A465, 'calcolo base'!$A:$A, 0)),
   INDEX('calcolo base'!$J:$J, MATCH($A465, 'calcolo base'!$A:$A, 0))
) / 1000</f>
        <v>#N/A</v>
      </c>
      <c r="J465" s="50" t="e">
        <f t="shared" si="103"/>
        <v>#N/A</v>
      </c>
      <c r="K465" s="50"/>
      <c r="L465" s="267" t="e">
        <f>INDEX('calcolo base'!$H:$H, MATCH($A465, 'calcolo base'!$A:$A, 0))</f>
        <v>#N/A</v>
      </c>
      <c r="M465" s="50" t="e">
        <f t="shared" si="104"/>
        <v>#N/A</v>
      </c>
      <c r="N465" s="50" t="e">
        <f t="shared" si="105"/>
        <v>#N/A</v>
      </c>
      <c r="O465" s="50" t="e">
        <f t="shared" si="106"/>
        <v>#N/A</v>
      </c>
      <c r="P465" s="50" t="e">
        <f t="shared" si="107"/>
        <v>#N/A</v>
      </c>
      <c r="Q465" s="51" t="e">
        <f t="shared" si="108"/>
        <v>#N/A</v>
      </c>
      <c r="R465" s="205" t="e">
        <f t="shared" si="109"/>
        <v>#N/A</v>
      </c>
      <c r="S465" s="279" t="e">
        <f>IF(R465="si",0,IF(E465="si",0,IF(J465&gt;K465,0,+K465-J465)))+IF('calcolo base'!P1925="SI",('Commissioni De Angeli'!K465-'Commissioni De Angeli'!J465),0)</f>
        <v>#N/A</v>
      </c>
      <c r="T465" s="117" t="e">
        <f t="shared" si="110"/>
        <v>#N/A</v>
      </c>
      <c r="U465" s="272" t="e">
        <f>IF(Q465=0,'calcolo base'!L3064,(T465+Q465))</f>
        <v>#N/A</v>
      </c>
      <c r="V465" s="119"/>
    </row>
    <row r="466" spans="2:22">
      <c r="B466" s="47"/>
      <c r="C466" s="35"/>
      <c r="D466" s="53"/>
      <c r="E466" s="53"/>
      <c r="F466" s="48"/>
      <c r="G466" s="243" t="e">
        <f>INDEX('calcolo base'!$B:$B, MATCH($A466, 'calcolo base'!$A:$A, 0))</f>
        <v>#N/A</v>
      </c>
      <c r="H466" s="54" t="e">
        <f t="shared" si="102"/>
        <v>#N/A</v>
      </c>
      <c r="I466" s="259" t="e">
        <f>IF(  OR(      INDEX('calcolo base'!$D:$D, MATCH($A466, 'calcolo base'!$A:$A, 0)) = 0,
      INDEX('calcolo base'!$D:$D, MATCH($A466, 'calcolo base'!$A:$A, 0)) = ""   ),
   INDEX('calcolo base'!$K:$K, MATCH($A466, 'calcolo base'!$A:$A, 0)),
   INDEX('calcolo base'!$J:$J, MATCH($A466, 'calcolo base'!$A:$A, 0))
) / 1000</f>
        <v>#N/A</v>
      </c>
      <c r="J466" s="50" t="e">
        <f t="shared" si="103"/>
        <v>#N/A</v>
      </c>
      <c r="K466" s="50"/>
      <c r="L466" s="267" t="e">
        <f>INDEX('calcolo base'!$H:$H, MATCH($A466, 'calcolo base'!$A:$A, 0))</f>
        <v>#N/A</v>
      </c>
      <c r="M466" s="50" t="e">
        <f t="shared" si="104"/>
        <v>#N/A</v>
      </c>
      <c r="N466" s="50" t="e">
        <f t="shared" si="105"/>
        <v>#N/A</v>
      </c>
      <c r="O466" s="50" t="e">
        <f t="shared" si="106"/>
        <v>#N/A</v>
      </c>
      <c r="P466" s="50" t="e">
        <f t="shared" si="107"/>
        <v>#N/A</v>
      </c>
      <c r="Q466" s="51" t="e">
        <f t="shared" si="108"/>
        <v>#N/A</v>
      </c>
      <c r="R466" s="205" t="e">
        <f t="shared" si="109"/>
        <v>#N/A</v>
      </c>
      <c r="S466" s="279" t="e">
        <f>IF(R466="si",0,IF(E466="si",0,IF(J466&gt;K466,0,+K466-J466)))+IF('calcolo base'!P1926="SI",('Commissioni De Angeli'!K466-'Commissioni De Angeli'!J466),0)</f>
        <v>#N/A</v>
      </c>
      <c r="T466" s="117" t="e">
        <f t="shared" si="110"/>
        <v>#N/A</v>
      </c>
      <c r="U466" s="272" t="e">
        <f>IF(Q466=0,'calcolo base'!L3065,(T466+Q466))</f>
        <v>#N/A</v>
      </c>
      <c r="V466" s="119"/>
    </row>
    <row r="467" spans="2:22">
      <c r="B467" s="47"/>
      <c r="C467" s="35"/>
      <c r="D467" s="53"/>
      <c r="E467" s="53"/>
      <c r="F467" s="48"/>
      <c r="G467" s="243" t="e">
        <f>INDEX('calcolo base'!$B:$B, MATCH($A467, 'calcolo base'!$A:$A, 0))</f>
        <v>#N/A</v>
      </c>
      <c r="H467" s="54" t="e">
        <f t="shared" si="102"/>
        <v>#N/A</v>
      </c>
      <c r="I467" s="259" t="e">
        <f>IF(  OR(      INDEX('calcolo base'!$D:$D, MATCH($A467, 'calcolo base'!$A:$A, 0)) = 0,
      INDEX('calcolo base'!$D:$D, MATCH($A467, 'calcolo base'!$A:$A, 0)) = ""   ),
   INDEX('calcolo base'!$K:$K, MATCH($A467, 'calcolo base'!$A:$A, 0)),
   INDEX('calcolo base'!$J:$J, MATCH($A467, 'calcolo base'!$A:$A, 0))
) / 1000</f>
        <v>#N/A</v>
      </c>
      <c r="J467" s="50" t="e">
        <f t="shared" si="103"/>
        <v>#N/A</v>
      </c>
      <c r="K467" s="50"/>
      <c r="L467" s="267" t="e">
        <f>INDEX('calcolo base'!$H:$H, MATCH($A467, 'calcolo base'!$A:$A, 0))</f>
        <v>#N/A</v>
      </c>
      <c r="M467" s="50" t="e">
        <f t="shared" si="104"/>
        <v>#N/A</v>
      </c>
      <c r="N467" s="50" t="e">
        <f t="shared" si="105"/>
        <v>#N/A</v>
      </c>
      <c r="O467" s="50" t="e">
        <f t="shared" si="106"/>
        <v>#N/A</v>
      </c>
      <c r="P467" s="50" t="e">
        <f t="shared" si="107"/>
        <v>#N/A</v>
      </c>
      <c r="Q467" s="51" t="e">
        <f t="shared" si="108"/>
        <v>#N/A</v>
      </c>
      <c r="R467" s="205" t="e">
        <f t="shared" si="109"/>
        <v>#N/A</v>
      </c>
      <c r="S467" s="279" t="e">
        <f>IF(R467="si",0,IF(E467="si",0,IF(J467&gt;K467,0,+K467-J467)))+IF('calcolo base'!P1927="SI",('Commissioni De Angeli'!K467-'Commissioni De Angeli'!J467),0)</f>
        <v>#N/A</v>
      </c>
      <c r="T467" s="117" t="e">
        <f t="shared" si="110"/>
        <v>#N/A</v>
      </c>
      <c r="U467" s="272" t="e">
        <f>IF(Q467=0,'calcolo base'!L3066,(T467+Q467))</f>
        <v>#N/A</v>
      </c>
      <c r="V467" s="119"/>
    </row>
    <row r="468" spans="2:22">
      <c r="B468" s="47"/>
      <c r="C468" s="35"/>
      <c r="D468" s="53"/>
      <c r="E468" s="53"/>
      <c r="F468" s="48"/>
      <c r="G468" s="243" t="e">
        <f>INDEX('calcolo base'!$B:$B, MATCH($A468, 'calcolo base'!$A:$A, 0))</f>
        <v>#N/A</v>
      </c>
      <c r="H468" s="54" t="e">
        <f t="shared" si="102"/>
        <v>#N/A</v>
      </c>
      <c r="I468" s="259" t="e">
        <f>IF(  OR(      INDEX('calcolo base'!$D:$D, MATCH($A468, 'calcolo base'!$A:$A, 0)) = 0,
      INDEX('calcolo base'!$D:$D, MATCH($A468, 'calcolo base'!$A:$A, 0)) = ""   ),
   INDEX('calcolo base'!$K:$K, MATCH($A468, 'calcolo base'!$A:$A, 0)),
   INDEX('calcolo base'!$J:$J, MATCH($A468, 'calcolo base'!$A:$A, 0))
) / 1000</f>
        <v>#N/A</v>
      </c>
      <c r="J468" s="50" t="e">
        <f t="shared" si="103"/>
        <v>#N/A</v>
      </c>
      <c r="K468" s="50"/>
      <c r="L468" s="267" t="e">
        <f>INDEX('calcolo base'!$H:$H, MATCH($A468, 'calcolo base'!$A:$A, 0))</f>
        <v>#N/A</v>
      </c>
      <c r="M468" s="50" t="e">
        <f t="shared" si="104"/>
        <v>#N/A</v>
      </c>
      <c r="N468" s="50" t="e">
        <f t="shared" si="105"/>
        <v>#N/A</v>
      </c>
      <c r="O468" s="50" t="e">
        <f t="shared" si="106"/>
        <v>#N/A</v>
      </c>
      <c r="P468" s="50" t="e">
        <f t="shared" si="107"/>
        <v>#N/A</v>
      </c>
      <c r="Q468" s="51" t="e">
        <f t="shared" si="108"/>
        <v>#N/A</v>
      </c>
      <c r="R468" s="205" t="e">
        <f t="shared" si="109"/>
        <v>#N/A</v>
      </c>
      <c r="S468" s="279" t="e">
        <f>IF(R468="si",0,IF(E468="si",0,IF(J468&gt;K468,0,+K468-J468)))+IF('calcolo base'!P1928="SI",('Commissioni De Angeli'!K468-'Commissioni De Angeli'!J468),0)</f>
        <v>#N/A</v>
      </c>
      <c r="T468" s="117" t="e">
        <f t="shared" si="110"/>
        <v>#N/A</v>
      </c>
      <c r="U468" s="272" t="e">
        <f>IF(Q468=0,'calcolo base'!L3067,(T468+Q468))</f>
        <v>#N/A</v>
      </c>
      <c r="V468" s="119"/>
    </row>
    <row r="469" spans="2:22">
      <c r="B469" s="47"/>
      <c r="C469" s="35"/>
      <c r="D469" s="53"/>
      <c r="E469" s="53"/>
      <c r="F469" s="48"/>
      <c r="G469" s="243" t="e">
        <f>INDEX('calcolo base'!$B:$B, MATCH($A469, 'calcolo base'!$A:$A, 0))</f>
        <v>#N/A</v>
      </c>
      <c r="H469" s="54" t="e">
        <f t="shared" si="102"/>
        <v>#N/A</v>
      </c>
      <c r="I469" s="259" t="e">
        <f>IF(  OR(      INDEX('calcolo base'!$D:$D, MATCH($A469, 'calcolo base'!$A:$A, 0)) = 0,
      INDEX('calcolo base'!$D:$D, MATCH($A469, 'calcolo base'!$A:$A, 0)) = ""   ),
   INDEX('calcolo base'!$K:$K, MATCH($A469, 'calcolo base'!$A:$A, 0)),
   INDEX('calcolo base'!$J:$J, MATCH($A469, 'calcolo base'!$A:$A, 0))
) / 1000</f>
        <v>#N/A</v>
      </c>
      <c r="J469" s="50" t="e">
        <f t="shared" si="103"/>
        <v>#N/A</v>
      </c>
      <c r="K469" s="50"/>
      <c r="L469" s="267" t="e">
        <f>INDEX('calcolo base'!$H:$H, MATCH($A469, 'calcolo base'!$A:$A, 0))</f>
        <v>#N/A</v>
      </c>
      <c r="M469" s="50" t="e">
        <f t="shared" si="104"/>
        <v>#N/A</v>
      </c>
      <c r="N469" s="50" t="e">
        <f t="shared" si="105"/>
        <v>#N/A</v>
      </c>
      <c r="O469" s="50" t="e">
        <f t="shared" si="106"/>
        <v>#N/A</v>
      </c>
      <c r="P469" s="50" t="e">
        <f t="shared" si="107"/>
        <v>#N/A</v>
      </c>
      <c r="Q469" s="51" t="e">
        <f t="shared" si="108"/>
        <v>#N/A</v>
      </c>
      <c r="R469" s="205" t="e">
        <f t="shared" si="109"/>
        <v>#N/A</v>
      </c>
      <c r="S469" s="279" t="e">
        <f>IF(R469="si",0,IF(E469="si",0,IF(J469&gt;K469,0,+K469-J469)))+IF('calcolo base'!P1929="SI",('Commissioni De Angeli'!K469-'Commissioni De Angeli'!J469),0)</f>
        <v>#N/A</v>
      </c>
      <c r="T469" s="117" t="e">
        <f t="shared" si="110"/>
        <v>#N/A</v>
      </c>
      <c r="U469" s="272" t="e">
        <f>IF(Q469=0,'calcolo base'!L3068,(T469+Q469))</f>
        <v>#N/A</v>
      </c>
      <c r="V469" s="119"/>
    </row>
    <row r="470" spans="2:22">
      <c r="B470" s="47"/>
      <c r="C470" s="35"/>
      <c r="D470" s="53"/>
      <c r="E470" s="53"/>
      <c r="F470" s="48"/>
      <c r="G470" s="243" t="e">
        <f>INDEX('calcolo base'!$B:$B, MATCH($A470, 'calcolo base'!$A:$A, 0))</f>
        <v>#N/A</v>
      </c>
      <c r="H470" s="54" t="e">
        <f t="shared" si="102"/>
        <v>#N/A</v>
      </c>
      <c r="I470" s="259" t="e">
        <f>IF(  OR(      INDEX('calcolo base'!$D:$D, MATCH($A470, 'calcolo base'!$A:$A, 0)) = 0,
      INDEX('calcolo base'!$D:$D, MATCH($A470, 'calcolo base'!$A:$A, 0)) = ""   ),
   INDEX('calcolo base'!$K:$K, MATCH($A470, 'calcolo base'!$A:$A, 0)),
   INDEX('calcolo base'!$J:$J, MATCH($A470, 'calcolo base'!$A:$A, 0))
) / 1000</f>
        <v>#N/A</v>
      </c>
      <c r="J470" s="50" t="e">
        <f t="shared" si="103"/>
        <v>#N/A</v>
      </c>
      <c r="K470" s="50"/>
      <c r="L470" s="267" t="e">
        <f>INDEX('calcolo base'!$H:$H, MATCH($A470, 'calcolo base'!$A:$A, 0))</f>
        <v>#N/A</v>
      </c>
      <c r="M470" s="50" t="e">
        <f t="shared" si="104"/>
        <v>#N/A</v>
      </c>
      <c r="N470" s="50" t="e">
        <f t="shared" si="105"/>
        <v>#N/A</v>
      </c>
      <c r="O470" s="50" t="e">
        <f t="shared" si="106"/>
        <v>#N/A</v>
      </c>
      <c r="P470" s="50" t="e">
        <f t="shared" si="107"/>
        <v>#N/A</v>
      </c>
      <c r="Q470" s="51" t="e">
        <f t="shared" si="108"/>
        <v>#N/A</v>
      </c>
      <c r="R470" s="205" t="e">
        <f t="shared" si="109"/>
        <v>#N/A</v>
      </c>
      <c r="S470" s="279" t="e">
        <f>IF(R470="si",0,IF(E470="si",0,IF(J470&gt;K470,0,+K470-J470)))+IF('calcolo base'!P1930="SI",('Commissioni De Angeli'!K470-'Commissioni De Angeli'!J470),0)</f>
        <v>#N/A</v>
      </c>
      <c r="T470" s="117" t="e">
        <f t="shared" si="110"/>
        <v>#N/A</v>
      </c>
      <c r="U470" s="272" t="e">
        <f>IF(Q470=0,'calcolo base'!L3069,(T470+Q470))</f>
        <v>#N/A</v>
      </c>
      <c r="V470" s="119"/>
    </row>
    <row r="471" spans="2:22">
      <c r="B471" s="47"/>
      <c r="C471" s="35"/>
      <c r="D471" s="53"/>
      <c r="E471" s="53"/>
      <c r="F471" s="48"/>
      <c r="G471" s="243" t="e">
        <f>INDEX('calcolo base'!$B:$B, MATCH($A471, 'calcolo base'!$A:$A, 0))</f>
        <v>#N/A</v>
      </c>
      <c r="H471" s="54" t="e">
        <f t="shared" si="102"/>
        <v>#N/A</v>
      </c>
      <c r="I471" s="259" t="e">
        <f>IF(  OR(      INDEX('calcolo base'!$D:$D, MATCH($A471, 'calcolo base'!$A:$A, 0)) = 0,
      INDEX('calcolo base'!$D:$D, MATCH($A471, 'calcolo base'!$A:$A, 0)) = ""   ),
   INDEX('calcolo base'!$K:$K, MATCH($A471, 'calcolo base'!$A:$A, 0)),
   INDEX('calcolo base'!$J:$J, MATCH($A471, 'calcolo base'!$A:$A, 0))
) / 1000</f>
        <v>#N/A</v>
      </c>
      <c r="J471" s="50" t="e">
        <f t="shared" si="103"/>
        <v>#N/A</v>
      </c>
      <c r="K471" s="50"/>
      <c r="L471" s="267" t="e">
        <f>INDEX('calcolo base'!$H:$H, MATCH($A471, 'calcolo base'!$A:$A, 0))</f>
        <v>#N/A</v>
      </c>
      <c r="M471" s="50" t="e">
        <f t="shared" si="104"/>
        <v>#N/A</v>
      </c>
      <c r="N471" s="50" t="e">
        <f t="shared" si="105"/>
        <v>#N/A</v>
      </c>
      <c r="O471" s="50" t="e">
        <f t="shared" si="106"/>
        <v>#N/A</v>
      </c>
      <c r="P471" s="50" t="e">
        <f t="shared" si="107"/>
        <v>#N/A</v>
      </c>
      <c r="Q471" s="51" t="e">
        <f t="shared" si="108"/>
        <v>#N/A</v>
      </c>
      <c r="R471" s="205" t="e">
        <f t="shared" si="109"/>
        <v>#N/A</v>
      </c>
      <c r="S471" s="279" t="e">
        <f>IF(R471="si",0,IF(E471="si",0,IF(J471&gt;K471,0,+K471-J471)))+IF('calcolo base'!P1931="SI",('Commissioni De Angeli'!K471-'Commissioni De Angeli'!J471),0)</f>
        <v>#N/A</v>
      </c>
      <c r="T471" s="117" t="e">
        <f t="shared" si="110"/>
        <v>#N/A</v>
      </c>
      <c r="U471" s="272" t="e">
        <f>IF(Q471=0,'calcolo base'!L3070,(T471+Q471))</f>
        <v>#N/A</v>
      </c>
      <c r="V471" s="119"/>
    </row>
    <row r="472" spans="2:22">
      <c r="B472" s="47"/>
      <c r="C472" s="35"/>
      <c r="D472" s="53"/>
      <c r="E472" s="53"/>
      <c r="F472" s="48"/>
      <c r="G472" s="243" t="e">
        <f>INDEX('calcolo base'!$B:$B, MATCH($A472, 'calcolo base'!$A:$A, 0))</f>
        <v>#N/A</v>
      </c>
      <c r="H472" s="54" t="e">
        <f t="shared" si="102"/>
        <v>#N/A</v>
      </c>
      <c r="I472" s="259" t="e">
        <f>IF(  OR(      INDEX('calcolo base'!$D:$D, MATCH($A472, 'calcolo base'!$A:$A, 0)) = 0,
      INDEX('calcolo base'!$D:$D, MATCH($A472, 'calcolo base'!$A:$A, 0)) = ""   ),
   INDEX('calcolo base'!$K:$K, MATCH($A472, 'calcolo base'!$A:$A, 0)),
   INDEX('calcolo base'!$J:$J, MATCH($A472, 'calcolo base'!$A:$A, 0))
) / 1000</f>
        <v>#N/A</v>
      </c>
      <c r="J472" s="50" t="e">
        <f t="shared" si="103"/>
        <v>#N/A</v>
      </c>
      <c r="K472" s="50"/>
      <c r="L472" s="267" t="e">
        <f>INDEX('calcolo base'!$H:$H, MATCH($A472, 'calcolo base'!$A:$A, 0))</f>
        <v>#N/A</v>
      </c>
      <c r="M472" s="50" t="e">
        <f t="shared" si="104"/>
        <v>#N/A</v>
      </c>
      <c r="N472" s="50" t="e">
        <f t="shared" si="105"/>
        <v>#N/A</v>
      </c>
      <c r="O472" s="50" t="e">
        <f t="shared" si="106"/>
        <v>#N/A</v>
      </c>
      <c r="P472" s="50" t="e">
        <f t="shared" si="107"/>
        <v>#N/A</v>
      </c>
      <c r="Q472" s="51" t="e">
        <f t="shared" si="108"/>
        <v>#N/A</v>
      </c>
      <c r="R472" s="205" t="e">
        <f t="shared" si="109"/>
        <v>#N/A</v>
      </c>
      <c r="S472" s="279" t="e">
        <f>IF(R472="si",0,IF(E472="si",0,IF(J472&gt;K472,0,+K472-J472)))+IF('calcolo base'!P1932="SI",('Commissioni De Angeli'!K472-'Commissioni De Angeli'!J472),0)</f>
        <v>#N/A</v>
      </c>
      <c r="T472" s="117" t="e">
        <f t="shared" si="110"/>
        <v>#N/A</v>
      </c>
      <c r="U472" s="272" t="e">
        <f>IF(Q472=0,'calcolo base'!L3071,(T472+Q472))</f>
        <v>#N/A</v>
      </c>
      <c r="V472" s="119"/>
    </row>
    <row r="473" spans="2:22">
      <c r="B473" s="47"/>
      <c r="C473" s="35"/>
      <c r="D473" s="53"/>
      <c r="E473" s="53"/>
      <c r="F473" s="48"/>
      <c r="G473" s="243" t="e">
        <f>INDEX('calcolo base'!$B:$B, MATCH($A473, 'calcolo base'!$A:$A, 0))</f>
        <v>#N/A</v>
      </c>
      <c r="H473" s="54" t="e">
        <f t="shared" si="102"/>
        <v>#N/A</v>
      </c>
      <c r="I473" s="259" t="e">
        <f>IF(  OR(      INDEX('calcolo base'!$D:$D, MATCH($A473, 'calcolo base'!$A:$A, 0)) = 0,
      INDEX('calcolo base'!$D:$D, MATCH($A473, 'calcolo base'!$A:$A, 0)) = ""   ),
   INDEX('calcolo base'!$K:$K, MATCH($A473, 'calcolo base'!$A:$A, 0)),
   INDEX('calcolo base'!$J:$J, MATCH($A473, 'calcolo base'!$A:$A, 0))
) / 1000</f>
        <v>#N/A</v>
      </c>
      <c r="J473" s="50" t="e">
        <f t="shared" si="103"/>
        <v>#N/A</v>
      </c>
      <c r="K473" s="50"/>
      <c r="L473" s="267" t="e">
        <f>INDEX('calcolo base'!$H:$H, MATCH($A473, 'calcolo base'!$A:$A, 0))</f>
        <v>#N/A</v>
      </c>
      <c r="M473" s="50" t="e">
        <f t="shared" si="104"/>
        <v>#N/A</v>
      </c>
      <c r="N473" s="50" t="e">
        <f t="shared" si="105"/>
        <v>#N/A</v>
      </c>
      <c r="O473" s="50" t="e">
        <f t="shared" si="106"/>
        <v>#N/A</v>
      </c>
      <c r="P473" s="50" t="e">
        <f t="shared" si="107"/>
        <v>#N/A</v>
      </c>
      <c r="Q473" s="51" t="e">
        <f t="shared" si="108"/>
        <v>#N/A</v>
      </c>
      <c r="R473" s="205" t="e">
        <f t="shared" si="109"/>
        <v>#N/A</v>
      </c>
      <c r="S473" s="279" t="e">
        <f>IF(R473="si",0,IF(E473="si",0,IF(J473&gt;K473,0,+K473-J473)))+IF('calcolo base'!P1933="SI",('Commissioni De Angeli'!K473-'Commissioni De Angeli'!J473),0)</f>
        <v>#N/A</v>
      </c>
      <c r="T473" s="117" t="e">
        <f t="shared" si="110"/>
        <v>#N/A</v>
      </c>
      <c r="U473" s="272" t="e">
        <f>IF(Q473=0,'calcolo base'!L3072,(T473+Q473))</f>
        <v>#N/A</v>
      </c>
      <c r="V473" s="119"/>
    </row>
    <row r="474" spans="2:22">
      <c r="B474" s="47"/>
      <c r="C474" s="35"/>
      <c r="D474" s="53"/>
      <c r="E474" s="53"/>
      <c r="F474" s="48"/>
      <c r="G474" s="243" t="e">
        <f>INDEX('calcolo base'!$B:$B, MATCH($A474, 'calcolo base'!$A:$A, 0))</f>
        <v>#N/A</v>
      </c>
      <c r="H474" s="54" t="e">
        <f t="shared" si="102"/>
        <v>#N/A</v>
      </c>
      <c r="I474" s="259" t="e">
        <f>IF(  OR(      INDEX('calcolo base'!$D:$D, MATCH($A474, 'calcolo base'!$A:$A, 0)) = 0,
      INDEX('calcolo base'!$D:$D, MATCH($A474, 'calcolo base'!$A:$A, 0)) = ""   ),
   INDEX('calcolo base'!$K:$K, MATCH($A474, 'calcolo base'!$A:$A, 0)),
   INDEX('calcolo base'!$J:$J, MATCH($A474, 'calcolo base'!$A:$A, 0))
) / 1000</f>
        <v>#N/A</v>
      </c>
      <c r="J474" s="50" t="e">
        <f t="shared" si="103"/>
        <v>#N/A</v>
      </c>
      <c r="K474" s="50"/>
      <c r="L474" s="267" t="e">
        <f>INDEX('calcolo base'!$H:$H, MATCH($A474, 'calcolo base'!$A:$A, 0))</f>
        <v>#N/A</v>
      </c>
      <c r="M474" s="50" t="e">
        <f t="shared" si="104"/>
        <v>#N/A</v>
      </c>
      <c r="N474" s="50" t="e">
        <f t="shared" si="105"/>
        <v>#N/A</v>
      </c>
      <c r="O474" s="50" t="e">
        <f t="shared" si="106"/>
        <v>#N/A</v>
      </c>
      <c r="P474" s="50" t="e">
        <f t="shared" si="107"/>
        <v>#N/A</v>
      </c>
      <c r="Q474" s="51" t="e">
        <f t="shared" si="108"/>
        <v>#N/A</v>
      </c>
      <c r="R474" s="205" t="e">
        <f t="shared" si="109"/>
        <v>#N/A</v>
      </c>
      <c r="S474" s="279" t="e">
        <f>IF(R474="si",0,IF(E474="si",0,IF(J474&gt;K474,0,+K474-J474)))+IF('calcolo base'!P1934="SI",('Commissioni De Angeli'!K474-'Commissioni De Angeli'!J474),0)</f>
        <v>#N/A</v>
      </c>
      <c r="T474" s="117" t="e">
        <f t="shared" si="110"/>
        <v>#N/A</v>
      </c>
      <c r="U474" s="272" t="e">
        <f>IF(Q474=0,'calcolo base'!L3073,(T474+Q474))</f>
        <v>#N/A</v>
      </c>
      <c r="V474" s="119"/>
    </row>
    <row r="475" spans="2:22">
      <c r="B475" s="47"/>
      <c r="C475" s="35"/>
      <c r="D475" s="53"/>
      <c r="E475" s="53"/>
      <c r="F475" s="48"/>
      <c r="G475" s="243" t="e">
        <f>INDEX('calcolo base'!$B:$B, MATCH($A475, 'calcolo base'!$A:$A, 0))</f>
        <v>#N/A</v>
      </c>
      <c r="H475" s="54" t="e">
        <f t="shared" si="102"/>
        <v>#N/A</v>
      </c>
      <c r="I475" s="259" t="e">
        <f>IF(  OR(      INDEX('calcolo base'!$D:$D, MATCH($A475, 'calcolo base'!$A:$A, 0)) = 0,
      INDEX('calcolo base'!$D:$D, MATCH($A475, 'calcolo base'!$A:$A, 0)) = ""   ),
   INDEX('calcolo base'!$K:$K, MATCH($A475, 'calcolo base'!$A:$A, 0)),
   INDEX('calcolo base'!$J:$J, MATCH($A475, 'calcolo base'!$A:$A, 0))
) / 1000</f>
        <v>#N/A</v>
      </c>
      <c r="J475" s="50" t="e">
        <f t="shared" si="103"/>
        <v>#N/A</v>
      </c>
      <c r="K475" s="50"/>
      <c r="L475" s="267" t="e">
        <f>INDEX('calcolo base'!$H:$H, MATCH($A475, 'calcolo base'!$A:$A, 0))</f>
        <v>#N/A</v>
      </c>
      <c r="M475" s="50" t="e">
        <f t="shared" si="104"/>
        <v>#N/A</v>
      </c>
      <c r="N475" s="50" t="e">
        <f t="shared" si="105"/>
        <v>#N/A</v>
      </c>
      <c r="O475" s="50" t="e">
        <f t="shared" si="106"/>
        <v>#N/A</v>
      </c>
      <c r="P475" s="50" t="e">
        <f t="shared" si="107"/>
        <v>#N/A</v>
      </c>
      <c r="Q475" s="51" t="e">
        <f t="shared" si="108"/>
        <v>#N/A</v>
      </c>
      <c r="R475" s="205" t="e">
        <f t="shared" si="109"/>
        <v>#N/A</v>
      </c>
      <c r="S475" s="279" t="e">
        <f>IF(R475="si",0,IF(E475="si",0,IF(J475&gt;K475,0,+K475-J475)))+IF('calcolo base'!P1935="SI",('Commissioni De Angeli'!K475-'Commissioni De Angeli'!J475),0)</f>
        <v>#N/A</v>
      </c>
      <c r="T475" s="117" t="e">
        <f t="shared" si="110"/>
        <v>#N/A</v>
      </c>
      <c r="U475" s="272" t="e">
        <f>IF(Q475=0,'calcolo base'!L3074,(T475+Q475))</f>
        <v>#N/A</v>
      </c>
      <c r="V475" s="119"/>
    </row>
    <row r="476" spans="2:22">
      <c r="B476" s="47"/>
      <c r="C476" s="35"/>
      <c r="D476" s="53"/>
      <c r="E476" s="53"/>
      <c r="F476" s="48"/>
      <c r="G476" s="243" t="e">
        <f>INDEX('calcolo base'!$B:$B, MATCH($A476, 'calcolo base'!$A:$A, 0))</f>
        <v>#N/A</v>
      </c>
      <c r="H476" s="54" t="e">
        <f t="shared" si="102"/>
        <v>#N/A</v>
      </c>
      <c r="I476" s="259" t="e">
        <f>IF(  OR(      INDEX('calcolo base'!$D:$D, MATCH($A476, 'calcolo base'!$A:$A, 0)) = 0,
      INDEX('calcolo base'!$D:$D, MATCH($A476, 'calcolo base'!$A:$A, 0)) = ""   ),
   INDEX('calcolo base'!$K:$K, MATCH($A476, 'calcolo base'!$A:$A, 0)),
   INDEX('calcolo base'!$J:$J, MATCH($A476, 'calcolo base'!$A:$A, 0))
) / 1000</f>
        <v>#N/A</v>
      </c>
      <c r="J476" s="50" t="e">
        <f t="shared" si="103"/>
        <v>#N/A</v>
      </c>
      <c r="K476" s="50"/>
      <c r="L476" s="267" t="e">
        <f>INDEX('calcolo base'!$H:$H, MATCH($A476, 'calcolo base'!$A:$A, 0))</f>
        <v>#N/A</v>
      </c>
      <c r="M476" s="50" t="e">
        <f t="shared" si="104"/>
        <v>#N/A</v>
      </c>
      <c r="N476" s="50" t="e">
        <f t="shared" si="105"/>
        <v>#N/A</v>
      </c>
      <c r="O476" s="50" t="e">
        <f t="shared" si="106"/>
        <v>#N/A</v>
      </c>
      <c r="P476" s="50" t="e">
        <f t="shared" si="107"/>
        <v>#N/A</v>
      </c>
      <c r="Q476" s="51" t="e">
        <f t="shared" si="108"/>
        <v>#N/A</v>
      </c>
      <c r="R476" s="205" t="e">
        <f t="shared" si="109"/>
        <v>#N/A</v>
      </c>
      <c r="S476" s="279" t="e">
        <f>IF(R476="si",0,IF(E476="si",0,IF(J476&gt;K476,0,+K476-J476)))+IF('calcolo base'!P1936="SI",('Commissioni De Angeli'!K476-'Commissioni De Angeli'!J476),0)</f>
        <v>#N/A</v>
      </c>
      <c r="T476" s="117" t="e">
        <f t="shared" si="110"/>
        <v>#N/A</v>
      </c>
      <c r="U476" s="272" t="e">
        <f>IF(Q476=0,'calcolo base'!L3075,(T476+Q476))</f>
        <v>#N/A</v>
      </c>
      <c r="V476" s="119"/>
    </row>
    <row r="477" spans="2:22">
      <c r="B477" s="47"/>
      <c r="C477" s="35"/>
      <c r="D477" s="53"/>
      <c r="E477" s="53"/>
      <c r="F477" s="48"/>
      <c r="G477" s="243" t="e">
        <f>INDEX('calcolo base'!$B:$B, MATCH($A477, 'calcolo base'!$A:$A, 0))</f>
        <v>#N/A</v>
      </c>
      <c r="H477" s="54" t="e">
        <f t="shared" si="102"/>
        <v>#N/A</v>
      </c>
      <c r="I477" s="259" t="e">
        <f>IF(  OR(      INDEX('calcolo base'!$D:$D, MATCH($A477, 'calcolo base'!$A:$A, 0)) = 0,
      INDEX('calcolo base'!$D:$D, MATCH($A477, 'calcolo base'!$A:$A, 0)) = ""   ),
   INDEX('calcolo base'!$K:$K, MATCH($A477, 'calcolo base'!$A:$A, 0)),
   INDEX('calcolo base'!$J:$J, MATCH($A477, 'calcolo base'!$A:$A, 0))
) / 1000</f>
        <v>#N/A</v>
      </c>
      <c r="J477" s="50" t="e">
        <f t="shared" si="103"/>
        <v>#N/A</v>
      </c>
      <c r="K477" s="50"/>
      <c r="L477" s="267" t="e">
        <f>INDEX('calcolo base'!$H:$H, MATCH($A477, 'calcolo base'!$A:$A, 0))</f>
        <v>#N/A</v>
      </c>
      <c r="M477" s="50" t="e">
        <f t="shared" si="104"/>
        <v>#N/A</v>
      </c>
      <c r="N477" s="50" t="e">
        <f t="shared" si="105"/>
        <v>#N/A</v>
      </c>
      <c r="O477" s="50" t="e">
        <f t="shared" si="106"/>
        <v>#N/A</v>
      </c>
      <c r="P477" s="50" t="e">
        <f t="shared" si="107"/>
        <v>#N/A</v>
      </c>
      <c r="Q477" s="51" t="e">
        <f t="shared" si="108"/>
        <v>#N/A</v>
      </c>
      <c r="R477" s="205" t="e">
        <f t="shared" si="109"/>
        <v>#N/A</v>
      </c>
      <c r="S477" s="279" t="e">
        <f>IF(R477="si",0,IF(E477="si",0,IF(J477&gt;K477,0,+K477-J477)))+IF('calcolo base'!P1937="SI",('Commissioni De Angeli'!K477-'Commissioni De Angeli'!J477),0)</f>
        <v>#N/A</v>
      </c>
      <c r="T477" s="117" t="e">
        <f t="shared" si="110"/>
        <v>#N/A</v>
      </c>
      <c r="U477" s="272" t="e">
        <f>IF(Q477=0,'calcolo base'!L3076,(T477+Q477))</f>
        <v>#N/A</v>
      </c>
      <c r="V477" s="119"/>
    </row>
    <row r="478" spans="2:22">
      <c r="B478" s="47"/>
      <c r="C478" s="35"/>
      <c r="D478" s="53"/>
      <c r="E478" s="53"/>
      <c r="F478" s="48"/>
      <c r="G478" s="243" t="e">
        <f>INDEX('calcolo base'!$B:$B, MATCH($A478, 'calcolo base'!$A:$A, 0))</f>
        <v>#N/A</v>
      </c>
      <c r="H478" s="54" t="e">
        <f t="shared" si="102"/>
        <v>#N/A</v>
      </c>
      <c r="I478" s="259" t="e">
        <f>IF(  OR(      INDEX('calcolo base'!$D:$D, MATCH($A478, 'calcolo base'!$A:$A, 0)) = 0,
      INDEX('calcolo base'!$D:$D, MATCH($A478, 'calcolo base'!$A:$A, 0)) = ""   ),
   INDEX('calcolo base'!$K:$K, MATCH($A478, 'calcolo base'!$A:$A, 0)),
   INDEX('calcolo base'!$J:$J, MATCH($A478, 'calcolo base'!$A:$A, 0))
) / 1000</f>
        <v>#N/A</v>
      </c>
      <c r="J478" s="50" t="e">
        <f t="shared" si="103"/>
        <v>#N/A</v>
      </c>
      <c r="K478" s="50"/>
      <c r="L478" s="267" t="e">
        <f>INDEX('calcolo base'!$H:$H, MATCH($A478, 'calcolo base'!$A:$A, 0))</f>
        <v>#N/A</v>
      </c>
      <c r="M478" s="50" t="e">
        <f t="shared" si="104"/>
        <v>#N/A</v>
      </c>
      <c r="N478" s="50" t="e">
        <f t="shared" si="105"/>
        <v>#N/A</v>
      </c>
      <c r="O478" s="50" t="e">
        <f t="shared" si="106"/>
        <v>#N/A</v>
      </c>
      <c r="P478" s="50" t="e">
        <f t="shared" si="107"/>
        <v>#N/A</v>
      </c>
      <c r="Q478" s="51" t="e">
        <f t="shared" si="108"/>
        <v>#N/A</v>
      </c>
      <c r="R478" s="205" t="e">
        <f t="shared" si="109"/>
        <v>#N/A</v>
      </c>
      <c r="S478" s="279" t="e">
        <f>IF(R478="si",0,IF(E478="si",0,IF(J478&gt;K478,0,+K478-J478)))+IF('calcolo base'!P1938="SI",('Commissioni De Angeli'!K478-'Commissioni De Angeli'!J478),0)</f>
        <v>#N/A</v>
      </c>
      <c r="T478" s="117" t="e">
        <f t="shared" si="110"/>
        <v>#N/A</v>
      </c>
      <c r="U478" s="272" t="e">
        <f>IF(Q478=0,'calcolo base'!L3077,(T478+Q478))</f>
        <v>#N/A</v>
      </c>
      <c r="V478" s="119"/>
    </row>
    <row r="479" spans="2:22">
      <c r="B479" s="47"/>
      <c r="C479" s="35"/>
      <c r="D479" s="53"/>
      <c r="E479" s="53"/>
      <c r="F479" s="48"/>
      <c r="G479" s="243" t="e">
        <f>INDEX('calcolo base'!$B:$B, MATCH($A479, 'calcolo base'!$A:$A, 0))</f>
        <v>#N/A</v>
      </c>
      <c r="H479" s="54" t="e">
        <f t="shared" si="102"/>
        <v>#N/A</v>
      </c>
      <c r="I479" s="259" t="e">
        <f>IF(  OR(      INDEX('calcolo base'!$D:$D, MATCH($A479, 'calcolo base'!$A:$A, 0)) = 0,
      INDEX('calcolo base'!$D:$D, MATCH($A479, 'calcolo base'!$A:$A, 0)) = ""   ),
   INDEX('calcolo base'!$K:$K, MATCH($A479, 'calcolo base'!$A:$A, 0)),
   INDEX('calcolo base'!$J:$J, MATCH($A479, 'calcolo base'!$A:$A, 0))
) / 1000</f>
        <v>#N/A</v>
      </c>
      <c r="J479" s="50" t="e">
        <f t="shared" si="103"/>
        <v>#N/A</v>
      </c>
      <c r="K479" s="50"/>
      <c r="L479" s="267" t="e">
        <f>INDEX('calcolo base'!$H:$H, MATCH($A479, 'calcolo base'!$A:$A, 0))</f>
        <v>#N/A</v>
      </c>
      <c r="M479" s="50" t="e">
        <f t="shared" si="104"/>
        <v>#N/A</v>
      </c>
      <c r="N479" s="50" t="e">
        <f t="shared" si="105"/>
        <v>#N/A</v>
      </c>
      <c r="O479" s="50" t="e">
        <f t="shared" si="106"/>
        <v>#N/A</v>
      </c>
      <c r="P479" s="50" t="e">
        <f t="shared" si="107"/>
        <v>#N/A</v>
      </c>
      <c r="Q479" s="51" t="e">
        <f t="shared" si="108"/>
        <v>#N/A</v>
      </c>
      <c r="R479" s="205" t="e">
        <f t="shared" si="109"/>
        <v>#N/A</v>
      </c>
      <c r="S479" s="279" t="e">
        <f>IF(R479="si",0,IF(E479="si",0,IF(J479&gt;K479,0,+K479-J479)))+IF('calcolo base'!P1939="SI",('Commissioni De Angeli'!K479-'Commissioni De Angeli'!J479),0)</f>
        <v>#N/A</v>
      </c>
      <c r="T479" s="117" t="e">
        <f t="shared" si="110"/>
        <v>#N/A</v>
      </c>
      <c r="U479" s="272" t="e">
        <f>IF(Q479=0,'calcolo base'!L3078,(T479+Q479))</f>
        <v>#N/A</v>
      </c>
      <c r="V479" s="119"/>
    </row>
    <row r="480" spans="2:22">
      <c r="B480" s="47"/>
      <c r="C480" s="35"/>
      <c r="D480" s="53"/>
      <c r="E480" s="53"/>
      <c r="F480" s="48"/>
      <c r="G480" s="243" t="e">
        <f>INDEX('calcolo base'!$B:$B, MATCH($A480, 'calcolo base'!$A:$A, 0))</f>
        <v>#N/A</v>
      </c>
      <c r="H480" s="54" t="e">
        <f t="shared" si="102"/>
        <v>#N/A</v>
      </c>
      <c r="I480" s="259" t="e">
        <f>IF(  OR(      INDEX('calcolo base'!$D:$D, MATCH($A480, 'calcolo base'!$A:$A, 0)) = 0,
      INDEX('calcolo base'!$D:$D, MATCH($A480, 'calcolo base'!$A:$A, 0)) = ""   ),
   INDEX('calcolo base'!$K:$K, MATCH($A480, 'calcolo base'!$A:$A, 0)),
   INDEX('calcolo base'!$J:$J, MATCH($A480, 'calcolo base'!$A:$A, 0))
) / 1000</f>
        <v>#N/A</v>
      </c>
      <c r="J480" s="50" t="e">
        <f t="shared" si="103"/>
        <v>#N/A</v>
      </c>
      <c r="K480" s="50"/>
      <c r="L480" s="267" t="e">
        <f>INDEX('calcolo base'!$H:$H, MATCH($A480, 'calcolo base'!$A:$A, 0))</f>
        <v>#N/A</v>
      </c>
      <c r="M480" s="50" t="e">
        <f t="shared" si="104"/>
        <v>#N/A</v>
      </c>
      <c r="N480" s="50" t="e">
        <f t="shared" si="105"/>
        <v>#N/A</v>
      </c>
      <c r="O480" s="50" t="e">
        <f t="shared" si="106"/>
        <v>#N/A</v>
      </c>
      <c r="P480" s="50" t="e">
        <f t="shared" si="107"/>
        <v>#N/A</v>
      </c>
      <c r="Q480" s="51" t="e">
        <f t="shared" si="108"/>
        <v>#N/A</v>
      </c>
      <c r="R480" s="205" t="e">
        <f t="shared" si="109"/>
        <v>#N/A</v>
      </c>
      <c r="S480" s="279" t="e">
        <f>IF(R480="si",0,IF(E480="si",0,IF(J480&gt;K480,0,+K480-J480)))+IF('calcolo base'!P1940="SI",('Commissioni De Angeli'!K480-'Commissioni De Angeli'!J480),0)</f>
        <v>#N/A</v>
      </c>
      <c r="T480" s="117" t="e">
        <f t="shared" si="110"/>
        <v>#N/A</v>
      </c>
      <c r="U480" s="272" t="e">
        <f>IF(Q480=0,'calcolo base'!L3079,(T480+Q480))</f>
        <v>#N/A</v>
      </c>
      <c r="V480" s="119"/>
    </row>
    <row r="481" spans="2:22">
      <c r="B481" s="47"/>
      <c r="C481" s="35"/>
      <c r="D481" s="53"/>
      <c r="E481" s="53"/>
      <c r="F481" s="48"/>
      <c r="G481" s="243" t="e">
        <f>INDEX('calcolo base'!$B:$B, MATCH($A481, 'calcolo base'!$A:$A, 0))</f>
        <v>#N/A</v>
      </c>
      <c r="H481" s="54" t="e">
        <f t="shared" si="102"/>
        <v>#N/A</v>
      </c>
      <c r="I481" s="259" t="e">
        <f>IF(  OR(      INDEX('calcolo base'!$D:$D, MATCH($A481, 'calcolo base'!$A:$A, 0)) = 0,
      INDEX('calcolo base'!$D:$D, MATCH($A481, 'calcolo base'!$A:$A, 0)) = ""   ),
   INDEX('calcolo base'!$K:$K, MATCH($A481, 'calcolo base'!$A:$A, 0)),
   INDEX('calcolo base'!$J:$J, MATCH($A481, 'calcolo base'!$A:$A, 0))
) / 1000</f>
        <v>#N/A</v>
      </c>
      <c r="J481" s="50" t="e">
        <f t="shared" si="103"/>
        <v>#N/A</v>
      </c>
      <c r="K481" s="50"/>
      <c r="L481" s="267" t="e">
        <f>INDEX('calcolo base'!$H:$H, MATCH($A481, 'calcolo base'!$A:$A, 0))</f>
        <v>#N/A</v>
      </c>
      <c r="M481" s="50" t="e">
        <f t="shared" si="104"/>
        <v>#N/A</v>
      </c>
      <c r="N481" s="50" t="e">
        <f t="shared" si="105"/>
        <v>#N/A</v>
      </c>
      <c r="O481" s="50" t="e">
        <f t="shared" si="106"/>
        <v>#N/A</v>
      </c>
      <c r="P481" s="50" t="e">
        <f t="shared" si="107"/>
        <v>#N/A</v>
      </c>
      <c r="Q481" s="51" t="e">
        <f t="shared" si="108"/>
        <v>#N/A</v>
      </c>
      <c r="R481" s="205" t="e">
        <f t="shared" si="109"/>
        <v>#N/A</v>
      </c>
      <c r="S481" s="279" t="e">
        <f>IF(R481="si",0,IF(E481="si",0,IF(J481&gt;K481,0,+K481-J481)))+IF('calcolo base'!P1941="SI",('Commissioni De Angeli'!K481-'Commissioni De Angeli'!J481),0)</f>
        <v>#N/A</v>
      </c>
      <c r="T481" s="117" t="e">
        <f t="shared" si="110"/>
        <v>#N/A</v>
      </c>
      <c r="U481" s="272" t="e">
        <f>IF(Q481=0,'calcolo base'!L3080,(T481+Q481))</f>
        <v>#N/A</v>
      </c>
      <c r="V481" s="119"/>
    </row>
    <row r="482" spans="2:22">
      <c r="B482" s="47"/>
      <c r="C482" s="35"/>
      <c r="D482" s="53"/>
      <c r="E482" s="53"/>
      <c r="F482" s="48"/>
      <c r="G482" s="243" t="e">
        <f>INDEX('calcolo base'!$B:$B, MATCH($A482, 'calcolo base'!$A:$A, 0))</f>
        <v>#N/A</v>
      </c>
      <c r="H482" s="54" t="e">
        <f t="shared" si="102"/>
        <v>#N/A</v>
      </c>
      <c r="I482" s="259" t="e">
        <f>IF(  OR(      INDEX('calcolo base'!$D:$D, MATCH($A482, 'calcolo base'!$A:$A, 0)) = 0,
      INDEX('calcolo base'!$D:$D, MATCH($A482, 'calcolo base'!$A:$A, 0)) = ""   ),
   INDEX('calcolo base'!$K:$K, MATCH($A482, 'calcolo base'!$A:$A, 0)),
   INDEX('calcolo base'!$J:$J, MATCH($A482, 'calcolo base'!$A:$A, 0))
) / 1000</f>
        <v>#N/A</v>
      </c>
      <c r="J482" s="50" t="e">
        <f t="shared" si="103"/>
        <v>#N/A</v>
      </c>
      <c r="K482" s="50"/>
      <c r="L482" s="267" t="e">
        <f>INDEX('calcolo base'!$H:$H, MATCH($A482, 'calcolo base'!$A:$A, 0))</f>
        <v>#N/A</v>
      </c>
      <c r="M482" s="50" t="e">
        <f t="shared" si="104"/>
        <v>#N/A</v>
      </c>
      <c r="N482" s="50" t="e">
        <f t="shared" si="105"/>
        <v>#N/A</v>
      </c>
      <c r="O482" s="50" t="e">
        <f t="shared" si="106"/>
        <v>#N/A</v>
      </c>
      <c r="P482" s="50" t="e">
        <f t="shared" si="107"/>
        <v>#N/A</v>
      </c>
      <c r="Q482" s="51" t="e">
        <f t="shared" si="108"/>
        <v>#N/A</v>
      </c>
      <c r="R482" s="205" t="e">
        <f t="shared" si="109"/>
        <v>#N/A</v>
      </c>
      <c r="S482" s="279" t="e">
        <f>IF(R482="si",0,IF(E482="si",0,IF(J482&gt;K482,0,+K482-J482)))+IF('calcolo base'!P1942="SI",('Commissioni De Angeli'!K482-'Commissioni De Angeli'!J482),0)</f>
        <v>#N/A</v>
      </c>
      <c r="T482" s="117" t="e">
        <f t="shared" si="110"/>
        <v>#N/A</v>
      </c>
      <c r="U482" s="272" t="e">
        <f>IF(Q482=0,'calcolo base'!L3081,(T482+Q482))</f>
        <v>#N/A</v>
      </c>
      <c r="V482" s="119"/>
    </row>
    <row r="483" spans="2:22">
      <c r="B483" s="47"/>
      <c r="C483" s="35"/>
      <c r="D483" s="53"/>
      <c r="E483" s="53"/>
      <c r="F483" s="48"/>
      <c r="G483" s="243" t="e">
        <f>INDEX('calcolo base'!$B:$B, MATCH($A483, 'calcolo base'!$A:$A, 0))</f>
        <v>#N/A</v>
      </c>
      <c r="H483" s="54" t="e">
        <f t="shared" si="102"/>
        <v>#N/A</v>
      </c>
      <c r="I483" s="259" t="e">
        <f>IF(  OR(      INDEX('calcolo base'!$D:$D, MATCH($A483, 'calcolo base'!$A:$A, 0)) = 0,
      INDEX('calcolo base'!$D:$D, MATCH($A483, 'calcolo base'!$A:$A, 0)) = ""   ),
   INDEX('calcolo base'!$K:$K, MATCH($A483, 'calcolo base'!$A:$A, 0)),
   INDEX('calcolo base'!$J:$J, MATCH($A483, 'calcolo base'!$A:$A, 0))
) / 1000</f>
        <v>#N/A</v>
      </c>
      <c r="J483" s="50" t="e">
        <f t="shared" si="103"/>
        <v>#N/A</v>
      </c>
      <c r="K483" s="50"/>
      <c r="L483" s="267" t="e">
        <f>INDEX('calcolo base'!$H:$H, MATCH($A483, 'calcolo base'!$A:$A, 0))</f>
        <v>#N/A</v>
      </c>
      <c r="M483" s="50" t="e">
        <f t="shared" si="104"/>
        <v>#N/A</v>
      </c>
      <c r="N483" s="50" t="e">
        <f t="shared" si="105"/>
        <v>#N/A</v>
      </c>
      <c r="O483" s="50" t="e">
        <f t="shared" si="106"/>
        <v>#N/A</v>
      </c>
      <c r="P483" s="50" t="e">
        <f t="shared" si="107"/>
        <v>#N/A</v>
      </c>
      <c r="Q483" s="51" t="e">
        <f t="shared" si="108"/>
        <v>#N/A</v>
      </c>
      <c r="R483" s="205" t="e">
        <f t="shared" si="109"/>
        <v>#N/A</v>
      </c>
      <c r="S483" s="279" t="e">
        <f>IF(R483="si",0,IF(E483="si",0,IF(J483&gt;K483,0,+K483-J483)))+IF('calcolo base'!P1943="SI",('Commissioni De Angeli'!K483-'Commissioni De Angeli'!J483),0)</f>
        <v>#N/A</v>
      </c>
      <c r="T483" s="117" t="e">
        <f t="shared" si="110"/>
        <v>#N/A</v>
      </c>
      <c r="U483" s="272" t="e">
        <f>IF(Q483=0,'calcolo base'!L3082,(T483+Q483))</f>
        <v>#N/A</v>
      </c>
      <c r="V483" s="119"/>
    </row>
    <row r="484" spans="2:22">
      <c r="B484" s="47"/>
      <c r="C484" s="35"/>
      <c r="D484" s="53"/>
      <c r="E484" s="53"/>
      <c r="F484" s="48"/>
      <c r="G484" s="243" t="e">
        <f>INDEX('calcolo base'!$B:$B, MATCH($A484, 'calcolo base'!$A:$A, 0))</f>
        <v>#N/A</v>
      </c>
      <c r="H484" s="54" t="e">
        <f t="shared" si="102"/>
        <v>#N/A</v>
      </c>
      <c r="I484" s="259" t="e">
        <f>IF(  OR(      INDEX('calcolo base'!$D:$D, MATCH($A484, 'calcolo base'!$A:$A, 0)) = 0,
      INDEX('calcolo base'!$D:$D, MATCH($A484, 'calcolo base'!$A:$A, 0)) = ""   ),
   INDEX('calcolo base'!$K:$K, MATCH($A484, 'calcolo base'!$A:$A, 0)),
   INDEX('calcolo base'!$J:$J, MATCH($A484, 'calcolo base'!$A:$A, 0))
) / 1000</f>
        <v>#N/A</v>
      </c>
      <c r="J484" s="50" t="e">
        <f t="shared" si="103"/>
        <v>#N/A</v>
      </c>
      <c r="K484" s="50"/>
      <c r="L484" s="267" t="e">
        <f>INDEX('calcolo base'!$H:$H, MATCH($A484, 'calcolo base'!$A:$A, 0))</f>
        <v>#N/A</v>
      </c>
      <c r="M484" s="50" t="e">
        <f t="shared" si="104"/>
        <v>#N/A</v>
      </c>
      <c r="N484" s="50" t="e">
        <f t="shared" si="105"/>
        <v>#N/A</v>
      </c>
      <c r="O484" s="50" t="e">
        <f t="shared" si="106"/>
        <v>#N/A</v>
      </c>
      <c r="P484" s="50" t="e">
        <f t="shared" si="107"/>
        <v>#N/A</v>
      </c>
      <c r="Q484" s="51" t="e">
        <f t="shared" si="108"/>
        <v>#N/A</v>
      </c>
      <c r="R484" s="205" t="e">
        <f t="shared" si="109"/>
        <v>#N/A</v>
      </c>
      <c r="S484" s="279" t="e">
        <f>IF(R484="si",0,IF(E484="si",0,IF(J484&gt;K484,0,+K484-J484)))+IF('calcolo base'!P1944="SI",('Commissioni De Angeli'!K484-'Commissioni De Angeli'!J484),0)</f>
        <v>#N/A</v>
      </c>
      <c r="T484" s="117" t="e">
        <f t="shared" si="110"/>
        <v>#N/A</v>
      </c>
      <c r="U484" s="272" t="e">
        <f>IF(Q484=0,'calcolo base'!L3083,(T484+Q484))</f>
        <v>#N/A</v>
      </c>
      <c r="V484" s="119"/>
    </row>
    <row r="485" spans="2:22">
      <c r="B485" s="47"/>
      <c r="C485" s="35"/>
      <c r="D485" s="53"/>
      <c r="E485" s="53"/>
      <c r="F485" s="48"/>
      <c r="G485" s="243" t="e">
        <f>INDEX('calcolo base'!$B:$B, MATCH($A485, 'calcolo base'!$A:$A, 0))</f>
        <v>#N/A</v>
      </c>
      <c r="H485" s="54" t="e">
        <f t="shared" si="102"/>
        <v>#N/A</v>
      </c>
      <c r="I485" s="259" t="e">
        <f>IF(  OR(      INDEX('calcolo base'!$D:$D, MATCH($A485, 'calcolo base'!$A:$A, 0)) = 0,
      INDEX('calcolo base'!$D:$D, MATCH($A485, 'calcolo base'!$A:$A, 0)) = ""   ),
   INDEX('calcolo base'!$K:$K, MATCH($A485, 'calcolo base'!$A:$A, 0)),
   INDEX('calcolo base'!$J:$J, MATCH($A485, 'calcolo base'!$A:$A, 0))
) / 1000</f>
        <v>#N/A</v>
      </c>
      <c r="J485" s="50" t="e">
        <f t="shared" si="103"/>
        <v>#N/A</v>
      </c>
      <c r="K485" s="50"/>
      <c r="L485" s="267" t="e">
        <f>INDEX('calcolo base'!$H:$H, MATCH($A485, 'calcolo base'!$A:$A, 0))</f>
        <v>#N/A</v>
      </c>
      <c r="M485" s="50" t="e">
        <f t="shared" si="104"/>
        <v>#N/A</v>
      </c>
      <c r="N485" s="50" t="e">
        <f t="shared" si="105"/>
        <v>#N/A</v>
      </c>
      <c r="O485" s="50" t="e">
        <f t="shared" si="106"/>
        <v>#N/A</v>
      </c>
      <c r="P485" s="50" t="e">
        <f t="shared" si="107"/>
        <v>#N/A</v>
      </c>
      <c r="Q485" s="51" t="e">
        <f t="shared" si="108"/>
        <v>#N/A</v>
      </c>
      <c r="R485" s="205" t="e">
        <f t="shared" si="109"/>
        <v>#N/A</v>
      </c>
      <c r="S485" s="279" t="e">
        <f>IF(R485="si",0,IF(E485="si",0,IF(J485&gt;K485,0,+K485-J485)))+IF('calcolo base'!P1945="SI",('Commissioni De Angeli'!K485-'Commissioni De Angeli'!J485),0)</f>
        <v>#N/A</v>
      </c>
      <c r="T485" s="117" t="e">
        <f t="shared" si="110"/>
        <v>#N/A</v>
      </c>
      <c r="U485" s="272" t="e">
        <f>IF(Q485=0,'calcolo base'!L3084,(T485+Q485))</f>
        <v>#N/A</v>
      </c>
      <c r="V485" s="119"/>
    </row>
    <row r="486" spans="2:22">
      <c r="B486" s="47"/>
      <c r="C486" s="35"/>
      <c r="D486" s="53"/>
      <c r="E486" s="53"/>
      <c r="F486" s="48"/>
      <c r="G486" s="243" t="e">
        <f>INDEX('calcolo base'!$B:$B, MATCH($A486, 'calcolo base'!$A:$A, 0))</f>
        <v>#N/A</v>
      </c>
      <c r="H486" s="54" t="e">
        <f t="shared" si="102"/>
        <v>#N/A</v>
      </c>
      <c r="I486" s="259" t="e">
        <f>IF(  OR(      INDEX('calcolo base'!$D:$D, MATCH($A486, 'calcolo base'!$A:$A, 0)) = 0,
      INDEX('calcolo base'!$D:$D, MATCH($A486, 'calcolo base'!$A:$A, 0)) = ""   ),
   INDEX('calcolo base'!$K:$K, MATCH($A486, 'calcolo base'!$A:$A, 0)),
   INDEX('calcolo base'!$J:$J, MATCH($A486, 'calcolo base'!$A:$A, 0))
) / 1000</f>
        <v>#N/A</v>
      </c>
      <c r="J486" s="50" t="e">
        <f t="shared" si="103"/>
        <v>#N/A</v>
      </c>
      <c r="K486" s="50"/>
      <c r="L486" s="267" t="e">
        <f>INDEX('calcolo base'!$H:$H, MATCH($A486, 'calcolo base'!$A:$A, 0))</f>
        <v>#N/A</v>
      </c>
      <c r="M486" s="50" t="e">
        <f t="shared" si="104"/>
        <v>#N/A</v>
      </c>
      <c r="N486" s="50" t="e">
        <f t="shared" si="105"/>
        <v>#N/A</v>
      </c>
      <c r="O486" s="50" t="e">
        <f t="shared" si="106"/>
        <v>#N/A</v>
      </c>
      <c r="P486" s="50" t="e">
        <f t="shared" si="107"/>
        <v>#N/A</v>
      </c>
      <c r="Q486" s="51" t="e">
        <f t="shared" si="108"/>
        <v>#N/A</v>
      </c>
      <c r="R486" s="205" t="e">
        <f t="shared" si="109"/>
        <v>#N/A</v>
      </c>
      <c r="S486" s="279" t="e">
        <f>IF(R486="si",0,IF(E486="si",0,IF(J486&gt;K486,0,+K486-J486)))+IF('calcolo base'!P1946="SI",('Commissioni De Angeli'!K486-'Commissioni De Angeli'!J486),0)</f>
        <v>#N/A</v>
      </c>
      <c r="T486" s="117" t="e">
        <f t="shared" si="110"/>
        <v>#N/A</v>
      </c>
      <c r="U486" s="272" t="e">
        <f>IF(Q486=0,'calcolo base'!L3085,(T486+Q486))</f>
        <v>#N/A</v>
      </c>
      <c r="V486" s="119"/>
    </row>
    <row r="487" spans="2:22">
      <c r="B487" s="47"/>
      <c r="C487" s="35"/>
      <c r="D487" s="53"/>
      <c r="E487" s="53"/>
      <c r="F487" s="48"/>
      <c r="G487" s="243" t="e">
        <f>INDEX('calcolo base'!$B:$B, MATCH($A487, 'calcolo base'!$A:$A, 0))</f>
        <v>#N/A</v>
      </c>
      <c r="H487" s="54" t="e">
        <f t="shared" si="102"/>
        <v>#N/A</v>
      </c>
      <c r="I487" s="259" t="e">
        <f>IF(  OR(      INDEX('calcolo base'!$D:$D, MATCH($A487, 'calcolo base'!$A:$A, 0)) = 0,
      INDEX('calcolo base'!$D:$D, MATCH($A487, 'calcolo base'!$A:$A, 0)) = ""   ),
   INDEX('calcolo base'!$K:$K, MATCH($A487, 'calcolo base'!$A:$A, 0)),
   INDEX('calcolo base'!$J:$J, MATCH($A487, 'calcolo base'!$A:$A, 0))
) / 1000</f>
        <v>#N/A</v>
      </c>
      <c r="J487" s="50" t="e">
        <f t="shared" si="103"/>
        <v>#N/A</v>
      </c>
      <c r="K487" s="50"/>
      <c r="L487" s="267" t="e">
        <f>INDEX('calcolo base'!$H:$H, MATCH($A487, 'calcolo base'!$A:$A, 0))</f>
        <v>#N/A</v>
      </c>
      <c r="M487" s="50" t="e">
        <f t="shared" si="104"/>
        <v>#N/A</v>
      </c>
      <c r="N487" s="50" t="e">
        <f t="shared" si="105"/>
        <v>#N/A</v>
      </c>
      <c r="O487" s="50" t="e">
        <f t="shared" si="106"/>
        <v>#N/A</v>
      </c>
      <c r="P487" s="50" t="e">
        <f t="shared" si="107"/>
        <v>#N/A</v>
      </c>
      <c r="Q487" s="51" t="e">
        <f t="shared" si="108"/>
        <v>#N/A</v>
      </c>
      <c r="R487" s="205" t="e">
        <f t="shared" si="109"/>
        <v>#N/A</v>
      </c>
      <c r="S487" s="279" t="e">
        <f>IF(R487="si",0,IF(E487="si",0,IF(J487&gt;K487,0,+K487-J487)))+IF('calcolo base'!P1947="SI",('Commissioni De Angeli'!K487-'Commissioni De Angeli'!J487),0)</f>
        <v>#N/A</v>
      </c>
      <c r="T487" s="117" t="e">
        <f t="shared" si="110"/>
        <v>#N/A</v>
      </c>
      <c r="U487" s="272" t="e">
        <f>IF(Q487=0,'calcolo base'!L3086,(T487+Q487))</f>
        <v>#N/A</v>
      </c>
      <c r="V487" s="119"/>
    </row>
    <row r="488" spans="2:22">
      <c r="B488" s="47"/>
      <c r="C488" s="35"/>
      <c r="D488" s="53"/>
      <c r="E488" s="53"/>
      <c r="F488" s="48"/>
      <c r="G488" s="243" t="e">
        <f>INDEX('calcolo base'!$B:$B, MATCH($A488, 'calcolo base'!$A:$A, 0))</f>
        <v>#N/A</v>
      </c>
      <c r="H488" s="54" t="e">
        <f t="shared" si="102"/>
        <v>#N/A</v>
      </c>
      <c r="I488" s="259" t="e">
        <f>IF(  OR(      INDEX('calcolo base'!$D:$D, MATCH($A488, 'calcolo base'!$A:$A, 0)) = 0,
      INDEX('calcolo base'!$D:$D, MATCH($A488, 'calcolo base'!$A:$A, 0)) = ""   ),
   INDEX('calcolo base'!$K:$K, MATCH($A488, 'calcolo base'!$A:$A, 0)),
   INDEX('calcolo base'!$J:$J, MATCH($A488, 'calcolo base'!$A:$A, 0))
) / 1000</f>
        <v>#N/A</v>
      </c>
      <c r="J488" s="50" t="e">
        <f t="shared" si="103"/>
        <v>#N/A</v>
      </c>
      <c r="K488" s="50"/>
      <c r="L488" s="267" t="e">
        <f>INDEX('calcolo base'!$H:$H, MATCH($A488, 'calcolo base'!$A:$A, 0))</f>
        <v>#N/A</v>
      </c>
      <c r="M488" s="50" t="e">
        <f t="shared" si="104"/>
        <v>#N/A</v>
      </c>
      <c r="N488" s="50" t="e">
        <f t="shared" si="105"/>
        <v>#N/A</v>
      </c>
      <c r="O488" s="50" t="e">
        <f t="shared" si="106"/>
        <v>#N/A</v>
      </c>
      <c r="P488" s="50" t="e">
        <f t="shared" si="107"/>
        <v>#N/A</v>
      </c>
      <c r="Q488" s="51" t="e">
        <f t="shared" si="108"/>
        <v>#N/A</v>
      </c>
      <c r="R488" s="205" t="e">
        <f t="shared" si="109"/>
        <v>#N/A</v>
      </c>
      <c r="S488" s="279" t="e">
        <f>IF(R488="si",0,IF(E488="si",0,IF(J488&gt;K488,0,+K488-J488)))+IF('calcolo base'!P1948="SI",('Commissioni De Angeli'!K488-'Commissioni De Angeli'!J488),0)</f>
        <v>#N/A</v>
      </c>
      <c r="T488" s="117" t="e">
        <f t="shared" si="110"/>
        <v>#N/A</v>
      </c>
      <c r="U488" s="272" t="e">
        <f>IF(Q488=0,'calcolo base'!L3087,(T488+Q488))</f>
        <v>#N/A</v>
      </c>
      <c r="V488" s="119"/>
    </row>
    <row r="489" spans="2:22">
      <c r="B489" s="47"/>
      <c r="C489" s="35"/>
      <c r="D489" s="53"/>
      <c r="E489" s="53"/>
      <c r="F489" s="48"/>
      <c r="G489" s="243" t="e">
        <f>INDEX('calcolo base'!$B:$B, MATCH($A489, 'calcolo base'!$A:$A, 0))</f>
        <v>#N/A</v>
      </c>
      <c r="H489" s="54" t="e">
        <f t="shared" si="102"/>
        <v>#N/A</v>
      </c>
      <c r="I489" s="259" t="e">
        <f>IF(  OR(      INDEX('calcolo base'!$D:$D, MATCH($A489, 'calcolo base'!$A:$A, 0)) = 0,
      INDEX('calcolo base'!$D:$D, MATCH($A489, 'calcolo base'!$A:$A, 0)) = ""   ),
   INDEX('calcolo base'!$K:$K, MATCH($A489, 'calcolo base'!$A:$A, 0)),
   INDEX('calcolo base'!$J:$J, MATCH($A489, 'calcolo base'!$A:$A, 0))
) / 1000</f>
        <v>#N/A</v>
      </c>
      <c r="J489" s="50" t="e">
        <f t="shared" si="103"/>
        <v>#N/A</v>
      </c>
      <c r="K489" s="50"/>
      <c r="L489" s="267" t="e">
        <f>INDEX('calcolo base'!$H:$H, MATCH($A489, 'calcolo base'!$A:$A, 0))</f>
        <v>#N/A</v>
      </c>
      <c r="M489" s="50" t="e">
        <f t="shared" si="104"/>
        <v>#N/A</v>
      </c>
      <c r="N489" s="50" t="e">
        <f t="shared" si="105"/>
        <v>#N/A</v>
      </c>
      <c r="O489" s="50" t="e">
        <f t="shared" si="106"/>
        <v>#N/A</v>
      </c>
      <c r="P489" s="50" t="e">
        <f t="shared" si="107"/>
        <v>#N/A</v>
      </c>
      <c r="Q489" s="51" t="e">
        <f t="shared" si="108"/>
        <v>#N/A</v>
      </c>
      <c r="R489" s="205" t="e">
        <f t="shared" si="109"/>
        <v>#N/A</v>
      </c>
      <c r="S489" s="279" t="e">
        <f>IF(R489="si",0,IF(E489="si",0,IF(J489&gt;K489,0,+K489-J489)))+IF('calcolo base'!P1949="SI",('Commissioni De Angeli'!K489-'Commissioni De Angeli'!J489),0)</f>
        <v>#N/A</v>
      </c>
      <c r="T489" s="117" t="e">
        <f t="shared" si="110"/>
        <v>#N/A</v>
      </c>
      <c r="U489" s="272" t="e">
        <f>IF(Q489=0,'calcolo base'!L3088,(T489+Q489))</f>
        <v>#N/A</v>
      </c>
      <c r="V489" s="119"/>
    </row>
    <row r="490" spans="2:22">
      <c r="B490" s="47"/>
      <c r="C490" s="35"/>
      <c r="D490" s="53"/>
      <c r="E490" s="53"/>
      <c r="F490" s="48"/>
      <c r="G490" s="243" t="e">
        <f>INDEX('calcolo base'!$B:$B, MATCH($A490, 'calcolo base'!$A:$A, 0))</f>
        <v>#N/A</v>
      </c>
      <c r="H490" s="54" t="e">
        <f t="shared" si="102"/>
        <v>#N/A</v>
      </c>
      <c r="I490" s="259" t="e">
        <f>IF(  OR(      INDEX('calcolo base'!$D:$D, MATCH($A490, 'calcolo base'!$A:$A, 0)) = 0,
      INDEX('calcolo base'!$D:$D, MATCH($A490, 'calcolo base'!$A:$A, 0)) = ""   ),
   INDEX('calcolo base'!$K:$K, MATCH($A490, 'calcolo base'!$A:$A, 0)),
   INDEX('calcolo base'!$J:$J, MATCH($A490, 'calcolo base'!$A:$A, 0))
) / 1000</f>
        <v>#N/A</v>
      </c>
      <c r="J490" s="50" t="e">
        <f t="shared" si="103"/>
        <v>#N/A</v>
      </c>
      <c r="K490" s="50"/>
      <c r="L490" s="267" t="e">
        <f>INDEX('calcolo base'!$H:$H, MATCH($A490, 'calcolo base'!$A:$A, 0))</f>
        <v>#N/A</v>
      </c>
      <c r="M490" s="50" t="e">
        <f t="shared" si="104"/>
        <v>#N/A</v>
      </c>
      <c r="N490" s="50" t="e">
        <f t="shared" si="105"/>
        <v>#N/A</v>
      </c>
      <c r="O490" s="50" t="e">
        <f t="shared" si="106"/>
        <v>#N/A</v>
      </c>
      <c r="P490" s="50" t="e">
        <f t="shared" si="107"/>
        <v>#N/A</v>
      </c>
      <c r="Q490" s="51" t="e">
        <f t="shared" si="108"/>
        <v>#N/A</v>
      </c>
      <c r="R490" s="205" t="e">
        <f t="shared" si="109"/>
        <v>#N/A</v>
      </c>
      <c r="S490" s="279" t="e">
        <f>IF(R490="si",0,IF(E490="si",0,IF(J490&gt;K490,0,+K490-J490)))+IF('calcolo base'!P1950="SI",('Commissioni De Angeli'!K490-'Commissioni De Angeli'!J490),0)</f>
        <v>#N/A</v>
      </c>
      <c r="T490" s="117" t="e">
        <f t="shared" si="110"/>
        <v>#N/A</v>
      </c>
      <c r="U490" s="272" t="e">
        <f>IF(Q490=0,'calcolo base'!L3089,(T490+Q490))</f>
        <v>#N/A</v>
      </c>
      <c r="V490" s="119"/>
    </row>
    <row r="491" spans="2:22">
      <c r="B491" s="47"/>
      <c r="C491" s="35"/>
      <c r="D491" s="53"/>
      <c r="E491" s="53"/>
      <c r="F491" s="48"/>
      <c r="G491" s="243" t="e">
        <f>INDEX('calcolo base'!$B:$B, MATCH($A491, 'calcolo base'!$A:$A, 0))</f>
        <v>#N/A</v>
      </c>
      <c r="H491" s="54" t="e">
        <f t="shared" si="102"/>
        <v>#N/A</v>
      </c>
      <c r="I491" s="259" t="e">
        <f>IF(  OR(      INDEX('calcolo base'!$D:$D, MATCH($A491, 'calcolo base'!$A:$A, 0)) = 0,
      INDEX('calcolo base'!$D:$D, MATCH($A491, 'calcolo base'!$A:$A, 0)) = ""   ),
   INDEX('calcolo base'!$K:$K, MATCH($A491, 'calcolo base'!$A:$A, 0)),
   INDEX('calcolo base'!$J:$J, MATCH($A491, 'calcolo base'!$A:$A, 0))
) / 1000</f>
        <v>#N/A</v>
      </c>
      <c r="J491" s="50" t="e">
        <f t="shared" si="103"/>
        <v>#N/A</v>
      </c>
      <c r="K491" s="50"/>
      <c r="L491" s="267" t="e">
        <f>INDEX('calcolo base'!$H:$H, MATCH($A491, 'calcolo base'!$A:$A, 0))</f>
        <v>#N/A</v>
      </c>
      <c r="M491" s="50" t="e">
        <f t="shared" si="104"/>
        <v>#N/A</v>
      </c>
      <c r="N491" s="50" t="e">
        <f t="shared" si="105"/>
        <v>#N/A</v>
      </c>
      <c r="O491" s="50" t="e">
        <f t="shared" si="106"/>
        <v>#N/A</v>
      </c>
      <c r="P491" s="50" t="e">
        <f t="shared" si="107"/>
        <v>#N/A</v>
      </c>
      <c r="Q491" s="51" t="e">
        <f t="shared" si="108"/>
        <v>#N/A</v>
      </c>
      <c r="R491" s="205" t="e">
        <f t="shared" si="109"/>
        <v>#N/A</v>
      </c>
      <c r="S491" s="279" t="e">
        <f>IF(R491="si",0,IF(E491="si",0,IF(J491&gt;K491,0,+K491-J491)))+IF('calcolo base'!P1951="SI",('Commissioni De Angeli'!K491-'Commissioni De Angeli'!J491),0)</f>
        <v>#N/A</v>
      </c>
      <c r="T491" s="117" t="e">
        <f t="shared" si="110"/>
        <v>#N/A</v>
      </c>
      <c r="U491" s="272" t="e">
        <f>IF(Q491=0,'calcolo base'!L3090,(T491+Q491))</f>
        <v>#N/A</v>
      </c>
      <c r="V491" s="119"/>
    </row>
    <row r="492" spans="2:22">
      <c r="B492" s="47"/>
      <c r="C492" s="35"/>
      <c r="D492" s="53"/>
      <c r="E492" s="53"/>
      <c r="F492" s="48"/>
      <c r="G492" s="243" t="e">
        <f>INDEX('calcolo base'!$B:$B, MATCH($A492, 'calcolo base'!$A:$A, 0))</f>
        <v>#N/A</v>
      </c>
      <c r="H492" s="54" t="e">
        <f t="shared" ref="H492:H555" si="111">IF(G492=0,"",+G492)</f>
        <v>#N/A</v>
      </c>
      <c r="I492" s="259" t="e">
        <f>IF(  OR(      INDEX('calcolo base'!$D:$D, MATCH($A492, 'calcolo base'!$A:$A, 0)) = 0,
      INDEX('calcolo base'!$D:$D, MATCH($A492, 'calcolo base'!$A:$A, 0)) = ""   ),
   INDEX('calcolo base'!$K:$K, MATCH($A492, 'calcolo base'!$A:$A, 0)),
   INDEX('calcolo base'!$J:$J, MATCH($A492, 'calcolo base'!$A:$A, 0))
) / 1000</f>
        <v>#N/A</v>
      </c>
      <c r="J492" s="50" t="e">
        <f t="shared" ref="J492:J555" si="112">+F492+I492</f>
        <v>#N/A</v>
      </c>
      <c r="K492" s="50"/>
      <c r="L492" s="267" t="e">
        <f>INDEX('calcolo base'!$H:$H, MATCH($A492, 'calcolo base'!$A:$A, 0))</f>
        <v>#N/A</v>
      </c>
      <c r="M492" s="50" t="e">
        <f t="shared" ref="M492:M555" si="113">IF(L492=0,0,J492*L492)</f>
        <v>#N/A</v>
      </c>
      <c r="N492" s="50" t="e">
        <f t="shared" ref="N492:N555" si="114">IF(E492="si",K492*1.5%,IF($L492&gt;=5%,IF($I492=0,0,(IF($G492="RAME",($J492)*1.5%,0)+IF($G492="rame smaltato",($K492)*1.5%,0))),0))</f>
        <v>#N/A</v>
      </c>
      <c r="O492" s="50" t="e">
        <f t="shared" ref="O492:O555" si="115">IF($I492=0,0,(IF($G492="alluminio",($J492)*3%,0)+IF($G492="alluminio smaltato",($K492)*3%,0)))</f>
        <v>#N/A</v>
      </c>
      <c r="P492" s="50" t="e">
        <f t="shared" ref="P492:P555" si="116">IF(H492="alluminio",0,IF(L492&lt;5%,F492*8%,0))</f>
        <v>#N/A</v>
      </c>
      <c r="Q492" s="51" t="e">
        <f t="shared" ref="Q492:Q555" si="117">+(N492*D492)+(O492*D492)+(P492*D492)</f>
        <v>#N/A</v>
      </c>
      <c r="R492" s="205" t="e">
        <f t="shared" ref="R492:R555" si="118">IF(H492="ALLUMINIO",0,IF(L492&lt;5%,"si",0))</f>
        <v>#N/A</v>
      </c>
      <c r="S492" s="279" t="e">
        <f>IF(R492="si",0,IF(E492="si",0,IF(J492&gt;K492,0,+K492-J492)))+IF('calcolo base'!P1952="SI",('Commissioni De Angeli'!K492-'Commissioni De Angeli'!J492),0)</f>
        <v>#N/A</v>
      </c>
      <c r="T492" s="117" t="e">
        <f t="shared" ref="T492:T555" si="119">+(S492)*D492*40%</f>
        <v>#N/A</v>
      </c>
      <c r="U492" s="272" t="e">
        <f>IF(Q492=0,'calcolo base'!L3091,(T492+Q492))</f>
        <v>#N/A</v>
      </c>
      <c r="V492" s="119"/>
    </row>
    <row r="493" spans="2:22">
      <c r="B493" s="47"/>
      <c r="C493" s="35"/>
      <c r="D493" s="53"/>
      <c r="E493" s="53"/>
      <c r="F493" s="48"/>
      <c r="G493" s="243" t="e">
        <f>INDEX('calcolo base'!$B:$B, MATCH($A493, 'calcolo base'!$A:$A, 0))</f>
        <v>#N/A</v>
      </c>
      <c r="H493" s="54" t="e">
        <f t="shared" si="111"/>
        <v>#N/A</v>
      </c>
      <c r="I493" s="259" t="e">
        <f>IF(  OR(      INDEX('calcolo base'!$D:$D, MATCH($A493, 'calcolo base'!$A:$A, 0)) = 0,
      INDEX('calcolo base'!$D:$D, MATCH($A493, 'calcolo base'!$A:$A, 0)) = ""   ),
   INDEX('calcolo base'!$K:$K, MATCH($A493, 'calcolo base'!$A:$A, 0)),
   INDEX('calcolo base'!$J:$J, MATCH($A493, 'calcolo base'!$A:$A, 0))
) / 1000</f>
        <v>#N/A</v>
      </c>
      <c r="J493" s="50" t="e">
        <f t="shared" si="112"/>
        <v>#N/A</v>
      </c>
      <c r="K493" s="50"/>
      <c r="L493" s="267" t="e">
        <f>INDEX('calcolo base'!$H:$H, MATCH($A493, 'calcolo base'!$A:$A, 0))</f>
        <v>#N/A</v>
      </c>
      <c r="M493" s="50" t="e">
        <f t="shared" si="113"/>
        <v>#N/A</v>
      </c>
      <c r="N493" s="50" t="e">
        <f t="shared" si="114"/>
        <v>#N/A</v>
      </c>
      <c r="O493" s="50" t="e">
        <f t="shared" si="115"/>
        <v>#N/A</v>
      </c>
      <c r="P493" s="50" t="e">
        <f t="shared" si="116"/>
        <v>#N/A</v>
      </c>
      <c r="Q493" s="51" t="e">
        <f t="shared" si="117"/>
        <v>#N/A</v>
      </c>
      <c r="R493" s="205" t="e">
        <f t="shared" si="118"/>
        <v>#N/A</v>
      </c>
      <c r="S493" s="279" t="e">
        <f>IF(R493="si",0,IF(E493="si",0,IF(J493&gt;K493,0,+K493-J493)))+IF('calcolo base'!P1953="SI",('Commissioni De Angeli'!K493-'Commissioni De Angeli'!J493),0)</f>
        <v>#N/A</v>
      </c>
      <c r="T493" s="117" t="e">
        <f t="shared" si="119"/>
        <v>#N/A</v>
      </c>
      <c r="U493" s="272" t="e">
        <f>IF(Q493=0,'calcolo base'!L3092,(T493+Q493))</f>
        <v>#N/A</v>
      </c>
      <c r="V493" s="119"/>
    </row>
    <row r="494" spans="2:22">
      <c r="B494" s="47"/>
      <c r="C494" s="35"/>
      <c r="D494" s="53"/>
      <c r="E494" s="53"/>
      <c r="F494" s="48"/>
      <c r="G494" s="243" t="e">
        <f>INDEX('calcolo base'!$B:$B, MATCH($A494, 'calcolo base'!$A:$A, 0))</f>
        <v>#N/A</v>
      </c>
      <c r="H494" s="54" t="e">
        <f t="shared" si="111"/>
        <v>#N/A</v>
      </c>
      <c r="I494" s="259" t="e">
        <f>IF(  OR(      INDEX('calcolo base'!$D:$D, MATCH($A494, 'calcolo base'!$A:$A, 0)) = 0,
      INDEX('calcolo base'!$D:$D, MATCH($A494, 'calcolo base'!$A:$A, 0)) = ""   ),
   INDEX('calcolo base'!$K:$K, MATCH($A494, 'calcolo base'!$A:$A, 0)),
   INDEX('calcolo base'!$J:$J, MATCH($A494, 'calcolo base'!$A:$A, 0))
) / 1000</f>
        <v>#N/A</v>
      </c>
      <c r="J494" s="50" t="e">
        <f t="shared" si="112"/>
        <v>#N/A</v>
      </c>
      <c r="K494" s="50"/>
      <c r="L494" s="267" t="e">
        <f>INDEX('calcolo base'!$H:$H, MATCH($A494, 'calcolo base'!$A:$A, 0))</f>
        <v>#N/A</v>
      </c>
      <c r="M494" s="50" t="e">
        <f t="shared" si="113"/>
        <v>#N/A</v>
      </c>
      <c r="N494" s="50" t="e">
        <f t="shared" si="114"/>
        <v>#N/A</v>
      </c>
      <c r="O494" s="50" t="e">
        <f t="shared" si="115"/>
        <v>#N/A</v>
      </c>
      <c r="P494" s="50" t="e">
        <f t="shared" si="116"/>
        <v>#N/A</v>
      </c>
      <c r="Q494" s="51" t="e">
        <f t="shared" si="117"/>
        <v>#N/A</v>
      </c>
      <c r="R494" s="205" t="e">
        <f t="shared" si="118"/>
        <v>#N/A</v>
      </c>
      <c r="S494" s="279" t="e">
        <f>IF(R494="si",0,IF(E494="si",0,IF(J494&gt;K494,0,+K494-J494)))+IF('calcolo base'!P1954="SI",('Commissioni De Angeli'!K494-'Commissioni De Angeli'!J494),0)</f>
        <v>#N/A</v>
      </c>
      <c r="T494" s="117" t="e">
        <f t="shared" si="119"/>
        <v>#N/A</v>
      </c>
      <c r="U494" s="272" t="e">
        <f>IF(Q494=0,'calcolo base'!L3093,(T494+Q494))</f>
        <v>#N/A</v>
      </c>
      <c r="V494" s="119"/>
    </row>
    <row r="495" spans="2:22">
      <c r="B495" s="47"/>
      <c r="C495" s="35"/>
      <c r="D495" s="53"/>
      <c r="E495" s="53"/>
      <c r="F495" s="48"/>
      <c r="G495" s="243" t="e">
        <f>INDEX('calcolo base'!$B:$B, MATCH($A495, 'calcolo base'!$A:$A, 0))</f>
        <v>#N/A</v>
      </c>
      <c r="H495" s="54" t="e">
        <f t="shared" si="111"/>
        <v>#N/A</v>
      </c>
      <c r="I495" s="259" t="e">
        <f>IF(  OR(      INDEX('calcolo base'!$D:$D, MATCH($A495, 'calcolo base'!$A:$A, 0)) = 0,
      INDEX('calcolo base'!$D:$D, MATCH($A495, 'calcolo base'!$A:$A, 0)) = ""   ),
   INDEX('calcolo base'!$K:$K, MATCH($A495, 'calcolo base'!$A:$A, 0)),
   INDEX('calcolo base'!$J:$J, MATCH($A495, 'calcolo base'!$A:$A, 0))
) / 1000</f>
        <v>#N/A</v>
      </c>
      <c r="J495" s="50" t="e">
        <f t="shared" si="112"/>
        <v>#N/A</v>
      </c>
      <c r="K495" s="50"/>
      <c r="L495" s="267" t="e">
        <f>INDEX('calcolo base'!$H:$H, MATCH($A495, 'calcolo base'!$A:$A, 0))</f>
        <v>#N/A</v>
      </c>
      <c r="M495" s="50" t="e">
        <f t="shared" si="113"/>
        <v>#N/A</v>
      </c>
      <c r="N495" s="50" t="e">
        <f t="shared" si="114"/>
        <v>#N/A</v>
      </c>
      <c r="O495" s="50" t="e">
        <f t="shared" si="115"/>
        <v>#N/A</v>
      </c>
      <c r="P495" s="50" t="e">
        <f t="shared" si="116"/>
        <v>#N/A</v>
      </c>
      <c r="Q495" s="51" t="e">
        <f t="shared" si="117"/>
        <v>#N/A</v>
      </c>
      <c r="R495" s="205" t="e">
        <f t="shared" si="118"/>
        <v>#N/A</v>
      </c>
      <c r="S495" s="279" t="e">
        <f>IF(R495="si",0,IF(E495="si",0,IF(J495&gt;K495,0,+K495-J495)))+IF('calcolo base'!P1955="SI",('Commissioni De Angeli'!K495-'Commissioni De Angeli'!J495),0)</f>
        <v>#N/A</v>
      </c>
      <c r="T495" s="117" t="e">
        <f t="shared" si="119"/>
        <v>#N/A</v>
      </c>
      <c r="U495" s="272" t="e">
        <f>IF(Q495=0,'calcolo base'!L3094,(T495+Q495))</f>
        <v>#N/A</v>
      </c>
      <c r="V495" s="119"/>
    </row>
    <row r="496" spans="2:22">
      <c r="B496" s="47"/>
      <c r="C496" s="35"/>
      <c r="D496" s="53"/>
      <c r="E496" s="53"/>
      <c r="F496" s="48"/>
      <c r="G496" s="243" t="e">
        <f>INDEX('calcolo base'!$B:$B, MATCH($A496, 'calcolo base'!$A:$A, 0))</f>
        <v>#N/A</v>
      </c>
      <c r="H496" s="54" t="e">
        <f t="shared" si="111"/>
        <v>#N/A</v>
      </c>
      <c r="I496" s="259" t="e">
        <f>IF(  OR(      INDEX('calcolo base'!$D:$D, MATCH($A496, 'calcolo base'!$A:$A, 0)) = 0,
      INDEX('calcolo base'!$D:$D, MATCH($A496, 'calcolo base'!$A:$A, 0)) = ""   ),
   INDEX('calcolo base'!$K:$K, MATCH($A496, 'calcolo base'!$A:$A, 0)),
   INDEX('calcolo base'!$J:$J, MATCH($A496, 'calcolo base'!$A:$A, 0))
) / 1000</f>
        <v>#N/A</v>
      </c>
      <c r="J496" s="50" t="e">
        <f t="shared" si="112"/>
        <v>#N/A</v>
      </c>
      <c r="K496" s="50"/>
      <c r="L496" s="267" t="e">
        <f>INDEX('calcolo base'!$H:$H, MATCH($A496, 'calcolo base'!$A:$A, 0))</f>
        <v>#N/A</v>
      </c>
      <c r="M496" s="50" t="e">
        <f t="shared" si="113"/>
        <v>#N/A</v>
      </c>
      <c r="N496" s="50" t="e">
        <f t="shared" si="114"/>
        <v>#N/A</v>
      </c>
      <c r="O496" s="50" t="e">
        <f t="shared" si="115"/>
        <v>#N/A</v>
      </c>
      <c r="P496" s="50" t="e">
        <f t="shared" si="116"/>
        <v>#N/A</v>
      </c>
      <c r="Q496" s="51" t="e">
        <f t="shared" si="117"/>
        <v>#N/A</v>
      </c>
      <c r="R496" s="205" t="e">
        <f t="shared" si="118"/>
        <v>#N/A</v>
      </c>
      <c r="S496" s="279" t="e">
        <f>IF(R496="si",0,IF(E496="si",0,IF(J496&gt;K496,0,+K496-J496)))+IF('calcolo base'!P1956="SI",('Commissioni De Angeli'!K496-'Commissioni De Angeli'!J496),0)</f>
        <v>#N/A</v>
      </c>
      <c r="T496" s="117" t="e">
        <f t="shared" si="119"/>
        <v>#N/A</v>
      </c>
      <c r="U496" s="272" t="e">
        <f>IF(Q496=0,'calcolo base'!L3095,(T496+Q496))</f>
        <v>#N/A</v>
      </c>
      <c r="V496" s="119"/>
    </row>
    <row r="497" spans="2:22">
      <c r="B497" s="47"/>
      <c r="C497" s="35"/>
      <c r="D497" s="53"/>
      <c r="E497" s="53"/>
      <c r="F497" s="48"/>
      <c r="G497" s="243" t="e">
        <f>INDEX('calcolo base'!$B:$B, MATCH($A497, 'calcolo base'!$A:$A, 0))</f>
        <v>#N/A</v>
      </c>
      <c r="H497" s="54" t="e">
        <f t="shared" si="111"/>
        <v>#N/A</v>
      </c>
      <c r="I497" s="259" t="e">
        <f>IF(  OR(      INDEX('calcolo base'!$D:$D, MATCH($A497, 'calcolo base'!$A:$A, 0)) = 0,
      INDEX('calcolo base'!$D:$D, MATCH($A497, 'calcolo base'!$A:$A, 0)) = ""   ),
   INDEX('calcolo base'!$K:$K, MATCH($A497, 'calcolo base'!$A:$A, 0)),
   INDEX('calcolo base'!$J:$J, MATCH($A497, 'calcolo base'!$A:$A, 0))
) / 1000</f>
        <v>#N/A</v>
      </c>
      <c r="J497" s="50" t="e">
        <f t="shared" si="112"/>
        <v>#N/A</v>
      </c>
      <c r="K497" s="50"/>
      <c r="L497" s="267" t="e">
        <f>INDEX('calcolo base'!$H:$H, MATCH($A497, 'calcolo base'!$A:$A, 0))</f>
        <v>#N/A</v>
      </c>
      <c r="M497" s="50" t="e">
        <f t="shared" si="113"/>
        <v>#N/A</v>
      </c>
      <c r="N497" s="50" t="e">
        <f t="shared" si="114"/>
        <v>#N/A</v>
      </c>
      <c r="O497" s="50" t="e">
        <f t="shared" si="115"/>
        <v>#N/A</v>
      </c>
      <c r="P497" s="50" t="e">
        <f t="shared" si="116"/>
        <v>#N/A</v>
      </c>
      <c r="Q497" s="51" t="e">
        <f t="shared" si="117"/>
        <v>#N/A</v>
      </c>
      <c r="R497" s="205" t="e">
        <f t="shared" si="118"/>
        <v>#N/A</v>
      </c>
      <c r="S497" s="279" t="e">
        <f>IF(R497="si",0,IF(E497="si",0,IF(J497&gt;K497,0,+K497-J497)))+IF('calcolo base'!P1957="SI",('Commissioni De Angeli'!K497-'Commissioni De Angeli'!J497),0)</f>
        <v>#N/A</v>
      </c>
      <c r="T497" s="117" t="e">
        <f t="shared" si="119"/>
        <v>#N/A</v>
      </c>
      <c r="U497" s="272" t="e">
        <f>IF(Q497=0,'calcolo base'!L3096,(T497+Q497))</f>
        <v>#N/A</v>
      </c>
      <c r="V497" s="119"/>
    </row>
    <row r="498" spans="2:22">
      <c r="B498" s="47"/>
      <c r="C498" s="35"/>
      <c r="D498" s="53"/>
      <c r="E498" s="53"/>
      <c r="F498" s="48"/>
      <c r="G498" s="243" t="e">
        <f>INDEX('calcolo base'!$B:$B, MATCH($A498, 'calcolo base'!$A:$A, 0))</f>
        <v>#N/A</v>
      </c>
      <c r="H498" s="54" t="e">
        <f t="shared" si="111"/>
        <v>#N/A</v>
      </c>
      <c r="I498" s="259" t="e">
        <f>IF(  OR(      INDEX('calcolo base'!$D:$D, MATCH($A498, 'calcolo base'!$A:$A, 0)) = 0,
      INDEX('calcolo base'!$D:$D, MATCH($A498, 'calcolo base'!$A:$A, 0)) = ""   ),
   INDEX('calcolo base'!$K:$K, MATCH($A498, 'calcolo base'!$A:$A, 0)),
   INDEX('calcolo base'!$J:$J, MATCH($A498, 'calcolo base'!$A:$A, 0))
) / 1000</f>
        <v>#N/A</v>
      </c>
      <c r="J498" s="50" t="e">
        <f t="shared" si="112"/>
        <v>#N/A</v>
      </c>
      <c r="K498" s="50"/>
      <c r="L498" s="267" t="e">
        <f>INDEX('calcolo base'!$H:$H, MATCH($A498, 'calcolo base'!$A:$A, 0))</f>
        <v>#N/A</v>
      </c>
      <c r="M498" s="50" t="e">
        <f t="shared" si="113"/>
        <v>#N/A</v>
      </c>
      <c r="N498" s="50" t="e">
        <f t="shared" si="114"/>
        <v>#N/A</v>
      </c>
      <c r="O498" s="50" t="e">
        <f t="shared" si="115"/>
        <v>#N/A</v>
      </c>
      <c r="P498" s="50" t="e">
        <f t="shared" si="116"/>
        <v>#N/A</v>
      </c>
      <c r="Q498" s="51" t="e">
        <f t="shared" si="117"/>
        <v>#N/A</v>
      </c>
      <c r="R498" s="205" t="e">
        <f t="shared" si="118"/>
        <v>#N/A</v>
      </c>
      <c r="S498" s="279" t="e">
        <f>IF(R498="si",0,IF(E498="si",0,IF(J498&gt;K498,0,+K498-J498)))+IF('calcolo base'!P1958="SI",('Commissioni De Angeli'!K498-'Commissioni De Angeli'!J498),0)</f>
        <v>#N/A</v>
      </c>
      <c r="T498" s="117" t="e">
        <f t="shared" si="119"/>
        <v>#N/A</v>
      </c>
      <c r="U498" s="272" t="e">
        <f>IF(Q498=0,'calcolo base'!L3097,(T498+Q498))</f>
        <v>#N/A</v>
      </c>
      <c r="V498" s="119"/>
    </row>
    <row r="499" spans="2:22">
      <c r="B499" s="47"/>
      <c r="C499" s="35"/>
      <c r="D499" s="53"/>
      <c r="E499" s="53"/>
      <c r="F499" s="48"/>
      <c r="G499" s="243" t="e">
        <f>INDEX('calcolo base'!$B:$B, MATCH($A499, 'calcolo base'!$A:$A, 0))</f>
        <v>#N/A</v>
      </c>
      <c r="H499" s="54" t="e">
        <f t="shared" si="111"/>
        <v>#N/A</v>
      </c>
      <c r="I499" s="259" t="e">
        <f>IF(  OR(      INDEX('calcolo base'!$D:$D, MATCH($A499, 'calcolo base'!$A:$A, 0)) = 0,
      INDEX('calcolo base'!$D:$D, MATCH($A499, 'calcolo base'!$A:$A, 0)) = ""   ),
   INDEX('calcolo base'!$K:$K, MATCH($A499, 'calcolo base'!$A:$A, 0)),
   INDEX('calcolo base'!$J:$J, MATCH($A499, 'calcolo base'!$A:$A, 0))
) / 1000</f>
        <v>#N/A</v>
      </c>
      <c r="J499" s="50" t="e">
        <f t="shared" si="112"/>
        <v>#N/A</v>
      </c>
      <c r="K499" s="50"/>
      <c r="L499" s="267" t="e">
        <f>INDEX('calcolo base'!$H:$H, MATCH($A499, 'calcolo base'!$A:$A, 0))</f>
        <v>#N/A</v>
      </c>
      <c r="M499" s="50" t="e">
        <f t="shared" si="113"/>
        <v>#N/A</v>
      </c>
      <c r="N499" s="50" t="e">
        <f t="shared" si="114"/>
        <v>#N/A</v>
      </c>
      <c r="O499" s="50" t="e">
        <f t="shared" si="115"/>
        <v>#N/A</v>
      </c>
      <c r="P499" s="50" t="e">
        <f t="shared" si="116"/>
        <v>#N/A</v>
      </c>
      <c r="Q499" s="51" t="e">
        <f t="shared" si="117"/>
        <v>#N/A</v>
      </c>
      <c r="R499" s="205" t="e">
        <f t="shared" si="118"/>
        <v>#N/A</v>
      </c>
      <c r="S499" s="279" t="e">
        <f>IF(R499="si",0,IF(E499="si",0,IF(J499&gt;K499,0,+K499-J499)))+IF('calcolo base'!P1959="SI",('Commissioni De Angeli'!K499-'Commissioni De Angeli'!J499),0)</f>
        <v>#N/A</v>
      </c>
      <c r="T499" s="117" t="e">
        <f t="shared" si="119"/>
        <v>#N/A</v>
      </c>
      <c r="U499" s="272" t="e">
        <f>IF(Q499=0,'calcolo base'!L3098,(T499+Q499))</f>
        <v>#N/A</v>
      </c>
      <c r="V499" s="119"/>
    </row>
    <row r="500" spans="2:22">
      <c r="B500" s="47"/>
      <c r="C500" s="35"/>
      <c r="D500" s="53"/>
      <c r="E500" s="53"/>
      <c r="F500" s="48"/>
      <c r="G500" s="243" t="e">
        <f>INDEX('calcolo base'!$B:$B, MATCH($A500, 'calcolo base'!$A:$A, 0))</f>
        <v>#N/A</v>
      </c>
      <c r="H500" s="54" t="e">
        <f t="shared" si="111"/>
        <v>#N/A</v>
      </c>
      <c r="I500" s="259" t="e">
        <f>IF(  OR(      INDEX('calcolo base'!$D:$D, MATCH($A500, 'calcolo base'!$A:$A, 0)) = 0,
      INDEX('calcolo base'!$D:$D, MATCH($A500, 'calcolo base'!$A:$A, 0)) = ""   ),
   INDEX('calcolo base'!$K:$K, MATCH($A500, 'calcolo base'!$A:$A, 0)),
   INDEX('calcolo base'!$J:$J, MATCH($A500, 'calcolo base'!$A:$A, 0))
) / 1000</f>
        <v>#N/A</v>
      </c>
      <c r="J500" s="50" t="e">
        <f t="shared" si="112"/>
        <v>#N/A</v>
      </c>
      <c r="K500" s="50"/>
      <c r="L500" s="267" t="e">
        <f>INDEX('calcolo base'!$H:$H, MATCH($A500, 'calcolo base'!$A:$A, 0))</f>
        <v>#N/A</v>
      </c>
      <c r="M500" s="50" t="e">
        <f t="shared" si="113"/>
        <v>#N/A</v>
      </c>
      <c r="N500" s="50" t="e">
        <f t="shared" si="114"/>
        <v>#N/A</v>
      </c>
      <c r="O500" s="50" t="e">
        <f t="shared" si="115"/>
        <v>#N/A</v>
      </c>
      <c r="P500" s="50" t="e">
        <f t="shared" si="116"/>
        <v>#N/A</v>
      </c>
      <c r="Q500" s="51" t="e">
        <f t="shared" si="117"/>
        <v>#N/A</v>
      </c>
      <c r="R500" s="205" t="e">
        <f t="shared" si="118"/>
        <v>#N/A</v>
      </c>
      <c r="S500" s="279" t="e">
        <f>IF(R500="si",0,IF(E500="si",0,IF(J500&gt;K500,0,+K500-J500)))+IF('calcolo base'!P1960="SI",('Commissioni De Angeli'!K500-'Commissioni De Angeli'!J500),0)</f>
        <v>#N/A</v>
      </c>
      <c r="T500" s="117" t="e">
        <f t="shared" si="119"/>
        <v>#N/A</v>
      </c>
      <c r="U500" s="272" t="e">
        <f>IF(Q500=0,'calcolo base'!L3099,(T500+Q500))</f>
        <v>#N/A</v>
      </c>
      <c r="V500" s="119"/>
    </row>
    <row r="501" spans="2:22">
      <c r="B501" s="47"/>
      <c r="C501" s="35"/>
      <c r="D501" s="53"/>
      <c r="E501" s="53"/>
      <c r="F501" s="48"/>
      <c r="G501" s="243" t="e">
        <f>INDEX('calcolo base'!$B:$B, MATCH($A501, 'calcolo base'!$A:$A, 0))</f>
        <v>#N/A</v>
      </c>
      <c r="H501" s="54" t="e">
        <f t="shared" si="111"/>
        <v>#N/A</v>
      </c>
      <c r="I501" s="259" t="e">
        <f>IF(  OR(      INDEX('calcolo base'!$D:$D, MATCH($A501, 'calcolo base'!$A:$A, 0)) = 0,
      INDEX('calcolo base'!$D:$D, MATCH($A501, 'calcolo base'!$A:$A, 0)) = ""   ),
   INDEX('calcolo base'!$K:$K, MATCH($A501, 'calcolo base'!$A:$A, 0)),
   INDEX('calcolo base'!$J:$J, MATCH($A501, 'calcolo base'!$A:$A, 0))
) / 1000</f>
        <v>#N/A</v>
      </c>
      <c r="J501" s="50" t="e">
        <f t="shared" si="112"/>
        <v>#N/A</v>
      </c>
      <c r="K501" s="50"/>
      <c r="L501" s="267" t="e">
        <f>INDEX('calcolo base'!$H:$H, MATCH($A501, 'calcolo base'!$A:$A, 0))</f>
        <v>#N/A</v>
      </c>
      <c r="M501" s="50" t="e">
        <f t="shared" si="113"/>
        <v>#N/A</v>
      </c>
      <c r="N501" s="50" t="e">
        <f t="shared" si="114"/>
        <v>#N/A</v>
      </c>
      <c r="O501" s="50" t="e">
        <f t="shared" si="115"/>
        <v>#N/A</v>
      </c>
      <c r="P501" s="50" t="e">
        <f t="shared" si="116"/>
        <v>#N/A</v>
      </c>
      <c r="Q501" s="51" t="e">
        <f t="shared" si="117"/>
        <v>#N/A</v>
      </c>
      <c r="R501" s="205" t="e">
        <f t="shared" si="118"/>
        <v>#N/A</v>
      </c>
      <c r="S501" s="279" t="e">
        <f>IF(R501="si",0,IF(E501="si",0,IF(J501&gt;K501,0,+K501-J501)))+IF('calcolo base'!P1961="SI",('Commissioni De Angeli'!K501-'Commissioni De Angeli'!J501),0)</f>
        <v>#N/A</v>
      </c>
      <c r="T501" s="117" t="e">
        <f t="shared" si="119"/>
        <v>#N/A</v>
      </c>
      <c r="U501" s="272" t="e">
        <f>IF(Q501=0,'calcolo base'!L3100,(T501+Q501))</f>
        <v>#N/A</v>
      </c>
      <c r="V501" s="119"/>
    </row>
    <row r="502" spans="2:22">
      <c r="B502" s="47"/>
      <c r="C502" s="35"/>
      <c r="D502" s="53"/>
      <c r="E502" s="53"/>
      <c r="F502" s="48"/>
      <c r="G502" s="243" t="e">
        <f>INDEX('calcolo base'!$B:$B, MATCH($A502, 'calcolo base'!$A:$A, 0))</f>
        <v>#N/A</v>
      </c>
      <c r="H502" s="54" t="e">
        <f t="shared" si="111"/>
        <v>#N/A</v>
      </c>
      <c r="I502" s="259" t="e">
        <f>IF(  OR(      INDEX('calcolo base'!$D:$D, MATCH($A502, 'calcolo base'!$A:$A, 0)) = 0,
      INDEX('calcolo base'!$D:$D, MATCH($A502, 'calcolo base'!$A:$A, 0)) = ""   ),
   INDEX('calcolo base'!$K:$K, MATCH($A502, 'calcolo base'!$A:$A, 0)),
   INDEX('calcolo base'!$J:$J, MATCH($A502, 'calcolo base'!$A:$A, 0))
) / 1000</f>
        <v>#N/A</v>
      </c>
      <c r="J502" s="50" t="e">
        <f t="shared" si="112"/>
        <v>#N/A</v>
      </c>
      <c r="K502" s="50"/>
      <c r="L502" s="267" t="e">
        <f>INDEX('calcolo base'!$H:$H, MATCH($A502, 'calcolo base'!$A:$A, 0))</f>
        <v>#N/A</v>
      </c>
      <c r="M502" s="50" t="e">
        <f t="shared" si="113"/>
        <v>#N/A</v>
      </c>
      <c r="N502" s="50" t="e">
        <f t="shared" si="114"/>
        <v>#N/A</v>
      </c>
      <c r="O502" s="50" t="e">
        <f t="shared" si="115"/>
        <v>#N/A</v>
      </c>
      <c r="P502" s="50" t="e">
        <f t="shared" si="116"/>
        <v>#N/A</v>
      </c>
      <c r="Q502" s="51" t="e">
        <f t="shared" si="117"/>
        <v>#N/A</v>
      </c>
      <c r="R502" s="205" t="e">
        <f t="shared" si="118"/>
        <v>#N/A</v>
      </c>
      <c r="S502" s="279" t="e">
        <f>IF(R502="si",0,IF(E502="si",0,IF(J502&gt;K502,0,+K502-J502)))+IF('calcolo base'!P1962="SI",('Commissioni De Angeli'!K502-'Commissioni De Angeli'!J502),0)</f>
        <v>#N/A</v>
      </c>
      <c r="T502" s="117" t="e">
        <f t="shared" si="119"/>
        <v>#N/A</v>
      </c>
      <c r="U502" s="272" t="e">
        <f>IF(Q502=0,'calcolo base'!L3101,(T502+Q502))</f>
        <v>#N/A</v>
      </c>
      <c r="V502" s="119"/>
    </row>
    <row r="503" spans="2:22">
      <c r="B503" s="47"/>
      <c r="C503" s="35"/>
      <c r="D503" s="53"/>
      <c r="E503" s="53"/>
      <c r="F503" s="48"/>
      <c r="G503" s="243" t="e">
        <f>INDEX('calcolo base'!$B:$B, MATCH($A503, 'calcolo base'!$A:$A, 0))</f>
        <v>#N/A</v>
      </c>
      <c r="H503" s="54" t="e">
        <f t="shared" si="111"/>
        <v>#N/A</v>
      </c>
      <c r="I503" s="259" t="e">
        <f>IF(  OR(      INDEX('calcolo base'!$D:$D, MATCH($A503, 'calcolo base'!$A:$A, 0)) = 0,
      INDEX('calcolo base'!$D:$D, MATCH($A503, 'calcolo base'!$A:$A, 0)) = ""   ),
   INDEX('calcolo base'!$K:$K, MATCH($A503, 'calcolo base'!$A:$A, 0)),
   INDEX('calcolo base'!$J:$J, MATCH($A503, 'calcolo base'!$A:$A, 0))
) / 1000</f>
        <v>#N/A</v>
      </c>
      <c r="J503" s="50" t="e">
        <f t="shared" si="112"/>
        <v>#N/A</v>
      </c>
      <c r="K503" s="50"/>
      <c r="L503" s="267" t="e">
        <f>INDEX('calcolo base'!$H:$H, MATCH($A503, 'calcolo base'!$A:$A, 0))</f>
        <v>#N/A</v>
      </c>
      <c r="M503" s="50" t="e">
        <f t="shared" si="113"/>
        <v>#N/A</v>
      </c>
      <c r="N503" s="50" t="e">
        <f t="shared" si="114"/>
        <v>#N/A</v>
      </c>
      <c r="O503" s="50" t="e">
        <f t="shared" si="115"/>
        <v>#N/A</v>
      </c>
      <c r="P503" s="50" t="e">
        <f t="shared" si="116"/>
        <v>#N/A</v>
      </c>
      <c r="Q503" s="51" t="e">
        <f t="shared" si="117"/>
        <v>#N/A</v>
      </c>
      <c r="R503" s="205" t="e">
        <f t="shared" si="118"/>
        <v>#N/A</v>
      </c>
      <c r="S503" s="279" t="e">
        <f>IF(R503="si",0,IF(E503="si",0,IF(J503&gt;K503,0,+K503-J503)))+IF('calcolo base'!P1963="SI",('Commissioni De Angeli'!K503-'Commissioni De Angeli'!J503),0)</f>
        <v>#N/A</v>
      </c>
      <c r="T503" s="117" t="e">
        <f t="shared" si="119"/>
        <v>#N/A</v>
      </c>
      <c r="U503" s="272" t="e">
        <f>IF(Q503=0,'calcolo base'!L3102,(T503+Q503))</f>
        <v>#N/A</v>
      </c>
      <c r="V503" s="119"/>
    </row>
    <row r="504" spans="2:22">
      <c r="B504" s="47"/>
      <c r="C504" s="35"/>
      <c r="D504" s="53"/>
      <c r="E504" s="53"/>
      <c r="F504" s="48"/>
      <c r="G504" s="243" t="e">
        <f>INDEX('calcolo base'!$B:$B, MATCH($A504, 'calcolo base'!$A:$A, 0))</f>
        <v>#N/A</v>
      </c>
      <c r="H504" s="54" t="e">
        <f t="shared" si="111"/>
        <v>#N/A</v>
      </c>
      <c r="I504" s="259" t="e">
        <f>IF(  OR(      INDEX('calcolo base'!$D:$D, MATCH($A504, 'calcolo base'!$A:$A, 0)) = 0,
      INDEX('calcolo base'!$D:$D, MATCH($A504, 'calcolo base'!$A:$A, 0)) = ""   ),
   INDEX('calcolo base'!$K:$K, MATCH($A504, 'calcolo base'!$A:$A, 0)),
   INDEX('calcolo base'!$J:$J, MATCH($A504, 'calcolo base'!$A:$A, 0))
) / 1000</f>
        <v>#N/A</v>
      </c>
      <c r="J504" s="50" t="e">
        <f t="shared" si="112"/>
        <v>#N/A</v>
      </c>
      <c r="K504" s="50"/>
      <c r="L504" s="267" t="e">
        <f>INDEX('calcolo base'!$H:$H, MATCH($A504, 'calcolo base'!$A:$A, 0))</f>
        <v>#N/A</v>
      </c>
      <c r="M504" s="50" t="e">
        <f t="shared" si="113"/>
        <v>#N/A</v>
      </c>
      <c r="N504" s="50" t="e">
        <f t="shared" si="114"/>
        <v>#N/A</v>
      </c>
      <c r="O504" s="50" t="e">
        <f t="shared" si="115"/>
        <v>#N/A</v>
      </c>
      <c r="P504" s="50" t="e">
        <f t="shared" si="116"/>
        <v>#N/A</v>
      </c>
      <c r="Q504" s="51" t="e">
        <f t="shared" si="117"/>
        <v>#N/A</v>
      </c>
      <c r="R504" s="205" t="e">
        <f t="shared" si="118"/>
        <v>#N/A</v>
      </c>
      <c r="S504" s="279" t="e">
        <f>IF(R504="si",0,IF(E504="si",0,IF(J504&gt;K504,0,+K504-J504)))+IF('calcolo base'!P1964="SI",('Commissioni De Angeli'!K504-'Commissioni De Angeli'!J504),0)</f>
        <v>#N/A</v>
      </c>
      <c r="T504" s="117" t="e">
        <f t="shared" si="119"/>
        <v>#N/A</v>
      </c>
      <c r="U504" s="272" t="e">
        <f>IF(Q504=0,'calcolo base'!L3103,(T504+Q504))</f>
        <v>#N/A</v>
      </c>
      <c r="V504" s="119"/>
    </row>
    <row r="505" spans="2:22">
      <c r="B505" s="47"/>
      <c r="C505" s="35"/>
      <c r="D505" s="53"/>
      <c r="E505" s="53"/>
      <c r="F505" s="48"/>
      <c r="G505" s="243" t="e">
        <f>INDEX('calcolo base'!$B:$B, MATCH($A505, 'calcolo base'!$A:$A, 0))</f>
        <v>#N/A</v>
      </c>
      <c r="H505" s="54" t="e">
        <f t="shared" si="111"/>
        <v>#N/A</v>
      </c>
      <c r="I505" s="259" t="e">
        <f>IF(  OR(      INDEX('calcolo base'!$D:$D, MATCH($A505, 'calcolo base'!$A:$A, 0)) = 0,
      INDEX('calcolo base'!$D:$D, MATCH($A505, 'calcolo base'!$A:$A, 0)) = ""   ),
   INDEX('calcolo base'!$K:$K, MATCH($A505, 'calcolo base'!$A:$A, 0)),
   INDEX('calcolo base'!$J:$J, MATCH($A505, 'calcolo base'!$A:$A, 0))
) / 1000</f>
        <v>#N/A</v>
      </c>
      <c r="J505" s="50" t="e">
        <f t="shared" si="112"/>
        <v>#N/A</v>
      </c>
      <c r="K505" s="50"/>
      <c r="L505" s="267" t="e">
        <f>INDEX('calcolo base'!$H:$H, MATCH($A505, 'calcolo base'!$A:$A, 0))</f>
        <v>#N/A</v>
      </c>
      <c r="M505" s="50" t="e">
        <f t="shared" si="113"/>
        <v>#N/A</v>
      </c>
      <c r="N505" s="50" t="e">
        <f t="shared" si="114"/>
        <v>#N/A</v>
      </c>
      <c r="O505" s="50" t="e">
        <f t="shared" si="115"/>
        <v>#N/A</v>
      </c>
      <c r="P505" s="50" t="e">
        <f t="shared" si="116"/>
        <v>#N/A</v>
      </c>
      <c r="Q505" s="51" t="e">
        <f t="shared" si="117"/>
        <v>#N/A</v>
      </c>
      <c r="R505" s="205" t="e">
        <f t="shared" si="118"/>
        <v>#N/A</v>
      </c>
      <c r="S505" s="279" t="e">
        <f>IF(R505="si",0,IF(E505="si",0,IF(J505&gt;K505,0,+K505-J505)))+IF('calcolo base'!P1965="SI",('Commissioni De Angeli'!K505-'Commissioni De Angeli'!J505),0)</f>
        <v>#N/A</v>
      </c>
      <c r="T505" s="117" t="e">
        <f t="shared" si="119"/>
        <v>#N/A</v>
      </c>
      <c r="U505" s="272" t="e">
        <f>IF(Q505=0,'calcolo base'!L3104,(T505+Q505))</f>
        <v>#N/A</v>
      </c>
      <c r="V505" s="119"/>
    </row>
    <row r="506" spans="2:22">
      <c r="B506" s="47"/>
      <c r="C506" s="35"/>
      <c r="D506" s="53"/>
      <c r="E506" s="53"/>
      <c r="F506" s="48"/>
      <c r="G506" s="243" t="e">
        <f>INDEX('calcolo base'!$B:$B, MATCH($A506, 'calcolo base'!$A:$A, 0))</f>
        <v>#N/A</v>
      </c>
      <c r="H506" s="54" t="e">
        <f t="shared" si="111"/>
        <v>#N/A</v>
      </c>
      <c r="I506" s="259" t="e">
        <f>IF(  OR(      INDEX('calcolo base'!$D:$D, MATCH($A506, 'calcolo base'!$A:$A, 0)) = 0,
      INDEX('calcolo base'!$D:$D, MATCH($A506, 'calcolo base'!$A:$A, 0)) = ""   ),
   INDEX('calcolo base'!$K:$K, MATCH($A506, 'calcolo base'!$A:$A, 0)),
   INDEX('calcolo base'!$J:$J, MATCH($A506, 'calcolo base'!$A:$A, 0))
) / 1000</f>
        <v>#N/A</v>
      </c>
      <c r="J506" s="50" t="e">
        <f t="shared" si="112"/>
        <v>#N/A</v>
      </c>
      <c r="K506" s="50"/>
      <c r="L506" s="267" t="e">
        <f>INDEX('calcolo base'!$H:$H, MATCH($A506, 'calcolo base'!$A:$A, 0))</f>
        <v>#N/A</v>
      </c>
      <c r="M506" s="50" t="e">
        <f t="shared" si="113"/>
        <v>#N/A</v>
      </c>
      <c r="N506" s="50" t="e">
        <f t="shared" si="114"/>
        <v>#N/A</v>
      </c>
      <c r="O506" s="50" t="e">
        <f t="shared" si="115"/>
        <v>#N/A</v>
      </c>
      <c r="P506" s="50" t="e">
        <f t="shared" si="116"/>
        <v>#N/A</v>
      </c>
      <c r="Q506" s="51" t="e">
        <f t="shared" si="117"/>
        <v>#N/A</v>
      </c>
      <c r="R506" s="205" t="e">
        <f t="shared" si="118"/>
        <v>#N/A</v>
      </c>
      <c r="S506" s="279" t="e">
        <f>IF(R506="si",0,IF(E506="si",0,IF(J506&gt;K506,0,+K506-J506)))+IF('calcolo base'!P1966="SI",('Commissioni De Angeli'!K506-'Commissioni De Angeli'!J506),0)</f>
        <v>#N/A</v>
      </c>
      <c r="T506" s="117" t="e">
        <f t="shared" si="119"/>
        <v>#N/A</v>
      </c>
      <c r="U506" s="272" t="e">
        <f>IF(Q506=0,'calcolo base'!L3105,(T506+Q506))</f>
        <v>#N/A</v>
      </c>
      <c r="V506" s="119"/>
    </row>
    <row r="507" spans="2:22">
      <c r="B507" s="47"/>
      <c r="C507" s="35"/>
      <c r="D507" s="53"/>
      <c r="E507" s="53"/>
      <c r="F507" s="48"/>
      <c r="G507" s="243" t="e">
        <f>INDEX('calcolo base'!$B:$B, MATCH($A507, 'calcolo base'!$A:$A, 0))</f>
        <v>#N/A</v>
      </c>
      <c r="H507" s="54" t="e">
        <f t="shared" si="111"/>
        <v>#N/A</v>
      </c>
      <c r="I507" s="259" t="e">
        <f>IF(  OR(      INDEX('calcolo base'!$D:$D, MATCH($A507, 'calcolo base'!$A:$A, 0)) = 0,
      INDEX('calcolo base'!$D:$D, MATCH($A507, 'calcolo base'!$A:$A, 0)) = ""   ),
   INDEX('calcolo base'!$K:$K, MATCH($A507, 'calcolo base'!$A:$A, 0)),
   INDEX('calcolo base'!$J:$J, MATCH($A507, 'calcolo base'!$A:$A, 0))
) / 1000</f>
        <v>#N/A</v>
      </c>
      <c r="J507" s="50" t="e">
        <f t="shared" si="112"/>
        <v>#N/A</v>
      </c>
      <c r="K507" s="50"/>
      <c r="L507" s="267" t="e">
        <f>INDEX('calcolo base'!$H:$H, MATCH($A507, 'calcolo base'!$A:$A, 0))</f>
        <v>#N/A</v>
      </c>
      <c r="M507" s="50" t="e">
        <f t="shared" si="113"/>
        <v>#N/A</v>
      </c>
      <c r="N507" s="50" t="e">
        <f t="shared" si="114"/>
        <v>#N/A</v>
      </c>
      <c r="O507" s="50" t="e">
        <f t="shared" si="115"/>
        <v>#N/A</v>
      </c>
      <c r="P507" s="50" t="e">
        <f t="shared" si="116"/>
        <v>#N/A</v>
      </c>
      <c r="Q507" s="51" t="e">
        <f t="shared" si="117"/>
        <v>#N/A</v>
      </c>
      <c r="R507" s="205" t="e">
        <f t="shared" si="118"/>
        <v>#N/A</v>
      </c>
      <c r="S507" s="279" t="e">
        <f>IF(R507="si",0,IF(E507="si",0,IF(J507&gt;K507,0,+K507-J507)))+IF('calcolo base'!P1967="SI",('Commissioni De Angeli'!K507-'Commissioni De Angeli'!J507),0)</f>
        <v>#N/A</v>
      </c>
      <c r="T507" s="117" t="e">
        <f t="shared" si="119"/>
        <v>#N/A</v>
      </c>
      <c r="U507" s="272" t="e">
        <f>IF(Q507=0,'calcolo base'!L3106,(T507+Q507))</f>
        <v>#N/A</v>
      </c>
      <c r="V507" s="119"/>
    </row>
    <row r="508" spans="2:22">
      <c r="B508" s="47"/>
      <c r="C508" s="35"/>
      <c r="D508" s="53"/>
      <c r="E508" s="53"/>
      <c r="F508" s="48"/>
      <c r="G508" s="243" t="e">
        <f>INDEX('calcolo base'!$B:$B, MATCH($A508, 'calcolo base'!$A:$A, 0))</f>
        <v>#N/A</v>
      </c>
      <c r="H508" s="54" t="e">
        <f t="shared" si="111"/>
        <v>#N/A</v>
      </c>
      <c r="I508" s="259" t="e">
        <f>IF(  OR(      INDEX('calcolo base'!$D:$D, MATCH($A508, 'calcolo base'!$A:$A, 0)) = 0,
      INDEX('calcolo base'!$D:$D, MATCH($A508, 'calcolo base'!$A:$A, 0)) = ""   ),
   INDEX('calcolo base'!$K:$K, MATCH($A508, 'calcolo base'!$A:$A, 0)),
   INDEX('calcolo base'!$J:$J, MATCH($A508, 'calcolo base'!$A:$A, 0))
) / 1000</f>
        <v>#N/A</v>
      </c>
      <c r="J508" s="50" t="e">
        <f t="shared" si="112"/>
        <v>#N/A</v>
      </c>
      <c r="K508" s="50"/>
      <c r="L508" s="267" t="e">
        <f>INDEX('calcolo base'!$H:$H, MATCH($A508, 'calcolo base'!$A:$A, 0))</f>
        <v>#N/A</v>
      </c>
      <c r="M508" s="50" t="e">
        <f t="shared" si="113"/>
        <v>#N/A</v>
      </c>
      <c r="N508" s="50" t="e">
        <f t="shared" si="114"/>
        <v>#N/A</v>
      </c>
      <c r="O508" s="50" t="e">
        <f t="shared" si="115"/>
        <v>#N/A</v>
      </c>
      <c r="P508" s="50" t="e">
        <f t="shared" si="116"/>
        <v>#N/A</v>
      </c>
      <c r="Q508" s="51" t="e">
        <f t="shared" si="117"/>
        <v>#N/A</v>
      </c>
      <c r="R508" s="205" t="e">
        <f t="shared" si="118"/>
        <v>#N/A</v>
      </c>
      <c r="S508" s="279" t="e">
        <f>IF(R508="si",0,IF(E508="si",0,IF(J508&gt;K508,0,+K508-J508)))+IF('calcolo base'!P1968="SI",('Commissioni De Angeli'!K508-'Commissioni De Angeli'!J508),0)</f>
        <v>#N/A</v>
      </c>
      <c r="T508" s="117" t="e">
        <f t="shared" si="119"/>
        <v>#N/A</v>
      </c>
      <c r="U508" s="272" t="e">
        <f>IF(Q508=0,'calcolo base'!L3107,(T508+Q508))</f>
        <v>#N/A</v>
      </c>
      <c r="V508" s="119"/>
    </row>
    <row r="509" spans="2:22">
      <c r="B509" s="47"/>
      <c r="C509" s="35"/>
      <c r="D509" s="53"/>
      <c r="E509" s="53"/>
      <c r="F509" s="48"/>
      <c r="G509" s="243" t="e">
        <f>INDEX('calcolo base'!$B:$B, MATCH($A509, 'calcolo base'!$A:$A, 0))</f>
        <v>#N/A</v>
      </c>
      <c r="H509" s="54" t="e">
        <f t="shared" si="111"/>
        <v>#N/A</v>
      </c>
      <c r="I509" s="259" t="e">
        <f>IF(  OR(      INDEX('calcolo base'!$D:$D, MATCH($A509, 'calcolo base'!$A:$A, 0)) = 0,
      INDEX('calcolo base'!$D:$D, MATCH($A509, 'calcolo base'!$A:$A, 0)) = ""   ),
   INDEX('calcolo base'!$K:$K, MATCH($A509, 'calcolo base'!$A:$A, 0)),
   INDEX('calcolo base'!$J:$J, MATCH($A509, 'calcolo base'!$A:$A, 0))
) / 1000</f>
        <v>#N/A</v>
      </c>
      <c r="J509" s="50" t="e">
        <f t="shared" si="112"/>
        <v>#N/A</v>
      </c>
      <c r="K509" s="50"/>
      <c r="L509" s="267" t="e">
        <f>INDEX('calcolo base'!$H:$H, MATCH($A509, 'calcolo base'!$A:$A, 0))</f>
        <v>#N/A</v>
      </c>
      <c r="M509" s="50" t="e">
        <f t="shared" si="113"/>
        <v>#N/A</v>
      </c>
      <c r="N509" s="50" t="e">
        <f t="shared" si="114"/>
        <v>#N/A</v>
      </c>
      <c r="O509" s="50" t="e">
        <f t="shared" si="115"/>
        <v>#N/A</v>
      </c>
      <c r="P509" s="50" t="e">
        <f t="shared" si="116"/>
        <v>#N/A</v>
      </c>
      <c r="Q509" s="51" t="e">
        <f t="shared" si="117"/>
        <v>#N/A</v>
      </c>
      <c r="R509" s="205" t="e">
        <f t="shared" si="118"/>
        <v>#N/A</v>
      </c>
      <c r="S509" s="279" t="e">
        <f>IF(R509="si",0,IF(E509="si",0,IF(J509&gt;K509,0,+K509-J509)))+IF('calcolo base'!P1969="SI",('Commissioni De Angeli'!K509-'Commissioni De Angeli'!J509),0)</f>
        <v>#N/A</v>
      </c>
      <c r="T509" s="117" t="e">
        <f t="shared" si="119"/>
        <v>#N/A</v>
      </c>
      <c r="U509" s="272" t="e">
        <f>IF(Q509=0,'calcolo base'!L3108,(T509+Q509))</f>
        <v>#N/A</v>
      </c>
      <c r="V509" s="119"/>
    </row>
    <row r="510" spans="2:22">
      <c r="B510" s="47"/>
      <c r="C510" s="35"/>
      <c r="D510" s="53"/>
      <c r="E510" s="53"/>
      <c r="F510" s="48"/>
      <c r="G510" s="243" t="e">
        <f>INDEX('calcolo base'!$B:$B, MATCH($A510, 'calcolo base'!$A:$A, 0))</f>
        <v>#N/A</v>
      </c>
      <c r="H510" s="54" t="e">
        <f t="shared" si="111"/>
        <v>#N/A</v>
      </c>
      <c r="I510" s="259" t="e">
        <f>IF(  OR(      INDEX('calcolo base'!$D:$D, MATCH($A510, 'calcolo base'!$A:$A, 0)) = 0,
      INDEX('calcolo base'!$D:$D, MATCH($A510, 'calcolo base'!$A:$A, 0)) = ""   ),
   INDEX('calcolo base'!$K:$K, MATCH($A510, 'calcolo base'!$A:$A, 0)),
   INDEX('calcolo base'!$J:$J, MATCH($A510, 'calcolo base'!$A:$A, 0))
) / 1000</f>
        <v>#N/A</v>
      </c>
      <c r="J510" s="50" t="e">
        <f t="shared" si="112"/>
        <v>#N/A</v>
      </c>
      <c r="K510" s="50"/>
      <c r="L510" s="267" t="e">
        <f>INDEX('calcolo base'!$H:$H, MATCH($A510, 'calcolo base'!$A:$A, 0))</f>
        <v>#N/A</v>
      </c>
      <c r="M510" s="50" t="e">
        <f t="shared" si="113"/>
        <v>#N/A</v>
      </c>
      <c r="N510" s="50" t="e">
        <f t="shared" si="114"/>
        <v>#N/A</v>
      </c>
      <c r="O510" s="50" t="e">
        <f t="shared" si="115"/>
        <v>#N/A</v>
      </c>
      <c r="P510" s="50" t="e">
        <f t="shared" si="116"/>
        <v>#N/A</v>
      </c>
      <c r="Q510" s="51" t="e">
        <f t="shared" si="117"/>
        <v>#N/A</v>
      </c>
      <c r="R510" s="205" t="e">
        <f t="shared" si="118"/>
        <v>#N/A</v>
      </c>
      <c r="S510" s="279" t="e">
        <f>IF(R510="si",0,IF(E510="si",0,IF(J510&gt;K510,0,+K510-J510)))+IF('calcolo base'!P1970="SI",('Commissioni De Angeli'!K510-'Commissioni De Angeli'!J510),0)</f>
        <v>#N/A</v>
      </c>
      <c r="T510" s="117" t="e">
        <f t="shared" si="119"/>
        <v>#N/A</v>
      </c>
      <c r="U510" s="272" t="e">
        <f>IF(Q510=0,'calcolo base'!L3109,(T510+Q510))</f>
        <v>#N/A</v>
      </c>
      <c r="V510" s="119"/>
    </row>
    <row r="511" spans="2:22">
      <c r="B511" s="47"/>
      <c r="C511" s="35"/>
      <c r="D511" s="53"/>
      <c r="E511" s="53"/>
      <c r="F511" s="48"/>
      <c r="G511" s="243" t="e">
        <f>INDEX('calcolo base'!$B:$B, MATCH($A511, 'calcolo base'!$A:$A, 0))</f>
        <v>#N/A</v>
      </c>
      <c r="H511" s="54" t="e">
        <f t="shared" si="111"/>
        <v>#N/A</v>
      </c>
      <c r="I511" s="259" t="e">
        <f>IF(  OR(      INDEX('calcolo base'!$D:$D, MATCH($A511, 'calcolo base'!$A:$A, 0)) = 0,
      INDEX('calcolo base'!$D:$D, MATCH($A511, 'calcolo base'!$A:$A, 0)) = ""   ),
   INDEX('calcolo base'!$K:$K, MATCH($A511, 'calcolo base'!$A:$A, 0)),
   INDEX('calcolo base'!$J:$J, MATCH($A511, 'calcolo base'!$A:$A, 0))
) / 1000</f>
        <v>#N/A</v>
      </c>
      <c r="J511" s="50" t="e">
        <f t="shared" si="112"/>
        <v>#N/A</v>
      </c>
      <c r="K511" s="50"/>
      <c r="L511" s="267" t="e">
        <f>INDEX('calcolo base'!$H:$H, MATCH($A511, 'calcolo base'!$A:$A, 0))</f>
        <v>#N/A</v>
      </c>
      <c r="M511" s="50" t="e">
        <f t="shared" si="113"/>
        <v>#N/A</v>
      </c>
      <c r="N511" s="50" t="e">
        <f t="shared" si="114"/>
        <v>#N/A</v>
      </c>
      <c r="O511" s="50" t="e">
        <f t="shared" si="115"/>
        <v>#N/A</v>
      </c>
      <c r="P511" s="50" t="e">
        <f t="shared" si="116"/>
        <v>#N/A</v>
      </c>
      <c r="Q511" s="51" t="e">
        <f t="shared" si="117"/>
        <v>#N/A</v>
      </c>
      <c r="R511" s="205" t="e">
        <f t="shared" si="118"/>
        <v>#N/A</v>
      </c>
      <c r="S511" s="279" t="e">
        <f>IF(R511="si",0,IF(E511="si",0,IF(J511&gt;K511,0,+K511-J511)))+IF('calcolo base'!P1971="SI",('Commissioni De Angeli'!K511-'Commissioni De Angeli'!J511),0)</f>
        <v>#N/A</v>
      </c>
      <c r="T511" s="117" t="e">
        <f t="shared" si="119"/>
        <v>#N/A</v>
      </c>
      <c r="U511" s="272" t="e">
        <f>IF(Q511=0,'calcolo base'!L3110,(T511+Q511))</f>
        <v>#N/A</v>
      </c>
      <c r="V511" s="119"/>
    </row>
    <row r="512" spans="2:22">
      <c r="B512" s="47"/>
      <c r="C512" s="35"/>
      <c r="D512" s="53"/>
      <c r="E512" s="53"/>
      <c r="F512" s="48"/>
      <c r="G512" s="243" t="e">
        <f>INDEX('calcolo base'!$B:$B, MATCH($A512, 'calcolo base'!$A:$A, 0))</f>
        <v>#N/A</v>
      </c>
      <c r="H512" s="54" t="e">
        <f t="shared" si="111"/>
        <v>#N/A</v>
      </c>
      <c r="I512" s="259" t="e">
        <f>IF(  OR(      INDEX('calcolo base'!$D:$D, MATCH($A512, 'calcolo base'!$A:$A, 0)) = 0,
      INDEX('calcolo base'!$D:$D, MATCH($A512, 'calcolo base'!$A:$A, 0)) = ""   ),
   INDEX('calcolo base'!$K:$K, MATCH($A512, 'calcolo base'!$A:$A, 0)),
   INDEX('calcolo base'!$J:$J, MATCH($A512, 'calcolo base'!$A:$A, 0))
) / 1000</f>
        <v>#N/A</v>
      </c>
      <c r="J512" s="50" t="e">
        <f t="shared" si="112"/>
        <v>#N/A</v>
      </c>
      <c r="K512" s="50"/>
      <c r="L512" s="267" t="e">
        <f>INDEX('calcolo base'!$H:$H, MATCH($A512, 'calcolo base'!$A:$A, 0))</f>
        <v>#N/A</v>
      </c>
      <c r="M512" s="50" t="e">
        <f t="shared" si="113"/>
        <v>#N/A</v>
      </c>
      <c r="N512" s="50" t="e">
        <f t="shared" si="114"/>
        <v>#N/A</v>
      </c>
      <c r="O512" s="50" t="e">
        <f t="shared" si="115"/>
        <v>#N/A</v>
      </c>
      <c r="P512" s="50" t="e">
        <f t="shared" si="116"/>
        <v>#N/A</v>
      </c>
      <c r="Q512" s="51" t="e">
        <f t="shared" si="117"/>
        <v>#N/A</v>
      </c>
      <c r="R512" s="205" t="e">
        <f t="shared" si="118"/>
        <v>#N/A</v>
      </c>
      <c r="S512" s="279" t="e">
        <f>IF(R512="si",0,IF(E512="si",0,IF(J512&gt;K512,0,+K512-J512)))+IF('calcolo base'!P1972="SI",('Commissioni De Angeli'!K512-'Commissioni De Angeli'!J512),0)</f>
        <v>#N/A</v>
      </c>
      <c r="T512" s="117" t="e">
        <f t="shared" si="119"/>
        <v>#N/A</v>
      </c>
      <c r="U512" s="272" t="e">
        <f>IF(Q512=0,'calcolo base'!L3111,(T512+Q512))</f>
        <v>#N/A</v>
      </c>
      <c r="V512" s="119"/>
    </row>
    <row r="513" spans="2:22">
      <c r="B513" s="47"/>
      <c r="C513" s="35"/>
      <c r="D513" s="53"/>
      <c r="E513" s="53"/>
      <c r="F513" s="48"/>
      <c r="G513" s="243" t="e">
        <f>INDEX('calcolo base'!$B:$B, MATCH($A513, 'calcolo base'!$A:$A, 0))</f>
        <v>#N/A</v>
      </c>
      <c r="H513" s="54" t="e">
        <f t="shared" si="111"/>
        <v>#N/A</v>
      </c>
      <c r="I513" s="259" t="e">
        <f>IF(  OR(      INDEX('calcolo base'!$D:$D, MATCH($A513, 'calcolo base'!$A:$A, 0)) = 0,
      INDEX('calcolo base'!$D:$D, MATCH($A513, 'calcolo base'!$A:$A, 0)) = ""   ),
   INDEX('calcolo base'!$K:$K, MATCH($A513, 'calcolo base'!$A:$A, 0)),
   INDEX('calcolo base'!$J:$J, MATCH($A513, 'calcolo base'!$A:$A, 0))
) / 1000</f>
        <v>#N/A</v>
      </c>
      <c r="J513" s="50" t="e">
        <f t="shared" si="112"/>
        <v>#N/A</v>
      </c>
      <c r="K513" s="50"/>
      <c r="L513" s="267" t="e">
        <f>INDEX('calcolo base'!$H:$H, MATCH($A513, 'calcolo base'!$A:$A, 0))</f>
        <v>#N/A</v>
      </c>
      <c r="M513" s="50" t="e">
        <f t="shared" si="113"/>
        <v>#N/A</v>
      </c>
      <c r="N513" s="50" t="e">
        <f t="shared" si="114"/>
        <v>#N/A</v>
      </c>
      <c r="O513" s="50" t="e">
        <f t="shared" si="115"/>
        <v>#N/A</v>
      </c>
      <c r="P513" s="50" t="e">
        <f t="shared" si="116"/>
        <v>#N/A</v>
      </c>
      <c r="Q513" s="51" t="e">
        <f t="shared" si="117"/>
        <v>#N/A</v>
      </c>
      <c r="R513" s="205" t="e">
        <f t="shared" si="118"/>
        <v>#N/A</v>
      </c>
      <c r="S513" s="279" t="e">
        <f>IF(R513="si",0,IF(E513="si",0,IF(J513&gt;K513,0,+K513-J513)))+IF('calcolo base'!P1973="SI",('Commissioni De Angeli'!K513-'Commissioni De Angeli'!J513),0)</f>
        <v>#N/A</v>
      </c>
      <c r="T513" s="117" t="e">
        <f t="shared" si="119"/>
        <v>#N/A</v>
      </c>
      <c r="U513" s="272" t="e">
        <f>IF(Q513=0,'calcolo base'!L3112,(T513+Q513))</f>
        <v>#N/A</v>
      </c>
      <c r="V513" s="119"/>
    </row>
    <row r="514" spans="2:22">
      <c r="B514" s="47"/>
      <c r="C514" s="35"/>
      <c r="D514" s="53"/>
      <c r="E514" s="53"/>
      <c r="F514" s="48"/>
      <c r="G514" s="243" t="e">
        <f>INDEX('calcolo base'!$B:$B, MATCH($A514, 'calcolo base'!$A:$A, 0))</f>
        <v>#N/A</v>
      </c>
      <c r="H514" s="54" t="e">
        <f t="shared" si="111"/>
        <v>#N/A</v>
      </c>
      <c r="I514" s="259" t="e">
        <f>IF(  OR(      INDEX('calcolo base'!$D:$D, MATCH($A514, 'calcolo base'!$A:$A, 0)) = 0,
      INDEX('calcolo base'!$D:$D, MATCH($A514, 'calcolo base'!$A:$A, 0)) = ""   ),
   INDEX('calcolo base'!$K:$K, MATCH($A514, 'calcolo base'!$A:$A, 0)),
   INDEX('calcolo base'!$J:$J, MATCH($A514, 'calcolo base'!$A:$A, 0))
) / 1000</f>
        <v>#N/A</v>
      </c>
      <c r="J514" s="50" t="e">
        <f t="shared" si="112"/>
        <v>#N/A</v>
      </c>
      <c r="K514" s="50"/>
      <c r="L514" s="267" t="e">
        <f>INDEX('calcolo base'!$H:$H, MATCH($A514, 'calcolo base'!$A:$A, 0))</f>
        <v>#N/A</v>
      </c>
      <c r="M514" s="50" t="e">
        <f t="shared" si="113"/>
        <v>#N/A</v>
      </c>
      <c r="N514" s="50" t="e">
        <f t="shared" si="114"/>
        <v>#N/A</v>
      </c>
      <c r="O514" s="50" t="e">
        <f t="shared" si="115"/>
        <v>#N/A</v>
      </c>
      <c r="P514" s="50" t="e">
        <f t="shared" si="116"/>
        <v>#N/A</v>
      </c>
      <c r="Q514" s="51" t="e">
        <f t="shared" si="117"/>
        <v>#N/A</v>
      </c>
      <c r="R514" s="205" t="e">
        <f t="shared" si="118"/>
        <v>#N/A</v>
      </c>
      <c r="S514" s="279" t="e">
        <f>IF(R514="si",0,IF(E514="si",0,IF(J514&gt;K514,0,+K514-J514)))+IF('calcolo base'!P1974="SI",('Commissioni De Angeli'!K514-'Commissioni De Angeli'!J514),0)</f>
        <v>#N/A</v>
      </c>
      <c r="T514" s="117" t="e">
        <f t="shared" si="119"/>
        <v>#N/A</v>
      </c>
      <c r="U514" s="272" t="e">
        <f>IF(Q514=0,'calcolo base'!L3113,(T514+Q514))</f>
        <v>#N/A</v>
      </c>
      <c r="V514" s="119"/>
    </row>
    <row r="515" spans="2:22">
      <c r="B515" s="47"/>
      <c r="C515" s="35"/>
      <c r="D515" s="53"/>
      <c r="E515" s="53"/>
      <c r="F515" s="48"/>
      <c r="G515" s="243" t="e">
        <f>INDEX('calcolo base'!$B:$B, MATCH($A515, 'calcolo base'!$A:$A, 0))</f>
        <v>#N/A</v>
      </c>
      <c r="H515" s="54" t="e">
        <f t="shared" si="111"/>
        <v>#N/A</v>
      </c>
      <c r="I515" s="259" t="e">
        <f>IF(  OR(      INDEX('calcolo base'!$D:$D, MATCH($A515, 'calcolo base'!$A:$A, 0)) = 0,
      INDEX('calcolo base'!$D:$D, MATCH($A515, 'calcolo base'!$A:$A, 0)) = ""   ),
   INDEX('calcolo base'!$K:$K, MATCH($A515, 'calcolo base'!$A:$A, 0)),
   INDEX('calcolo base'!$J:$J, MATCH($A515, 'calcolo base'!$A:$A, 0))
) / 1000</f>
        <v>#N/A</v>
      </c>
      <c r="J515" s="50" t="e">
        <f t="shared" si="112"/>
        <v>#N/A</v>
      </c>
      <c r="K515" s="50"/>
      <c r="L515" s="267" t="e">
        <f>INDEX('calcolo base'!$H:$H, MATCH($A515, 'calcolo base'!$A:$A, 0))</f>
        <v>#N/A</v>
      </c>
      <c r="M515" s="50" t="e">
        <f t="shared" si="113"/>
        <v>#N/A</v>
      </c>
      <c r="N515" s="50" t="e">
        <f t="shared" si="114"/>
        <v>#N/A</v>
      </c>
      <c r="O515" s="50" t="e">
        <f t="shared" si="115"/>
        <v>#N/A</v>
      </c>
      <c r="P515" s="50" t="e">
        <f t="shared" si="116"/>
        <v>#N/A</v>
      </c>
      <c r="Q515" s="51" t="e">
        <f t="shared" si="117"/>
        <v>#N/A</v>
      </c>
      <c r="R515" s="205" t="e">
        <f t="shared" si="118"/>
        <v>#N/A</v>
      </c>
      <c r="S515" s="279" t="e">
        <f>IF(R515="si",0,IF(E515="si",0,IF(J515&gt;K515,0,+K515-J515)))+IF('calcolo base'!P1975="SI",('Commissioni De Angeli'!K515-'Commissioni De Angeli'!J515),0)</f>
        <v>#N/A</v>
      </c>
      <c r="T515" s="117" t="e">
        <f t="shared" si="119"/>
        <v>#N/A</v>
      </c>
      <c r="U515" s="272" t="e">
        <f>IF(Q515=0,'calcolo base'!L3114,(T515+Q515))</f>
        <v>#N/A</v>
      </c>
      <c r="V515" s="119"/>
    </row>
    <row r="516" spans="2:22">
      <c r="B516" s="47"/>
      <c r="C516" s="35"/>
      <c r="D516" s="53"/>
      <c r="E516" s="53"/>
      <c r="F516" s="48"/>
      <c r="G516" s="243" t="e">
        <f>INDEX('calcolo base'!$B:$B, MATCH($A516, 'calcolo base'!$A:$A, 0))</f>
        <v>#N/A</v>
      </c>
      <c r="H516" s="54" t="e">
        <f t="shared" si="111"/>
        <v>#N/A</v>
      </c>
      <c r="I516" s="259" t="e">
        <f>IF(  OR(      INDEX('calcolo base'!$D:$D, MATCH($A516, 'calcolo base'!$A:$A, 0)) = 0,
      INDEX('calcolo base'!$D:$D, MATCH($A516, 'calcolo base'!$A:$A, 0)) = ""   ),
   INDEX('calcolo base'!$K:$K, MATCH($A516, 'calcolo base'!$A:$A, 0)),
   INDEX('calcolo base'!$J:$J, MATCH($A516, 'calcolo base'!$A:$A, 0))
) / 1000</f>
        <v>#N/A</v>
      </c>
      <c r="J516" s="50" t="e">
        <f t="shared" si="112"/>
        <v>#N/A</v>
      </c>
      <c r="K516" s="50"/>
      <c r="L516" s="267" t="e">
        <f>INDEX('calcolo base'!$H:$H, MATCH($A516, 'calcolo base'!$A:$A, 0))</f>
        <v>#N/A</v>
      </c>
      <c r="M516" s="50" t="e">
        <f t="shared" si="113"/>
        <v>#N/A</v>
      </c>
      <c r="N516" s="50" t="e">
        <f t="shared" si="114"/>
        <v>#N/A</v>
      </c>
      <c r="O516" s="50" t="e">
        <f t="shared" si="115"/>
        <v>#N/A</v>
      </c>
      <c r="P516" s="50" t="e">
        <f t="shared" si="116"/>
        <v>#N/A</v>
      </c>
      <c r="Q516" s="51" t="e">
        <f t="shared" si="117"/>
        <v>#N/A</v>
      </c>
      <c r="R516" s="205" t="e">
        <f t="shared" si="118"/>
        <v>#N/A</v>
      </c>
      <c r="S516" s="279" t="e">
        <f>IF(R516="si",0,IF(E516="si",0,IF(J516&gt;K516,0,+K516-J516)))+IF('calcolo base'!P1976="SI",('Commissioni De Angeli'!K516-'Commissioni De Angeli'!J516),0)</f>
        <v>#N/A</v>
      </c>
      <c r="T516" s="117" t="e">
        <f t="shared" si="119"/>
        <v>#N/A</v>
      </c>
      <c r="U516" s="272" t="e">
        <f>IF(Q516=0,'calcolo base'!L3115,(T516+Q516))</f>
        <v>#N/A</v>
      </c>
      <c r="V516" s="119"/>
    </row>
    <row r="517" spans="2:22">
      <c r="B517" s="47"/>
      <c r="C517" s="35"/>
      <c r="D517" s="53"/>
      <c r="E517" s="53"/>
      <c r="F517" s="48"/>
      <c r="G517" s="243" t="e">
        <f>INDEX('calcolo base'!$B:$B, MATCH($A517, 'calcolo base'!$A:$A, 0))</f>
        <v>#N/A</v>
      </c>
      <c r="H517" s="54" t="e">
        <f t="shared" si="111"/>
        <v>#N/A</v>
      </c>
      <c r="I517" s="259" t="e">
        <f>IF(  OR(      INDEX('calcolo base'!$D:$D, MATCH($A517, 'calcolo base'!$A:$A, 0)) = 0,
      INDEX('calcolo base'!$D:$D, MATCH($A517, 'calcolo base'!$A:$A, 0)) = ""   ),
   INDEX('calcolo base'!$K:$K, MATCH($A517, 'calcolo base'!$A:$A, 0)),
   INDEX('calcolo base'!$J:$J, MATCH($A517, 'calcolo base'!$A:$A, 0))
) / 1000</f>
        <v>#N/A</v>
      </c>
      <c r="J517" s="50" t="e">
        <f t="shared" si="112"/>
        <v>#N/A</v>
      </c>
      <c r="K517" s="50"/>
      <c r="L517" s="267" t="e">
        <f>INDEX('calcolo base'!$H:$H, MATCH($A517, 'calcolo base'!$A:$A, 0))</f>
        <v>#N/A</v>
      </c>
      <c r="M517" s="50" t="e">
        <f t="shared" si="113"/>
        <v>#N/A</v>
      </c>
      <c r="N517" s="50" t="e">
        <f t="shared" si="114"/>
        <v>#N/A</v>
      </c>
      <c r="O517" s="50" t="e">
        <f t="shared" si="115"/>
        <v>#N/A</v>
      </c>
      <c r="P517" s="50" t="e">
        <f t="shared" si="116"/>
        <v>#N/A</v>
      </c>
      <c r="Q517" s="51" t="e">
        <f t="shared" si="117"/>
        <v>#N/A</v>
      </c>
      <c r="R517" s="205" t="e">
        <f t="shared" si="118"/>
        <v>#N/A</v>
      </c>
      <c r="S517" s="279" t="e">
        <f>IF(R517="si",0,IF(E517="si",0,IF(J517&gt;K517,0,+K517-J517)))+IF('calcolo base'!P1977="SI",('Commissioni De Angeli'!K517-'Commissioni De Angeli'!J517),0)</f>
        <v>#N/A</v>
      </c>
      <c r="T517" s="117" t="e">
        <f t="shared" si="119"/>
        <v>#N/A</v>
      </c>
      <c r="U517" s="272" t="e">
        <f>IF(Q517=0,'calcolo base'!L3116,(T517+Q517))</f>
        <v>#N/A</v>
      </c>
      <c r="V517" s="119"/>
    </row>
    <row r="518" spans="2:22">
      <c r="B518" s="47"/>
      <c r="C518" s="35"/>
      <c r="D518" s="53"/>
      <c r="E518" s="53"/>
      <c r="F518" s="48"/>
      <c r="G518" s="243" t="e">
        <f>INDEX('calcolo base'!$B:$B, MATCH($A518, 'calcolo base'!$A:$A, 0))</f>
        <v>#N/A</v>
      </c>
      <c r="H518" s="54" t="e">
        <f t="shared" si="111"/>
        <v>#N/A</v>
      </c>
      <c r="I518" s="259" t="e">
        <f>IF(  OR(      INDEX('calcolo base'!$D:$D, MATCH($A518, 'calcolo base'!$A:$A, 0)) = 0,
      INDEX('calcolo base'!$D:$D, MATCH($A518, 'calcolo base'!$A:$A, 0)) = ""   ),
   INDEX('calcolo base'!$K:$K, MATCH($A518, 'calcolo base'!$A:$A, 0)),
   INDEX('calcolo base'!$J:$J, MATCH($A518, 'calcolo base'!$A:$A, 0))
) / 1000</f>
        <v>#N/A</v>
      </c>
      <c r="J518" s="50" t="e">
        <f t="shared" si="112"/>
        <v>#N/A</v>
      </c>
      <c r="K518" s="50"/>
      <c r="L518" s="267" t="e">
        <f>INDEX('calcolo base'!$H:$H, MATCH($A518, 'calcolo base'!$A:$A, 0))</f>
        <v>#N/A</v>
      </c>
      <c r="M518" s="50" t="e">
        <f t="shared" si="113"/>
        <v>#N/A</v>
      </c>
      <c r="N518" s="50" t="e">
        <f t="shared" si="114"/>
        <v>#N/A</v>
      </c>
      <c r="O518" s="50" t="e">
        <f t="shared" si="115"/>
        <v>#N/A</v>
      </c>
      <c r="P518" s="50" t="e">
        <f t="shared" si="116"/>
        <v>#N/A</v>
      </c>
      <c r="Q518" s="51" t="e">
        <f t="shared" si="117"/>
        <v>#N/A</v>
      </c>
      <c r="R518" s="205" t="e">
        <f t="shared" si="118"/>
        <v>#N/A</v>
      </c>
      <c r="S518" s="279" t="e">
        <f>IF(R518="si",0,IF(E518="si",0,IF(J518&gt;K518,0,+K518-J518)))+IF('calcolo base'!P1978="SI",('Commissioni De Angeli'!K518-'Commissioni De Angeli'!J518),0)</f>
        <v>#N/A</v>
      </c>
      <c r="T518" s="117" t="e">
        <f t="shared" si="119"/>
        <v>#N/A</v>
      </c>
      <c r="U518" s="272" t="e">
        <f>IF(Q518=0,'calcolo base'!L3117,(T518+Q518))</f>
        <v>#N/A</v>
      </c>
      <c r="V518" s="119"/>
    </row>
    <row r="519" spans="2:22">
      <c r="B519" s="47"/>
      <c r="C519" s="35"/>
      <c r="D519" s="53"/>
      <c r="E519" s="53"/>
      <c r="F519" s="48"/>
      <c r="G519" s="243" t="e">
        <f>INDEX('calcolo base'!$B:$B, MATCH($A519, 'calcolo base'!$A:$A, 0))</f>
        <v>#N/A</v>
      </c>
      <c r="H519" s="54" t="e">
        <f t="shared" si="111"/>
        <v>#N/A</v>
      </c>
      <c r="I519" s="259" t="e">
        <f>IF(  OR(      INDEX('calcolo base'!$D:$D, MATCH($A519, 'calcolo base'!$A:$A, 0)) = 0,
      INDEX('calcolo base'!$D:$D, MATCH($A519, 'calcolo base'!$A:$A, 0)) = ""   ),
   INDEX('calcolo base'!$K:$K, MATCH($A519, 'calcolo base'!$A:$A, 0)),
   INDEX('calcolo base'!$J:$J, MATCH($A519, 'calcolo base'!$A:$A, 0))
) / 1000</f>
        <v>#N/A</v>
      </c>
      <c r="J519" s="50" t="e">
        <f t="shared" si="112"/>
        <v>#N/A</v>
      </c>
      <c r="K519" s="50"/>
      <c r="L519" s="267" t="e">
        <f>INDEX('calcolo base'!$H:$H, MATCH($A519, 'calcolo base'!$A:$A, 0))</f>
        <v>#N/A</v>
      </c>
      <c r="M519" s="50" t="e">
        <f t="shared" si="113"/>
        <v>#N/A</v>
      </c>
      <c r="N519" s="50" t="e">
        <f t="shared" si="114"/>
        <v>#N/A</v>
      </c>
      <c r="O519" s="50" t="e">
        <f t="shared" si="115"/>
        <v>#N/A</v>
      </c>
      <c r="P519" s="50" t="e">
        <f t="shared" si="116"/>
        <v>#N/A</v>
      </c>
      <c r="Q519" s="51" t="e">
        <f t="shared" si="117"/>
        <v>#N/A</v>
      </c>
      <c r="R519" s="205" t="e">
        <f t="shared" si="118"/>
        <v>#N/A</v>
      </c>
      <c r="S519" s="279" t="e">
        <f>IF(R519="si",0,IF(E519="si",0,IF(J519&gt;K519,0,+K519-J519)))+IF('calcolo base'!P1979="SI",('Commissioni De Angeli'!K519-'Commissioni De Angeli'!J519),0)</f>
        <v>#N/A</v>
      </c>
      <c r="T519" s="117" t="e">
        <f t="shared" si="119"/>
        <v>#N/A</v>
      </c>
      <c r="U519" s="272" t="e">
        <f>IF(Q519=0,'calcolo base'!L3118,(T519+Q519))</f>
        <v>#N/A</v>
      </c>
      <c r="V519" s="119"/>
    </row>
    <row r="520" spans="2:22">
      <c r="B520" s="47"/>
      <c r="C520" s="35"/>
      <c r="D520" s="53"/>
      <c r="E520" s="53"/>
      <c r="F520" s="48"/>
      <c r="G520" s="243" t="e">
        <f>INDEX('calcolo base'!$B:$B, MATCH($A520, 'calcolo base'!$A:$A, 0))</f>
        <v>#N/A</v>
      </c>
      <c r="H520" s="54" t="e">
        <f t="shared" si="111"/>
        <v>#N/A</v>
      </c>
      <c r="I520" s="259" t="e">
        <f>IF(  OR(      INDEX('calcolo base'!$D:$D, MATCH($A520, 'calcolo base'!$A:$A, 0)) = 0,
      INDEX('calcolo base'!$D:$D, MATCH($A520, 'calcolo base'!$A:$A, 0)) = ""   ),
   INDEX('calcolo base'!$K:$K, MATCH($A520, 'calcolo base'!$A:$A, 0)),
   INDEX('calcolo base'!$J:$J, MATCH($A520, 'calcolo base'!$A:$A, 0))
) / 1000</f>
        <v>#N/A</v>
      </c>
      <c r="J520" s="50" t="e">
        <f t="shared" si="112"/>
        <v>#N/A</v>
      </c>
      <c r="K520" s="50"/>
      <c r="L520" s="267" t="e">
        <f>INDEX('calcolo base'!$H:$H, MATCH($A520, 'calcolo base'!$A:$A, 0))</f>
        <v>#N/A</v>
      </c>
      <c r="M520" s="50" t="e">
        <f t="shared" si="113"/>
        <v>#N/A</v>
      </c>
      <c r="N520" s="50" t="e">
        <f t="shared" si="114"/>
        <v>#N/A</v>
      </c>
      <c r="O520" s="50" t="e">
        <f t="shared" si="115"/>
        <v>#N/A</v>
      </c>
      <c r="P520" s="50" t="e">
        <f t="shared" si="116"/>
        <v>#N/A</v>
      </c>
      <c r="Q520" s="51" t="e">
        <f t="shared" si="117"/>
        <v>#N/A</v>
      </c>
      <c r="R520" s="205" t="e">
        <f t="shared" si="118"/>
        <v>#N/A</v>
      </c>
      <c r="S520" s="279" t="e">
        <f>IF(R520="si",0,IF(E520="si",0,IF(J520&gt;K520,0,+K520-J520)))+IF('calcolo base'!P1980="SI",('Commissioni De Angeli'!K520-'Commissioni De Angeli'!J520),0)</f>
        <v>#N/A</v>
      </c>
      <c r="T520" s="117" t="e">
        <f t="shared" si="119"/>
        <v>#N/A</v>
      </c>
      <c r="U520" s="272" t="e">
        <f>IF(Q520=0,'calcolo base'!L3119,(T520+Q520))</f>
        <v>#N/A</v>
      </c>
      <c r="V520" s="119"/>
    </row>
    <row r="521" spans="2:22">
      <c r="B521" s="47"/>
      <c r="C521" s="35"/>
      <c r="D521" s="53"/>
      <c r="E521" s="53"/>
      <c r="F521" s="48"/>
      <c r="G521" s="243" t="e">
        <f>INDEX('calcolo base'!$B:$B, MATCH($A521, 'calcolo base'!$A:$A, 0))</f>
        <v>#N/A</v>
      </c>
      <c r="H521" s="54" t="e">
        <f t="shared" si="111"/>
        <v>#N/A</v>
      </c>
      <c r="I521" s="259" t="e">
        <f>IF(  OR(      INDEX('calcolo base'!$D:$D, MATCH($A521, 'calcolo base'!$A:$A, 0)) = 0,
      INDEX('calcolo base'!$D:$D, MATCH($A521, 'calcolo base'!$A:$A, 0)) = ""   ),
   INDEX('calcolo base'!$K:$K, MATCH($A521, 'calcolo base'!$A:$A, 0)),
   INDEX('calcolo base'!$J:$J, MATCH($A521, 'calcolo base'!$A:$A, 0))
) / 1000</f>
        <v>#N/A</v>
      </c>
      <c r="J521" s="50" t="e">
        <f t="shared" si="112"/>
        <v>#N/A</v>
      </c>
      <c r="K521" s="50"/>
      <c r="L521" s="267" t="e">
        <f>INDEX('calcolo base'!$H:$H, MATCH($A521, 'calcolo base'!$A:$A, 0))</f>
        <v>#N/A</v>
      </c>
      <c r="M521" s="50" t="e">
        <f t="shared" si="113"/>
        <v>#N/A</v>
      </c>
      <c r="N521" s="50" t="e">
        <f t="shared" si="114"/>
        <v>#N/A</v>
      </c>
      <c r="O521" s="50" t="e">
        <f t="shared" si="115"/>
        <v>#N/A</v>
      </c>
      <c r="P521" s="50" t="e">
        <f t="shared" si="116"/>
        <v>#N/A</v>
      </c>
      <c r="Q521" s="51" t="e">
        <f t="shared" si="117"/>
        <v>#N/A</v>
      </c>
      <c r="R521" s="205" t="e">
        <f t="shared" si="118"/>
        <v>#N/A</v>
      </c>
      <c r="S521" s="279" t="e">
        <f>IF(R521="si",0,IF(E521="si",0,IF(J521&gt;K521,0,+K521-J521)))+IF('calcolo base'!P1981="SI",('Commissioni De Angeli'!K521-'Commissioni De Angeli'!J521),0)</f>
        <v>#N/A</v>
      </c>
      <c r="T521" s="117" t="e">
        <f t="shared" si="119"/>
        <v>#N/A</v>
      </c>
      <c r="U521" s="272" t="e">
        <f>IF(Q521=0,'calcolo base'!L3120,(T521+Q521))</f>
        <v>#N/A</v>
      </c>
      <c r="V521" s="119"/>
    </row>
    <row r="522" spans="2:22">
      <c r="B522" s="47"/>
      <c r="C522" s="35"/>
      <c r="D522" s="53"/>
      <c r="E522" s="53"/>
      <c r="F522" s="48"/>
      <c r="G522" s="243" t="e">
        <f>INDEX('calcolo base'!$B:$B, MATCH($A522, 'calcolo base'!$A:$A, 0))</f>
        <v>#N/A</v>
      </c>
      <c r="H522" s="54" t="e">
        <f t="shared" si="111"/>
        <v>#N/A</v>
      </c>
      <c r="I522" s="259" t="e">
        <f>IF(  OR(      INDEX('calcolo base'!$D:$D, MATCH($A522, 'calcolo base'!$A:$A, 0)) = 0,
      INDEX('calcolo base'!$D:$D, MATCH($A522, 'calcolo base'!$A:$A, 0)) = ""   ),
   INDEX('calcolo base'!$K:$K, MATCH($A522, 'calcolo base'!$A:$A, 0)),
   INDEX('calcolo base'!$J:$J, MATCH($A522, 'calcolo base'!$A:$A, 0))
) / 1000</f>
        <v>#N/A</v>
      </c>
      <c r="J522" s="50" t="e">
        <f t="shared" si="112"/>
        <v>#N/A</v>
      </c>
      <c r="K522" s="50"/>
      <c r="L522" s="267" t="e">
        <f>INDEX('calcolo base'!$H:$H, MATCH($A522, 'calcolo base'!$A:$A, 0))</f>
        <v>#N/A</v>
      </c>
      <c r="M522" s="50" t="e">
        <f t="shared" si="113"/>
        <v>#N/A</v>
      </c>
      <c r="N522" s="50" t="e">
        <f t="shared" si="114"/>
        <v>#N/A</v>
      </c>
      <c r="O522" s="50" t="e">
        <f t="shared" si="115"/>
        <v>#N/A</v>
      </c>
      <c r="P522" s="50" t="e">
        <f t="shared" si="116"/>
        <v>#N/A</v>
      </c>
      <c r="Q522" s="51" t="e">
        <f t="shared" si="117"/>
        <v>#N/A</v>
      </c>
      <c r="R522" s="205" t="e">
        <f t="shared" si="118"/>
        <v>#N/A</v>
      </c>
      <c r="S522" s="279" t="e">
        <f>IF(R522="si",0,IF(E522="si",0,IF(J522&gt;K522,0,+K522-J522)))+IF('calcolo base'!P1982="SI",('Commissioni De Angeli'!K522-'Commissioni De Angeli'!J522),0)</f>
        <v>#N/A</v>
      </c>
      <c r="T522" s="117" t="e">
        <f t="shared" si="119"/>
        <v>#N/A</v>
      </c>
      <c r="U522" s="272" t="e">
        <f>IF(Q522=0,'calcolo base'!L3121,(T522+Q522))</f>
        <v>#N/A</v>
      </c>
      <c r="V522" s="119"/>
    </row>
    <row r="523" spans="2:22">
      <c r="B523" s="47"/>
      <c r="C523" s="35"/>
      <c r="D523" s="53"/>
      <c r="E523" s="53"/>
      <c r="F523" s="48"/>
      <c r="G523" s="243" t="e">
        <f>INDEX('calcolo base'!$B:$B, MATCH($A523, 'calcolo base'!$A:$A, 0))</f>
        <v>#N/A</v>
      </c>
      <c r="H523" s="54" t="e">
        <f t="shared" si="111"/>
        <v>#N/A</v>
      </c>
      <c r="I523" s="259" t="e">
        <f>IF(  OR(      INDEX('calcolo base'!$D:$D, MATCH($A523, 'calcolo base'!$A:$A, 0)) = 0,
      INDEX('calcolo base'!$D:$D, MATCH($A523, 'calcolo base'!$A:$A, 0)) = ""   ),
   INDEX('calcolo base'!$K:$K, MATCH($A523, 'calcolo base'!$A:$A, 0)),
   INDEX('calcolo base'!$J:$J, MATCH($A523, 'calcolo base'!$A:$A, 0))
) / 1000</f>
        <v>#N/A</v>
      </c>
      <c r="J523" s="50" t="e">
        <f t="shared" si="112"/>
        <v>#N/A</v>
      </c>
      <c r="K523" s="50"/>
      <c r="L523" s="267" t="e">
        <f>INDEX('calcolo base'!$H:$H, MATCH($A523, 'calcolo base'!$A:$A, 0))</f>
        <v>#N/A</v>
      </c>
      <c r="M523" s="50" t="e">
        <f t="shared" si="113"/>
        <v>#N/A</v>
      </c>
      <c r="N523" s="50" t="e">
        <f t="shared" si="114"/>
        <v>#N/A</v>
      </c>
      <c r="O523" s="50" t="e">
        <f t="shared" si="115"/>
        <v>#N/A</v>
      </c>
      <c r="P523" s="50" t="e">
        <f t="shared" si="116"/>
        <v>#N/A</v>
      </c>
      <c r="Q523" s="51" t="e">
        <f t="shared" si="117"/>
        <v>#N/A</v>
      </c>
      <c r="R523" s="205" t="e">
        <f t="shared" si="118"/>
        <v>#N/A</v>
      </c>
      <c r="S523" s="279" t="e">
        <f>IF(R523="si",0,IF(E523="si",0,IF(J523&gt;K523,0,+K523-J523)))+IF('calcolo base'!P1983="SI",('Commissioni De Angeli'!K523-'Commissioni De Angeli'!J523),0)</f>
        <v>#N/A</v>
      </c>
      <c r="T523" s="117" t="e">
        <f t="shared" si="119"/>
        <v>#N/A</v>
      </c>
      <c r="U523" s="272" t="e">
        <f>IF(Q523=0,'calcolo base'!L3122,(T523+Q523))</f>
        <v>#N/A</v>
      </c>
      <c r="V523" s="119"/>
    </row>
    <row r="524" spans="2:22">
      <c r="B524" s="47"/>
      <c r="C524" s="35"/>
      <c r="D524" s="53"/>
      <c r="E524" s="53"/>
      <c r="F524" s="48"/>
      <c r="G524" s="243" t="e">
        <f>INDEX('calcolo base'!$B:$B, MATCH($A524, 'calcolo base'!$A:$A, 0))</f>
        <v>#N/A</v>
      </c>
      <c r="H524" s="54" t="e">
        <f t="shared" si="111"/>
        <v>#N/A</v>
      </c>
      <c r="I524" s="259" t="e">
        <f>IF(  OR(      INDEX('calcolo base'!$D:$D, MATCH($A524, 'calcolo base'!$A:$A, 0)) = 0,
      INDEX('calcolo base'!$D:$D, MATCH($A524, 'calcolo base'!$A:$A, 0)) = ""   ),
   INDEX('calcolo base'!$K:$K, MATCH($A524, 'calcolo base'!$A:$A, 0)),
   INDEX('calcolo base'!$J:$J, MATCH($A524, 'calcolo base'!$A:$A, 0))
) / 1000</f>
        <v>#N/A</v>
      </c>
      <c r="J524" s="50" t="e">
        <f t="shared" si="112"/>
        <v>#N/A</v>
      </c>
      <c r="K524" s="50"/>
      <c r="L524" s="267" t="e">
        <f>INDEX('calcolo base'!$H:$H, MATCH($A524, 'calcolo base'!$A:$A, 0))</f>
        <v>#N/A</v>
      </c>
      <c r="M524" s="50" t="e">
        <f t="shared" si="113"/>
        <v>#N/A</v>
      </c>
      <c r="N524" s="50" t="e">
        <f t="shared" si="114"/>
        <v>#N/A</v>
      </c>
      <c r="O524" s="50" t="e">
        <f t="shared" si="115"/>
        <v>#N/A</v>
      </c>
      <c r="P524" s="50" t="e">
        <f t="shared" si="116"/>
        <v>#N/A</v>
      </c>
      <c r="Q524" s="51" t="e">
        <f t="shared" si="117"/>
        <v>#N/A</v>
      </c>
      <c r="R524" s="205" t="e">
        <f t="shared" si="118"/>
        <v>#N/A</v>
      </c>
      <c r="S524" s="279" t="e">
        <f>IF(R524="si",0,IF(E524="si",0,IF(J524&gt;K524,0,+K524-J524)))+IF('calcolo base'!P1984="SI",('Commissioni De Angeli'!K524-'Commissioni De Angeli'!J524),0)</f>
        <v>#N/A</v>
      </c>
      <c r="T524" s="117" t="e">
        <f t="shared" si="119"/>
        <v>#N/A</v>
      </c>
      <c r="U524" s="272" t="e">
        <f>IF(Q524=0,'calcolo base'!L3123,(T524+Q524))</f>
        <v>#N/A</v>
      </c>
      <c r="V524" s="119"/>
    </row>
    <row r="525" spans="2:22">
      <c r="B525" s="47"/>
      <c r="C525" s="35"/>
      <c r="D525" s="53"/>
      <c r="E525" s="53"/>
      <c r="F525" s="48"/>
      <c r="G525" s="243" t="e">
        <f>INDEX('calcolo base'!$B:$B, MATCH($A525, 'calcolo base'!$A:$A, 0))</f>
        <v>#N/A</v>
      </c>
      <c r="H525" s="54" t="e">
        <f t="shared" si="111"/>
        <v>#N/A</v>
      </c>
      <c r="I525" s="259" t="e">
        <f>IF(  OR(      INDEX('calcolo base'!$D:$D, MATCH($A525, 'calcolo base'!$A:$A, 0)) = 0,
      INDEX('calcolo base'!$D:$D, MATCH($A525, 'calcolo base'!$A:$A, 0)) = ""   ),
   INDEX('calcolo base'!$K:$K, MATCH($A525, 'calcolo base'!$A:$A, 0)),
   INDEX('calcolo base'!$J:$J, MATCH($A525, 'calcolo base'!$A:$A, 0))
) / 1000</f>
        <v>#N/A</v>
      </c>
      <c r="J525" s="50" t="e">
        <f t="shared" si="112"/>
        <v>#N/A</v>
      </c>
      <c r="K525" s="50"/>
      <c r="L525" s="267" t="e">
        <f>INDEX('calcolo base'!$H:$H, MATCH($A525, 'calcolo base'!$A:$A, 0))</f>
        <v>#N/A</v>
      </c>
      <c r="M525" s="50" t="e">
        <f t="shared" si="113"/>
        <v>#N/A</v>
      </c>
      <c r="N525" s="50" t="e">
        <f t="shared" si="114"/>
        <v>#N/A</v>
      </c>
      <c r="O525" s="50" t="e">
        <f t="shared" si="115"/>
        <v>#N/A</v>
      </c>
      <c r="P525" s="50" t="e">
        <f t="shared" si="116"/>
        <v>#N/A</v>
      </c>
      <c r="Q525" s="51" t="e">
        <f t="shared" si="117"/>
        <v>#N/A</v>
      </c>
      <c r="R525" s="205" t="e">
        <f t="shared" si="118"/>
        <v>#N/A</v>
      </c>
      <c r="S525" s="279" t="e">
        <f>IF(R525="si",0,IF(E525="si",0,IF(J525&gt;K525,0,+K525-J525)))+IF('calcolo base'!P1985="SI",('Commissioni De Angeli'!K525-'Commissioni De Angeli'!J525),0)</f>
        <v>#N/A</v>
      </c>
      <c r="T525" s="117" t="e">
        <f t="shared" si="119"/>
        <v>#N/A</v>
      </c>
      <c r="U525" s="272" t="e">
        <f>IF(Q525=0,'calcolo base'!L3124,(T525+Q525))</f>
        <v>#N/A</v>
      </c>
      <c r="V525" s="119"/>
    </row>
    <row r="526" spans="2:22">
      <c r="B526" s="47"/>
      <c r="C526" s="35"/>
      <c r="D526" s="53"/>
      <c r="E526" s="53"/>
      <c r="F526" s="48"/>
      <c r="G526" s="243" t="e">
        <f>INDEX('calcolo base'!$B:$B, MATCH($A526, 'calcolo base'!$A:$A, 0))</f>
        <v>#N/A</v>
      </c>
      <c r="H526" s="54" t="e">
        <f t="shared" si="111"/>
        <v>#N/A</v>
      </c>
      <c r="I526" s="259" t="e">
        <f>IF(  OR(      INDEX('calcolo base'!$D:$D, MATCH($A526, 'calcolo base'!$A:$A, 0)) = 0,
      INDEX('calcolo base'!$D:$D, MATCH($A526, 'calcolo base'!$A:$A, 0)) = ""   ),
   INDEX('calcolo base'!$K:$K, MATCH($A526, 'calcolo base'!$A:$A, 0)),
   INDEX('calcolo base'!$J:$J, MATCH($A526, 'calcolo base'!$A:$A, 0))
) / 1000</f>
        <v>#N/A</v>
      </c>
      <c r="J526" s="50" t="e">
        <f t="shared" si="112"/>
        <v>#N/A</v>
      </c>
      <c r="K526" s="50"/>
      <c r="L526" s="267" t="e">
        <f>INDEX('calcolo base'!$H:$H, MATCH($A526, 'calcolo base'!$A:$A, 0))</f>
        <v>#N/A</v>
      </c>
      <c r="M526" s="50" t="e">
        <f t="shared" si="113"/>
        <v>#N/A</v>
      </c>
      <c r="N526" s="50" t="e">
        <f t="shared" si="114"/>
        <v>#N/A</v>
      </c>
      <c r="O526" s="50" t="e">
        <f t="shared" si="115"/>
        <v>#N/A</v>
      </c>
      <c r="P526" s="50" t="e">
        <f t="shared" si="116"/>
        <v>#N/A</v>
      </c>
      <c r="Q526" s="51" t="e">
        <f t="shared" si="117"/>
        <v>#N/A</v>
      </c>
      <c r="R526" s="205" t="e">
        <f t="shared" si="118"/>
        <v>#N/A</v>
      </c>
      <c r="S526" s="279" t="e">
        <f>IF(R526="si",0,IF(E526="si",0,IF(J526&gt;K526,0,+K526-J526)))+IF('calcolo base'!P1986="SI",('Commissioni De Angeli'!K526-'Commissioni De Angeli'!J526),0)</f>
        <v>#N/A</v>
      </c>
      <c r="T526" s="117" t="e">
        <f t="shared" si="119"/>
        <v>#N/A</v>
      </c>
      <c r="U526" s="272" t="e">
        <f>IF(Q526=0,'calcolo base'!L3125,(T526+Q526))</f>
        <v>#N/A</v>
      </c>
      <c r="V526" s="119"/>
    </row>
    <row r="527" spans="2:22">
      <c r="B527" s="47"/>
      <c r="C527" s="35"/>
      <c r="D527" s="53"/>
      <c r="E527" s="53"/>
      <c r="F527" s="48"/>
      <c r="G527" s="243" t="e">
        <f>INDEX('calcolo base'!$B:$B, MATCH($A527, 'calcolo base'!$A:$A, 0))</f>
        <v>#N/A</v>
      </c>
      <c r="H527" s="54" t="e">
        <f t="shared" si="111"/>
        <v>#N/A</v>
      </c>
      <c r="I527" s="259" t="e">
        <f>IF(  OR(      INDEX('calcolo base'!$D:$D, MATCH($A527, 'calcolo base'!$A:$A, 0)) = 0,
      INDEX('calcolo base'!$D:$D, MATCH($A527, 'calcolo base'!$A:$A, 0)) = ""   ),
   INDEX('calcolo base'!$K:$K, MATCH($A527, 'calcolo base'!$A:$A, 0)),
   INDEX('calcolo base'!$J:$J, MATCH($A527, 'calcolo base'!$A:$A, 0))
) / 1000</f>
        <v>#N/A</v>
      </c>
      <c r="J527" s="50" t="e">
        <f t="shared" si="112"/>
        <v>#N/A</v>
      </c>
      <c r="K527" s="50"/>
      <c r="L527" s="267" t="e">
        <f>INDEX('calcolo base'!$H:$H, MATCH($A527, 'calcolo base'!$A:$A, 0))</f>
        <v>#N/A</v>
      </c>
      <c r="M527" s="50" t="e">
        <f t="shared" si="113"/>
        <v>#N/A</v>
      </c>
      <c r="N527" s="50" t="e">
        <f t="shared" si="114"/>
        <v>#N/A</v>
      </c>
      <c r="O527" s="50" t="e">
        <f t="shared" si="115"/>
        <v>#N/A</v>
      </c>
      <c r="P527" s="50" t="e">
        <f t="shared" si="116"/>
        <v>#N/A</v>
      </c>
      <c r="Q527" s="51" t="e">
        <f t="shared" si="117"/>
        <v>#N/A</v>
      </c>
      <c r="R527" s="205" t="e">
        <f t="shared" si="118"/>
        <v>#N/A</v>
      </c>
      <c r="S527" s="279" t="e">
        <f>IF(R527="si",0,IF(E527="si",0,IF(J527&gt;K527,0,+K527-J527)))+IF('calcolo base'!P1987="SI",('Commissioni De Angeli'!K527-'Commissioni De Angeli'!J527),0)</f>
        <v>#N/A</v>
      </c>
      <c r="T527" s="117" t="e">
        <f t="shared" si="119"/>
        <v>#N/A</v>
      </c>
      <c r="U527" s="272" t="e">
        <f>IF(Q527=0,'calcolo base'!L3126,(T527+Q527))</f>
        <v>#N/A</v>
      </c>
      <c r="V527" s="119"/>
    </row>
    <row r="528" spans="2:22">
      <c r="B528" s="47"/>
      <c r="C528" s="35"/>
      <c r="D528" s="53"/>
      <c r="E528" s="53"/>
      <c r="F528" s="48"/>
      <c r="G528" s="243" t="e">
        <f>INDEX('calcolo base'!$B:$B, MATCH($A528, 'calcolo base'!$A:$A, 0))</f>
        <v>#N/A</v>
      </c>
      <c r="H528" s="54" t="e">
        <f t="shared" si="111"/>
        <v>#N/A</v>
      </c>
      <c r="I528" s="259" t="e">
        <f>IF(  OR(      INDEX('calcolo base'!$D:$D, MATCH($A528, 'calcolo base'!$A:$A, 0)) = 0,
      INDEX('calcolo base'!$D:$D, MATCH($A528, 'calcolo base'!$A:$A, 0)) = ""   ),
   INDEX('calcolo base'!$K:$K, MATCH($A528, 'calcolo base'!$A:$A, 0)),
   INDEX('calcolo base'!$J:$J, MATCH($A528, 'calcolo base'!$A:$A, 0))
) / 1000</f>
        <v>#N/A</v>
      </c>
      <c r="J528" s="50" t="e">
        <f t="shared" si="112"/>
        <v>#N/A</v>
      </c>
      <c r="K528" s="50"/>
      <c r="L528" s="267" t="e">
        <f>INDEX('calcolo base'!$H:$H, MATCH($A528, 'calcolo base'!$A:$A, 0))</f>
        <v>#N/A</v>
      </c>
      <c r="M528" s="50" t="e">
        <f t="shared" si="113"/>
        <v>#N/A</v>
      </c>
      <c r="N528" s="50" t="e">
        <f t="shared" si="114"/>
        <v>#N/A</v>
      </c>
      <c r="O528" s="50" t="e">
        <f t="shared" si="115"/>
        <v>#N/A</v>
      </c>
      <c r="P528" s="50" t="e">
        <f t="shared" si="116"/>
        <v>#N/A</v>
      </c>
      <c r="Q528" s="51" t="e">
        <f t="shared" si="117"/>
        <v>#N/A</v>
      </c>
      <c r="R528" s="205" t="e">
        <f t="shared" si="118"/>
        <v>#N/A</v>
      </c>
      <c r="S528" s="279" t="e">
        <f>IF(R528="si",0,IF(E528="si",0,IF(J528&gt;K528,0,+K528-J528)))+IF('calcolo base'!P1988="SI",('Commissioni De Angeli'!K528-'Commissioni De Angeli'!J528),0)</f>
        <v>#N/A</v>
      </c>
      <c r="T528" s="117" t="e">
        <f t="shared" si="119"/>
        <v>#N/A</v>
      </c>
      <c r="U528" s="272" t="e">
        <f>IF(Q528=0,'calcolo base'!L3127,(T528+Q528))</f>
        <v>#N/A</v>
      </c>
      <c r="V528" s="119"/>
    </row>
    <row r="529" spans="2:22">
      <c r="B529" s="47"/>
      <c r="C529" s="35"/>
      <c r="D529" s="53"/>
      <c r="E529" s="53"/>
      <c r="F529" s="48"/>
      <c r="G529" s="243" t="e">
        <f>INDEX('calcolo base'!$B:$B, MATCH($A529, 'calcolo base'!$A:$A, 0))</f>
        <v>#N/A</v>
      </c>
      <c r="H529" s="54" t="e">
        <f t="shared" si="111"/>
        <v>#N/A</v>
      </c>
      <c r="I529" s="259" t="e">
        <f>IF(  OR(      INDEX('calcolo base'!$D:$D, MATCH($A529, 'calcolo base'!$A:$A, 0)) = 0,
      INDEX('calcolo base'!$D:$D, MATCH($A529, 'calcolo base'!$A:$A, 0)) = ""   ),
   INDEX('calcolo base'!$K:$K, MATCH($A529, 'calcolo base'!$A:$A, 0)),
   INDEX('calcolo base'!$J:$J, MATCH($A529, 'calcolo base'!$A:$A, 0))
) / 1000</f>
        <v>#N/A</v>
      </c>
      <c r="J529" s="50" t="e">
        <f t="shared" si="112"/>
        <v>#N/A</v>
      </c>
      <c r="K529" s="50"/>
      <c r="L529" s="267" t="e">
        <f>INDEX('calcolo base'!$H:$H, MATCH($A529, 'calcolo base'!$A:$A, 0))</f>
        <v>#N/A</v>
      </c>
      <c r="M529" s="50" t="e">
        <f t="shared" si="113"/>
        <v>#N/A</v>
      </c>
      <c r="N529" s="50" t="e">
        <f t="shared" si="114"/>
        <v>#N/A</v>
      </c>
      <c r="O529" s="50" t="e">
        <f t="shared" si="115"/>
        <v>#N/A</v>
      </c>
      <c r="P529" s="50" t="e">
        <f t="shared" si="116"/>
        <v>#N/A</v>
      </c>
      <c r="Q529" s="51" t="e">
        <f t="shared" si="117"/>
        <v>#N/A</v>
      </c>
      <c r="R529" s="205" t="e">
        <f t="shared" si="118"/>
        <v>#N/A</v>
      </c>
      <c r="S529" s="279" t="e">
        <f>IF(R529="si",0,IF(E529="si",0,IF(J529&gt;K529,0,+K529-J529)))+IF('calcolo base'!P1989="SI",('Commissioni De Angeli'!K529-'Commissioni De Angeli'!J529),0)</f>
        <v>#N/A</v>
      </c>
      <c r="T529" s="117" t="e">
        <f t="shared" si="119"/>
        <v>#N/A</v>
      </c>
      <c r="U529" s="272" t="e">
        <f>IF(Q529=0,'calcolo base'!L3128,(T529+Q529))</f>
        <v>#N/A</v>
      </c>
      <c r="V529" s="119"/>
    </row>
    <row r="530" spans="2:22">
      <c r="B530" s="47"/>
      <c r="C530" s="35"/>
      <c r="D530" s="53"/>
      <c r="E530" s="53"/>
      <c r="F530" s="48"/>
      <c r="G530" s="243" t="e">
        <f>INDEX('calcolo base'!$B:$B, MATCH($A530, 'calcolo base'!$A:$A, 0))</f>
        <v>#N/A</v>
      </c>
      <c r="H530" s="54" t="e">
        <f t="shared" si="111"/>
        <v>#N/A</v>
      </c>
      <c r="I530" s="259" t="e">
        <f>IF(  OR(      INDEX('calcolo base'!$D:$D, MATCH($A530, 'calcolo base'!$A:$A, 0)) = 0,
      INDEX('calcolo base'!$D:$D, MATCH($A530, 'calcolo base'!$A:$A, 0)) = ""   ),
   INDEX('calcolo base'!$K:$K, MATCH($A530, 'calcolo base'!$A:$A, 0)),
   INDEX('calcolo base'!$J:$J, MATCH($A530, 'calcolo base'!$A:$A, 0))
) / 1000</f>
        <v>#N/A</v>
      </c>
      <c r="J530" s="50" t="e">
        <f t="shared" si="112"/>
        <v>#N/A</v>
      </c>
      <c r="K530" s="50"/>
      <c r="L530" s="267" t="e">
        <f>INDEX('calcolo base'!$H:$H, MATCH($A530, 'calcolo base'!$A:$A, 0))</f>
        <v>#N/A</v>
      </c>
      <c r="M530" s="50" t="e">
        <f t="shared" si="113"/>
        <v>#N/A</v>
      </c>
      <c r="N530" s="50" t="e">
        <f t="shared" si="114"/>
        <v>#N/A</v>
      </c>
      <c r="O530" s="50" t="e">
        <f t="shared" si="115"/>
        <v>#N/A</v>
      </c>
      <c r="P530" s="50" t="e">
        <f t="shared" si="116"/>
        <v>#N/A</v>
      </c>
      <c r="Q530" s="51" t="e">
        <f t="shared" si="117"/>
        <v>#N/A</v>
      </c>
      <c r="R530" s="205" t="e">
        <f t="shared" si="118"/>
        <v>#N/A</v>
      </c>
      <c r="S530" s="279" t="e">
        <f>IF(R530="si",0,IF(E530="si",0,IF(J530&gt;K530,0,+K530-J530)))+IF('calcolo base'!P1990="SI",('Commissioni De Angeli'!K530-'Commissioni De Angeli'!J530),0)</f>
        <v>#N/A</v>
      </c>
      <c r="T530" s="117" t="e">
        <f t="shared" si="119"/>
        <v>#N/A</v>
      </c>
      <c r="U530" s="272" t="e">
        <f>IF(Q530=0,'calcolo base'!L3129,(T530+Q530))</f>
        <v>#N/A</v>
      </c>
      <c r="V530" s="119"/>
    </row>
    <row r="531" spans="2:22">
      <c r="B531" s="47"/>
      <c r="C531" s="35"/>
      <c r="D531" s="53"/>
      <c r="E531" s="53"/>
      <c r="F531" s="48"/>
      <c r="G531" s="243" t="e">
        <f>INDEX('calcolo base'!$B:$B, MATCH($A531, 'calcolo base'!$A:$A, 0))</f>
        <v>#N/A</v>
      </c>
      <c r="H531" s="54" t="e">
        <f t="shared" si="111"/>
        <v>#N/A</v>
      </c>
      <c r="I531" s="259" t="e">
        <f>IF(  OR(      INDEX('calcolo base'!$D:$D, MATCH($A531, 'calcolo base'!$A:$A, 0)) = 0,
      INDEX('calcolo base'!$D:$D, MATCH($A531, 'calcolo base'!$A:$A, 0)) = ""   ),
   INDEX('calcolo base'!$K:$K, MATCH($A531, 'calcolo base'!$A:$A, 0)),
   INDEX('calcolo base'!$J:$J, MATCH($A531, 'calcolo base'!$A:$A, 0))
) / 1000</f>
        <v>#N/A</v>
      </c>
      <c r="J531" s="50" t="e">
        <f t="shared" si="112"/>
        <v>#N/A</v>
      </c>
      <c r="K531" s="50"/>
      <c r="L531" s="267" t="e">
        <f>INDEX('calcolo base'!$H:$H, MATCH($A531, 'calcolo base'!$A:$A, 0))</f>
        <v>#N/A</v>
      </c>
      <c r="M531" s="50" t="e">
        <f t="shared" si="113"/>
        <v>#N/A</v>
      </c>
      <c r="N531" s="50" t="e">
        <f t="shared" si="114"/>
        <v>#N/A</v>
      </c>
      <c r="O531" s="50" t="e">
        <f t="shared" si="115"/>
        <v>#N/A</v>
      </c>
      <c r="P531" s="50" t="e">
        <f t="shared" si="116"/>
        <v>#N/A</v>
      </c>
      <c r="Q531" s="51" t="e">
        <f t="shared" si="117"/>
        <v>#N/A</v>
      </c>
      <c r="R531" s="205" t="e">
        <f t="shared" si="118"/>
        <v>#N/A</v>
      </c>
      <c r="S531" s="279" t="e">
        <f>IF(R531="si",0,IF(E531="si",0,IF(J531&gt;K531,0,+K531-J531)))+IF('calcolo base'!P1991="SI",('Commissioni De Angeli'!K531-'Commissioni De Angeli'!J531),0)</f>
        <v>#N/A</v>
      </c>
      <c r="T531" s="117" t="e">
        <f t="shared" si="119"/>
        <v>#N/A</v>
      </c>
      <c r="U531" s="272" t="e">
        <f>IF(Q531=0,'calcolo base'!L3130,(T531+Q531))</f>
        <v>#N/A</v>
      </c>
      <c r="V531" s="119"/>
    </row>
    <row r="532" spans="2:22">
      <c r="B532" s="47"/>
      <c r="C532" s="35"/>
      <c r="D532" s="53"/>
      <c r="E532" s="53"/>
      <c r="F532" s="48"/>
      <c r="G532" s="243" t="e">
        <f>INDEX('calcolo base'!$B:$B, MATCH($A532, 'calcolo base'!$A:$A, 0))</f>
        <v>#N/A</v>
      </c>
      <c r="H532" s="54" t="e">
        <f t="shared" si="111"/>
        <v>#N/A</v>
      </c>
      <c r="I532" s="259" t="e">
        <f>IF(  OR(      INDEX('calcolo base'!$D:$D, MATCH($A532, 'calcolo base'!$A:$A, 0)) = 0,
      INDEX('calcolo base'!$D:$D, MATCH($A532, 'calcolo base'!$A:$A, 0)) = ""   ),
   INDEX('calcolo base'!$K:$K, MATCH($A532, 'calcolo base'!$A:$A, 0)),
   INDEX('calcolo base'!$J:$J, MATCH($A532, 'calcolo base'!$A:$A, 0))
) / 1000</f>
        <v>#N/A</v>
      </c>
      <c r="J532" s="50" t="e">
        <f t="shared" si="112"/>
        <v>#N/A</v>
      </c>
      <c r="K532" s="50"/>
      <c r="L532" s="267" t="e">
        <f>INDEX('calcolo base'!$H:$H, MATCH($A532, 'calcolo base'!$A:$A, 0))</f>
        <v>#N/A</v>
      </c>
      <c r="M532" s="50" t="e">
        <f t="shared" si="113"/>
        <v>#N/A</v>
      </c>
      <c r="N532" s="50" t="e">
        <f t="shared" si="114"/>
        <v>#N/A</v>
      </c>
      <c r="O532" s="50" t="e">
        <f t="shared" si="115"/>
        <v>#N/A</v>
      </c>
      <c r="P532" s="50" t="e">
        <f t="shared" si="116"/>
        <v>#N/A</v>
      </c>
      <c r="Q532" s="51" t="e">
        <f t="shared" si="117"/>
        <v>#N/A</v>
      </c>
      <c r="R532" s="205" t="e">
        <f t="shared" si="118"/>
        <v>#N/A</v>
      </c>
      <c r="S532" s="279" t="e">
        <f>IF(R532="si",0,IF(E532="si",0,IF(J532&gt;K532,0,+K532-J532)))+IF('calcolo base'!P1992="SI",('Commissioni De Angeli'!K532-'Commissioni De Angeli'!J532),0)</f>
        <v>#N/A</v>
      </c>
      <c r="T532" s="117" t="e">
        <f t="shared" si="119"/>
        <v>#N/A</v>
      </c>
      <c r="U532" s="272" t="e">
        <f>IF(Q532=0,'calcolo base'!L3131,(T532+Q532))</f>
        <v>#N/A</v>
      </c>
      <c r="V532" s="119"/>
    </row>
    <row r="533" spans="2:22">
      <c r="B533" s="47"/>
      <c r="C533" s="35"/>
      <c r="D533" s="53"/>
      <c r="E533" s="53"/>
      <c r="F533" s="48"/>
      <c r="G533" s="243" t="e">
        <f>INDEX('calcolo base'!$B:$B, MATCH($A533, 'calcolo base'!$A:$A, 0))</f>
        <v>#N/A</v>
      </c>
      <c r="H533" s="54" t="e">
        <f t="shared" si="111"/>
        <v>#N/A</v>
      </c>
      <c r="I533" s="259" t="e">
        <f>IF(  OR(      INDEX('calcolo base'!$D:$D, MATCH($A533, 'calcolo base'!$A:$A, 0)) = 0,
      INDEX('calcolo base'!$D:$D, MATCH($A533, 'calcolo base'!$A:$A, 0)) = ""   ),
   INDEX('calcolo base'!$K:$K, MATCH($A533, 'calcolo base'!$A:$A, 0)),
   INDEX('calcolo base'!$J:$J, MATCH($A533, 'calcolo base'!$A:$A, 0))
) / 1000</f>
        <v>#N/A</v>
      </c>
      <c r="J533" s="50" t="e">
        <f t="shared" si="112"/>
        <v>#N/A</v>
      </c>
      <c r="K533" s="50"/>
      <c r="L533" s="267" t="e">
        <f>INDEX('calcolo base'!$H:$H, MATCH($A533, 'calcolo base'!$A:$A, 0))</f>
        <v>#N/A</v>
      </c>
      <c r="M533" s="50" t="e">
        <f t="shared" si="113"/>
        <v>#N/A</v>
      </c>
      <c r="N533" s="50" t="e">
        <f t="shared" si="114"/>
        <v>#N/A</v>
      </c>
      <c r="O533" s="50" t="e">
        <f t="shared" si="115"/>
        <v>#N/A</v>
      </c>
      <c r="P533" s="50" t="e">
        <f t="shared" si="116"/>
        <v>#N/A</v>
      </c>
      <c r="Q533" s="51" t="e">
        <f t="shared" si="117"/>
        <v>#N/A</v>
      </c>
      <c r="R533" s="205" t="e">
        <f t="shared" si="118"/>
        <v>#N/A</v>
      </c>
      <c r="S533" s="279" t="e">
        <f>IF(R533="si",0,IF(E533="si",0,IF(J533&gt;K533,0,+K533-J533)))+IF('calcolo base'!P1993="SI",('Commissioni De Angeli'!K533-'Commissioni De Angeli'!J533),0)</f>
        <v>#N/A</v>
      </c>
      <c r="T533" s="117" t="e">
        <f t="shared" si="119"/>
        <v>#N/A</v>
      </c>
      <c r="U533" s="272" t="e">
        <f>IF(Q533=0,'calcolo base'!L3132,(T533+Q533))</f>
        <v>#N/A</v>
      </c>
      <c r="V533" s="119"/>
    </row>
    <row r="534" spans="2:22">
      <c r="B534" s="47"/>
      <c r="C534" s="35"/>
      <c r="D534" s="53"/>
      <c r="E534" s="53"/>
      <c r="F534" s="48"/>
      <c r="G534" s="243" t="e">
        <f>INDEX('calcolo base'!$B:$B, MATCH($A534, 'calcolo base'!$A:$A, 0))</f>
        <v>#N/A</v>
      </c>
      <c r="H534" s="54" t="e">
        <f t="shared" si="111"/>
        <v>#N/A</v>
      </c>
      <c r="I534" s="259" t="e">
        <f>IF(  OR(      INDEX('calcolo base'!$D:$D, MATCH($A534, 'calcolo base'!$A:$A, 0)) = 0,
      INDEX('calcolo base'!$D:$D, MATCH($A534, 'calcolo base'!$A:$A, 0)) = ""   ),
   INDEX('calcolo base'!$K:$K, MATCH($A534, 'calcolo base'!$A:$A, 0)),
   INDEX('calcolo base'!$J:$J, MATCH($A534, 'calcolo base'!$A:$A, 0))
) / 1000</f>
        <v>#N/A</v>
      </c>
      <c r="J534" s="50" t="e">
        <f t="shared" si="112"/>
        <v>#N/A</v>
      </c>
      <c r="K534" s="50"/>
      <c r="L534" s="267" t="e">
        <f>INDEX('calcolo base'!$H:$H, MATCH($A534, 'calcolo base'!$A:$A, 0))</f>
        <v>#N/A</v>
      </c>
      <c r="M534" s="50" t="e">
        <f t="shared" si="113"/>
        <v>#N/A</v>
      </c>
      <c r="N534" s="50" t="e">
        <f t="shared" si="114"/>
        <v>#N/A</v>
      </c>
      <c r="O534" s="50" t="e">
        <f t="shared" si="115"/>
        <v>#N/A</v>
      </c>
      <c r="P534" s="50" t="e">
        <f t="shared" si="116"/>
        <v>#N/A</v>
      </c>
      <c r="Q534" s="51" t="e">
        <f t="shared" si="117"/>
        <v>#N/A</v>
      </c>
      <c r="R534" s="205" t="e">
        <f t="shared" si="118"/>
        <v>#N/A</v>
      </c>
      <c r="S534" s="279" t="e">
        <f>IF(R534="si",0,IF(E534="si",0,IF(J534&gt;K534,0,+K534-J534)))+IF('calcolo base'!P1994="SI",('Commissioni De Angeli'!K534-'Commissioni De Angeli'!J534),0)</f>
        <v>#N/A</v>
      </c>
      <c r="T534" s="117" t="e">
        <f t="shared" si="119"/>
        <v>#N/A</v>
      </c>
      <c r="U534" s="272" t="e">
        <f>IF(Q534=0,'calcolo base'!L3133,(T534+Q534))</f>
        <v>#N/A</v>
      </c>
      <c r="V534" s="119"/>
    </row>
    <row r="535" spans="2:22">
      <c r="B535" s="47"/>
      <c r="C535" s="35"/>
      <c r="D535" s="53"/>
      <c r="E535" s="53"/>
      <c r="F535" s="48"/>
      <c r="G535" s="243" t="e">
        <f>INDEX('calcolo base'!$B:$B, MATCH($A535, 'calcolo base'!$A:$A, 0))</f>
        <v>#N/A</v>
      </c>
      <c r="H535" s="54" t="e">
        <f t="shared" si="111"/>
        <v>#N/A</v>
      </c>
      <c r="I535" s="259" t="e">
        <f>IF(  OR(      INDEX('calcolo base'!$D:$D, MATCH($A535, 'calcolo base'!$A:$A, 0)) = 0,
      INDEX('calcolo base'!$D:$D, MATCH($A535, 'calcolo base'!$A:$A, 0)) = ""   ),
   INDEX('calcolo base'!$K:$K, MATCH($A535, 'calcolo base'!$A:$A, 0)),
   INDEX('calcolo base'!$J:$J, MATCH($A535, 'calcolo base'!$A:$A, 0))
) / 1000</f>
        <v>#N/A</v>
      </c>
      <c r="J535" s="50" t="e">
        <f t="shared" si="112"/>
        <v>#N/A</v>
      </c>
      <c r="K535" s="50"/>
      <c r="L535" s="267" t="e">
        <f>INDEX('calcolo base'!$H:$H, MATCH($A535, 'calcolo base'!$A:$A, 0))</f>
        <v>#N/A</v>
      </c>
      <c r="M535" s="50" t="e">
        <f t="shared" si="113"/>
        <v>#N/A</v>
      </c>
      <c r="N535" s="50" t="e">
        <f t="shared" si="114"/>
        <v>#N/A</v>
      </c>
      <c r="O535" s="50" t="e">
        <f t="shared" si="115"/>
        <v>#N/A</v>
      </c>
      <c r="P535" s="50" t="e">
        <f t="shared" si="116"/>
        <v>#N/A</v>
      </c>
      <c r="Q535" s="51" t="e">
        <f t="shared" si="117"/>
        <v>#N/A</v>
      </c>
      <c r="R535" s="205" t="e">
        <f t="shared" si="118"/>
        <v>#N/A</v>
      </c>
      <c r="S535" s="279" t="e">
        <f>IF(R535="si",0,IF(E535="si",0,IF(J535&gt;K535,0,+K535-J535)))+IF('calcolo base'!P1995="SI",('Commissioni De Angeli'!K535-'Commissioni De Angeli'!J535),0)</f>
        <v>#N/A</v>
      </c>
      <c r="T535" s="117" t="e">
        <f t="shared" si="119"/>
        <v>#N/A</v>
      </c>
      <c r="U535" s="272" t="e">
        <f>IF(Q535=0,'calcolo base'!L3134,(T535+Q535))</f>
        <v>#N/A</v>
      </c>
      <c r="V535" s="119"/>
    </row>
    <row r="536" spans="2:22">
      <c r="B536" s="47"/>
      <c r="C536" s="35"/>
      <c r="D536" s="53"/>
      <c r="E536" s="53"/>
      <c r="F536" s="48"/>
      <c r="G536" s="243" t="e">
        <f>INDEX('calcolo base'!$B:$B, MATCH($A536, 'calcolo base'!$A:$A, 0))</f>
        <v>#N/A</v>
      </c>
      <c r="H536" s="54" t="e">
        <f t="shared" si="111"/>
        <v>#N/A</v>
      </c>
      <c r="I536" s="259" t="e">
        <f>IF(  OR(      INDEX('calcolo base'!$D:$D, MATCH($A536, 'calcolo base'!$A:$A, 0)) = 0,
      INDEX('calcolo base'!$D:$D, MATCH($A536, 'calcolo base'!$A:$A, 0)) = ""   ),
   INDEX('calcolo base'!$K:$K, MATCH($A536, 'calcolo base'!$A:$A, 0)),
   INDEX('calcolo base'!$J:$J, MATCH($A536, 'calcolo base'!$A:$A, 0))
) / 1000</f>
        <v>#N/A</v>
      </c>
      <c r="J536" s="50" t="e">
        <f t="shared" si="112"/>
        <v>#N/A</v>
      </c>
      <c r="K536" s="50"/>
      <c r="L536" s="267" t="e">
        <f>INDEX('calcolo base'!$H:$H, MATCH($A536, 'calcolo base'!$A:$A, 0))</f>
        <v>#N/A</v>
      </c>
      <c r="M536" s="50" t="e">
        <f t="shared" si="113"/>
        <v>#N/A</v>
      </c>
      <c r="N536" s="50" t="e">
        <f t="shared" si="114"/>
        <v>#N/A</v>
      </c>
      <c r="O536" s="50" t="e">
        <f t="shared" si="115"/>
        <v>#N/A</v>
      </c>
      <c r="P536" s="50" t="e">
        <f t="shared" si="116"/>
        <v>#N/A</v>
      </c>
      <c r="Q536" s="51" t="e">
        <f t="shared" si="117"/>
        <v>#N/A</v>
      </c>
      <c r="R536" s="205" t="e">
        <f t="shared" si="118"/>
        <v>#N/A</v>
      </c>
      <c r="S536" s="279" t="e">
        <f>IF(R536="si",0,IF(E536="si",0,IF(J536&gt;K536,0,+K536-J536)))+IF('calcolo base'!P1996="SI",('Commissioni De Angeli'!K536-'Commissioni De Angeli'!J536),0)</f>
        <v>#N/A</v>
      </c>
      <c r="T536" s="117" t="e">
        <f t="shared" si="119"/>
        <v>#N/A</v>
      </c>
      <c r="U536" s="272" t="e">
        <f>IF(Q536=0,'calcolo base'!L3135,(T536+Q536))</f>
        <v>#N/A</v>
      </c>
      <c r="V536" s="119"/>
    </row>
    <row r="537" spans="2:22">
      <c r="B537" s="47"/>
      <c r="C537" s="35"/>
      <c r="D537" s="53"/>
      <c r="E537" s="53"/>
      <c r="F537" s="48"/>
      <c r="G537" s="243" t="e">
        <f>INDEX('calcolo base'!$B:$B, MATCH($A537, 'calcolo base'!$A:$A, 0))</f>
        <v>#N/A</v>
      </c>
      <c r="H537" s="54" t="e">
        <f t="shared" si="111"/>
        <v>#N/A</v>
      </c>
      <c r="I537" s="259" t="e">
        <f>IF(  OR(      INDEX('calcolo base'!$D:$D, MATCH($A537, 'calcolo base'!$A:$A, 0)) = 0,
      INDEX('calcolo base'!$D:$D, MATCH($A537, 'calcolo base'!$A:$A, 0)) = ""   ),
   INDEX('calcolo base'!$K:$K, MATCH($A537, 'calcolo base'!$A:$A, 0)),
   INDEX('calcolo base'!$J:$J, MATCH($A537, 'calcolo base'!$A:$A, 0))
) / 1000</f>
        <v>#N/A</v>
      </c>
      <c r="J537" s="50" t="e">
        <f t="shared" si="112"/>
        <v>#N/A</v>
      </c>
      <c r="K537" s="50"/>
      <c r="L537" s="267" t="e">
        <f>INDEX('calcolo base'!$H:$H, MATCH($A537, 'calcolo base'!$A:$A, 0))</f>
        <v>#N/A</v>
      </c>
      <c r="M537" s="50" t="e">
        <f t="shared" si="113"/>
        <v>#N/A</v>
      </c>
      <c r="N537" s="50" t="e">
        <f t="shared" si="114"/>
        <v>#N/A</v>
      </c>
      <c r="O537" s="50" t="e">
        <f t="shared" si="115"/>
        <v>#N/A</v>
      </c>
      <c r="P537" s="50" t="e">
        <f t="shared" si="116"/>
        <v>#N/A</v>
      </c>
      <c r="Q537" s="51" t="e">
        <f t="shared" si="117"/>
        <v>#N/A</v>
      </c>
      <c r="R537" s="205" t="e">
        <f t="shared" si="118"/>
        <v>#N/A</v>
      </c>
      <c r="S537" s="279" t="e">
        <f>IF(R537="si",0,IF(E537="si",0,IF(J537&gt;K537,0,+K537-J537)))+IF('calcolo base'!P1997="SI",('Commissioni De Angeli'!K537-'Commissioni De Angeli'!J537),0)</f>
        <v>#N/A</v>
      </c>
      <c r="T537" s="117" t="e">
        <f t="shared" si="119"/>
        <v>#N/A</v>
      </c>
      <c r="U537" s="272" t="e">
        <f>IF(Q537=0,'calcolo base'!L3136,(T537+Q537))</f>
        <v>#N/A</v>
      </c>
      <c r="V537" s="119"/>
    </row>
    <row r="538" spans="2:22">
      <c r="B538" s="47"/>
      <c r="C538" s="35"/>
      <c r="D538" s="53"/>
      <c r="E538" s="53"/>
      <c r="F538" s="48"/>
      <c r="G538" s="243" t="e">
        <f>INDEX('calcolo base'!$B:$B, MATCH($A538, 'calcolo base'!$A:$A, 0))</f>
        <v>#N/A</v>
      </c>
      <c r="H538" s="54" t="e">
        <f t="shared" si="111"/>
        <v>#N/A</v>
      </c>
      <c r="I538" s="259" t="e">
        <f>IF(  OR(      INDEX('calcolo base'!$D:$D, MATCH($A538, 'calcolo base'!$A:$A, 0)) = 0,
      INDEX('calcolo base'!$D:$D, MATCH($A538, 'calcolo base'!$A:$A, 0)) = ""   ),
   INDEX('calcolo base'!$K:$K, MATCH($A538, 'calcolo base'!$A:$A, 0)),
   INDEX('calcolo base'!$J:$J, MATCH($A538, 'calcolo base'!$A:$A, 0))
) / 1000</f>
        <v>#N/A</v>
      </c>
      <c r="J538" s="50" t="e">
        <f t="shared" si="112"/>
        <v>#N/A</v>
      </c>
      <c r="K538" s="50"/>
      <c r="L538" s="267" t="e">
        <f>INDEX('calcolo base'!$H:$H, MATCH($A538, 'calcolo base'!$A:$A, 0))</f>
        <v>#N/A</v>
      </c>
      <c r="M538" s="50" t="e">
        <f t="shared" si="113"/>
        <v>#N/A</v>
      </c>
      <c r="N538" s="50" t="e">
        <f t="shared" si="114"/>
        <v>#N/A</v>
      </c>
      <c r="O538" s="50" t="e">
        <f t="shared" si="115"/>
        <v>#N/A</v>
      </c>
      <c r="P538" s="50" t="e">
        <f t="shared" si="116"/>
        <v>#N/A</v>
      </c>
      <c r="Q538" s="51" t="e">
        <f t="shared" si="117"/>
        <v>#N/A</v>
      </c>
      <c r="R538" s="205" t="e">
        <f t="shared" si="118"/>
        <v>#N/A</v>
      </c>
      <c r="S538" s="279" t="e">
        <f>IF(R538="si",0,IF(E538="si",0,IF(J538&gt;K538,0,+K538-J538)))+IF('calcolo base'!P1998="SI",('Commissioni De Angeli'!K538-'Commissioni De Angeli'!J538),0)</f>
        <v>#N/A</v>
      </c>
      <c r="T538" s="117" t="e">
        <f t="shared" si="119"/>
        <v>#N/A</v>
      </c>
      <c r="U538" s="272" t="e">
        <f>IF(Q538=0,'calcolo base'!L3137,(T538+Q538))</f>
        <v>#N/A</v>
      </c>
      <c r="V538" s="119"/>
    </row>
    <row r="539" spans="2:22">
      <c r="B539" s="47"/>
      <c r="C539" s="35"/>
      <c r="D539" s="53"/>
      <c r="E539" s="53"/>
      <c r="F539" s="48"/>
      <c r="G539" s="243" t="e">
        <f>INDEX('calcolo base'!$B:$B, MATCH($A539, 'calcolo base'!$A:$A, 0))</f>
        <v>#N/A</v>
      </c>
      <c r="H539" s="54" t="e">
        <f t="shared" si="111"/>
        <v>#N/A</v>
      </c>
      <c r="I539" s="259" t="e">
        <f>IF(  OR(      INDEX('calcolo base'!$D:$D, MATCH($A539, 'calcolo base'!$A:$A, 0)) = 0,
      INDEX('calcolo base'!$D:$D, MATCH($A539, 'calcolo base'!$A:$A, 0)) = ""   ),
   INDEX('calcolo base'!$K:$K, MATCH($A539, 'calcolo base'!$A:$A, 0)),
   INDEX('calcolo base'!$J:$J, MATCH($A539, 'calcolo base'!$A:$A, 0))
) / 1000</f>
        <v>#N/A</v>
      </c>
      <c r="J539" s="50" t="e">
        <f t="shared" si="112"/>
        <v>#N/A</v>
      </c>
      <c r="K539" s="50"/>
      <c r="L539" s="267" t="e">
        <f>INDEX('calcolo base'!$H:$H, MATCH($A539, 'calcolo base'!$A:$A, 0))</f>
        <v>#N/A</v>
      </c>
      <c r="M539" s="50" t="e">
        <f t="shared" si="113"/>
        <v>#N/A</v>
      </c>
      <c r="N539" s="50" t="e">
        <f t="shared" si="114"/>
        <v>#N/A</v>
      </c>
      <c r="O539" s="50" t="e">
        <f t="shared" si="115"/>
        <v>#N/A</v>
      </c>
      <c r="P539" s="50" t="e">
        <f t="shared" si="116"/>
        <v>#N/A</v>
      </c>
      <c r="Q539" s="51" t="e">
        <f t="shared" si="117"/>
        <v>#N/A</v>
      </c>
      <c r="R539" s="205" t="e">
        <f t="shared" si="118"/>
        <v>#N/A</v>
      </c>
      <c r="S539" s="279" t="e">
        <f>IF(R539="si",0,IF(E539="si",0,IF(J539&gt;K539,0,+K539-J539)))+IF('calcolo base'!P1999="SI",('Commissioni De Angeli'!K539-'Commissioni De Angeli'!J539),0)</f>
        <v>#N/A</v>
      </c>
      <c r="T539" s="117" t="e">
        <f t="shared" si="119"/>
        <v>#N/A</v>
      </c>
      <c r="U539" s="272" t="e">
        <f>IF(Q539=0,'calcolo base'!L3138,(T539+Q539))</f>
        <v>#N/A</v>
      </c>
      <c r="V539" s="119"/>
    </row>
    <row r="540" spans="2:22">
      <c r="B540" s="47"/>
      <c r="C540" s="35"/>
      <c r="D540" s="53"/>
      <c r="E540" s="53"/>
      <c r="F540" s="48"/>
      <c r="G540" s="243" t="e">
        <f>INDEX('calcolo base'!$B:$B, MATCH($A540, 'calcolo base'!$A:$A, 0))</f>
        <v>#N/A</v>
      </c>
      <c r="H540" s="54" t="e">
        <f t="shared" si="111"/>
        <v>#N/A</v>
      </c>
      <c r="I540" s="259" t="e">
        <f>IF(  OR(      INDEX('calcolo base'!$D:$D, MATCH($A540, 'calcolo base'!$A:$A, 0)) = 0,
      INDEX('calcolo base'!$D:$D, MATCH($A540, 'calcolo base'!$A:$A, 0)) = ""   ),
   INDEX('calcolo base'!$K:$K, MATCH($A540, 'calcolo base'!$A:$A, 0)),
   INDEX('calcolo base'!$J:$J, MATCH($A540, 'calcolo base'!$A:$A, 0))
) / 1000</f>
        <v>#N/A</v>
      </c>
      <c r="J540" s="50" t="e">
        <f t="shared" si="112"/>
        <v>#N/A</v>
      </c>
      <c r="K540" s="50"/>
      <c r="L540" s="267" t="e">
        <f>INDEX('calcolo base'!$H:$H, MATCH($A540, 'calcolo base'!$A:$A, 0))</f>
        <v>#N/A</v>
      </c>
      <c r="M540" s="50" t="e">
        <f t="shared" si="113"/>
        <v>#N/A</v>
      </c>
      <c r="N540" s="50" t="e">
        <f t="shared" si="114"/>
        <v>#N/A</v>
      </c>
      <c r="O540" s="50" t="e">
        <f t="shared" si="115"/>
        <v>#N/A</v>
      </c>
      <c r="P540" s="50" t="e">
        <f t="shared" si="116"/>
        <v>#N/A</v>
      </c>
      <c r="Q540" s="51" t="e">
        <f t="shared" si="117"/>
        <v>#N/A</v>
      </c>
      <c r="R540" s="205" t="e">
        <f t="shared" si="118"/>
        <v>#N/A</v>
      </c>
      <c r="S540" s="279" t="e">
        <f>IF(R540="si",0,IF(E540="si",0,IF(J540&gt;K540,0,+K540-J540)))+IF('calcolo base'!P2000="SI",('Commissioni De Angeli'!K540-'Commissioni De Angeli'!J540),0)</f>
        <v>#N/A</v>
      </c>
      <c r="T540" s="117" t="e">
        <f t="shared" si="119"/>
        <v>#N/A</v>
      </c>
      <c r="U540" s="272" t="e">
        <f>IF(Q540=0,'calcolo base'!L3139,(T540+Q540))</f>
        <v>#N/A</v>
      </c>
      <c r="V540" s="119"/>
    </row>
    <row r="541" spans="2:22">
      <c r="B541" s="47"/>
      <c r="C541" s="35"/>
      <c r="D541" s="53"/>
      <c r="E541" s="53"/>
      <c r="F541" s="48"/>
      <c r="G541" s="243" t="e">
        <f>INDEX('calcolo base'!$B:$B, MATCH($A541, 'calcolo base'!$A:$A, 0))</f>
        <v>#N/A</v>
      </c>
      <c r="H541" s="54" t="e">
        <f t="shared" si="111"/>
        <v>#N/A</v>
      </c>
      <c r="I541" s="259" t="e">
        <f>IF(  OR(      INDEX('calcolo base'!$D:$D, MATCH($A541, 'calcolo base'!$A:$A, 0)) = 0,
      INDEX('calcolo base'!$D:$D, MATCH($A541, 'calcolo base'!$A:$A, 0)) = ""   ),
   INDEX('calcolo base'!$K:$K, MATCH($A541, 'calcolo base'!$A:$A, 0)),
   INDEX('calcolo base'!$J:$J, MATCH($A541, 'calcolo base'!$A:$A, 0))
) / 1000</f>
        <v>#N/A</v>
      </c>
      <c r="J541" s="50" t="e">
        <f t="shared" si="112"/>
        <v>#N/A</v>
      </c>
      <c r="K541" s="50"/>
      <c r="L541" s="267" t="e">
        <f>INDEX('calcolo base'!$H:$H, MATCH($A541, 'calcolo base'!$A:$A, 0))</f>
        <v>#N/A</v>
      </c>
      <c r="M541" s="50" t="e">
        <f t="shared" si="113"/>
        <v>#N/A</v>
      </c>
      <c r="N541" s="50" t="e">
        <f t="shared" si="114"/>
        <v>#N/A</v>
      </c>
      <c r="O541" s="50" t="e">
        <f t="shared" si="115"/>
        <v>#N/A</v>
      </c>
      <c r="P541" s="50" t="e">
        <f t="shared" si="116"/>
        <v>#N/A</v>
      </c>
      <c r="Q541" s="51" t="e">
        <f t="shared" si="117"/>
        <v>#N/A</v>
      </c>
      <c r="R541" s="205" t="e">
        <f t="shared" si="118"/>
        <v>#N/A</v>
      </c>
      <c r="S541" s="279" t="e">
        <f>IF(R541="si",0,IF(E541="si",0,IF(J541&gt;K541,0,+K541-J541)))+IF('calcolo base'!P2001="SI",('Commissioni De Angeli'!K541-'Commissioni De Angeli'!J541),0)</f>
        <v>#N/A</v>
      </c>
      <c r="T541" s="117" t="e">
        <f t="shared" si="119"/>
        <v>#N/A</v>
      </c>
      <c r="U541" s="272" t="e">
        <f>IF(Q541=0,'calcolo base'!L3140,(T541+Q541))</f>
        <v>#N/A</v>
      </c>
      <c r="V541" s="119"/>
    </row>
    <row r="542" spans="2:22">
      <c r="B542" s="47"/>
      <c r="C542" s="35"/>
      <c r="D542" s="53"/>
      <c r="E542" s="53"/>
      <c r="F542" s="48"/>
      <c r="G542" s="243" t="e">
        <f>INDEX('calcolo base'!$B:$B, MATCH($A542, 'calcolo base'!$A:$A, 0))</f>
        <v>#N/A</v>
      </c>
      <c r="H542" s="54" t="e">
        <f t="shared" si="111"/>
        <v>#N/A</v>
      </c>
      <c r="I542" s="259" t="e">
        <f>IF(  OR(      INDEX('calcolo base'!$D:$D, MATCH($A542, 'calcolo base'!$A:$A, 0)) = 0,
      INDEX('calcolo base'!$D:$D, MATCH($A542, 'calcolo base'!$A:$A, 0)) = ""   ),
   INDEX('calcolo base'!$K:$K, MATCH($A542, 'calcolo base'!$A:$A, 0)),
   INDEX('calcolo base'!$J:$J, MATCH($A542, 'calcolo base'!$A:$A, 0))
) / 1000</f>
        <v>#N/A</v>
      </c>
      <c r="J542" s="50" t="e">
        <f t="shared" si="112"/>
        <v>#N/A</v>
      </c>
      <c r="K542" s="50"/>
      <c r="L542" s="267" t="e">
        <f>INDEX('calcolo base'!$H:$H, MATCH($A542, 'calcolo base'!$A:$A, 0))</f>
        <v>#N/A</v>
      </c>
      <c r="M542" s="50" t="e">
        <f t="shared" si="113"/>
        <v>#N/A</v>
      </c>
      <c r="N542" s="50" t="e">
        <f t="shared" si="114"/>
        <v>#N/A</v>
      </c>
      <c r="O542" s="50" t="e">
        <f t="shared" si="115"/>
        <v>#N/A</v>
      </c>
      <c r="P542" s="50" t="e">
        <f t="shared" si="116"/>
        <v>#N/A</v>
      </c>
      <c r="Q542" s="51" t="e">
        <f t="shared" si="117"/>
        <v>#N/A</v>
      </c>
      <c r="R542" s="205" t="e">
        <f t="shared" si="118"/>
        <v>#N/A</v>
      </c>
      <c r="S542" s="279" t="e">
        <f>IF(R542="si",0,IF(E542="si",0,IF(J542&gt;K542,0,+K542-J542)))+IF('calcolo base'!P2002="SI",('Commissioni De Angeli'!K542-'Commissioni De Angeli'!J542),0)</f>
        <v>#N/A</v>
      </c>
      <c r="T542" s="117" t="e">
        <f t="shared" si="119"/>
        <v>#N/A</v>
      </c>
      <c r="U542" s="272" t="e">
        <f>IF(Q542=0,'calcolo base'!L3141,(T542+Q542))</f>
        <v>#N/A</v>
      </c>
      <c r="V542" s="119"/>
    </row>
    <row r="543" spans="2:22">
      <c r="B543" s="47"/>
      <c r="C543" s="35"/>
      <c r="D543" s="53"/>
      <c r="E543" s="53"/>
      <c r="F543" s="48"/>
      <c r="G543" s="243" t="e">
        <f>INDEX('calcolo base'!$B:$B, MATCH($A543, 'calcolo base'!$A:$A, 0))</f>
        <v>#N/A</v>
      </c>
      <c r="H543" s="54" t="e">
        <f t="shared" si="111"/>
        <v>#N/A</v>
      </c>
      <c r="I543" s="259" t="e">
        <f>IF(  OR(      INDEX('calcolo base'!$D:$D, MATCH($A543, 'calcolo base'!$A:$A, 0)) = 0,
      INDEX('calcolo base'!$D:$D, MATCH($A543, 'calcolo base'!$A:$A, 0)) = ""   ),
   INDEX('calcolo base'!$K:$K, MATCH($A543, 'calcolo base'!$A:$A, 0)),
   INDEX('calcolo base'!$J:$J, MATCH($A543, 'calcolo base'!$A:$A, 0))
) / 1000</f>
        <v>#N/A</v>
      </c>
      <c r="J543" s="50" t="e">
        <f t="shared" si="112"/>
        <v>#N/A</v>
      </c>
      <c r="K543" s="50"/>
      <c r="L543" s="267" t="e">
        <f>INDEX('calcolo base'!$H:$H, MATCH($A543, 'calcolo base'!$A:$A, 0))</f>
        <v>#N/A</v>
      </c>
      <c r="M543" s="50" t="e">
        <f t="shared" si="113"/>
        <v>#N/A</v>
      </c>
      <c r="N543" s="50" t="e">
        <f t="shared" si="114"/>
        <v>#N/A</v>
      </c>
      <c r="O543" s="50" t="e">
        <f t="shared" si="115"/>
        <v>#N/A</v>
      </c>
      <c r="P543" s="50" t="e">
        <f t="shared" si="116"/>
        <v>#N/A</v>
      </c>
      <c r="Q543" s="51" t="e">
        <f t="shared" si="117"/>
        <v>#N/A</v>
      </c>
      <c r="R543" s="205" t="e">
        <f t="shared" si="118"/>
        <v>#N/A</v>
      </c>
      <c r="S543" s="279" t="e">
        <f>IF(R543="si",0,IF(E543="si",0,IF(J543&gt;K543,0,+K543-J543)))+IF('calcolo base'!P2003="SI",('Commissioni De Angeli'!K543-'Commissioni De Angeli'!J543),0)</f>
        <v>#N/A</v>
      </c>
      <c r="T543" s="117" t="e">
        <f t="shared" si="119"/>
        <v>#N/A</v>
      </c>
      <c r="U543" s="272" t="e">
        <f>IF(Q543=0,'calcolo base'!L3142,(T543+Q543))</f>
        <v>#N/A</v>
      </c>
      <c r="V543" s="119"/>
    </row>
    <row r="544" spans="2:22">
      <c r="B544" s="47"/>
      <c r="C544" s="35"/>
      <c r="D544" s="53"/>
      <c r="E544" s="53"/>
      <c r="F544" s="48"/>
      <c r="G544" s="243" t="e">
        <f>INDEX('calcolo base'!$B:$B, MATCH($A544, 'calcolo base'!$A:$A, 0))</f>
        <v>#N/A</v>
      </c>
      <c r="H544" s="54" t="e">
        <f t="shared" si="111"/>
        <v>#N/A</v>
      </c>
      <c r="I544" s="259" t="e">
        <f>IF(  OR(      INDEX('calcolo base'!$D:$D, MATCH($A544, 'calcolo base'!$A:$A, 0)) = 0,
      INDEX('calcolo base'!$D:$D, MATCH($A544, 'calcolo base'!$A:$A, 0)) = ""   ),
   INDEX('calcolo base'!$K:$K, MATCH($A544, 'calcolo base'!$A:$A, 0)),
   INDEX('calcolo base'!$J:$J, MATCH($A544, 'calcolo base'!$A:$A, 0))
) / 1000</f>
        <v>#N/A</v>
      </c>
      <c r="J544" s="50" t="e">
        <f t="shared" si="112"/>
        <v>#N/A</v>
      </c>
      <c r="K544" s="50"/>
      <c r="L544" s="267" t="e">
        <f>INDEX('calcolo base'!$H:$H, MATCH($A544, 'calcolo base'!$A:$A, 0))</f>
        <v>#N/A</v>
      </c>
      <c r="M544" s="50" t="e">
        <f t="shared" si="113"/>
        <v>#N/A</v>
      </c>
      <c r="N544" s="50" t="e">
        <f t="shared" si="114"/>
        <v>#N/A</v>
      </c>
      <c r="O544" s="50" t="e">
        <f t="shared" si="115"/>
        <v>#N/A</v>
      </c>
      <c r="P544" s="50" t="e">
        <f t="shared" si="116"/>
        <v>#N/A</v>
      </c>
      <c r="Q544" s="51" t="e">
        <f t="shared" si="117"/>
        <v>#N/A</v>
      </c>
      <c r="R544" s="205" t="e">
        <f t="shared" si="118"/>
        <v>#N/A</v>
      </c>
      <c r="S544" s="279" t="e">
        <f>IF(R544="si",0,IF(E544="si",0,IF(J544&gt;K544,0,+K544-J544)))+IF('calcolo base'!P2004="SI",('Commissioni De Angeli'!K544-'Commissioni De Angeli'!J544),0)</f>
        <v>#N/A</v>
      </c>
      <c r="T544" s="117" t="e">
        <f t="shared" si="119"/>
        <v>#N/A</v>
      </c>
      <c r="U544" s="272" t="e">
        <f>IF(Q544=0,'calcolo base'!L3143,(T544+Q544))</f>
        <v>#N/A</v>
      </c>
      <c r="V544" s="119"/>
    </row>
    <row r="545" spans="2:22">
      <c r="B545" s="47"/>
      <c r="C545" s="35"/>
      <c r="D545" s="53"/>
      <c r="E545" s="53"/>
      <c r="F545" s="48"/>
      <c r="G545" s="243" t="e">
        <f>INDEX('calcolo base'!$B:$B, MATCH($A545, 'calcolo base'!$A:$A, 0))</f>
        <v>#N/A</v>
      </c>
      <c r="H545" s="54" t="e">
        <f t="shared" si="111"/>
        <v>#N/A</v>
      </c>
      <c r="I545" s="259" t="e">
        <f>IF(  OR(      INDEX('calcolo base'!$D:$D, MATCH($A545, 'calcolo base'!$A:$A, 0)) = 0,
      INDEX('calcolo base'!$D:$D, MATCH($A545, 'calcolo base'!$A:$A, 0)) = ""   ),
   INDEX('calcolo base'!$K:$K, MATCH($A545, 'calcolo base'!$A:$A, 0)),
   INDEX('calcolo base'!$J:$J, MATCH($A545, 'calcolo base'!$A:$A, 0))
) / 1000</f>
        <v>#N/A</v>
      </c>
      <c r="J545" s="50" t="e">
        <f t="shared" si="112"/>
        <v>#N/A</v>
      </c>
      <c r="K545" s="50"/>
      <c r="L545" s="267" t="e">
        <f>INDEX('calcolo base'!$H:$H, MATCH($A545, 'calcolo base'!$A:$A, 0))</f>
        <v>#N/A</v>
      </c>
      <c r="M545" s="50" t="e">
        <f t="shared" si="113"/>
        <v>#N/A</v>
      </c>
      <c r="N545" s="50" t="e">
        <f t="shared" si="114"/>
        <v>#N/A</v>
      </c>
      <c r="O545" s="50" t="e">
        <f t="shared" si="115"/>
        <v>#N/A</v>
      </c>
      <c r="P545" s="50" t="e">
        <f t="shared" si="116"/>
        <v>#N/A</v>
      </c>
      <c r="Q545" s="51" t="e">
        <f t="shared" si="117"/>
        <v>#N/A</v>
      </c>
      <c r="R545" s="205" t="e">
        <f t="shared" si="118"/>
        <v>#N/A</v>
      </c>
      <c r="S545" s="279" t="e">
        <f>IF(R545="si",0,IF(E545="si",0,IF(J545&gt;K545,0,+K545-J545)))+IF('calcolo base'!P2005="SI",('Commissioni De Angeli'!K545-'Commissioni De Angeli'!J545),0)</f>
        <v>#N/A</v>
      </c>
      <c r="T545" s="117" t="e">
        <f t="shared" si="119"/>
        <v>#N/A</v>
      </c>
      <c r="U545" s="272" t="e">
        <f>IF(Q545=0,'calcolo base'!L3144,(T545+Q545))</f>
        <v>#N/A</v>
      </c>
      <c r="V545" s="119"/>
    </row>
    <row r="546" spans="2:22">
      <c r="B546" s="47"/>
      <c r="C546" s="35"/>
      <c r="D546" s="53"/>
      <c r="E546" s="53"/>
      <c r="F546" s="48"/>
      <c r="G546" s="243" t="e">
        <f>INDEX('calcolo base'!$B:$B, MATCH($A546, 'calcolo base'!$A:$A, 0))</f>
        <v>#N/A</v>
      </c>
      <c r="H546" s="54" t="e">
        <f t="shared" si="111"/>
        <v>#N/A</v>
      </c>
      <c r="I546" s="259" t="e">
        <f>IF(  OR(      INDEX('calcolo base'!$D:$D, MATCH($A546, 'calcolo base'!$A:$A, 0)) = 0,
      INDEX('calcolo base'!$D:$D, MATCH($A546, 'calcolo base'!$A:$A, 0)) = ""   ),
   INDEX('calcolo base'!$K:$K, MATCH($A546, 'calcolo base'!$A:$A, 0)),
   INDEX('calcolo base'!$J:$J, MATCH($A546, 'calcolo base'!$A:$A, 0))
) / 1000</f>
        <v>#N/A</v>
      </c>
      <c r="J546" s="50" t="e">
        <f t="shared" si="112"/>
        <v>#N/A</v>
      </c>
      <c r="K546" s="50"/>
      <c r="L546" s="267" t="e">
        <f>INDEX('calcolo base'!$H:$H, MATCH($A546, 'calcolo base'!$A:$A, 0))</f>
        <v>#N/A</v>
      </c>
      <c r="M546" s="50" t="e">
        <f t="shared" si="113"/>
        <v>#N/A</v>
      </c>
      <c r="N546" s="50" t="e">
        <f t="shared" si="114"/>
        <v>#N/A</v>
      </c>
      <c r="O546" s="50" t="e">
        <f t="shared" si="115"/>
        <v>#N/A</v>
      </c>
      <c r="P546" s="50" t="e">
        <f t="shared" si="116"/>
        <v>#N/A</v>
      </c>
      <c r="Q546" s="51" t="e">
        <f t="shared" si="117"/>
        <v>#N/A</v>
      </c>
      <c r="R546" s="205" t="e">
        <f t="shared" si="118"/>
        <v>#N/A</v>
      </c>
      <c r="S546" s="279" t="e">
        <f>IF(R546="si",0,IF(E546="si",0,IF(J546&gt;K546,0,+K546-J546)))+IF('calcolo base'!P2006="SI",('Commissioni De Angeli'!K546-'Commissioni De Angeli'!J546),0)</f>
        <v>#N/A</v>
      </c>
      <c r="T546" s="117" t="e">
        <f t="shared" si="119"/>
        <v>#N/A</v>
      </c>
      <c r="U546" s="272" t="e">
        <f>IF(Q546=0,'calcolo base'!L3145,(T546+Q546))</f>
        <v>#N/A</v>
      </c>
      <c r="V546" s="119"/>
    </row>
    <row r="547" spans="2:22">
      <c r="B547" s="47"/>
      <c r="C547" s="35"/>
      <c r="D547" s="53"/>
      <c r="E547" s="53"/>
      <c r="F547" s="48"/>
      <c r="G547" s="243" t="e">
        <f>INDEX('calcolo base'!$B:$B, MATCH($A547, 'calcolo base'!$A:$A, 0))</f>
        <v>#N/A</v>
      </c>
      <c r="H547" s="54" t="e">
        <f t="shared" si="111"/>
        <v>#N/A</v>
      </c>
      <c r="I547" s="259" t="e">
        <f>IF(  OR(      INDEX('calcolo base'!$D:$D, MATCH($A547, 'calcolo base'!$A:$A, 0)) = 0,
      INDEX('calcolo base'!$D:$D, MATCH($A547, 'calcolo base'!$A:$A, 0)) = ""   ),
   INDEX('calcolo base'!$K:$K, MATCH($A547, 'calcolo base'!$A:$A, 0)),
   INDEX('calcolo base'!$J:$J, MATCH($A547, 'calcolo base'!$A:$A, 0))
) / 1000</f>
        <v>#N/A</v>
      </c>
      <c r="J547" s="50" t="e">
        <f t="shared" si="112"/>
        <v>#N/A</v>
      </c>
      <c r="K547" s="50"/>
      <c r="L547" s="267" t="e">
        <f>INDEX('calcolo base'!$H:$H, MATCH($A547, 'calcolo base'!$A:$A, 0))</f>
        <v>#N/A</v>
      </c>
      <c r="M547" s="50" t="e">
        <f t="shared" si="113"/>
        <v>#N/A</v>
      </c>
      <c r="N547" s="50" t="e">
        <f t="shared" si="114"/>
        <v>#N/A</v>
      </c>
      <c r="O547" s="50" t="e">
        <f t="shared" si="115"/>
        <v>#N/A</v>
      </c>
      <c r="P547" s="50" t="e">
        <f t="shared" si="116"/>
        <v>#N/A</v>
      </c>
      <c r="Q547" s="51" t="e">
        <f t="shared" si="117"/>
        <v>#N/A</v>
      </c>
      <c r="R547" s="205" t="e">
        <f t="shared" si="118"/>
        <v>#N/A</v>
      </c>
      <c r="S547" s="279" t="e">
        <f>IF(R547="si",0,IF(E547="si",0,IF(J547&gt;K547,0,+K547-J547)))+IF('calcolo base'!P2007="SI",('Commissioni De Angeli'!K547-'Commissioni De Angeli'!J547),0)</f>
        <v>#N/A</v>
      </c>
      <c r="T547" s="117" t="e">
        <f t="shared" si="119"/>
        <v>#N/A</v>
      </c>
      <c r="U547" s="272" t="e">
        <f>IF(Q547=0,'calcolo base'!L3146,(T547+Q547))</f>
        <v>#N/A</v>
      </c>
      <c r="V547" s="119"/>
    </row>
    <row r="548" spans="2:22">
      <c r="B548" s="47"/>
      <c r="C548" s="35"/>
      <c r="D548" s="53"/>
      <c r="E548" s="53"/>
      <c r="F548" s="48"/>
      <c r="G548" s="243" t="e">
        <f>INDEX('calcolo base'!$B:$B, MATCH($A548, 'calcolo base'!$A:$A, 0))</f>
        <v>#N/A</v>
      </c>
      <c r="H548" s="54" t="e">
        <f t="shared" si="111"/>
        <v>#N/A</v>
      </c>
      <c r="I548" s="259" t="e">
        <f>IF(  OR(      INDEX('calcolo base'!$D:$D, MATCH($A548, 'calcolo base'!$A:$A, 0)) = 0,
      INDEX('calcolo base'!$D:$D, MATCH($A548, 'calcolo base'!$A:$A, 0)) = ""   ),
   INDEX('calcolo base'!$K:$K, MATCH($A548, 'calcolo base'!$A:$A, 0)),
   INDEX('calcolo base'!$J:$J, MATCH($A548, 'calcolo base'!$A:$A, 0))
) / 1000</f>
        <v>#N/A</v>
      </c>
      <c r="J548" s="50" t="e">
        <f t="shared" si="112"/>
        <v>#N/A</v>
      </c>
      <c r="K548" s="50"/>
      <c r="L548" s="267" t="e">
        <f>INDEX('calcolo base'!$H:$H, MATCH($A548, 'calcolo base'!$A:$A, 0))</f>
        <v>#N/A</v>
      </c>
      <c r="M548" s="50" t="e">
        <f t="shared" si="113"/>
        <v>#N/A</v>
      </c>
      <c r="N548" s="50" t="e">
        <f t="shared" si="114"/>
        <v>#N/A</v>
      </c>
      <c r="O548" s="50" t="e">
        <f t="shared" si="115"/>
        <v>#N/A</v>
      </c>
      <c r="P548" s="50" t="e">
        <f t="shared" si="116"/>
        <v>#N/A</v>
      </c>
      <c r="Q548" s="51" t="e">
        <f t="shared" si="117"/>
        <v>#N/A</v>
      </c>
      <c r="R548" s="205" t="e">
        <f t="shared" si="118"/>
        <v>#N/A</v>
      </c>
      <c r="S548" s="279" t="e">
        <f>IF(R548="si",0,IF(E548="si",0,IF(J548&gt;K548,0,+K548-J548)))+IF('calcolo base'!P2008="SI",('Commissioni De Angeli'!K548-'Commissioni De Angeli'!J548),0)</f>
        <v>#N/A</v>
      </c>
      <c r="T548" s="117" t="e">
        <f t="shared" si="119"/>
        <v>#N/A</v>
      </c>
      <c r="U548" s="272" t="e">
        <f>IF(Q548=0,'calcolo base'!L3147,(T548+Q548))</f>
        <v>#N/A</v>
      </c>
      <c r="V548" s="119"/>
    </row>
    <row r="549" spans="2:22">
      <c r="B549" s="47"/>
      <c r="C549" s="35"/>
      <c r="D549" s="53"/>
      <c r="E549" s="53"/>
      <c r="F549" s="48"/>
      <c r="G549" s="243" t="e">
        <f>INDEX('calcolo base'!$B:$B, MATCH($A549, 'calcolo base'!$A:$A, 0))</f>
        <v>#N/A</v>
      </c>
      <c r="H549" s="54" t="e">
        <f t="shared" si="111"/>
        <v>#N/A</v>
      </c>
      <c r="I549" s="259" t="e">
        <f>IF(  OR(      INDEX('calcolo base'!$D:$D, MATCH($A549, 'calcolo base'!$A:$A, 0)) = 0,
      INDEX('calcolo base'!$D:$D, MATCH($A549, 'calcolo base'!$A:$A, 0)) = ""   ),
   INDEX('calcolo base'!$K:$K, MATCH($A549, 'calcolo base'!$A:$A, 0)),
   INDEX('calcolo base'!$J:$J, MATCH($A549, 'calcolo base'!$A:$A, 0))
) / 1000</f>
        <v>#N/A</v>
      </c>
      <c r="J549" s="50" t="e">
        <f t="shared" si="112"/>
        <v>#N/A</v>
      </c>
      <c r="K549" s="50"/>
      <c r="L549" s="267" t="e">
        <f>INDEX('calcolo base'!$H:$H, MATCH($A549, 'calcolo base'!$A:$A, 0))</f>
        <v>#N/A</v>
      </c>
      <c r="M549" s="50" t="e">
        <f t="shared" si="113"/>
        <v>#N/A</v>
      </c>
      <c r="N549" s="50" t="e">
        <f t="shared" si="114"/>
        <v>#N/A</v>
      </c>
      <c r="O549" s="50" t="e">
        <f t="shared" si="115"/>
        <v>#N/A</v>
      </c>
      <c r="P549" s="50" t="e">
        <f t="shared" si="116"/>
        <v>#N/A</v>
      </c>
      <c r="Q549" s="51" t="e">
        <f t="shared" si="117"/>
        <v>#N/A</v>
      </c>
      <c r="R549" s="205" t="e">
        <f t="shared" si="118"/>
        <v>#N/A</v>
      </c>
      <c r="S549" s="279" t="e">
        <f>IF(R549="si",0,IF(E549="si",0,IF(J549&gt;K549,0,+K549-J549)))+IF('calcolo base'!P2009="SI",('Commissioni De Angeli'!K549-'Commissioni De Angeli'!J549),0)</f>
        <v>#N/A</v>
      </c>
      <c r="T549" s="117" t="e">
        <f t="shared" si="119"/>
        <v>#N/A</v>
      </c>
      <c r="U549" s="272" t="e">
        <f>IF(Q549=0,'calcolo base'!L3148,(T549+Q549))</f>
        <v>#N/A</v>
      </c>
      <c r="V549" s="119"/>
    </row>
    <row r="550" spans="2:22">
      <c r="B550" s="47"/>
      <c r="C550" s="35"/>
      <c r="D550" s="53"/>
      <c r="E550" s="53"/>
      <c r="F550" s="48"/>
      <c r="G550" s="243" t="e">
        <f>INDEX('calcolo base'!$B:$B, MATCH($A550, 'calcolo base'!$A:$A, 0))</f>
        <v>#N/A</v>
      </c>
      <c r="H550" s="54" t="e">
        <f t="shared" si="111"/>
        <v>#N/A</v>
      </c>
      <c r="I550" s="259" t="e">
        <f>IF(  OR(      INDEX('calcolo base'!$D:$D, MATCH($A550, 'calcolo base'!$A:$A, 0)) = 0,
      INDEX('calcolo base'!$D:$D, MATCH($A550, 'calcolo base'!$A:$A, 0)) = ""   ),
   INDEX('calcolo base'!$K:$K, MATCH($A550, 'calcolo base'!$A:$A, 0)),
   INDEX('calcolo base'!$J:$J, MATCH($A550, 'calcolo base'!$A:$A, 0))
) / 1000</f>
        <v>#N/A</v>
      </c>
      <c r="J550" s="50" t="e">
        <f t="shared" si="112"/>
        <v>#N/A</v>
      </c>
      <c r="K550" s="50"/>
      <c r="L550" s="267" t="e">
        <f>INDEX('calcolo base'!$H:$H, MATCH($A550, 'calcolo base'!$A:$A, 0))</f>
        <v>#N/A</v>
      </c>
      <c r="M550" s="50" t="e">
        <f t="shared" si="113"/>
        <v>#N/A</v>
      </c>
      <c r="N550" s="50" t="e">
        <f t="shared" si="114"/>
        <v>#N/A</v>
      </c>
      <c r="O550" s="50" t="e">
        <f t="shared" si="115"/>
        <v>#N/A</v>
      </c>
      <c r="P550" s="50" t="e">
        <f t="shared" si="116"/>
        <v>#N/A</v>
      </c>
      <c r="Q550" s="51" t="e">
        <f t="shared" si="117"/>
        <v>#N/A</v>
      </c>
      <c r="R550" s="205" t="e">
        <f t="shared" si="118"/>
        <v>#N/A</v>
      </c>
      <c r="S550" s="279" t="e">
        <f>IF(R550="si",0,IF(E550="si",0,IF(J550&gt;K550,0,+K550-J550)))+IF('calcolo base'!P2010="SI",('Commissioni De Angeli'!K550-'Commissioni De Angeli'!J550),0)</f>
        <v>#N/A</v>
      </c>
      <c r="T550" s="117" t="e">
        <f t="shared" si="119"/>
        <v>#N/A</v>
      </c>
      <c r="U550" s="272" t="e">
        <f>IF(Q550=0,'calcolo base'!L3149,(T550+Q550))</f>
        <v>#N/A</v>
      </c>
      <c r="V550" s="119"/>
    </row>
    <row r="551" spans="2:22">
      <c r="B551" s="47"/>
      <c r="C551" s="35"/>
      <c r="D551" s="53"/>
      <c r="E551" s="53"/>
      <c r="F551" s="48"/>
      <c r="G551" s="243" t="e">
        <f>INDEX('calcolo base'!$B:$B, MATCH($A551, 'calcolo base'!$A:$A, 0))</f>
        <v>#N/A</v>
      </c>
      <c r="H551" s="54" t="e">
        <f t="shared" si="111"/>
        <v>#N/A</v>
      </c>
      <c r="I551" s="259" t="e">
        <f>IF(  OR(      INDEX('calcolo base'!$D:$D, MATCH($A551, 'calcolo base'!$A:$A, 0)) = 0,
      INDEX('calcolo base'!$D:$D, MATCH($A551, 'calcolo base'!$A:$A, 0)) = ""   ),
   INDEX('calcolo base'!$K:$K, MATCH($A551, 'calcolo base'!$A:$A, 0)),
   INDEX('calcolo base'!$J:$J, MATCH($A551, 'calcolo base'!$A:$A, 0))
) / 1000</f>
        <v>#N/A</v>
      </c>
      <c r="J551" s="50" t="e">
        <f t="shared" si="112"/>
        <v>#N/A</v>
      </c>
      <c r="K551" s="50"/>
      <c r="L551" s="267" t="e">
        <f>INDEX('calcolo base'!$H:$H, MATCH($A551, 'calcolo base'!$A:$A, 0))</f>
        <v>#N/A</v>
      </c>
      <c r="M551" s="50" t="e">
        <f t="shared" si="113"/>
        <v>#N/A</v>
      </c>
      <c r="N551" s="50" t="e">
        <f t="shared" si="114"/>
        <v>#N/A</v>
      </c>
      <c r="O551" s="50" t="e">
        <f t="shared" si="115"/>
        <v>#N/A</v>
      </c>
      <c r="P551" s="50" t="e">
        <f t="shared" si="116"/>
        <v>#N/A</v>
      </c>
      <c r="Q551" s="51" t="e">
        <f t="shared" si="117"/>
        <v>#N/A</v>
      </c>
      <c r="R551" s="205" t="e">
        <f t="shared" si="118"/>
        <v>#N/A</v>
      </c>
      <c r="S551" s="279" t="e">
        <f>IF(R551="si",0,IF(E551="si",0,IF(J551&gt;K551,0,+K551-J551)))+IF('calcolo base'!P2011="SI",('Commissioni De Angeli'!K551-'Commissioni De Angeli'!J551),0)</f>
        <v>#N/A</v>
      </c>
      <c r="T551" s="117" t="e">
        <f t="shared" si="119"/>
        <v>#N/A</v>
      </c>
      <c r="U551" s="272" t="e">
        <f>IF(Q551=0,'calcolo base'!L3150,(T551+Q551))</f>
        <v>#N/A</v>
      </c>
      <c r="V551" s="119"/>
    </row>
    <row r="552" spans="2:22">
      <c r="B552" s="47"/>
      <c r="C552" s="35"/>
      <c r="D552" s="53"/>
      <c r="E552" s="53"/>
      <c r="F552" s="48"/>
      <c r="G552" s="243" t="e">
        <f>INDEX('calcolo base'!$B:$B, MATCH($A552, 'calcolo base'!$A:$A, 0))</f>
        <v>#N/A</v>
      </c>
      <c r="H552" s="54" t="e">
        <f t="shared" si="111"/>
        <v>#N/A</v>
      </c>
      <c r="I552" s="259" t="e">
        <f>IF(  OR(      INDEX('calcolo base'!$D:$D, MATCH($A552, 'calcolo base'!$A:$A, 0)) = 0,
      INDEX('calcolo base'!$D:$D, MATCH($A552, 'calcolo base'!$A:$A, 0)) = ""   ),
   INDEX('calcolo base'!$K:$K, MATCH($A552, 'calcolo base'!$A:$A, 0)),
   INDEX('calcolo base'!$J:$J, MATCH($A552, 'calcolo base'!$A:$A, 0))
) / 1000</f>
        <v>#N/A</v>
      </c>
      <c r="J552" s="50" t="e">
        <f t="shared" si="112"/>
        <v>#N/A</v>
      </c>
      <c r="K552" s="50"/>
      <c r="L552" s="267" t="e">
        <f>INDEX('calcolo base'!$H:$H, MATCH($A552, 'calcolo base'!$A:$A, 0))</f>
        <v>#N/A</v>
      </c>
      <c r="M552" s="50" t="e">
        <f t="shared" si="113"/>
        <v>#N/A</v>
      </c>
      <c r="N552" s="50" t="e">
        <f t="shared" si="114"/>
        <v>#N/A</v>
      </c>
      <c r="O552" s="50" t="e">
        <f t="shared" si="115"/>
        <v>#N/A</v>
      </c>
      <c r="P552" s="50" t="e">
        <f t="shared" si="116"/>
        <v>#N/A</v>
      </c>
      <c r="Q552" s="51" t="e">
        <f t="shared" si="117"/>
        <v>#N/A</v>
      </c>
      <c r="R552" s="205" t="e">
        <f t="shared" si="118"/>
        <v>#N/A</v>
      </c>
      <c r="S552" s="279" t="e">
        <f>IF(R552="si",0,IF(E552="si",0,IF(J552&gt;K552,0,+K552-J552)))+IF('calcolo base'!P2012="SI",('Commissioni De Angeli'!K552-'Commissioni De Angeli'!J552),0)</f>
        <v>#N/A</v>
      </c>
      <c r="T552" s="117" t="e">
        <f t="shared" si="119"/>
        <v>#N/A</v>
      </c>
      <c r="U552" s="272" t="e">
        <f>IF(Q552=0,'calcolo base'!L3151,(T552+Q552))</f>
        <v>#N/A</v>
      </c>
      <c r="V552" s="119"/>
    </row>
    <row r="553" spans="2:22">
      <c r="B553" s="47"/>
      <c r="C553" s="35"/>
      <c r="D553" s="53"/>
      <c r="E553" s="53"/>
      <c r="F553" s="48"/>
      <c r="G553" s="243" t="e">
        <f>INDEX('calcolo base'!$B:$B, MATCH($A553, 'calcolo base'!$A:$A, 0))</f>
        <v>#N/A</v>
      </c>
      <c r="H553" s="54" t="e">
        <f t="shared" si="111"/>
        <v>#N/A</v>
      </c>
      <c r="I553" s="259" t="e">
        <f>IF(  OR(      INDEX('calcolo base'!$D:$D, MATCH($A553, 'calcolo base'!$A:$A, 0)) = 0,
      INDEX('calcolo base'!$D:$D, MATCH($A553, 'calcolo base'!$A:$A, 0)) = ""   ),
   INDEX('calcolo base'!$K:$K, MATCH($A553, 'calcolo base'!$A:$A, 0)),
   INDEX('calcolo base'!$J:$J, MATCH($A553, 'calcolo base'!$A:$A, 0))
) / 1000</f>
        <v>#N/A</v>
      </c>
      <c r="J553" s="50" t="e">
        <f t="shared" si="112"/>
        <v>#N/A</v>
      </c>
      <c r="K553" s="50"/>
      <c r="L553" s="267" t="e">
        <f>INDEX('calcolo base'!$H:$H, MATCH($A553, 'calcolo base'!$A:$A, 0))</f>
        <v>#N/A</v>
      </c>
      <c r="M553" s="50" t="e">
        <f t="shared" si="113"/>
        <v>#N/A</v>
      </c>
      <c r="N553" s="50" t="e">
        <f t="shared" si="114"/>
        <v>#N/A</v>
      </c>
      <c r="O553" s="50" t="e">
        <f t="shared" si="115"/>
        <v>#N/A</v>
      </c>
      <c r="P553" s="50" t="e">
        <f t="shared" si="116"/>
        <v>#N/A</v>
      </c>
      <c r="Q553" s="51" t="e">
        <f t="shared" si="117"/>
        <v>#N/A</v>
      </c>
      <c r="R553" s="205" t="e">
        <f t="shared" si="118"/>
        <v>#N/A</v>
      </c>
      <c r="S553" s="279" t="e">
        <f>IF(R553="si",0,IF(E553="si",0,IF(J553&gt;K553,0,+K553-J553)))+IF('calcolo base'!P2013="SI",('Commissioni De Angeli'!K553-'Commissioni De Angeli'!J553),0)</f>
        <v>#N/A</v>
      </c>
      <c r="T553" s="117" t="e">
        <f t="shared" si="119"/>
        <v>#N/A</v>
      </c>
      <c r="U553" s="272" t="e">
        <f>IF(Q553=0,'calcolo base'!L3152,(T553+Q553))</f>
        <v>#N/A</v>
      </c>
      <c r="V553" s="119"/>
    </row>
    <row r="554" spans="2:22">
      <c r="B554" s="47"/>
      <c r="C554" s="35"/>
      <c r="D554" s="53"/>
      <c r="E554" s="53"/>
      <c r="F554" s="48"/>
      <c r="G554" s="243" t="e">
        <f>INDEX('calcolo base'!$B:$B, MATCH($A554, 'calcolo base'!$A:$A, 0))</f>
        <v>#N/A</v>
      </c>
      <c r="H554" s="54" t="e">
        <f t="shared" si="111"/>
        <v>#N/A</v>
      </c>
      <c r="I554" s="259" t="e">
        <f>IF(  OR(      INDEX('calcolo base'!$D:$D, MATCH($A554, 'calcolo base'!$A:$A, 0)) = 0,
      INDEX('calcolo base'!$D:$D, MATCH($A554, 'calcolo base'!$A:$A, 0)) = ""   ),
   INDEX('calcolo base'!$K:$K, MATCH($A554, 'calcolo base'!$A:$A, 0)),
   INDEX('calcolo base'!$J:$J, MATCH($A554, 'calcolo base'!$A:$A, 0))
) / 1000</f>
        <v>#N/A</v>
      </c>
      <c r="J554" s="50" t="e">
        <f t="shared" si="112"/>
        <v>#N/A</v>
      </c>
      <c r="K554" s="50"/>
      <c r="L554" s="267" t="e">
        <f>INDEX('calcolo base'!$H:$H, MATCH($A554, 'calcolo base'!$A:$A, 0))</f>
        <v>#N/A</v>
      </c>
      <c r="M554" s="50" t="e">
        <f t="shared" si="113"/>
        <v>#N/A</v>
      </c>
      <c r="N554" s="50" t="e">
        <f t="shared" si="114"/>
        <v>#N/A</v>
      </c>
      <c r="O554" s="50" t="e">
        <f t="shared" si="115"/>
        <v>#N/A</v>
      </c>
      <c r="P554" s="50" t="e">
        <f t="shared" si="116"/>
        <v>#N/A</v>
      </c>
      <c r="Q554" s="51" t="e">
        <f t="shared" si="117"/>
        <v>#N/A</v>
      </c>
      <c r="R554" s="205" t="e">
        <f t="shared" si="118"/>
        <v>#N/A</v>
      </c>
      <c r="S554" s="279" t="e">
        <f>IF(R554="si",0,IF(E554="si",0,IF(J554&gt;K554,0,+K554-J554)))+IF('calcolo base'!P2014="SI",('Commissioni De Angeli'!K554-'Commissioni De Angeli'!J554),0)</f>
        <v>#N/A</v>
      </c>
      <c r="T554" s="117" t="e">
        <f t="shared" si="119"/>
        <v>#N/A</v>
      </c>
      <c r="U554" s="272" t="e">
        <f>IF(Q554=0,'calcolo base'!L3153,(T554+Q554))</f>
        <v>#N/A</v>
      </c>
      <c r="V554" s="119"/>
    </row>
    <row r="555" spans="2:22">
      <c r="B555" s="47"/>
      <c r="C555" s="35"/>
      <c r="D555" s="53"/>
      <c r="E555" s="53"/>
      <c r="F555" s="48"/>
      <c r="G555" s="243" t="e">
        <f>INDEX('calcolo base'!$B:$B, MATCH($A555, 'calcolo base'!$A:$A, 0))</f>
        <v>#N/A</v>
      </c>
      <c r="H555" s="54" t="e">
        <f t="shared" si="111"/>
        <v>#N/A</v>
      </c>
      <c r="I555" s="259" t="e">
        <f>IF(  OR(      INDEX('calcolo base'!$D:$D, MATCH($A555, 'calcolo base'!$A:$A, 0)) = 0,
      INDEX('calcolo base'!$D:$D, MATCH($A555, 'calcolo base'!$A:$A, 0)) = ""   ),
   INDEX('calcolo base'!$K:$K, MATCH($A555, 'calcolo base'!$A:$A, 0)),
   INDEX('calcolo base'!$J:$J, MATCH($A555, 'calcolo base'!$A:$A, 0))
) / 1000</f>
        <v>#N/A</v>
      </c>
      <c r="J555" s="50" t="e">
        <f t="shared" si="112"/>
        <v>#N/A</v>
      </c>
      <c r="K555" s="50"/>
      <c r="L555" s="267" t="e">
        <f>INDEX('calcolo base'!$H:$H, MATCH($A555, 'calcolo base'!$A:$A, 0))</f>
        <v>#N/A</v>
      </c>
      <c r="M555" s="50" t="e">
        <f t="shared" si="113"/>
        <v>#N/A</v>
      </c>
      <c r="N555" s="50" t="e">
        <f t="shared" si="114"/>
        <v>#N/A</v>
      </c>
      <c r="O555" s="50" t="e">
        <f t="shared" si="115"/>
        <v>#N/A</v>
      </c>
      <c r="P555" s="50" t="e">
        <f t="shared" si="116"/>
        <v>#N/A</v>
      </c>
      <c r="Q555" s="51" t="e">
        <f t="shared" si="117"/>
        <v>#N/A</v>
      </c>
      <c r="R555" s="205" t="e">
        <f t="shared" si="118"/>
        <v>#N/A</v>
      </c>
      <c r="S555" s="279" t="e">
        <f>IF(R555="si",0,IF(E555="si",0,IF(J555&gt;K555,0,+K555-J555)))+IF('calcolo base'!P2015="SI",('Commissioni De Angeli'!K555-'Commissioni De Angeli'!J555),0)</f>
        <v>#N/A</v>
      </c>
      <c r="T555" s="117" t="e">
        <f t="shared" si="119"/>
        <v>#N/A</v>
      </c>
      <c r="U555" s="272" t="e">
        <f>IF(Q555=0,'calcolo base'!L3154,(T555+Q555))</f>
        <v>#N/A</v>
      </c>
      <c r="V555" s="119"/>
    </row>
    <row r="556" spans="2:22">
      <c r="B556" s="47"/>
      <c r="C556" s="35"/>
      <c r="D556" s="53"/>
      <c r="E556" s="53"/>
      <c r="F556" s="48"/>
      <c r="G556" s="243" t="e">
        <f>INDEX('calcolo base'!$B:$B, MATCH($A556, 'calcolo base'!$A:$A, 0))</f>
        <v>#N/A</v>
      </c>
      <c r="H556" s="54" t="e">
        <f t="shared" ref="H556:H619" si="120">IF(G556=0,"",+G556)</f>
        <v>#N/A</v>
      </c>
      <c r="I556" s="259" t="e">
        <f>IF(  OR(      INDEX('calcolo base'!$D:$D, MATCH($A556, 'calcolo base'!$A:$A, 0)) = 0,
      INDEX('calcolo base'!$D:$D, MATCH($A556, 'calcolo base'!$A:$A, 0)) = ""   ),
   INDEX('calcolo base'!$K:$K, MATCH($A556, 'calcolo base'!$A:$A, 0)),
   INDEX('calcolo base'!$J:$J, MATCH($A556, 'calcolo base'!$A:$A, 0))
) / 1000</f>
        <v>#N/A</v>
      </c>
      <c r="J556" s="50" t="e">
        <f t="shared" ref="J556:J619" si="121">+F556+I556</f>
        <v>#N/A</v>
      </c>
      <c r="K556" s="50"/>
      <c r="L556" s="267" t="e">
        <f>INDEX('calcolo base'!$H:$H, MATCH($A556, 'calcolo base'!$A:$A, 0))</f>
        <v>#N/A</v>
      </c>
      <c r="M556" s="50" t="e">
        <f t="shared" ref="M556:M619" si="122">IF(L556=0,0,J556*L556)</f>
        <v>#N/A</v>
      </c>
      <c r="N556" s="50" t="e">
        <f t="shared" ref="N556:N619" si="123">IF(E556="si",K556*1.5%,IF($L556&gt;=5%,IF($I556=0,0,(IF($G556="RAME",($J556)*1.5%,0)+IF($G556="rame smaltato",($K556)*1.5%,0))),0))</f>
        <v>#N/A</v>
      </c>
      <c r="O556" s="50" t="e">
        <f t="shared" ref="O556:O619" si="124">IF($I556=0,0,(IF($G556="alluminio",($J556)*3%,0)+IF($G556="alluminio smaltato",($K556)*3%,0)))</f>
        <v>#N/A</v>
      </c>
      <c r="P556" s="50" t="e">
        <f t="shared" ref="P556:P619" si="125">IF(H556="alluminio",0,IF(L556&lt;5%,F556*8%,0))</f>
        <v>#N/A</v>
      </c>
      <c r="Q556" s="51" t="e">
        <f t="shared" ref="Q556:Q619" si="126">+(N556*D556)+(O556*D556)+(P556*D556)</f>
        <v>#N/A</v>
      </c>
      <c r="R556" s="205" t="e">
        <f t="shared" ref="R556:R619" si="127">IF(H556="ALLUMINIO",0,IF(L556&lt;5%,"si",0))</f>
        <v>#N/A</v>
      </c>
      <c r="S556" s="279" t="e">
        <f>IF(R556="si",0,IF(E556="si",0,IF(J556&gt;K556,0,+K556-J556)))+IF('calcolo base'!P2016="SI",('Commissioni De Angeli'!K556-'Commissioni De Angeli'!J556),0)</f>
        <v>#N/A</v>
      </c>
      <c r="T556" s="117" t="e">
        <f t="shared" ref="T556:T619" si="128">+(S556)*D556*40%</f>
        <v>#N/A</v>
      </c>
      <c r="U556" s="272" t="e">
        <f>IF(Q556=0,'calcolo base'!L3155,(T556+Q556))</f>
        <v>#N/A</v>
      </c>
      <c r="V556" s="119"/>
    </row>
    <row r="557" spans="2:22">
      <c r="B557" s="47"/>
      <c r="C557" s="35"/>
      <c r="D557" s="53"/>
      <c r="E557" s="53"/>
      <c r="F557" s="48"/>
      <c r="G557" s="243" t="e">
        <f>INDEX('calcolo base'!$B:$B, MATCH($A557, 'calcolo base'!$A:$A, 0))</f>
        <v>#N/A</v>
      </c>
      <c r="H557" s="54" t="e">
        <f t="shared" si="120"/>
        <v>#N/A</v>
      </c>
      <c r="I557" s="259" t="e">
        <f>IF(  OR(      INDEX('calcolo base'!$D:$D, MATCH($A557, 'calcolo base'!$A:$A, 0)) = 0,
      INDEX('calcolo base'!$D:$D, MATCH($A557, 'calcolo base'!$A:$A, 0)) = ""   ),
   INDEX('calcolo base'!$K:$K, MATCH($A557, 'calcolo base'!$A:$A, 0)),
   INDEX('calcolo base'!$J:$J, MATCH($A557, 'calcolo base'!$A:$A, 0))
) / 1000</f>
        <v>#N/A</v>
      </c>
      <c r="J557" s="50" t="e">
        <f t="shared" si="121"/>
        <v>#N/A</v>
      </c>
      <c r="K557" s="50"/>
      <c r="L557" s="267" t="e">
        <f>INDEX('calcolo base'!$H:$H, MATCH($A557, 'calcolo base'!$A:$A, 0))</f>
        <v>#N/A</v>
      </c>
      <c r="M557" s="50" t="e">
        <f t="shared" si="122"/>
        <v>#N/A</v>
      </c>
      <c r="N557" s="50" t="e">
        <f t="shared" si="123"/>
        <v>#N/A</v>
      </c>
      <c r="O557" s="50" t="e">
        <f t="shared" si="124"/>
        <v>#N/A</v>
      </c>
      <c r="P557" s="50" t="e">
        <f t="shared" si="125"/>
        <v>#N/A</v>
      </c>
      <c r="Q557" s="51" t="e">
        <f t="shared" si="126"/>
        <v>#N/A</v>
      </c>
      <c r="R557" s="205" t="e">
        <f t="shared" si="127"/>
        <v>#N/A</v>
      </c>
      <c r="S557" s="279" t="e">
        <f>IF(R557="si",0,IF(E557="si",0,IF(J557&gt;K557,0,+K557-J557)))+IF('calcolo base'!P2017="SI",('Commissioni De Angeli'!K557-'Commissioni De Angeli'!J557),0)</f>
        <v>#N/A</v>
      </c>
      <c r="T557" s="117" t="e">
        <f t="shared" si="128"/>
        <v>#N/A</v>
      </c>
      <c r="U557" s="272" t="e">
        <f>IF(Q557=0,'calcolo base'!L3156,(T557+Q557))</f>
        <v>#N/A</v>
      </c>
      <c r="V557" s="119"/>
    </row>
    <row r="558" spans="2:22">
      <c r="B558" s="47"/>
      <c r="C558" s="35"/>
      <c r="D558" s="53"/>
      <c r="E558" s="53"/>
      <c r="F558" s="48"/>
      <c r="G558" s="243" t="e">
        <f>INDEX('calcolo base'!$B:$B, MATCH($A558, 'calcolo base'!$A:$A, 0))</f>
        <v>#N/A</v>
      </c>
      <c r="H558" s="54" t="e">
        <f t="shared" si="120"/>
        <v>#N/A</v>
      </c>
      <c r="I558" s="259" t="e">
        <f>IF(  OR(      INDEX('calcolo base'!$D:$D, MATCH($A558, 'calcolo base'!$A:$A, 0)) = 0,
      INDEX('calcolo base'!$D:$D, MATCH($A558, 'calcolo base'!$A:$A, 0)) = ""   ),
   INDEX('calcolo base'!$K:$K, MATCH($A558, 'calcolo base'!$A:$A, 0)),
   INDEX('calcolo base'!$J:$J, MATCH($A558, 'calcolo base'!$A:$A, 0))
) / 1000</f>
        <v>#N/A</v>
      </c>
      <c r="J558" s="50" t="e">
        <f t="shared" si="121"/>
        <v>#N/A</v>
      </c>
      <c r="K558" s="50"/>
      <c r="L558" s="267" t="e">
        <f>INDEX('calcolo base'!$H:$H, MATCH($A558, 'calcolo base'!$A:$A, 0))</f>
        <v>#N/A</v>
      </c>
      <c r="M558" s="50" t="e">
        <f t="shared" si="122"/>
        <v>#N/A</v>
      </c>
      <c r="N558" s="50" t="e">
        <f t="shared" si="123"/>
        <v>#N/A</v>
      </c>
      <c r="O558" s="50" t="e">
        <f t="shared" si="124"/>
        <v>#N/A</v>
      </c>
      <c r="P558" s="50" t="e">
        <f t="shared" si="125"/>
        <v>#N/A</v>
      </c>
      <c r="Q558" s="51" t="e">
        <f t="shared" si="126"/>
        <v>#N/A</v>
      </c>
      <c r="R558" s="205" t="e">
        <f t="shared" si="127"/>
        <v>#N/A</v>
      </c>
      <c r="S558" s="279" t="e">
        <f>IF(R558="si",0,IF(E558="si",0,IF(J558&gt;K558,0,+K558-J558)))+IF('calcolo base'!P2018="SI",('Commissioni De Angeli'!K558-'Commissioni De Angeli'!J558),0)</f>
        <v>#N/A</v>
      </c>
      <c r="T558" s="117" t="e">
        <f t="shared" si="128"/>
        <v>#N/A</v>
      </c>
      <c r="U558" s="272" t="e">
        <f>IF(Q558=0,'calcolo base'!L3157,(T558+Q558))</f>
        <v>#N/A</v>
      </c>
      <c r="V558" s="119"/>
    </row>
    <row r="559" spans="2:22">
      <c r="B559" s="47"/>
      <c r="C559" s="35"/>
      <c r="D559" s="53"/>
      <c r="E559" s="53"/>
      <c r="F559" s="48"/>
      <c r="G559" s="243" t="e">
        <f>INDEX('calcolo base'!$B:$B, MATCH($A559, 'calcolo base'!$A:$A, 0))</f>
        <v>#N/A</v>
      </c>
      <c r="H559" s="54" t="e">
        <f t="shared" si="120"/>
        <v>#N/A</v>
      </c>
      <c r="I559" s="259" t="e">
        <f>IF(  OR(      INDEX('calcolo base'!$D:$D, MATCH($A559, 'calcolo base'!$A:$A, 0)) = 0,
      INDEX('calcolo base'!$D:$D, MATCH($A559, 'calcolo base'!$A:$A, 0)) = ""   ),
   INDEX('calcolo base'!$K:$K, MATCH($A559, 'calcolo base'!$A:$A, 0)),
   INDEX('calcolo base'!$J:$J, MATCH($A559, 'calcolo base'!$A:$A, 0))
) / 1000</f>
        <v>#N/A</v>
      </c>
      <c r="J559" s="50" t="e">
        <f t="shared" si="121"/>
        <v>#N/A</v>
      </c>
      <c r="K559" s="50"/>
      <c r="L559" s="267" t="e">
        <f>INDEX('calcolo base'!$H:$H, MATCH($A559, 'calcolo base'!$A:$A, 0))</f>
        <v>#N/A</v>
      </c>
      <c r="M559" s="50" t="e">
        <f t="shared" si="122"/>
        <v>#N/A</v>
      </c>
      <c r="N559" s="50" t="e">
        <f t="shared" si="123"/>
        <v>#N/A</v>
      </c>
      <c r="O559" s="50" t="e">
        <f t="shared" si="124"/>
        <v>#N/A</v>
      </c>
      <c r="P559" s="50" t="e">
        <f t="shared" si="125"/>
        <v>#N/A</v>
      </c>
      <c r="Q559" s="51" t="e">
        <f t="shared" si="126"/>
        <v>#N/A</v>
      </c>
      <c r="R559" s="205" t="e">
        <f t="shared" si="127"/>
        <v>#N/A</v>
      </c>
      <c r="S559" s="279" t="e">
        <f>IF(R559="si",0,IF(E559="si",0,IF(J559&gt;K559,0,+K559-J559)))+IF('calcolo base'!P2019="SI",('Commissioni De Angeli'!K559-'Commissioni De Angeli'!J559),0)</f>
        <v>#N/A</v>
      </c>
      <c r="T559" s="117" t="e">
        <f t="shared" si="128"/>
        <v>#N/A</v>
      </c>
      <c r="U559" s="272" t="e">
        <f>IF(Q559=0,'calcolo base'!L3158,(T559+Q559))</f>
        <v>#N/A</v>
      </c>
      <c r="V559" s="119"/>
    </row>
    <row r="560" spans="2:22">
      <c r="B560" s="47"/>
      <c r="C560" s="35"/>
      <c r="D560" s="53"/>
      <c r="E560" s="53"/>
      <c r="F560" s="48"/>
      <c r="G560" s="243" t="e">
        <f>INDEX('calcolo base'!$B:$B, MATCH($A560, 'calcolo base'!$A:$A, 0))</f>
        <v>#N/A</v>
      </c>
      <c r="H560" s="54" t="e">
        <f t="shared" si="120"/>
        <v>#N/A</v>
      </c>
      <c r="I560" s="259" t="e">
        <f>IF(  OR(      INDEX('calcolo base'!$D:$D, MATCH($A560, 'calcolo base'!$A:$A, 0)) = 0,
      INDEX('calcolo base'!$D:$D, MATCH($A560, 'calcolo base'!$A:$A, 0)) = ""   ),
   INDEX('calcolo base'!$K:$K, MATCH($A560, 'calcolo base'!$A:$A, 0)),
   INDEX('calcolo base'!$J:$J, MATCH($A560, 'calcolo base'!$A:$A, 0))
) / 1000</f>
        <v>#N/A</v>
      </c>
      <c r="J560" s="50" t="e">
        <f t="shared" si="121"/>
        <v>#N/A</v>
      </c>
      <c r="K560" s="50"/>
      <c r="L560" s="267" t="e">
        <f>INDEX('calcolo base'!$H:$H, MATCH($A560, 'calcolo base'!$A:$A, 0))</f>
        <v>#N/A</v>
      </c>
      <c r="M560" s="50" t="e">
        <f t="shared" si="122"/>
        <v>#N/A</v>
      </c>
      <c r="N560" s="50" t="e">
        <f t="shared" si="123"/>
        <v>#N/A</v>
      </c>
      <c r="O560" s="50" t="e">
        <f t="shared" si="124"/>
        <v>#N/A</v>
      </c>
      <c r="P560" s="50" t="e">
        <f t="shared" si="125"/>
        <v>#N/A</v>
      </c>
      <c r="Q560" s="51" t="e">
        <f t="shared" si="126"/>
        <v>#N/A</v>
      </c>
      <c r="R560" s="205" t="e">
        <f t="shared" si="127"/>
        <v>#N/A</v>
      </c>
      <c r="S560" s="279" t="e">
        <f>IF(R560="si",0,IF(E560="si",0,IF(J560&gt;K560,0,+K560-J560)))+IF('calcolo base'!P2020="SI",('Commissioni De Angeli'!K560-'Commissioni De Angeli'!J560),0)</f>
        <v>#N/A</v>
      </c>
      <c r="T560" s="117" t="e">
        <f t="shared" si="128"/>
        <v>#N/A</v>
      </c>
      <c r="U560" s="272" t="e">
        <f>IF(Q560=0,'calcolo base'!L3159,(T560+Q560))</f>
        <v>#N/A</v>
      </c>
      <c r="V560" s="119"/>
    </row>
    <row r="561" spans="2:22">
      <c r="B561" s="47"/>
      <c r="C561" s="35"/>
      <c r="D561" s="53"/>
      <c r="E561" s="53"/>
      <c r="F561" s="48"/>
      <c r="G561" s="243" t="e">
        <f>INDEX('calcolo base'!$B:$B, MATCH($A561, 'calcolo base'!$A:$A, 0))</f>
        <v>#N/A</v>
      </c>
      <c r="H561" s="54" t="e">
        <f t="shared" si="120"/>
        <v>#N/A</v>
      </c>
      <c r="I561" s="259" t="e">
        <f>IF(  OR(      INDEX('calcolo base'!$D:$D, MATCH($A561, 'calcolo base'!$A:$A, 0)) = 0,
      INDEX('calcolo base'!$D:$D, MATCH($A561, 'calcolo base'!$A:$A, 0)) = ""   ),
   INDEX('calcolo base'!$K:$K, MATCH($A561, 'calcolo base'!$A:$A, 0)),
   INDEX('calcolo base'!$J:$J, MATCH($A561, 'calcolo base'!$A:$A, 0))
) / 1000</f>
        <v>#N/A</v>
      </c>
      <c r="J561" s="50" t="e">
        <f t="shared" si="121"/>
        <v>#N/A</v>
      </c>
      <c r="K561" s="50"/>
      <c r="L561" s="267" t="e">
        <f>INDEX('calcolo base'!$H:$H, MATCH($A561, 'calcolo base'!$A:$A, 0))</f>
        <v>#N/A</v>
      </c>
      <c r="M561" s="50" t="e">
        <f t="shared" si="122"/>
        <v>#N/A</v>
      </c>
      <c r="N561" s="50" t="e">
        <f t="shared" si="123"/>
        <v>#N/A</v>
      </c>
      <c r="O561" s="50" t="e">
        <f t="shared" si="124"/>
        <v>#N/A</v>
      </c>
      <c r="P561" s="50" t="e">
        <f t="shared" si="125"/>
        <v>#N/A</v>
      </c>
      <c r="Q561" s="51" t="e">
        <f t="shared" si="126"/>
        <v>#N/A</v>
      </c>
      <c r="R561" s="205" t="e">
        <f t="shared" si="127"/>
        <v>#N/A</v>
      </c>
      <c r="S561" s="279" t="e">
        <f>IF(R561="si",0,IF(E561="si",0,IF(J561&gt;K561,0,+K561-J561)))+IF('calcolo base'!P2021="SI",('Commissioni De Angeli'!K561-'Commissioni De Angeli'!J561),0)</f>
        <v>#N/A</v>
      </c>
      <c r="T561" s="117" t="e">
        <f t="shared" si="128"/>
        <v>#N/A</v>
      </c>
      <c r="U561" s="272" t="e">
        <f>IF(Q561=0,'calcolo base'!L3160,(T561+Q561))</f>
        <v>#N/A</v>
      </c>
      <c r="V561" s="119"/>
    </row>
    <row r="562" spans="2:22">
      <c r="B562" s="47"/>
      <c r="C562" s="35"/>
      <c r="D562" s="53"/>
      <c r="E562" s="53"/>
      <c r="F562" s="48"/>
      <c r="G562" s="243" t="e">
        <f>INDEX('calcolo base'!$B:$B, MATCH($A562, 'calcolo base'!$A:$A, 0))</f>
        <v>#N/A</v>
      </c>
      <c r="H562" s="54" t="e">
        <f t="shared" si="120"/>
        <v>#N/A</v>
      </c>
      <c r="I562" s="259" t="e">
        <f>IF(  OR(      INDEX('calcolo base'!$D:$D, MATCH($A562, 'calcolo base'!$A:$A, 0)) = 0,
      INDEX('calcolo base'!$D:$D, MATCH($A562, 'calcolo base'!$A:$A, 0)) = ""   ),
   INDEX('calcolo base'!$K:$K, MATCH($A562, 'calcolo base'!$A:$A, 0)),
   INDEX('calcolo base'!$J:$J, MATCH($A562, 'calcolo base'!$A:$A, 0))
) / 1000</f>
        <v>#N/A</v>
      </c>
      <c r="J562" s="50" t="e">
        <f t="shared" si="121"/>
        <v>#N/A</v>
      </c>
      <c r="K562" s="50"/>
      <c r="L562" s="267" t="e">
        <f>INDEX('calcolo base'!$H:$H, MATCH($A562, 'calcolo base'!$A:$A, 0))</f>
        <v>#N/A</v>
      </c>
      <c r="M562" s="50" t="e">
        <f t="shared" si="122"/>
        <v>#N/A</v>
      </c>
      <c r="N562" s="50" t="e">
        <f t="shared" si="123"/>
        <v>#N/A</v>
      </c>
      <c r="O562" s="50" t="e">
        <f t="shared" si="124"/>
        <v>#N/A</v>
      </c>
      <c r="P562" s="50" t="e">
        <f t="shared" si="125"/>
        <v>#N/A</v>
      </c>
      <c r="Q562" s="51" t="e">
        <f t="shared" si="126"/>
        <v>#N/A</v>
      </c>
      <c r="R562" s="205" t="e">
        <f t="shared" si="127"/>
        <v>#N/A</v>
      </c>
      <c r="S562" s="279" t="e">
        <f>IF(R562="si",0,IF(E562="si",0,IF(J562&gt;K562,0,+K562-J562)))+IF('calcolo base'!P2022="SI",('Commissioni De Angeli'!K562-'Commissioni De Angeli'!J562),0)</f>
        <v>#N/A</v>
      </c>
      <c r="T562" s="117" t="e">
        <f t="shared" si="128"/>
        <v>#N/A</v>
      </c>
      <c r="U562" s="272" t="e">
        <f>IF(Q562=0,'calcolo base'!L3161,(T562+Q562))</f>
        <v>#N/A</v>
      </c>
      <c r="V562" s="119"/>
    </row>
    <row r="563" spans="2:22">
      <c r="B563" s="47"/>
      <c r="C563" s="35"/>
      <c r="D563" s="53"/>
      <c r="E563" s="53"/>
      <c r="F563" s="48"/>
      <c r="G563" s="243" t="e">
        <f>INDEX('calcolo base'!$B:$B, MATCH($A563, 'calcolo base'!$A:$A, 0))</f>
        <v>#N/A</v>
      </c>
      <c r="H563" s="54" t="e">
        <f t="shared" si="120"/>
        <v>#N/A</v>
      </c>
      <c r="I563" s="259" t="e">
        <f>IF(  OR(      INDEX('calcolo base'!$D:$D, MATCH($A563, 'calcolo base'!$A:$A, 0)) = 0,
      INDEX('calcolo base'!$D:$D, MATCH($A563, 'calcolo base'!$A:$A, 0)) = ""   ),
   INDEX('calcolo base'!$K:$K, MATCH($A563, 'calcolo base'!$A:$A, 0)),
   INDEX('calcolo base'!$J:$J, MATCH($A563, 'calcolo base'!$A:$A, 0))
) / 1000</f>
        <v>#N/A</v>
      </c>
      <c r="J563" s="50" t="e">
        <f t="shared" si="121"/>
        <v>#N/A</v>
      </c>
      <c r="K563" s="50"/>
      <c r="L563" s="267" t="e">
        <f>INDEX('calcolo base'!$H:$H, MATCH($A563, 'calcolo base'!$A:$A, 0))</f>
        <v>#N/A</v>
      </c>
      <c r="M563" s="50" t="e">
        <f t="shared" si="122"/>
        <v>#N/A</v>
      </c>
      <c r="N563" s="50" t="e">
        <f t="shared" si="123"/>
        <v>#N/A</v>
      </c>
      <c r="O563" s="50" t="e">
        <f t="shared" si="124"/>
        <v>#N/A</v>
      </c>
      <c r="P563" s="50" t="e">
        <f t="shared" si="125"/>
        <v>#N/A</v>
      </c>
      <c r="Q563" s="51" t="e">
        <f t="shared" si="126"/>
        <v>#N/A</v>
      </c>
      <c r="R563" s="205" t="e">
        <f t="shared" si="127"/>
        <v>#N/A</v>
      </c>
      <c r="S563" s="279" t="e">
        <f>IF(R563="si",0,IF(E563="si",0,IF(J563&gt;K563,0,+K563-J563)))+IF('calcolo base'!P2023="SI",('Commissioni De Angeli'!K563-'Commissioni De Angeli'!J563),0)</f>
        <v>#N/A</v>
      </c>
      <c r="T563" s="117" t="e">
        <f t="shared" si="128"/>
        <v>#N/A</v>
      </c>
      <c r="U563" s="272" t="e">
        <f>IF(Q563=0,'calcolo base'!L3162,(T563+Q563))</f>
        <v>#N/A</v>
      </c>
      <c r="V563" s="119"/>
    </row>
    <row r="564" spans="2:22">
      <c r="B564" s="47"/>
      <c r="C564" s="35"/>
      <c r="D564" s="53"/>
      <c r="E564" s="53"/>
      <c r="F564" s="48"/>
      <c r="G564" s="243" t="e">
        <f>INDEX('calcolo base'!$B:$B, MATCH($A564, 'calcolo base'!$A:$A, 0))</f>
        <v>#N/A</v>
      </c>
      <c r="H564" s="54" t="e">
        <f t="shared" si="120"/>
        <v>#N/A</v>
      </c>
      <c r="I564" s="259" t="e">
        <f>IF(  OR(      INDEX('calcolo base'!$D:$D, MATCH($A564, 'calcolo base'!$A:$A, 0)) = 0,
      INDEX('calcolo base'!$D:$D, MATCH($A564, 'calcolo base'!$A:$A, 0)) = ""   ),
   INDEX('calcolo base'!$K:$K, MATCH($A564, 'calcolo base'!$A:$A, 0)),
   INDEX('calcolo base'!$J:$J, MATCH($A564, 'calcolo base'!$A:$A, 0))
) / 1000</f>
        <v>#N/A</v>
      </c>
      <c r="J564" s="50" t="e">
        <f t="shared" si="121"/>
        <v>#N/A</v>
      </c>
      <c r="K564" s="50"/>
      <c r="L564" s="267" t="e">
        <f>INDEX('calcolo base'!$H:$H, MATCH($A564, 'calcolo base'!$A:$A, 0))</f>
        <v>#N/A</v>
      </c>
      <c r="M564" s="50" t="e">
        <f t="shared" si="122"/>
        <v>#N/A</v>
      </c>
      <c r="N564" s="50" t="e">
        <f t="shared" si="123"/>
        <v>#N/A</v>
      </c>
      <c r="O564" s="50" t="e">
        <f t="shared" si="124"/>
        <v>#N/A</v>
      </c>
      <c r="P564" s="50" t="e">
        <f t="shared" si="125"/>
        <v>#N/A</v>
      </c>
      <c r="Q564" s="51" t="e">
        <f t="shared" si="126"/>
        <v>#N/A</v>
      </c>
      <c r="R564" s="205" t="e">
        <f t="shared" si="127"/>
        <v>#N/A</v>
      </c>
      <c r="S564" s="279" t="e">
        <f>IF(R564="si",0,IF(E564="si",0,IF(J564&gt;K564,0,+K564-J564)))+IF('calcolo base'!P2024="SI",('Commissioni De Angeli'!K564-'Commissioni De Angeli'!J564),0)</f>
        <v>#N/A</v>
      </c>
      <c r="T564" s="117" t="e">
        <f t="shared" si="128"/>
        <v>#N/A</v>
      </c>
      <c r="U564" s="272" t="e">
        <f>IF(Q564=0,'calcolo base'!L3163,(T564+Q564))</f>
        <v>#N/A</v>
      </c>
      <c r="V564" s="119"/>
    </row>
    <row r="565" spans="2:22">
      <c r="B565" s="47"/>
      <c r="C565" s="35"/>
      <c r="D565" s="53"/>
      <c r="E565" s="53"/>
      <c r="F565" s="48"/>
      <c r="G565" s="243" t="e">
        <f>INDEX('calcolo base'!$B:$B, MATCH($A565, 'calcolo base'!$A:$A, 0))</f>
        <v>#N/A</v>
      </c>
      <c r="H565" s="54" t="e">
        <f t="shared" si="120"/>
        <v>#N/A</v>
      </c>
      <c r="I565" s="259" t="e">
        <f>IF(  OR(      INDEX('calcolo base'!$D:$D, MATCH($A565, 'calcolo base'!$A:$A, 0)) = 0,
      INDEX('calcolo base'!$D:$D, MATCH($A565, 'calcolo base'!$A:$A, 0)) = ""   ),
   INDEX('calcolo base'!$K:$K, MATCH($A565, 'calcolo base'!$A:$A, 0)),
   INDEX('calcolo base'!$J:$J, MATCH($A565, 'calcolo base'!$A:$A, 0))
) / 1000</f>
        <v>#N/A</v>
      </c>
      <c r="J565" s="50" t="e">
        <f t="shared" si="121"/>
        <v>#N/A</v>
      </c>
      <c r="K565" s="50"/>
      <c r="L565" s="267" t="e">
        <f>INDEX('calcolo base'!$H:$H, MATCH($A565, 'calcolo base'!$A:$A, 0))</f>
        <v>#N/A</v>
      </c>
      <c r="M565" s="50" t="e">
        <f t="shared" si="122"/>
        <v>#N/A</v>
      </c>
      <c r="N565" s="50" t="e">
        <f t="shared" si="123"/>
        <v>#N/A</v>
      </c>
      <c r="O565" s="50" t="e">
        <f t="shared" si="124"/>
        <v>#N/A</v>
      </c>
      <c r="P565" s="50" t="e">
        <f t="shared" si="125"/>
        <v>#N/A</v>
      </c>
      <c r="Q565" s="51" t="e">
        <f t="shared" si="126"/>
        <v>#N/A</v>
      </c>
      <c r="R565" s="205" t="e">
        <f t="shared" si="127"/>
        <v>#N/A</v>
      </c>
      <c r="S565" s="279" t="e">
        <f>IF(R565="si",0,IF(E565="si",0,IF(J565&gt;K565,0,+K565-J565)))+IF('calcolo base'!P2025="SI",('Commissioni De Angeli'!K565-'Commissioni De Angeli'!J565),0)</f>
        <v>#N/A</v>
      </c>
      <c r="T565" s="117" t="e">
        <f t="shared" si="128"/>
        <v>#N/A</v>
      </c>
      <c r="U565" s="272" t="e">
        <f>IF(Q565=0,'calcolo base'!L3164,(T565+Q565))</f>
        <v>#N/A</v>
      </c>
      <c r="V565" s="119"/>
    </row>
    <row r="566" spans="2:22">
      <c r="B566" s="47"/>
      <c r="C566" s="35"/>
      <c r="D566" s="53"/>
      <c r="E566" s="53"/>
      <c r="F566" s="48"/>
      <c r="G566" s="243" t="e">
        <f>INDEX('calcolo base'!$B:$B, MATCH($A566, 'calcolo base'!$A:$A, 0))</f>
        <v>#N/A</v>
      </c>
      <c r="H566" s="54" t="e">
        <f t="shared" si="120"/>
        <v>#N/A</v>
      </c>
      <c r="I566" s="259" t="e">
        <f>IF(  OR(      INDEX('calcolo base'!$D:$D, MATCH($A566, 'calcolo base'!$A:$A, 0)) = 0,
      INDEX('calcolo base'!$D:$D, MATCH($A566, 'calcolo base'!$A:$A, 0)) = ""   ),
   INDEX('calcolo base'!$K:$K, MATCH($A566, 'calcolo base'!$A:$A, 0)),
   INDEX('calcolo base'!$J:$J, MATCH($A566, 'calcolo base'!$A:$A, 0))
) / 1000</f>
        <v>#N/A</v>
      </c>
      <c r="J566" s="50" t="e">
        <f t="shared" si="121"/>
        <v>#N/A</v>
      </c>
      <c r="K566" s="50"/>
      <c r="L566" s="267" t="e">
        <f>INDEX('calcolo base'!$H:$H, MATCH($A566, 'calcolo base'!$A:$A, 0))</f>
        <v>#N/A</v>
      </c>
      <c r="M566" s="50" t="e">
        <f t="shared" si="122"/>
        <v>#N/A</v>
      </c>
      <c r="N566" s="50" t="e">
        <f t="shared" si="123"/>
        <v>#N/A</v>
      </c>
      <c r="O566" s="50" t="e">
        <f t="shared" si="124"/>
        <v>#N/A</v>
      </c>
      <c r="P566" s="50" t="e">
        <f t="shared" si="125"/>
        <v>#N/A</v>
      </c>
      <c r="Q566" s="51" t="e">
        <f t="shared" si="126"/>
        <v>#N/A</v>
      </c>
      <c r="R566" s="205" t="e">
        <f t="shared" si="127"/>
        <v>#N/A</v>
      </c>
      <c r="S566" s="279" t="e">
        <f>IF(R566="si",0,IF(E566="si",0,IF(J566&gt;K566,0,+K566-J566)))+IF('calcolo base'!P2026="SI",('Commissioni De Angeli'!K566-'Commissioni De Angeli'!J566),0)</f>
        <v>#N/A</v>
      </c>
      <c r="T566" s="117" t="e">
        <f t="shared" si="128"/>
        <v>#N/A</v>
      </c>
      <c r="U566" s="272" t="e">
        <f>IF(Q566=0,'calcolo base'!L3165,(T566+Q566))</f>
        <v>#N/A</v>
      </c>
      <c r="V566" s="119"/>
    </row>
    <row r="567" spans="2:22">
      <c r="B567" s="47"/>
      <c r="C567" s="35"/>
      <c r="D567" s="53"/>
      <c r="E567" s="53"/>
      <c r="F567" s="48"/>
      <c r="G567" s="243" t="e">
        <f>INDEX('calcolo base'!$B:$B, MATCH($A567, 'calcolo base'!$A:$A, 0))</f>
        <v>#N/A</v>
      </c>
      <c r="H567" s="54" t="e">
        <f t="shared" si="120"/>
        <v>#N/A</v>
      </c>
      <c r="I567" s="259" t="e">
        <f>IF(  OR(      INDEX('calcolo base'!$D:$D, MATCH($A567, 'calcolo base'!$A:$A, 0)) = 0,
      INDEX('calcolo base'!$D:$D, MATCH($A567, 'calcolo base'!$A:$A, 0)) = ""   ),
   INDEX('calcolo base'!$K:$K, MATCH($A567, 'calcolo base'!$A:$A, 0)),
   INDEX('calcolo base'!$J:$J, MATCH($A567, 'calcolo base'!$A:$A, 0))
) / 1000</f>
        <v>#N/A</v>
      </c>
      <c r="J567" s="50" t="e">
        <f t="shared" si="121"/>
        <v>#N/A</v>
      </c>
      <c r="K567" s="50"/>
      <c r="L567" s="267" t="e">
        <f>INDEX('calcolo base'!$H:$H, MATCH($A567, 'calcolo base'!$A:$A, 0))</f>
        <v>#N/A</v>
      </c>
      <c r="M567" s="50" t="e">
        <f t="shared" si="122"/>
        <v>#N/A</v>
      </c>
      <c r="N567" s="50" t="e">
        <f t="shared" si="123"/>
        <v>#N/A</v>
      </c>
      <c r="O567" s="50" t="e">
        <f t="shared" si="124"/>
        <v>#N/A</v>
      </c>
      <c r="P567" s="50" t="e">
        <f t="shared" si="125"/>
        <v>#N/A</v>
      </c>
      <c r="Q567" s="51" t="e">
        <f t="shared" si="126"/>
        <v>#N/A</v>
      </c>
      <c r="R567" s="205" t="e">
        <f t="shared" si="127"/>
        <v>#N/A</v>
      </c>
      <c r="S567" s="279" t="e">
        <f>IF(R567="si",0,IF(E567="si",0,IF(J567&gt;K567,0,+K567-J567)))+IF('calcolo base'!P2027="SI",('Commissioni De Angeli'!K567-'Commissioni De Angeli'!J567),0)</f>
        <v>#N/A</v>
      </c>
      <c r="T567" s="117" t="e">
        <f t="shared" si="128"/>
        <v>#N/A</v>
      </c>
      <c r="U567" s="272" t="e">
        <f>IF(Q567=0,'calcolo base'!L3166,(T567+Q567))</f>
        <v>#N/A</v>
      </c>
      <c r="V567" s="119"/>
    </row>
    <row r="568" spans="2:22">
      <c r="B568" s="47"/>
      <c r="C568" s="35"/>
      <c r="D568" s="53"/>
      <c r="E568" s="53"/>
      <c r="F568" s="48"/>
      <c r="G568" s="243" t="e">
        <f>INDEX('calcolo base'!$B:$B, MATCH($A568, 'calcolo base'!$A:$A, 0))</f>
        <v>#N/A</v>
      </c>
      <c r="H568" s="54" t="e">
        <f t="shared" si="120"/>
        <v>#N/A</v>
      </c>
      <c r="I568" s="259" t="e">
        <f>IF(  OR(      INDEX('calcolo base'!$D:$D, MATCH($A568, 'calcolo base'!$A:$A, 0)) = 0,
      INDEX('calcolo base'!$D:$D, MATCH($A568, 'calcolo base'!$A:$A, 0)) = ""   ),
   INDEX('calcolo base'!$K:$K, MATCH($A568, 'calcolo base'!$A:$A, 0)),
   INDEX('calcolo base'!$J:$J, MATCH($A568, 'calcolo base'!$A:$A, 0))
) / 1000</f>
        <v>#N/A</v>
      </c>
      <c r="J568" s="50" t="e">
        <f t="shared" si="121"/>
        <v>#N/A</v>
      </c>
      <c r="K568" s="50"/>
      <c r="L568" s="267" t="e">
        <f>INDEX('calcolo base'!$H:$H, MATCH($A568, 'calcolo base'!$A:$A, 0))</f>
        <v>#N/A</v>
      </c>
      <c r="M568" s="50" t="e">
        <f t="shared" si="122"/>
        <v>#N/A</v>
      </c>
      <c r="N568" s="50" t="e">
        <f t="shared" si="123"/>
        <v>#N/A</v>
      </c>
      <c r="O568" s="50" t="e">
        <f t="shared" si="124"/>
        <v>#N/A</v>
      </c>
      <c r="P568" s="50" t="e">
        <f t="shared" si="125"/>
        <v>#N/A</v>
      </c>
      <c r="Q568" s="51" t="e">
        <f t="shared" si="126"/>
        <v>#N/A</v>
      </c>
      <c r="R568" s="205" t="e">
        <f t="shared" si="127"/>
        <v>#N/A</v>
      </c>
      <c r="S568" s="279" t="e">
        <f>IF(R568="si",0,IF(E568="si",0,IF(J568&gt;K568,0,+K568-J568)))+IF('calcolo base'!P2028="SI",('Commissioni De Angeli'!K568-'Commissioni De Angeli'!J568),0)</f>
        <v>#N/A</v>
      </c>
      <c r="T568" s="117" t="e">
        <f t="shared" si="128"/>
        <v>#N/A</v>
      </c>
      <c r="U568" s="272" t="e">
        <f>IF(Q568=0,'calcolo base'!L3167,(T568+Q568))</f>
        <v>#N/A</v>
      </c>
      <c r="V568" s="119"/>
    </row>
    <row r="569" spans="2:22">
      <c r="B569" s="47"/>
      <c r="C569" s="35"/>
      <c r="D569" s="53"/>
      <c r="E569" s="53"/>
      <c r="F569" s="48"/>
      <c r="G569" s="243" t="e">
        <f>INDEX('calcolo base'!$B:$B, MATCH($A569, 'calcolo base'!$A:$A, 0))</f>
        <v>#N/A</v>
      </c>
      <c r="H569" s="54" t="e">
        <f t="shared" si="120"/>
        <v>#N/A</v>
      </c>
      <c r="I569" s="259" t="e">
        <f>IF(  OR(      INDEX('calcolo base'!$D:$D, MATCH($A569, 'calcolo base'!$A:$A, 0)) = 0,
      INDEX('calcolo base'!$D:$D, MATCH($A569, 'calcolo base'!$A:$A, 0)) = ""   ),
   INDEX('calcolo base'!$K:$K, MATCH($A569, 'calcolo base'!$A:$A, 0)),
   INDEX('calcolo base'!$J:$J, MATCH($A569, 'calcolo base'!$A:$A, 0))
) / 1000</f>
        <v>#N/A</v>
      </c>
      <c r="J569" s="50" t="e">
        <f t="shared" si="121"/>
        <v>#N/A</v>
      </c>
      <c r="K569" s="50"/>
      <c r="L569" s="267" t="e">
        <f>INDEX('calcolo base'!$H:$H, MATCH($A569, 'calcolo base'!$A:$A, 0))</f>
        <v>#N/A</v>
      </c>
      <c r="M569" s="50" t="e">
        <f t="shared" si="122"/>
        <v>#N/A</v>
      </c>
      <c r="N569" s="50" t="e">
        <f t="shared" si="123"/>
        <v>#N/A</v>
      </c>
      <c r="O569" s="50" t="e">
        <f t="shared" si="124"/>
        <v>#N/A</v>
      </c>
      <c r="P569" s="50" t="e">
        <f t="shared" si="125"/>
        <v>#N/A</v>
      </c>
      <c r="Q569" s="51" t="e">
        <f t="shared" si="126"/>
        <v>#N/A</v>
      </c>
      <c r="R569" s="205" t="e">
        <f t="shared" si="127"/>
        <v>#N/A</v>
      </c>
      <c r="S569" s="279" t="e">
        <f>IF(R569="si",0,IF(E569="si",0,IF(J569&gt;K569,0,+K569-J569)))+IF('calcolo base'!P2029="SI",('Commissioni De Angeli'!K569-'Commissioni De Angeli'!J569),0)</f>
        <v>#N/A</v>
      </c>
      <c r="T569" s="117" t="e">
        <f t="shared" si="128"/>
        <v>#N/A</v>
      </c>
      <c r="U569" s="272" t="e">
        <f>IF(Q569=0,'calcolo base'!L3168,(T569+Q569))</f>
        <v>#N/A</v>
      </c>
      <c r="V569" s="119"/>
    </row>
    <row r="570" spans="2:22">
      <c r="B570" s="47"/>
      <c r="C570" s="35"/>
      <c r="D570" s="53"/>
      <c r="E570" s="53"/>
      <c r="F570" s="48"/>
      <c r="G570" s="243" t="e">
        <f>INDEX('calcolo base'!$B:$B, MATCH($A570, 'calcolo base'!$A:$A, 0))</f>
        <v>#N/A</v>
      </c>
      <c r="H570" s="54" t="e">
        <f t="shared" si="120"/>
        <v>#N/A</v>
      </c>
      <c r="I570" s="259" t="e">
        <f>IF(  OR(      INDEX('calcolo base'!$D:$D, MATCH($A570, 'calcolo base'!$A:$A, 0)) = 0,
      INDEX('calcolo base'!$D:$D, MATCH($A570, 'calcolo base'!$A:$A, 0)) = ""   ),
   INDEX('calcolo base'!$K:$K, MATCH($A570, 'calcolo base'!$A:$A, 0)),
   INDEX('calcolo base'!$J:$J, MATCH($A570, 'calcolo base'!$A:$A, 0))
) / 1000</f>
        <v>#N/A</v>
      </c>
      <c r="J570" s="50" t="e">
        <f t="shared" si="121"/>
        <v>#N/A</v>
      </c>
      <c r="K570" s="50"/>
      <c r="L570" s="267" t="e">
        <f>INDEX('calcolo base'!$H:$H, MATCH($A570, 'calcolo base'!$A:$A, 0))</f>
        <v>#N/A</v>
      </c>
      <c r="M570" s="50" t="e">
        <f t="shared" si="122"/>
        <v>#N/A</v>
      </c>
      <c r="N570" s="50" t="e">
        <f t="shared" si="123"/>
        <v>#N/A</v>
      </c>
      <c r="O570" s="50" t="e">
        <f t="shared" si="124"/>
        <v>#N/A</v>
      </c>
      <c r="P570" s="50" t="e">
        <f t="shared" si="125"/>
        <v>#N/A</v>
      </c>
      <c r="Q570" s="51" t="e">
        <f t="shared" si="126"/>
        <v>#N/A</v>
      </c>
      <c r="R570" s="205" t="e">
        <f t="shared" si="127"/>
        <v>#N/A</v>
      </c>
      <c r="S570" s="279" t="e">
        <f>IF(R570="si",0,IF(E570="si",0,IF(J570&gt;K570,0,+K570-J570)))+IF('calcolo base'!P2030="SI",('Commissioni De Angeli'!K570-'Commissioni De Angeli'!J570),0)</f>
        <v>#N/A</v>
      </c>
      <c r="T570" s="117" t="e">
        <f t="shared" si="128"/>
        <v>#N/A</v>
      </c>
      <c r="U570" s="272" t="e">
        <f>IF(Q570=0,'calcolo base'!L3169,(T570+Q570))</f>
        <v>#N/A</v>
      </c>
      <c r="V570" s="119"/>
    </row>
    <row r="571" spans="2:22">
      <c r="B571" s="47"/>
      <c r="C571" s="35"/>
      <c r="D571" s="53"/>
      <c r="E571" s="53"/>
      <c r="F571" s="48"/>
      <c r="G571" s="243" t="e">
        <f>INDEX('calcolo base'!$B:$B, MATCH($A571, 'calcolo base'!$A:$A, 0))</f>
        <v>#N/A</v>
      </c>
      <c r="H571" s="54" t="e">
        <f t="shared" si="120"/>
        <v>#N/A</v>
      </c>
      <c r="I571" s="259" t="e">
        <f>IF(  OR(      INDEX('calcolo base'!$D:$D, MATCH($A571, 'calcolo base'!$A:$A, 0)) = 0,
      INDEX('calcolo base'!$D:$D, MATCH($A571, 'calcolo base'!$A:$A, 0)) = ""   ),
   INDEX('calcolo base'!$K:$K, MATCH($A571, 'calcolo base'!$A:$A, 0)),
   INDEX('calcolo base'!$J:$J, MATCH($A571, 'calcolo base'!$A:$A, 0))
) / 1000</f>
        <v>#N/A</v>
      </c>
      <c r="J571" s="50" t="e">
        <f t="shared" si="121"/>
        <v>#N/A</v>
      </c>
      <c r="K571" s="50"/>
      <c r="L571" s="267" t="e">
        <f>INDEX('calcolo base'!$H:$H, MATCH($A571, 'calcolo base'!$A:$A, 0))</f>
        <v>#N/A</v>
      </c>
      <c r="M571" s="50" t="e">
        <f t="shared" si="122"/>
        <v>#N/A</v>
      </c>
      <c r="N571" s="50" t="e">
        <f t="shared" si="123"/>
        <v>#N/A</v>
      </c>
      <c r="O571" s="50" t="e">
        <f t="shared" si="124"/>
        <v>#N/A</v>
      </c>
      <c r="P571" s="50" t="e">
        <f t="shared" si="125"/>
        <v>#N/A</v>
      </c>
      <c r="Q571" s="51" t="e">
        <f t="shared" si="126"/>
        <v>#N/A</v>
      </c>
      <c r="R571" s="205" t="e">
        <f t="shared" si="127"/>
        <v>#N/A</v>
      </c>
      <c r="S571" s="279" t="e">
        <f>IF(R571="si",0,IF(E571="si",0,IF(J571&gt;K571,0,+K571-J571)))+IF('calcolo base'!P2031="SI",('Commissioni De Angeli'!K571-'Commissioni De Angeli'!J571),0)</f>
        <v>#N/A</v>
      </c>
      <c r="T571" s="117" t="e">
        <f t="shared" si="128"/>
        <v>#N/A</v>
      </c>
      <c r="U571" s="272" t="e">
        <f>IF(Q571=0,'calcolo base'!L3170,(T571+Q571))</f>
        <v>#N/A</v>
      </c>
      <c r="V571" s="119"/>
    </row>
    <row r="572" spans="2:22">
      <c r="B572" s="47"/>
      <c r="C572" s="35"/>
      <c r="D572" s="53"/>
      <c r="E572" s="53"/>
      <c r="F572" s="48"/>
      <c r="G572" s="243" t="e">
        <f>INDEX('calcolo base'!$B:$B, MATCH($A572, 'calcolo base'!$A:$A, 0))</f>
        <v>#N/A</v>
      </c>
      <c r="H572" s="54" t="e">
        <f t="shared" si="120"/>
        <v>#N/A</v>
      </c>
      <c r="I572" s="259" t="e">
        <f>IF(  OR(      INDEX('calcolo base'!$D:$D, MATCH($A572, 'calcolo base'!$A:$A, 0)) = 0,
      INDEX('calcolo base'!$D:$D, MATCH($A572, 'calcolo base'!$A:$A, 0)) = ""   ),
   INDEX('calcolo base'!$K:$K, MATCH($A572, 'calcolo base'!$A:$A, 0)),
   INDEX('calcolo base'!$J:$J, MATCH($A572, 'calcolo base'!$A:$A, 0))
) / 1000</f>
        <v>#N/A</v>
      </c>
      <c r="J572" s="50" t="e">
        <f t="shared" si="121"/>
        <v>#N/A</v>
      </c>
      <c r="K572" s="50"/>
      <c r="L572" s="267" t="e">
        <f>INDEX('calcolo base'!$H:$H, MATCH($A572, 'calcolo base'!$A:$A, 0))</f>
        <v>#N/A</v>
      </c>
      <c r="M572" s="50" t="e">
        <f t="shared" si="122"/>
        <v>#N/A</v>
      </c>
      <c r="N572" s="50" t="e">
        <f t="shared" si="123"/>
        <v>#N/A</v>
      </c>
      <c r="O572" s="50" t="e">
        <f t="shared" si="124"/>
        <v>#N/A</v>
      </c>
      <c r="P572" s="50" t="e">
        <f t="shared" si="125"/>
        <v>#N/A</v>
      </c>
      <c r="Q572" s="51" t="e">
        <f t="shared" si="126"/>
        <v>#N/A</v>
      </c>
      <c r="R572" s="205" t="e">
        <f t="shared" si="127"/>
        <v>#N/A</v>
      </c>
      <c r="S572" s="279" t="e">
        <f>IF(R572="si",0,IF(E572="si",0,IF(J572&gt;K572,0,+K572-J572)))+IF('calcolo base'!P2032="SI",('Commissioni De Angeli'!K572-'Commissioni De Angeli'!J572),0)</f>
        <v>#N/A</v>
      </c>
      <c r="T572" s="117" t="e">
        <f t="shared" si="128"/>
        <v>#N/A</v>
      </c>
      <c r="U572" s="272" t="e">
        <f>IF(Q572=0,'calcolo base'!L3171,(T572+Q572))</f>
        <v>#N/A</v>
      </c>
      <c r="V572" s="119"/>
    </row>
    <row r="573" spans="2:22">
      <c r="B573" s="47"/>
      <c r="C573" s="35"/>
      <c r="D573" s="53"/>
      <c r="E573" s="53"/>
      <c r="F573" s="48"/>
      <c r="G573" s="243" t="e">
        <f>INDEX('calcolo base'!$B:$B, MATCH($A573, 'calcolo base'!$A:$A, 0))</f>
        <v>#N/A</v>
      </c>
      <c r="H573" s="54" t="e">
        <f t="shared" si="120"/>
        <v>#N/A</v>
      </c>
      <c r="I573" s="259" t="e">
        <f>IF(  OR(      INDEX('calcolo base'!$D:$D, MATCH($A573, 'calcolo base'!$A:$A, 0)) = 0,
      INDEX('calcolo base'!$D:$D, MATCH($A573, 'calcolo base'!$A:$A, 0)) = ""   ),
   INDEX('calcolo base'!$K:$K, MATCH($A573, 'calcolo base'!$A:$A, 0)),
   INDEX('calcolo base'!$J:$J, MATCH($A573, 'calcolo base'!$A:$A, 0))
) / 1000</f>
        <v>#N/A</v>
      </c>
      <c r="J573" s="50" t="e">
        <f t="shared" si="121"/>
        <v>#N/A</v>
      </c>
      <c r="K573" s="50"/>
      <c r="L573" s="267" t="e">
        <f>INDEX('calcolo base'!$H:$H, MATCH($A573, 'calcolo base'!$A:$A, 0))</f>
        <v>#N/A</v>
      </c>
      <c r="M573" s="50" t="e">
        <f t="shared" si="122"/>
        <v>#N/A</v>
      </c>
      <c r="N573" s="50" t="e">
        <f t="shared" si="123"/>
        <v>#N/A</v>
      </c>
      <c r="O573" s="50" t="e">
        <f t="shared" si="124"/>
        <v>#N/A</v>
      </c>
      <c r="P573" s="50" t="e">
        <f t="shared" si="125"/>
        <v>#N/A</v>
      </c>
      <c r="Q573" s="51" t="e">
        <f t="shared" si="126"/>
        <v>#N/A</v>
      </c>
      <c r="R573" s="205" t="e">
        <f t="shared" si="127"/>
        <v>#N/A</v>
      </c>
      <c r="S573" s="279" t="e">
        <f>IF(R573="si",0,IF(E573="si",0,IF(J573&gt;K573,0,+K573-J573)))+IF('calcolo base'!P2033="SI",('Commissioni De Angeli'!K573-'Commissioni De Angeli'!J573),0)</f>
        <v>#N/A</v>
      </c>
      <c r="T573" s="117" t="e">
        <f t="shared" si="128"/>
        <v>#N/A</v>
      </c>
      <c r="U573" s="272" t="e">
        <f>IF(Q573=0,'calcolo base'!L3172,(T573+Q573))</f>
        <v>#N/A</v>
      </c>
      <c r="V573" s="119"/>
    </row>
    <row r="574" spans="2:22">
      <c r="B574" s="47"/>
      <c r="C574" s="35"/>
      <c r="D574" s="53"/>
      <c r="E574" s="53"/>
      <c r="F574" s="48"/>
      <c r="G574" s="243" t="e">
        <f>INDEX('calcolo base'!$B:$B, MATCH($A574, 'calcolo base'!$A:$A, 0))</f>
        <v>#N/A</v>
      </c>
      <c r="H574" s="54" t="e">
        <f t="shared" si="120"/>
        <v>#N/A</v>
      </c>
      <c r="I574" s="259" t="e">
        <f>IF(  OR(      INDEX('calcolo base'!$D:$D, MATCH($A574, 'calcolo base'!$A:$A, 0)) = 0,
      INDEX('calcolo base'!$D:$D, MATCH($A574, 'calcolo base'!$A:$A, 0)) = ""   ),
   INDEX('calcolo base'!$K:$K, MATCH($A574, 'calcolo base'!$A:$A, 0)),
   INDEX('calcolo base'!$J:$J, MATCH($A574, 'calcolo base'!$A:$A, 0))
) / 1000</f>
        <v>#N/A</v>
      </c>
      <c r="J574" s="50" t="e">
        <f t="shared" si="121"/>
        <v>#N/A</v>
      </c>
      <c r="K574" s="50"/>
      <c r="L574" s="267" t="e">
        <f>INDEX('calcolo base'!$H:$H, MATCH($A574, 'calcolo base'!$A:$A, 0))</f>
        <v>#N/A</v>
      </c>
      <c r="M574" s="50" t="e">
        <f t="shared" si="122"/>
        <v>#N/A</v>
      </c>
      <c r="N574" s="50" t="e">
        <f t="shared" si="123"/>
        <v>#N/A</v>
      </c>
      <c r="O574" s="50" t="e">
        <f t="shared" si="124"/>
        <v>#N/A</v>
      </c>
      <c r="P574" s="50" t="e">
        <f t="shared" si="125"/>
        <v>#N/A</v>
      </c>
      <c r="Q574" s="51" t="e">
        <f t="shared" si="126"/>
        <v>#N/A</v>
      </c>
      <c r="R574" s="205" t="e">
        <f t="shared" si="127"/>
        <v>#N/A</v>
      </c>
      <c r="S574" s="279" t="e">
        <f>IF(R574="si",0,IF(E574="si",0,IF(J574&gt;K574,0,+K574-J574)))+IF('calcolo base'!P2034="SI",('Commissioni De Angeli'!K574-'Commissioni De Angeli'!J574),0)</f>
        <v>#N/A</v>
      </c>
      <c r="T574" s="117" t="e">
        <f t="shared" si="128"/>
        <v>#N/A</v>
      </c>
      <c r="U574" s="272" t="e">
        <f>IF(Q574=0,'calcolo base'!L3173,(T574+Q574))</f>
        <v>#N/A</v>
      </c>
      <c r="V574" s="119"/>
    </row>
    <row r="575" spans="2:22">
      <c r="B575" s="47"/>
      <c r="C575" s="35"/>
      <c r="D575" s="53"/>
      <c r="E575" s="53"/>
      <c r="F575" s="48"/>
      <c r="G575" s="243" t="e">
        <f>INDEX('calcolo base'!$B:$B, MATCH($A575, 'calcolo base'!$A:$A, 0))</f>
        <v>#N/A</v>
      </c>
      <c r="H575" s="54" t="e">
        <f t="shared" si="120"/>
        <v>#N/A</v>
      </c>
      <c r="I575" s="259" t="e">
        <f>IF(  OR(      INDEX('calcolo base'!$D:$D, MATCH($A575, 'calcolo base'!$A:$A, 0)) = 0,
      INDEX('calcolo base'!$D:$D, MATCH($A575, 'calcolo base'!$A:$A, 0)) = ""   ),
   INDEX('calcolo base'!$K:$K, MATCH($A575, 'calcolo base'!$A:$A, 0)),
   INDEX('calcolo base'!$J:$J, MATCH($A575, 'calcolo base'!$A:$A, 0))
) / 1000</f>
        <v>#N/A</v>
      </c>
      <c r="J575" s="50" t="e">
        <f t="shared" si="121"/>
        <v>#N/A</v>
      </c>
      <c r="K575" s="50"/>
      <c r="L575" s="267" t="e">
        <f>INDEX('calcolo base'!$H:$H, MATCH($A575, 'calcolo base'!$A:$A, 0))</f>
        <v>#N/A</v>
      </c>
      <c r="M575" s="50" t="e">
        <f t="shared" si="122"/>
        <v>#N/A</v>
      </c>
      <c r="N575" s="50" t="e">
        <f t="shared" si="123"/>
        <v>#N/A</v>
      </c>
      <c r="O575" s="50" t="e">
        <f t="shared" si="124"/>
        <v>#N/A</v>
      </c>
      <c r="P575" s="50" t="e">
        <f t="shared" si="125"/>
        <v>#N/A</v>
      </c>
      <c r="Q575" s="51" t="e">
        <f t="shared" si="126"/>
        <v>#N/A</v>
      </c>
      <c r="R575" s="205" t="e">
        <f t="shared" si="127"/>
        <v>#N/A</v>
      </c>
      <c r="S575" s="279" t="e">
        <f>IF(R575="si",0,IF(E575="si",0,IF(J575&gt;K575,0,+K575-J575)))+IF('calcolo base'!P2035="SI",('Commissioni De Angeli'!K575-'Commissioni De Angeli'!J575),0)</f>
        <v>#N/A</v>
      </c>
      <c r="T575" s="117" t="e">
        <f t="shared" si="128"/>
        <v>#N/A</v>
      </c>
      <c r="U575" s="272" t="e">
        <f>IF(Q575=0,'calcolo base'!L3174,(T575+Q575))</f>
        <v>#N/A</v>
      </c>
      <c r="V575" s="119"/>
    </row>
    <row r="576" spans="2:22">
      <c r="B576" s="47"/>
      <c r="C576" s="35"/>
      <c r="D576" s="53"/>
      <c r="E576" s="53"/>
      <c r="F576" s="48"/>
      <c r="G576" s="243" t="e">
        <f>INDEX('calcolo base'!$B:$B, MATCH($A576, 'calcolo base'!$A:$A, 0))</f>
        <v>#N/A</v>
      </c>
      <c r="H576" s="54" t="e">
        <f t="shared" si="120"/>
        <v>#N/A</v>
      </c>
      <c r="I576" s="259" t="e">
        <f>IF(  OR(      INDEX('calcolo base'!$D:$D, MATCH($A576, 'calcolo base'!$A:$A, 0)) = 0,
      INDEX('calcolo base'!$D:$D, MATCH($A576, 'calcolo base'!$A:$A, 0)) = ""   ),
   INDEX('calcolo base'!$K:$K, MATCH($A576, 'calcolo base'!$A:$A, 0)),
   INDEX('calcolo base'!$J:$J, MATCH($A576, 'calcolo base'!$A:$A, 0))
) / 1000</f>
        <v>#N/A</v>
      </c>
      <c r="J576" s="50" t="e">
        <f t="shared" si="121"/>
        <v>#N/A</v>
      </c>
      <c r="K576" s="50"/>
      <c r="L576" s="267" t="e">
        <f>INDEX('calcolo base'!$H:$H, MATCH($A576, 'calcolo base'!$A:$A, 0))</f>
        <v>#N/A</v>
      </c>
      <c r="M576" s="50" t="e">
        <f t="shared" si="122"/>
        <v>#N/A</v>
      </c>
      <c r="N576" s="50" t="e">
        <f t="shared" si="123"/>
        <v>#N/A</v>
      </c>
      <c r="O576" s="50" t="e">
        <f t="shared" si="124"/>
        <v>#N/A</v>
      </c>
      <c r="P576" s="50" t="e">
        <f t="shared" si="125"/>
        <v>#N/A</v>
      </c>
      <c r="Q576" s="51" t="e">
        <f t="shared" si="126"/>
        <v>#N/A</v>
      </c>
      <c r="R576" s="205" t="e">
        <f t="shared" si="127"/>
        <v>#N/A</v>
      </c>
      <c r="S576" s="279" t="e">
        <f>IF(R576="si",0,IF(E576="si",0,IF(J576&gt;K576,0,+K576-J576)))+IF('calcolo base'!P2036="SI",('Commissioni De Angeli'!K576-'Commissioni De Angeli'!J576),0)</f>
        <v>#N/A</v>
      </c>
      <c r="T576" s="117" t="e">
        <f t="shared" si="128"/>
        <v>#N/A</v>
      </c>
      <c r="U576" s="272" t="e">
        <f>IF(Q576=0,'calcolo base'!L3175,(T576+Q576))</f>
        <v>#N/A</v>
      </c>
      <c r="V576" s="119"/>
    </row>
    <row r="577" spans="2:22">
      <c r="B577" s="47"/>
      <c r="C577" s="35"/>
      <c r="D577" s="53"/>
      <c r="E577" s="53"/>
      <c r="F577" s="48"/>
      <c r="G577" s="243" t="e">
        <f>INDEX('calcolo base'!$B:$B, MATCH($A577, 'calcolo base'!$A:$A, 0))</f>
        <v>#N/A</v>
      </c>
      <c r="H577" s="54" t="e">
        <f t="shared" si="120"/>
        <v>#N/A</v>
      </c>
      <c r="I577" s="259" t="e">
        <f>IF(  OR(      INDEX('calcolo base'!$D:$D, MATCH($A577, 'calcolo base'!$A:$A, 0)) = 0,
      INDEX('calcolo base'!$D:$D, MATCH($A577, 'calcolo base'!$A:$A, 0)) = ""   ),
   INDEX('calcolo base'!$K:$K, MATCH($A577, 'calcolo base'!$A:$A, 0)),
   INDEX('calcolo base'!$J:$J, MATCH($A577, 'calcolo base'!$A:$A, 0))
) / 1000</f>
        <v>#N/A</v>
      </c>
      <c r="J577" s="50" t="e">
        <f t="shared" si="121"/>
        <v>#N/A</v>
      </c>
      <c r="K577" s="50"/>
      <c r="L577" s="267" t="e">
        <f>INDEX('calcolo base'!$H:$H, MATCH($A577, 'calcolo base'!$A:$A, 0))</f>
        <v>#N/A</v>
      </c>
      <c r="M577" s="50" t="e">
        <f t="shared" si="122"/>
        <v>#N/A</v>
      </c>
      <c r="N577" s="50" t="e">
        <f t="shared" si="123"/>
        <v>#N/A</v>
      </c>
      <c r="O577" s="50" t="e">
        <f t="shared" si="124"/>
        <v>#N/A</v>
      </c>
      <c r="P577" s="50" t="e">
        <f t="shared" si="125"/>
        <v>#N/A</v>
      </c>
      <c r="Q577" s="51" t="e">
        <f t="shared" si="126"/>
        <v>#N/A</v>
      </c>
      <c r="R577" s="205" t="e">
        <f t="shared" si="127"/>
        <v>#N/A</v>
      </c>
      <c r="S577" s="279" t="e">
        <f>IF(R577="si",0,IF(E577="si",0,IF(J577&gt;K577,0,+K577-J577)))+IF('calcolo base'!P2037="SI",('Commissioni De Angeli'!K577-'Commissioni De Angeli'!J577),0)</f>
        <v>#N/A</v>
      </c>
      <c r="T577" s="117" t="e">
        <f t="shared" si="128"/>
        <v>#N/A</v>
      </c>
      <c r="U577" s="272" t="e">
        <f>IF(Q577=0,'calcolo base'!L3176,(T577+Q577))</f>
        <v>#N/A</v>
      </c>
      <c r="V577" s="119"/>
    </row>
    <row r="578" spans="2:22">
      <c r="B578" s="47"/>
      <c r="C578" s="35"/>
      <c r="D578" s="53"/>
      <c r="E578" s="53"/>
      <c r="F578" s="48"/>
      <c r="G578" s="243" t="e">
        <f>INDEX('calcolo base'!$B:$B, MATCH($A578, 'calcolo base'!$A:$A, 0))</f>
        <v>#N/A</v>
      </c>
      <c r="H578" s="54" t="e">
        <f t="shared" si="120"/>
        <v>#N/A</v>
      </c>
      <c r="I578" s="259" t="e">
        <f>IF(  OR(      INDEX('calcolo base'!$D:$D, MATCH($A578, 'calcolo base'!$A:$A, 0)) = 0,
      INDEX('calcolo base'!$D:$D, MATCH($A578, 'calcolo base'!$A:$A, 0)) = ""   ),
   INDEX('calcolo base'!$K:$K, MATCH($A578, 'calcolo base'!$A:$A, 0)),
   INDEX('calcolo base'!$J:$J, MATCH($A578, 'calcolo base'!$A:$A, 0))
) / 1000</f>
        <v>#N/A</v>
      </c>
      <c r="J578" s="50" t="e">
        <f t="shared" si="121"/>
        <v>#N/A</v>
      </c>
      <c r="K578" s="50"/>
      <c r="L578" s="267" t="e">
        <f>INDEX('calcolo base'!$H:$H, MATCH($A578, 'calcolo base'!$A:$A, 0))</f>
        <v>#N/A</v>
      </c>
      <c r="M578" s="50" t="e">
        <f t="shared" si="122"/>
        <v>#N/A</v>
      </c>
      <c r="N578" s="50" t="e">
        <f t="shared" si="123"/>
        <v>#N/A</v>
      </c>
      <c r="O578" s="50" t="e">
        <f t="shared" si="124"/>
        <v>#N/A</v>
      </c>
      <c r="P578" s="50" t="e">
        <f t="shared" si="125"/>
        <v>#N/A</v>
      </c>
      <c r="Q578" s="51" t="e">
        <f t="shared" si="126"/>
        <v>#N/A</v>
      </c>
      <c r="R578" s="205" t="e">
        <f t="shared" si="127"/>
        <v>#N/A</v>
      </c>
      <c r="S578" s="279" t="e">
        <f>IF(R578="si",0,IF(E578="si",0,IF(J578&gt;K578,0,+K578-J578)))+IF('calcolo base'!P2038="SI",('Commissioni De Angeli'!K578-'Commissioni De Angeli'!J578),0)</f>
        <v>#N/A</v>
      </c>
      <c r="T578" s="117" t="e">
        <f t="shared" si="128"/>
        <v>#N/A</v>
      </c>
      <c r="U578" s="272" t="e">
        <f>IF(Q578=0,'calcolo base'!L3177,(T578+Q578))</f>
        <v>#N/A</v>
      </c>
      <c r="V578" s="119"/>
    </row>
    <row r="579" spans="2:22">
      <c r="B579" s="47"/>
      <c r="C579" s="35"/>
      <c r="D579" s="53"/>
      <c r="E579" s="53"/>
      <c r="F579" s="48"/>
      <c r="G579" s="243" t="e">
        <f>INDEX('calcolo base'!$B:$B, MATCH($A579, 'calcolo base'!$A:$A, 0))</f>
        <v>#N/A</v>
      </c>
      <c r="H579" s="54" t="e">
        <f t="shared" si="120"/>
        <v>#N/A</v>
      </c>
      <c r="I579" s="259" t="e">
        <f>IF(  OR(      INDEX('calcolo base'!$D:$D, MATCH($A579, 'calcolo base'!$A:$A, 0)) = 0,
      INDEX('calcolo base'!$D:$D, MATCH($A579, 'calcolo base'!$A:$A, 0)) = ""   ),
   INDEX('calcolo base'!$K:$K, MATCH($A579, 'calcolo base'!$A:$A, 0)),
   INDEX('calcolo base'!$J:$J, MATCH($A579, 'calcolo base'!$A:$A, 0))
) / 1000</f>
        <v>#N/A</v>
      </c>
      <c r="J579" s="50" t="e">
        <f t="shared" si="121"/>
        <v>#N/A</v>
      </c>
      <c r="K579" s="50"/>
      <c r="L579" s="267" t="e">
        <f>INDEX('calcolo base'!$H:$H, MATCH($A579, 'calcolo base'!$A:$A, 0))</f>
        <v>#N/A</v>
      </c>
      <c r="M579" s="50" t="e">
        <f t="shared" si="122"/>
        <v>#N/A</v>
      </c>
      <c r="N579" s="50" t="e">
        <f t="shared" si="123"/>
        <v>#N/A</v>
      </c>
      <c r="O579" s="50" t="e">
        <f t="shared" si="124"/>
        <v>#N/A</v>
      </c>
      <c r="P579" s="50" t="e">
        <f t="shared" si="125"/>
        <v>#N/A</v>
      </c>
      <c r="Q579" s="51" t="e">
        <f t="shared" si="126"/>
        <v>#N/A</v>
      </c>
      <c r="R579" s="205" t="e">
        <f t="shared" si="127"/>
        <v>#N/A</v>
      </c>
      <c r="S579" s="279" t="e">
        <f>IF(R579="si",0,IF(E579="si",0,IF(J579&gt;K579,0,+K579-J579)))+IF('calcolo base'!P2039="SI",('Commissioni De Angeli'!K579-'Commissioni De Angeli'!J579),0)</f>
        <v>#N/A</v>
      </c>
      <c r="T579" s="117" t="e">
        <f t="shared" si="128"/>
        <v>#N/A</v>
      </c>
      <c r="U579" s="272" t="e">
        <f>IF(Q579=0,'calcolo base'!L3178,(T579+Q579))</f>
        <v>#N/A</v>
      </c>
      <c r="V579" s="119"/>
    </row>
    <row r="580" spans="2:22">
      <c r="B580" s="47"/>
      <c r="C580" s="35"/>
      <c r="D580" s="53"/>
      <c r="E580" s="53"/>
      <c r="F580" s="48"/>
      <c r="G580" s="243" t="e">
        <f>INDEX('calcolo base'!$B:$B, MATCH($A580, 'calcolo base'!$A:$A, 0))</f>
        <v>#N/A</v>
      </c>
      <c r="H580" s="54" t="e">
        <f t="shared" si="120"/>
        <v>#N/A</v>
      </c>
      <c r="I580" s="259" t="e">
        <f>IF(  OR(      INDEX('calcolo base'!$D:$D, MATCH($A580, 'calcolo base'!$A:$A, 0)) = 0,
      INDEX('calcolo base'!$D:$D, MATCH($A580, 'calcolo base'!$A:$A, 0)) = ""   ),
   INDEX('calcolo base'!$K:$K, MATCH($A580, 'calcolo base'!$A:$A, 0)),
   INDEX('calcolo base'!$J:$J, MATCH($A580, 'calcolo base'!$A:$A, 0))
) / 1000</f>
        <v>#N/A</v>
      </c>
      <c r="J580" s="50" t="e">
        <f t="shared" si="121"/>
        <v>#N/A</v>
      </c>
      <c r="K580" s="50"/>
      <c r="L580" s="267" t="e">
        <f>INDEX('calcolo base'!$H:$H, MATCH($A580, 'calcolo base'!$A:$A, 0))</f>
        <v>#N/A</v>
      </c>
      <c r="M580" s="50" t="e">
        <f t="shared" si="122"/>
        <v>#N/A</v>
      </c>
      <c r="N580" s="50" t="e">
        <f t="shared" si="123"/>
        <v>#N/A</v>
      </c>
      <c r="O580" s="50" t="e">
        <f t="shared" si="124"/>
        <v>#N/A</v>
      </c>
      <c r="P580" s="50" t="e">
        <f t="shared" si="125"/>
        <v>#N/A</v>
      </c>
      <c r="Q580" s="51" t="e">
        <f t="shared" si="126"/>
        <v>#N/A</v>
      </c>
      <c r="R580" s="205" t="e">
        <f t="shared" si="127"/>
        <v>#N/A</v>
      </c>
      <c r="S580" s="279" t="e">
        <f>IF(R580="si",0,IF(E580="si",0,IF(J580&gt;K580,0,+K580-J580)))+IF('calcolo base'!P2040="SI",('Commissioni De Angeli'!K580-'Commissioni De Angeli'!J580),0)</f>
        <v>#N/A</v>
      </c>
      <c r="T580" s="117" t="e">
        <f t="shared" si="128"/>
        <v>#N/A</v>
      </c>
      <c r="U580" s="272" t="e">
        <f>IF(Q580=0,'calcolo base'!L3179,(T580+Q580))</f>
        <v>#N/A</v>
      </c>
      <c r="V580" s="119"/>
    </row>
    <row r="581" spans="2:22">
      <c r="B581" s="47"/>
      <c r="C581" s="35"/>
      <c r="D581" s="53"/>
      <c r="E581" s="53"/>
      <c r="F581" s="48"/>
      <c r="G581" s="243" t="e">
        <f>INDEX('calcolo base'!$B:$B, MATCH($A581, 'calcolo base'!$A:$A, 0))</f>
        <v>#N/A</v>
      </c>
      <c r="H581" s="54" t="e">
        <f t="shared" si="120"/>
        <v>#N/A</v>
      </c>
      <c r="I581" s="259" t="e">
        <f>IF(  OR(      INDEX('calcolo base'!$D:$D, MATCH($A581, 'calcolo base'!$A:$A, 0)) = 0,
      INDEX('calcolo base'!$D:$D, MATCH($A581, 'calcolo base'!$A:$A, 0)) = ""   ),
   INDEX('calcolo base'!$K:$K, MATCH($A581, 'calcolo base'!$A:$A, 0)),
   INDEX('calcolo base'!$J:$J, MATCH($A581, 'calcolo base'!$A:$A, 0))
) / 1000</f>
        <v>#N/A</v>
      </c>
      <c r="J581" s="50" t="e">
        <f t="shared" si="121"/>
        <v>#N/A</v>
      </c>
      <c r="K581" s="50"/>
      <c r="L581" s="267" t="e">
        <f>INDEX('calcolo base'!$H:$H, MATCH($A581, 'calcolo base'!$A:$A, 0))</f>
        <v>#N/A</v>
      </c>
      <c r="M581" s="50" t="e">
        <f t="shared" si="122"/>
        <v>#N/A</v>
      </c>
      <c r="N581" s="50" t="e">
        <f t="shared" si="123"/>
        <v>#N/A</v>
      </c>
      <c r="O581" s="50" t="e">
        <f t="shared" si="124"/>
        <v>#N/A</v>
      </c>
      <c r="P581" s="50" t="e">
        <f t="shared" si="125"/>
        <v>#N/A</v>
      </c>
      <c r="Q581" s="51" t="e">
        <f t="shared" si="126"/>
        <v>#N/A</v>
      </c>
      <c r="R581" s="205" t="e">
        <f t="shared" si="127"/>
        <v>#N/A</v>
      </c>
      <c r="S581" s="279" t="e">
        <f>IF(R581="si",0,IF(E581="si",0,IF(J581&gt;K581,0,+K581-J581)))+IF('calcolo base'!P2041="SI",('Commissioni De Angeli'!K581-'Commissioni De Angeli'!J581),0)</f>
        <v>#N/A</v>
      </c>
      <c r="T581" s="117" t="e">
        <f t="shared" si="128"/>
        <v>#N/A</v>
      </c>
      <c r="U581" s="272" t="e">
        <f>IF(Q581=0,'calcolo base'!L3180,(T581+Q581))</f>
        <v>#N/A</v>
      </c>
      <c r="V581" s="119"/>
    </row>
    <row r="582" spans="2:22">
      <c r="B582" s="47"/>
      <c r="C582" s="35"/>
      <c r="D582" s="53"/>
      <c r="E582" s="53"/>
      <c r="F582" s="48"/>
      <c r="G582" s="243" t="e">
        <f>INDEX('calcolo base'!$B:$B, MATCH($A582, 'calcolo base'!$A:$A, 0))</f>
        <v>#N/A</v>
      </c>
      <c r="H582" s="54" t="e">
        <f t="shared" si="120"/>
        <v>#N/A</v>
      </c>
      <c r="I582" s="259" t="e">
        <f>IF(  OR(      INDEX('calcolo base'!$D:$D, MATCH($A582, 'calcolo base'!$A:$A, 0)) = 0,
      INDEX('calcolo base'!$D:$D, MATCH($A582, 'calcolo base'!$A:$A, 0)) = ""   ),
   INDEX('calcolo base'!$K:$K, MATCH($A582, 'calcolo base'!$A:$A, 0)),
   INDEX('calcolo base'!$J:$J, MATCH($A582, 'calcolo base'!$A:$A, 0))
) / 1000</f>
        <v>#N/A</v>
      </c>
      <c r="J582" s="50" t="e">
        <f t="shared" si="121"/>
        <v>#N/A</v>
      </c>
      <c r="K582" s="50"/>
      <c r="L582" s="267" t="e">
        <f>INDEX('calcolo base'!$H:$H, MATCH($A582, 'calcolo base'!$A:$A, 0))</f>
        <v>#N/A</v>
      </c>
      <c r="M582" s="50" t="e">
        <f t="shared" si="122"/>
        <v>#N/A</v>
      </c>
      <c r="N582" s="50" t="e">
        <f t="shared" si="123"/>
        <v>#N/A</v>
      </c>
      <c r="O582" s="50" t="e">
        <f t="shared" si="124"/>
        <v>#N/A</v>
      </c>
      <c r="P582" s="50" t="e">
        <f t="shared" si="125"/>
        <v>#N/A</v>
      </c>
      <c r="Q582" s="51" t="e">
        <f t="shared" si="126"/>
        <v>#N/A</v>
      </c>
      <c r="R582" s="205" t="e">
        <f t="shared" si="127"/>
        <v>#N/A</v>
      </c>
      <c r="S582" s="279" t="e">
        <f>IF(R582="si",0,IF(E582="si",0,IF(J582&gt;K582,0,+K582-J582)))+IF('calcolo base'!P2042="SI",('Commissioni De Angeli'!K582-'Commissioni De Angeli'!J582),0)</f>
        <v>#N/A</v>
      </c>
      <c r="T582" s="117" t="e">
        <f t="shared" si="128"/>
        <v>#N/A</v>
      </c>
      <c r="U582" s="272" t="e">
        <f>IF(Q582=0,'calcolo base'!L3181,(T582+Q582))</f>
        <v>#N/A</v>
      </c>
      <c r="V582" s="119"/>
    </row>
    <row r="583" spans="2:22">
      <c r="B583" s="47"/>
      <c r="C583" s="35"/>
      <c r="D583" s="53"/>
      <c r="E583" s="53"/>
      <c r="F583" s="48"/>
      <c r="G583" s="243" t="e">
        <f>INDEX('calcolo base'!$B:$B, MATCH($A583, 'calcolo base'!$A:$A, 0))</f>
        <v>#N/A</v>
      </c>
      <c r="H583" s="54" t="e">
        <f t="shared" si="120"/>
        <v>#N/A</v>
      </c>
      <c r="I583" s="259" t="e">
        <f>IF(  OR(      INDEX('calcolo base'!$D:$D, MATCH($A583, 'calcolo base'!$A:$A, 0)) = 0,
      INDEX('calcolo base'!$D:$D, MATCH($A583, 'calcolo base'!$A:$A, 0)) = ""   ),
   INDEX('calcolo base'!$K:$K, MATCH($A583, 'calcolo base'!$A:$A, 0)),
   INDEX('calcolo base'!$J:$J, MATCH($A583, 'calcolo base'!$A:$A, 0))
) / 1000</f>
        <v>#N/A</v>
      </c>
      <c r="J583" s="50" t="e">
        <f t="shared" si="121"/>
        <v>#N/A</v>
      </c>
      <c r="K583" s="50"/>
      <c r="L583" s="267" t="e">
        <f>INDEX('calcolo base'!$H:$H, MATCH($A583, 'calcolo base'!$A:$A, 0))</f>
        <v>#N/A</v>
      </c>
      <c r="M583" s="50" t="e">
        <f t="shared" si="122"/>
        <v>#N/A</v>
      </c>
      <c r="N583" s="50" t="e">
        <f t="shared" si="123"/>
        <v>#N/A</v>
      </c>
      <c r="O583" s="50" t="e">
        <f t="shared" si="124"/>
        <v>#N/A</v>
      </c>
      <c r="P583" s="50" t="e">
        <f t="shared" si="125"/>
        <v>#N/A</v>
      </c>
      <c r="Q583" s="51" t="e">
        <f t="shared" si="126"/>
        <v>#N/A</v>
      </c>
      <c r="R583" s="205" t="e">
        <f t="shared" si="127"/>
        <v>#N/A</v>
      </c>
      <c r="S583" s="279" t="e">
        <f>IF(R583="si",0,IF(E583="si",0,IF(J583&gt;K583,0,+K583-J583)))+IF('calcolo base'!P2043="SI",('Commissioni De Angeli'!K583-'Commissioni De Angeli'!J583),0)</f>
        <v>#N/A</v>
      </c>
      <c r="T583" s="117" t="e">
        <f t="shared" si="128"/>
        <v>#N/A</v>
      </c>
      <c r="U583" s="272" t="e">
        <f>IF(Q583=0,'calcolo base'!L3182,(T583+Q583))</f>
        <v>#N/A</v>
      </c>
      <c r="V583" s="119"/>
    </row>
    <row r="584" spans="2:22">
      <c r="B584" s="47"/>
      <c r="C584" s="35"/>
      <c r="D584" s="53"/>
      <c r="E584" s="53"/>
      <c r="F584" s="48"/>
      <c r="G584" s="243" t="e">
        <f>INDEX('calcolo base'!$B:$B, MATCH($A584, 'calcolo base'!$A:$A, 0))</f>
        <v>#N/A</v>
      </c>
      <c r="H584" s="54" t="e">
        <f t="shared" si="120"/>
        <v>#N/A</v>
      </c>
      <c r="I584" s="259" t="e">
        <f>IF(  OR(      INDEX('calcolo base'!$D:$D, MATCH($A584, 'calcolo base'!$A:$A, 0)) = 0,
      INDEX('calcolo base'!$D:$D, MATCH($A584, 'calcolo base'!$A:$A, 0)) = ""   ),
   INDEX('calcolo base'!$K:$K, MATCH($A584, 'calcolo base'!$A:$A, 0)),
   INDEX('calcolo base'!$J:$J, MATCH($A584, 'calcolo base'!$A:$A, 0))
) / 1000</f>
        <v>#N/A</v>
      </c>
      <c r="J584" s="50" t="e">
        <f t="shared" si="121"/>
        <v>#N/A</v>
      </c>
      <c r="K584" s="50"/>
      <c r="L584" s="267" t="e">
        <f>INDEX('calcolo base'!$H:$H, MATCH($A584, 'calcolo base'!$A:$A, 0))</f>
        <v>#N/A</v>
      </c>
      <c r="M584" s="50" t="e">
        <f t="shared" si="122"/>
        <v>#N/A</v>
      </c>
      <c r="N584" s="50" t="e">
        <f t="shared" si="123"/>
        <v>#N/A</v>
      </c>
      <c r="O584" s="50" t="e">
        <f t="shared" si="124"/>
        <v>#N/A</v>
      </c>
      <c r="P584" s="50" t="e">
        <f t="shared" si="125"/>
        <v>#N/A</v>
      </c>
      <c r="Q584" s="51" t="e">
        <f t="shared" si="126"/>
        <v>#N/A</v>
      </c>
      <c r="R584" s="205" t="e">
        <f t="shared" si="127"/>
        <v>#N/A</v>
      </c>
      <c r="S584" s="279" t="e">
        <f>IF(R584="si",0,IF(E584="si",0,IF(J584&gt;K584,0,+K584-J584)))+IF('calcolo base'!P2044="SI",('Commissioni De Angeli'!K584-'Commissioni De Angeli'!J584),0)</f>
        <v>#N/A</v>
      </c>
      <c r="T584" s="117" t="e">
        <f t="shared" si="128"/>
        <v>#N/A</v>
      </c>
      <c r="U584" s="272" t="e">
        <f>IF(Q584=0,'calcolo base'!L3183,(T584+Q584))</f>
        <v>#N/A</v>
      </c>
      <c r="V584" s="119"/>
    </row>
    <row r="585" spans="2:22">
      <c r="B585" s="47"/>
      <c r="C585" s="35"/>
      <c r="D585" s="53"/>
      <c r="E585" s="53"/>
      <c r="F585" s="48"/>
      <c r="G585" s="243" t="e">
        <f>INDEX('calcolo base'!$B:$B, MATCH($A585, 'calcolo base'!$A:$A, 0))</f>
        <v>#N/A</v>
      </c>
      <c r="H585" s="54" t="e">
        <f t="shared" si="120"/>
        <v>#N/A</v>
      </c>
      <c r="I585" s="259" t="e">
        <f>IF(  OR(      INDEX('calcolo base'!$D:$D, MATCH($A585, 'calcolo base'!$A:$A, 0)) = 0,
      INDEX('calcolo base'!$D:$D, MATCH($A585, 'calcolo base'!$A:$A, 0)) = ""   ),
   INDEX('calcolo base'!$K:$K, MATCH($A585, 'calcolo base'!$A:$A, 0)),
   INDEX('calcolo base'!$J:$J, MATCH($A585, 'calcolo base'!$A:$A, 0))
) / 1000</f>
        <v>#N/A</v>
      </c>
      <c r="J585" s="50" t="e">
        <f t="shared" si="121"/>
        <v>#N/A</v>
      </c>
      <c r="K585" s="50"/>
      <c r="L585" s="267" t="e">
        <f>INDEX('calcolo base'!$H:$H, MATCH($A585, 'calcolo base'!$A:$A, 0))</f>
        <v>#N/A</v>
      </c>
      <c r="M585" s="50" t="e">
        <f t="shared" si="122"/>
        <v>#N/A</v>
      </c>
      <c r="N585" s="50" t="e">
        <f t="shared" si="123"/>
        <v>#N/A</v>
      </c>
      <c r="O585" s="50" t="e">
        <f t="shared" si="124"/>
        <v>#N/A</v>
      </c>
      <c r="P585" s="50" t="e">
        <f t="shared" si="125"/>
        <v>#N/A</v>
      </c>
      <c r="Q585" s="51" t="e">
        <f t="shared" si="126"/>
        <v>#N/A</v>
      </c>
      <c r="R585" s="205" t="e">
        <f t="shared" si="127"/>
        <v>#N/A</v>
      </c>
      <c r="S585" s="279" t="e">
        <f>IF(R585="si",0,IF(E585="si",0,IF(J585&gt;K585,0,+K585-J585)))+IF('calcolo base'!P2045="SI",('Commissioni De Angeli'!K585-'Commissioni De Angeli'!J585),0)</f>
        <v>#N/A</v>
      </c>
      <c r="T585" s="117" t="e">
        <f t="shared" si="128"/>
        <v>#N/A</v>
      </c>
      <c r="U585" s="272" t="e">
        <f>IF(Q585=0,'calcolo base'!L3184,(T585+Q585))</f>
        <v>#N/A</v>
      </c>
      <c r="V585" s="119"/>
    </row>
    <row r="586" spans="2:22">
      <c r="B586" s="47"/>
      <c r="C586" s="35"/>
      <c r="D586" s="53"/>
      <c r="E586" s="53"/>
      <c r="F586" s="48"/>
      <c r="G586" s="243" t="e">
        <f>INDEX('calcolo base'!$B:$B, MATCH($A586, 'calcolo base'!$A:$A, 0))</f>
        <v>#N/A</v>
      </c>
      <c r="H586" s="54" t="e">
        <f t="shared" si="120"/>
        <v>#N/A</v>
      </c>
      <c r="I586" s="259" t="e">
        <f>IF(  OR(      INDEX('calcolo base'!$D:$D, MATCH($A586, 'calcolo base'!$A:$A, 0)) = 0,
      INDEX('calcolo base'!$D:$D, MATCH($A586, 'calcolo base'!$A:$A, 0)) = ""   ),
   INDEX('calcolo base'!$K:$K, MATCH($A586, 'calcolo base'!$A:$A, 0)),
   INDEX('calcolo base'!$J:$J, MATCH($A586, 'calcolo base'!$A:$A, 0))
) / 1000</f>
        <v>#N/A</v>
      </c>
      <c r="J586" s="50" t="e">
        <f t="shared" si="121"/>
        <v>#N/A</v>
      </c>
      <c r="K586" s="50"/>
      <c r="L586" s="267" t="e">
        <f>INDEX('calcolo base'!$H:$H, MATCH($A586, 'calcolo base'!$A:$A, 0))</f>
        <v>#N/A</v>
      </c>
      <c r="M586" s="50" t="e">
        <f t="shared" si="122"/>
        <v>#N/A</v>
      </c>
      <c r="N586" s="50" t="e">
        <f t="shared" si="123"/>
        <v>#N/A</v>
      </c>
      <c r="O586" s="50" t="e">
        <f t="shared" si="124"/>
        <v>#N/A</v>
      </c>
      <c r="P586" s="50" t="e">
        <f t="shared" si="125"/>
        <v>#N/A</v>
      </c>
      <c r="Q586" s="51" t="e">
        <f t="shared" si="126"/>
        <v>#N/A</v>
      </c>
      <c r="R586" s="205" t="e">
        <f t="shared" si="127"/>
        <v>#N/A</v>
      </c>
      <c r="S586" s="279" t="e">
        <f>IF(R586="si",0,IF(E586="si",0,IF(J586&gt;K586,0,+K586-J586)))+IF('calcolo base'!P2046="SI",('Commissioni De Angeli'!K586-'Commissioni De Angeli'!J586),0)</f>
        <v>#N/A</v>
      </c>
      <c r="T586" s="117" t="e">
        <f t="shared" si="128"/>
        <v>#N/A</v>
      </c>
      <c r="U586" s="272" t="e">
        <f>IF(Q586=0,'calcolo base'!L3185,(T586+Q586))</f>
        <v>#N/A</v>
      </c>
      <c r="V586" s="119"/>
    </row>
    <row r="587" spans="2:22">
      <c r="B587" s="47"/>
      <c r="C587" s="35"/>
      <c r="D587" s="53"/>
      <c r="E587" s="53"/>
      <c r="F587" s="48"/>
      <c r="G587" s="243" t="e">
        <f>INDEX('calcolo base'!$B:$B, MATCH($A587, 'calcolo base'!$A:$A, 0))</f>
        <v>#N/A</v>
      </c>
      <c r="H587" s="54" t="e">
        <f t="shared" si="120"/>
        <v>#N/A</v>
      </c>
      <c r="I587" s="259" t="e">
        <f>IF(  OR(      INDEX('calcolo base'!$D:$D, MATCH($A587, 'calcolo base'!$A:$A, 0)) = 0,
      INDEX('calcolo base'!$D:$D, MATCH($A587, 'calcolo base'!$A:$A, 0)) = ""   ),
   INDEX('calcolo base'!$K:$K, MATCH($A587, 'calcolo base'!$A:$A, 0)),
   INDEX('calcolo base'!$J:$J, MATCH($A587, 'calcolo base'!$A:$A, 0))
) / 1000</f>
        <v>#N/A</v>
      </c>
      <c r="J587" s="50" t="e">
        <f t="shared" si="121"/>
        <v>#N/A</v>
      </c>
      <c r="K587" s="50"/>
      <c r="L587" s="267" t="e">
        <f>INDEX('calcolo base'!$H:$H, MATCH($A587, 'calcolo base'!$A:$A, 0))</f>
        <v>#N/A</v>
      </c>
      <c r="M587" s="50" t="e">
        <f t="shared" si="122"/>
        <v>#N/A</v>
      </c>
      <c r="N587" s="50" t="e">
        <f t="shared" si="123"/>
        <v>#N/A</v>
      </c>
      <c r="O587" s="50" t="e">
        <f t="shared" si="124"/>
        <v>#N/A</v>
      </c>
      <c r="P587" s="50" t="e">
        <f t="shared" si="125"/>
        <v>#N/A</v>
      </c>
      <c r="Q587" s="51" t="e">
        <f t="shared" si="126"/>
        <v>#N/A</v>
      </c>
      <c r="R587" s="205" t="e">
        <f t="shared" si="127"/>
        <v>#N/A</v>
      </c>
      <c r="S587" s="279" t="e">
        <f>IF(R587="si",0,IF(E587="si",0,IF(J587&gt;K587,0,+K587-J587)))+IF('calcolo base'!P2047="SI",('Commissioni De Angeli'!K587-'Commissioni De Angeli'!J587),0)</f>
        <v>#N/A</v>
      </c>
      <c r="T587" s="117" t="e">
        <f t="shared" si="128"/>
        <v>#N/A</v>
      </c>
      <c r="U587" s="272" t="e">
        <f>IF(Q587=0,'calcolo base'!L3186,(T587+Q587))</f>
        <v>#N/A</v>
      </c>
      <c r="V587" s="119"/>
    </row>
    <row r="588" spans="2:22">
      <c r="B588" s="47"/>
      <c r="C588" s="35"/>
      <c r="D588" s="53"/>
      <c r="E588" s="53"/>
      <c r="F588" s="48"/>
      <c r="G588" s="243" t="e">
        <f>INDEX('calcolo base'!$B:$B, MATCH($A588, 'calcolo base'!$A:$A, 0))</f>
        <v>#N/A</v>
      </c>
      <c r="H588" s="54" t="e">
        <f t="shared" si="120"/>
        <v>#N/A</v>
      </c>
      <c r="I588" s="259" t="e">
        <f>IF(  OR(      INDEX('calcolo base'!$D:$D, MATCH($A588, 'calcolo base'!$A:$A, 0)) = 0,
      INDEX('calcolo base'!$D:$D, MATCH($A588, 'calcolo base'!$A:$A, 0)) = ""   ),
   INDEX('calcolo base'!$K:$K, MATCH($A588, 'calcolo base'!$A:$A, 0)),
   INDEX('calcolo base'!$J:$J, MATCH($A588, 'calcolo base'!$A:$A, 0))
) / 1000</f>
        <v>#N/A</v>
      </c>
      <c r="J588" s="50" t="e">
        <f t="shared" si="121"/>
        <v>#N/A</v>
      </c>
      <c r="K588" s="50"/>
      <c r="L588" s="267" t="e">
        <f>INDEX('calcolo base'!$H:$H, MATCH($A588, 'calcolo base'!$A:$A, 0))</f>
        <v>#N/A</v>
      </c>
      <c r="M588" s="50" t="e">
        <f t="shared" si="122"/>
        <v>#N/A</v>
      </c>
      <c r="N588" s="50" t="e">
        <f t="shared" si="123"/>
        <v>#N/A</v>
      </c>
      <c r="O588" s="50" t="e">
        <f t="shared" si="124"/>
        <v>#N/A</v>
      </c>
      <c r="P588" s="50" t="e">
        <f t="shared" si="125"/>
        <v>#N/A</v>
      </c>
      <c r="Q588" s="51" t="e">
        <f t="shared" si="126"/>
        <v>#N/A</v>
      </c>
      <c r="R588" s="205" t="e">
        <f t="shared" si="127"/>
        <v>#N/A</v>
      </c>
      <c r="S588" s="279" t="e">
        <f>IF(R588="si",0,IF(E588="si",0,IF(J588&gt;K588,0,+K588-J588)))+IF('calcolo base'!P2048="SI",('Commissioni De Angeli'!K588-'Commissioni De Angeli'!J588),0)</f>
        <v>#N/A</v>
      </c>
      <c r="T588" s="117" t="e">
        <f t="shared" si="128"/>
        <v>#N/A</v>
      </c>
      <c r="U588" s="272" t="e">
        <f>IF(Q588=0,'calcolo base'!L3187,(T588+Q588))</f>
        <v>#N/A</v>
      </c>
      <c r="V588" s="119"/>
    </row>
    <row r="589" spans="2:22">
      <c r="B589" s="47"/>
      <c r="C589" s="35"/>
      <c r="D589" s="53"/>
      <c r="E589" s="53"/>
      <c r="F589" s="48"/>
      <c r="G589" s="243" t="e">
        <f>INDEX('calcolo base'!$B:$B, MATCH($A589, 'calcolo base'!$A:$A, 0))</f>
        <v>#N/A</v>
      </c>
      <c r="H589" s="54" t="e">
        <f t="shared" si="120"/>
        <v>#N/A</v>
      </c>
      <c r="I589" s="259" t="e">
        <f>IF(  OR(      INDEX('calcolo base'!$D:$D, MATCH($A589, 'calcolo base'!$A:$A, 0)) = 0,
      INDEX('calcolo base'!$D:$D, MATCH($A589, 'calcolo base'!$A:$A, 0)) = ""   ),
   INDEX('calcolo base'!$K:$K, MATCH($A589, 'calcolo base'!$A:$A, 0)),
   INDEX('calcolo base'!$J:$J, MATCH($A589, 'calcolo base'!$A:$A, 0))
) / 1000</f>
        <v>#N/A</v>
      </c>
      <c r="J589" s="50" t="e">
        <f t="shared" si="121"/>
        <v>#N/A</v>
      </c>
      <c r="K589" s="50"/>
      <c r="L589" s="267" t="e">
        <f>INDEX('calcolo base'!$H:$H, MATCH($A589, 'calcolo base'!$A:$A, 0))</f>
        <v>#N/A</v>
      </c>
      <c r="M589" s="50" t="e">
        <f t="shared" si="122"/>
        <v>#N/A</v>
      </c>
      <c r="N589" s="50" t="e">
        <f t="shared" si="123"/>
        <v>#N/A</v>
      </c>
      <c r="O589" s="50" t="e">
        <f t="shared" si="124"/>
        <v>#N/A</v>
      </c>
      <c r="P589" s="50" t="e">
        <f t="shared" si="125"/>
        <v>#N/A</v>
      </c>
      <c r="Q589" s="51" t="e">
        <f t="shared" si="126"/>
        <v>#N/A</v>
      </c>
      <c r="R589" s="205" t="e">
        <f t="shared" si="127"/>
        <v>#N/A</v>
      </c>
      <c r="S589" s="279" t="e">
        <f>IF(R589="si",0,IF(E589="si",0,IF(J589&gt;K589,0,+K589-J589)))+IF('calcolo base'!P2049="SI",('Commissioni De Angeli'!K589-'Commissioni De Angeli'!J589),0)</f>
        <v>#N/A</v>
      </c>
      <c r="T589" s="117" t="e">
        <f t="shared" si="128"/>
        <v>#N/A</v>
      </c>
      <c r="U589" s="272" t="e">
        <f>IF(Q589=0,'calcolo base'!L3188,(T589+Q589))</f>
        <v>#N/A</v>
      </c>
      <c r="V589" s="119"/>
    </row>
    <row r="590" spans="2:22">
      <c r="B590" s="47"/>
      <c r="C590" s="35"/>
      <c r="D590" s="53"/>
      <c r="E590" s="53"/>
      <c r="F590" s="48"/>
      <c r="G590" s="243" t="e">
        <f>INDEX('calcolo base'!$B:$B, MATCH($A590, 'calcolo base'!$A:$A, 0))</f>
        <v>#N/A</v>
      </c>
      <c r="H590" s="54" t="e">
        <f t="shared" si="120"/>
        <v>#N/A</v>
      </c>
      <c r="I590" s="259" t="e">
        <f>IF(  OR(      INDEX('calcolo base'!$D:$D, MATCH($A590, 'calcolo base'!$A:$A, 0)) = 0,
      INDEX('calcolo base'!$D:$D, MATCH($A590, 'calcolo base'!$A:$A, 0)) = ""   ),
   INDEX('calcolo base'!$K:$K, MATCH($A590, 'calcolo base'!$A:$A, 0)),
   INDEX('calcolo base'!$J:$J, MATCH($A590, 'calcolo base'!$A:$A, 0))
) / 1000</f>
        <v>#N/A</v>
      </c>
      <c r="J590" s="50" t="e">
        <f t="shared" si="121"/>
        <v>#N/A</v>
      </c>
      <c r="K590" s="50"/>
      <c r="L590" s="267" t="e">
        <f>INDEX('calcolo base'!$H:$H, MATCH($A590, 'calcolo base'!$A:$A, 0))</f>
        <v>#N/A</v>
      </c>
      <c r="M590" s="50" t="e">
        <f t="shared" si="122"/>
        <v>#N/A</v>
      </c>
      <c r="N590" s="50" t="e">
        <f t="shared" si="123"/>
        <v>#N/A</v>
      </c>
      <c r="O590" s="50" t="e">
        <f t="shared" si="124"/>
        <v>#N/A</v>
      </c>
      <c r="P590" s="50" t="e">
        <f t="shared" si="125"/>
        <v>#N/A</v>
      </c>
      <c r="Q590" s="51" t="e">
        <f t="shared" si="126"/>
        <v>#N/A</v>
      </c>
      <c r="R590" s="205" t="e">
        <f t="shared" si="127"/>
        <v>#N/A</v>
      </c>
      <c r="S590" s="279" t="e">
        <f>IF(R590="si",0,IF(E590="si",0,IF(J590&gt;K590,0,+K590-J590)))+IF('calcolo base'!P2050="SI",('Commissioni De Angeli'!K590-'Commissioni De Angeli'!J590),0)</f>
        <v>#N/A</v>
      </c>
      <c r="T590" s="117" t="e">
        <f t="shared" si="128"/>
        <v>#N/A</v>
      </c>
      <c r="U590" s="272" t="e">
        <f>IF(Q590=0,'calcolo base'!L3189,(T590+Q590))</f>
        <v>#N/A</v>
      </c>
      <c r="V590" s="119"/>
    </row>
    <row r="591" spans="2:22">
      <c r="B591" s="47"/>
      <c r="C591" s="35"/>
      <c r="D591" s="53"/>
      <c r="E591" s="53"/>
      <c r="F591" s="48"/>
      <c r="G591" s="243" t="e">
        <f>INDEX('calcolo base'!$B:$B, MATCH($A591, 'calcolo base'!$A:$A, 0))</f>
        <v>#N/A</v>
      </c>
      <c r="H591" s="54" t="e">
        <f t="shared" si="120"/>
        <v>#N/A</v>
      </c>
      <c r="I591" s="259" t="e">
        <f>IF(  OR(      INDEX('calcolo base'!$D:$D, MATCH($A591, 'calcolo base'!$A:$A, 0)) = 0,
      INDEX('calcolo base'!$D:$D, MATCH($A591, 'calcolo base'!$A:$A, 0)) = ""   ),
   INDEX('calcolo base'!$K:$K, MATCH($A591, 'calcolo base'!$A:$A, 0)),
   INDEX('calcolo base'!$J:$J, MATCH($A591, 'calcolo base'!$A:$A, 0))
) / 1000</f>
        <v>#N/A</v>
      </c>
      <c r="J591" s="50" t="e">
        <f t="shared" si="121"/>
        <v>#N/A</v>
      </c>
      <c r="K591" s="50"/>
      <c r="L591" s="267" t="e">
        <f>INDEX('calcolo base'!$H:$H, MATCH($A591, 'calcolo base'!$A:$A, 0))</f>
        <v>#N/A</v>
      </c>
      <c r="M591" s="50" t="e">
        <f t="shared" si="122"/>
        <v>#N/A</v>
      </c>
      <c r="N591" s="50" t="e">
        <f t="shared" si="123"/>
        <v>#N/A</v>
      </c>
      <c r="O591" s="50" t="e">
        <f t="shared" si="124"/>
        <v>#N/A</v>
      </c>
      <c r="P591" s="50" t="e">
        <f t="shared" si="125"/>
        <v>#N/A</v>
      </c>
      <c r="Q591" s="51" t="e">
        <f t="shared" si="126"/>
        <v>#N/A</v>
      </c>
      <c r="R591" s="205" t="e">
        <f t="shared" si="127"/>
        <v>#N/A</v>
      </c>
      <c r="S591" s="279" t="e">
        <f>IF(R591="si",0,IF(E591="si",0,IF(J591&gt;K591,0,+K591-J591)))+IF('calcolo base'!P2051="SI",('Commissioni De Angeli'!K591-'Commissioni De Angeli'!J591),0)</f>
        <v>#N/A</v>
      </c>
      <c r="T591" s="117" t="e">
        <f t="shared" si="128"/>
        <v>#N/A</v>
      </c>
      <c r="U591" s="272" t="e">
        <f>IF(Q591=0,'calcolo base'!L3190,(T591+Q591))</f>
        <v>#N/A</v>
      </c>
      <c r="V591" s="119"/>
    </row>
    <row r="592" spans="2:22">
      <c r="B592" s="47"/>
      <c r="C592" s="35"/>
      <c r="D592" s="53"/>
      <c r="E592" s="53"/>
      <c r="F592" s="48"/>
      <c r="G592" s="243" t="e">
        <f>INDEX('calcolo base'!$B:$B, MATCH($A592, 'calcolo base'!$A:$A, 0))</f>
        <v>#N/A</v>
      </c>
      <c r="H592" s="54" t="e">
        <f t="shared" si="120"/>
        <v>#N/A</v>
      </c>
      <c r="I592" s="259" t="e">
        <f>IF(  OR(      INDEX('calcolo base'!$D:$D, MATCH($A592, 'calcolo base'!$A:$A, 0)) = 0,
      INDEX('calcolo base'!$D:$D, MATCH($A592, 'calcolo base'!$A:$A, 0)) = ""   ),
   INDEX('calcolo base'!$K:$K, MATCH($A592, 'calcolo base'!$A:$A, 0)),
   INDEX('calcolo base'!$J:$J, MATCH($A592, 'calcolo base'!$A:$A, 0))
) / 1000</f>
        <v>#N/A</v>
      </c>
      <c r="J592" s="50" t="e">
        <f t="shared" si="121"/>
        <v>#N/A</v>
      </c>
      <c r="K592" s="50"/>
      <c r="L592" s="267" t="e">
        <f>INDEX('calcolo base'!$H:$H, MATCH($A592, 'calcolo base'!$A:$A, 0))</f>
        <v>#N/A</v>
      </c>
      <c r="M592" s="50" t="e">
        <f t="shared" si="122"/>
        <v>#N/A</v>
      </c>
      <c r="N592" s="50" t="e">
        <f t="shared" si="123"/>
        <v>#N/A</v>
      </c>
      <c r="O592" s="50" t="e">
        <f t="shared" si="124"/>
        <v>#N/A</v>
      </c>
      <c r="P592" s="50" t="e">
        <f t="shared" si="125"/>
        <v>#N/A</v>
      </c>
      <c r="Q592" s="51" t="e">
        <f t="shared" si="126"/>
        <v>#N/A</v>
      </c>
      <c r="R592" s="205" t="e">
        <f t="shared" si="127"/>
        <v>#N/A</v>
      </c>
      <c r="S592" s="279" t="e">
        <f>IF(R592="si",0,IF(E592="si",0,IF(J592&gt;K592,0,+K592-J592)))+IF('calcolo base'!P2052="SI",('Commissioni De Angeli'!K592-'Commissioni De Angeli'!J592),0)</f>
        <v>#N/A</v>
      </c>
      <c r="T592" s="117" t="e">
        <f t="shared" si="128"/>
        <v>#N/A</v>
      </c>
      <c r="U592" s="272" t="e">
        <f>IF(Q592=0,'calcolo base'!L3191,(T592+Q592))</f>
        <v>#N/A</v>
      </c>
      <c r="V592" s="119"/>
    </row>
    <row r="593" spans="2:22">
      <c r="B593" s="47"/>
      <c r="C593" s="35"/>
      <c r="D593" s="53"/>
      <c r="E593" s="53"/>
      <c r="F593" s="48"/>
      <c r="G593" s="243" t="e">
        <f>INDEX('calcolo base'!$B:$B, MATCH($A593, 'calcolo base'!$A:$A, 0))</f>
        <v>#N/A</v>
      </c>
      <c r="H593" s="54" t="e">
        <f t="shared" si="120"/>
        <v>#N/A</v>
      </c>
      <c r="I593" s="259" t="e">
        <f>IF(  OR(      INDEX('calcolo base'!$D:$D, MATCH($A593, 'calcolo base'!$A:$A, 0)) = 0,
      INDEX('calcolo base'!$D:$D, MATCH($A593, 'calcolo base'!$A:$A, 0)) = ""   ),
   INDEX('calcolo base'!$K:$K, MATCH($A593, 'calcolo base'!$A:$A, 0)),
   INDEX('calcolo base'!$J:$J, MATCH($A593, 'calcolo base'!$A:$A, 0))
) / 1000</f>
        <v>#N/A</v>
      </c>
      <c r="J593" s="50" t="e">
        <f t="shared" si="121"/>
        <v>#N/A</v>
      </c>
      <c r="K593" s="50"/>
      <c r="L593" s="267" t="e">
        <f>INDEX('calcolo base'!$H:$H, MATCH($A593, 'calcolo base'!$A:$A, 0))</f>
        <v>#N/A</v>
      </c>
      <c r="M593" s="50" t="e">
        <f t="shared" si="122"/>
        <v>#N/A</v>
      </c>
      <c r="N593" s="50" t="e">
        <f t="shared" si="123"/>
        <v>#N/A</v>
      </c>
      <c r="O593" s="50" t="e">
        <f t="shared" si="124"/>
        <v>#N/A</v>
      </c>
      <c r="P593" s="50" t="e">
        <f t="shared" si="125"/>
        <v>#N/A</v>
      </c>
      <c r="Q593" s="51" t="e">
        <f t="shared" si="126"/>
        <v>#N/A</v>
      </c>
      <c r="R593" s="205" t="e">
        <f t="shared" si="127"/>
        <v>#N/A</v>
      </c>
      <c r="S593" s="279" t="e">
        <f>IF(R593="si",0,IF(E593="si",0,IF(J593&gt;K593,0,+K593-J593)))+IF('calcolo base'!P2053="SI",('Commissioni De Angeli'!K593-'Commissioni De Angeli'!J593),0)</f>
        <v>#N/A</v>
      </c>
      <c r="T593" s="117" t="e">
        <f t="shared" si="128"/>
        <v>#N/A</v>
      </c>
      <c r="U593" s="272" t="e">
        <f>IF(Q593=0,'calcolo base'!L3192,(T593+Q593))</f>
        <v>#N/A</v>
      </c>
      <c r="V593" s="119"/>
    </row>
    <row r="594" spans="2:22">
      <c r="B594" s="47"/>
      <c r="C594" s="35"/>
      <c r="D594" s="53"/>
      <c r="E594" s="53"/>
      <c r="F594" s="48"/>
      <c r="G594" s="243" t="e">
        <f>INDEX('calcolo base'!$B:$B, MATCH($A594, 'calcolo base'!$A:$A, 0))</f>
        <v>#N/A</v>
      </c>
      <c r="H594" s="54" t="e">
        <f t="shared" si="120"/>
        <v>#N/A</v>
      </c>
      <c r="I594" s="259" t="e">
        <f>IF(  OR(      INDEX('calcolo base'!$D:$D, MATCH($A594, 'calcolo base'!$A:$A, 0)) = 0,
      INDEX('calcolo base'!$D:$D, MATCH($A594, 'calcolo base'!$A:$A, 0)) = ""   ),
   INDEX('calcolo base'!$K:$K, MATCH($A594, 'calcolo base'!$A:$A, 0)),
   INDEX('calcolo base'!$J:$J, MATCH($A594, 'calcolo base'!$A:$A, 0))
) / 1000</f>
        <v>#N/A</v>
      </c>
      <c r="J594" s="50" t="e">
        <f t="shared" si="121"/>
        <v>#N/A</v>
      </c>
      <c r="K594" s="50"/>
      <c r="L594" s="267" t="e">
        <f>INDEX('calcolo base'!$H:$H, MATCH($A594, 'calcolo base'!$A:$A, 0))</f>
        <v>#N/A</v>
      </c>
      <c r="M594" s="50" t="e">
        <f t="shared" si="122"/>
        <v>#N/A</v>
      </c>
      <c r="N594" s="50" t="e">
        <f t="shared" si="123"/>
        <v>#N/A</v>
      </c>
      <c r="O594" s="50" t="e">
        <f t="shared" si="124"/>
        <v>#N/A</v>
      </c>
      <c r="P594" s="50" t="e">
        <f t="shared" si="125"/>
        <v>#N/A</v>
      </c>
      <c r="Q594" s="51" t="e">
        <f t="shared" si="126"/>
        <v>#N/A</v>
      </c>
      <c r="R594" s="205" t="e">
        <f t="shared" si="127"/>
        <v>#N/A</v>
      </c>
      <c r="S594" s="279" t="e">
        <f>IF(R594="si",0,IF(E594="si",0,IF(J594&gt;K594,0,+K594-J594)))+IF('calcolo base'!P2054="SI",('Commissioni De Angeli'!K594-'Commissioni De Angeli'!J594),0)</f>
        <v>#N/A</v>
      </c>
      <c r="T594" s="117" t="e">
        <f t="shared" si="128"/>
        <v>#N/A</v>
      </c>
      <c r="U594" s="272" t="e">
        <f>IF(Q594=0,'calcolo base'!L3193,(T594+Q594))</f>
        <v>#N/A</v>
      </c>
      <c r="V594" s="119"/>
    </row>
    <row r="595" spans="2:22">
      <c r="B595" s="47"/>
      <c r="C595" s="35"/>
      <c r="D595" s="53"/>
      <c r="E595" s="53"/>
      <c r="F595" s="48"/>
      <c r="G595" s="243" t="e">
        <f>INDEX('calcolo base'!$B:$B, MATCH($A595, 'calcolo base'!$A:$A, 0))</f>
        <v>#N/A</v>
      </c>
      <c r="H595" s="54" t="e">
        <f t="shared" si="120"/>
        <v>#N/A</v>
      </c>
      <c r="I595" s="259" t="e">
        <f>IF(  OR(      INDEX('calcolo base'!$D:$D, MATCH($A595, 'calcolo base'!$A:$A, 0)) = 0,
      INDEX('calcolo base'!$D:$D, MATCH($A595, 'calcolo base'!$A:$A, 0)) = ""   ),
   INDEX('calcolo base'!$K:$K, MATCH($A595, 'calcolo base'!$A:$A, 0)),
   INDEX('calcolo base'!$J:$J, MATCH($A595, 'calcolo base'!$A:$A, 0))
) / 1000</f>
        <v>#N/A</v>
      </c>
      <c r="J595" s="50" t="e">
        <f t="shared" si="121"/>
        <v>#N/A</v>
      </c>
      <c r="K595" s="50"/>
      <c r="L595" s="267" t="e">
        <f>INDEX('calcolo base'!$H:$H, MATCH($A595, 'calcolo base'!$A:$A, 0))</f>
        <v>#N/A</v>
      </c>
      <c r="M595" s="50" t="e">
        <f t="shared" si="122"/>
        <v>#N/A</v>
      </c>
      <c r="N595" s="50" t="e">
        <f t="shared" si="123"/>
        <v>#N/A</v>
      </c>
      <c r="O595" s="50" t="e">
        <f t="shared" si="124"/>
        <v>#N/A</v>
      </c>
      <c r="P595" s="50" t="e">
        <f t="shared" si="125"/>
        <v>#N/A</v>
      </c>
      <c r="Q595" s="51" t="e">
        <f t="shared" si="126"/>
        <v>#N/A</v>
      </c>
      <c r="R595" s="205" t="e">
        <f t="shared" si="127"/>
        <v>#N/A</v>
      </c>
      <c r="S595" s="279" t="e">
        <f>IF(R595="si",0,IF(E595="si",0,IF(J595&gt;K595,0,+K595-J595)))+IF('calcolo base'!P2055="SI",('Commissioni De Angeli'!K595-'Commissioni De Angeli'!J595),0)</f>
        <v>#N/A</v>
      </c>
      <c r="T595" s="117" t="e">
        <f t="shared" si="128"/>
        <v>#N/A</v>
      </c>
      <c r="U595" s="272" t="e">
        <f>IF(Q595=0,'calcolo base'!L3194,(T595+Q595))</f>
        <v>#N/A</v>
      </c>
      <c r="V595" s="119"/>
    </row>
    <row r="596" spans="2:22">
      <c r="B596" s="47"/>
      <c r="C596" s="35"/>
      <c r="D596" s="53"/>
      <c r="E596" s="53"/>
      <c r="F596" s="48"/>
      <c r="G596" s="243" t="e">
        <f>INDEX('calcolo base'!$B:$B, MATCH($A596, 'calcolo base'!$A:$A, 0))</f>
        <v>#N/A</v>
      </c>
      <c r="H596" s="54" t="e">
        <f t="shared" si="120"/>
        <v>#N/A</v>
      </c>
      <c r="I596" s="259" t="e">
        <f>IF(  OR(      INDEX('calcolo base'!$D:$D, MATCH($A596, 'calcolo base'!$A:$A, 0)) = 0,
      INDEX('calcolo base'!$D:$D, MATCH($A596, 'calcolo base'!$A:$A, 0)) = ""   ),
   INDEX('calcolo base'!$K:$K, MATCH($A596, 'calcolo base'!$A:$A, 0)),
   INDEX('calcolo base'!$J:$J, MATCH($A596, 'calcolo base'!$A:$A, 0))
) / 1000</f>
        <v>#N/A</v>
      </c>
      <c r="J596" s="50" t="e">
        <f t="shared" si="121"/>
        <v>#N/A</v>
      </c>
      <c r="K596" s="50"/>
      <c r="L596" s="267" t="e">
        <f>INDEX('calcolo base'!$H:$H, MATCH($A596, 'calcolo base'!$A:$A, 0))</f>
        <v>#N/A</v>
      </c>
      <c r="M596" s="50" t="e">
        <f t="shared" si="122"/>
        <v>#N/A</v>
      </c>
      <c r="N596" s="50" t="e">
        <f t="shared" si="123"/>
        <v>#N/A</v>
      </c>
      <c r="O596" s="50" t="e">
        <f t="shared" si="124"/>
        <v>#N/A</v>
      </c>
      <c r="P596" s="50" t="e">
        <f t="shared" si="125"/>
        <v>#N/A</v>
      </c>
      <c r="Q596" s="51" t="e">
        <f t="shared" si="126"/>
        <v>#N/A</v>
      </c>
      <c r="R596" s="205" t="e">
        <f t="shared" si="127"/>
        <v>#N/A</v>
      </c>
      <c r="S596" s="279" t="e">
        <f>IF(R596="si",0,IF(E596="si",0,IF(J596&gt;K596,0,+K596-J596)))+IF('calcolo base'!P2056="SI",('Commissioni De Angeli'!K596-'Commissioni De Angeli'!J596),0)</f>
        <v>#N/A</v>
      </c>
      <c r="T596" s="117" t="e">
        <f t="shared" si="128"/>
        <v>#N/A</v>
      </c>
      <c r="U596" s="272" t="e">
        <f>IF(Q596=0,'calcolo base'!L3195,(T596+Q596))</f>
        <v>#N/A</v>
      </c>
      <c r="V596" s="119"/>
    </row>
    <row r="597" spans="2:22">
      <c r="B597" s="47"/>
      <c r="C597" s="35"/>
      <c r="D597" s="53"/>
      <c r="E597" s="53"/>
      <c r="F597" s="48"/>
      <c r="G597" s="243" t="e">
        <f>INDEX('calcolo base'!$B:$B, MATCH($A597, 'calcolo base'!$A:$A, 0))</f>
        <v>#N/A</v>
      </c>
      <c r="H597" s="54" t="e">
        <f t="shared" si="120"/>
        <v>#N/A</v>
      </c>
      <c r="I597" s="259" t="e">
        <f>IF(  OR(      INDEX('calcolo base'!$D:$D, MATCH($A597, 'calcolo base'!$A:$A, 0)) = 0,
      INDEX('calcolo base'!$D:$D, MATCH($A597, 'calcolo base'!$A:$A, 0)) = ""   ),
   INDEX('calcolo base'!$K:$K, MATCH($A597, 'calcolo base'!$A:$A, 0)),
   INDEX('calcolo base'!$J:$J, MATCH($A597, 'calcolo base'!$A:$A, 0))
) / 1000</f>
        <v>#N/A</v>
      </c>
      <c r="J597" s="50" t="e">
        <f t="shared" si="121"/>
        <v>#N/A</v>
      </c>
      <c r="K597" s="50"/>
      <c r="L597" s="267" t="e">
        <f>INDEX('calcolo base'!$H:$H, MATCH($A597, 'calcolo base'!$A:$A, 0))</f>
        <v>#N/A</v>
      </c>
      <c r="M597" s="50" t="e">
        <f t="shared" si="122"/>
        <v>#N/A</v>
      </c>
      <c r="N597" s="50" t="e">
        <f t="shared" si="123"/>
        <v>#N/A</v>
      </c>
      <c r="O597" s="50" t="e">
        <f t="shared" si="124"/>
        <v>#N/A</v>
      </c>
      <c r="P597" s="50" t="e">
        <f t="shared" si="125"/>
        <v>#N/A</v>
      </c>
      <c r="Q597" s="51" t="e">
        <f t="shared" si="126"/>
        <v>#N/A</v>
      </c>
      <c r="R597" s="205" t="e">
        <f t="shared" si="127"/>
        <v>#N/A</v>
      </c>
      <c r="S597" s="279" t="e">
        <f>IF(R597="si",0,IF(E597="si",0,IF(J597&gt;K597,0,+K597-J597)))+IF('calcolo base'!P2057="SI",('Commissioni De Angeli'!K597-'Commissioni De Angeli'!J597),0)</f>
        <v>#N/A</v>
      </c>
      <c r="T597" s="117" t="e">
        <f t="shared" si="128"/>
        <v>#N/A</v>
      </c>
      <c r="U597" s="272" t="e">
        <f>IF(Q597=0,'calcolo base'!L3196,(T597+Q597))</f>
        <v>#N/A</v>
      </c>
      <c r="V597" s="119"/>
    </row>
    <row r="598" spans="2:22">
      <c r="B598" s="47"/>
      <c r="C598" s="35"/>
      <c r="D598" s="53"/>
      <c r="E598" s="53"/>
      <c r="F598" s="48"/>
      <c r="G598" s="243" t="e">
        <f>INDEX('calcolo base'!$B:$B, MATCH($A598, 'calcolo base'!$A:$A, 0))</f>
        <v>#N/A</v>
      </c>
      <c r="H598" s="54" t="e">
        <f t="shared" si="120"/>
        <v>#N/A</v>
      </c>
      <c r="I598" s="259" t="e">
        <f>IF(  OR(      INDEX('calcolo base'!$D:$D, MATCH($A598, 'calcolo base'!$A:$A, 0)) = 0,
      INDEX('calcolo base'!$D:$D, MATCH($A598, 'calcolo base'!$A:$A, 0)) = ""   ),
   INDEX('calcolo base'!$K:$K, MATCH($A598, 'calcolo base'!$A:$A, 0)),
   INDEX('calcolo base'!$J:$J, MATCH($A598, 'calcolo base'!$A:$A, 0))
) / 1000</f>
        <v>#N/A</v>
      </c>
      <c r="J598" s="50" t="e">
        <f t="shared" si="121"/>
        <v>#N/A</v>
      </c>
      <c r="K598" s="50"/>
      <c r="L598" s="267" t="e">
        <f>INDEX('calcolo base'!$H:$H, MATCH($A598, 'calcolo base'!$A:$A, 0))</f>
        <v>#N/A</v>
      </c>
      <c r="M598" s="50" t="e">
        <f t="shared" si="122"/>
        <v>#N/A</v>
      </c>
      <c r="N598" s="50" t="e">
        <f t="shared" si="123"/>
        <v>#N/A</v>
      </c>
      <c r="O598" s="50" t="e">
        <f t="shared" si="124"/>
        <v>#N/A</v>
      </c>
      <c r="P598" s="50" t="e">
        <f t="shared" si="125"/>
        <v>#N/A</v>
      </c>
      <c r="Q598" s="51" t="e">
        <f t="shared" si="126"/>
        <v>#N/A</v>
      </c>
      <c r="R598" s="205" t="e">
        <f t="shared" si="127"/>
        <v>#N/A</v>
      </c>
      <c r="S598" s="279" t="e">
        <f>IF(R598="si",0,IF(E598="si",0,IF(J598&gt;K598,0,+K598-J598)))+IF('calcolo base'!P2058="SI",('Commissioni De Angeli'!K598-'Commissioni De Angeli'!J598),0)</f>
        <v>#N/A</v>
      </c>
      <c r="T598" s="117" t="e">
        <f t="shared" si="128"/>
        <v>#N/A</v>
      </c>
      <c r="U598" s="272" t="e">
        <f>IF(Q598=0,'calcolo base'!L3197,(T598+Q598))</f>
        <v>#N/A</v>
      </c>
      <c r="V598" s="119"/>
    </row>
    <row r="599" spans="2:22">
      <c r="B599" s="47"/>
      <c r="C599" s="35"/>
      <c r="D599" s="53"/>
      <c r="E599" s="53"/>
      <c r="F599" s="48"/>
      <c r="G599" s="243" t="e">
        <f>INDEX('calcolo base'!$B:$B, MATCH($A599, 'calcolo base'!$A:$A, 0))</f>
        <v>#N/A</v>
      </c>
      <c r="H599" s="54" t="e">
        <f t="shared" si="120"/>
        <v>#N/A</v>
      </c>
      <c r="I599" s="259" t="e">
        <f>IF(  OR(      INDEX('calcolo base'!$D:$D, MATCH($A599, 'calcolo base'!$A:$A, 0)) = 0,
      INDEX('calcolo base'!$D:$D, MATCH($A599, 'calcolo base'!$A:$A, 0)) = ""   ),
   INDEX('calcolo base'!$K:$K, MATCH($A599, 'calcolo base'!$A:$A, 0)),
   INDEX('calcolo base'!$J:$J, MATCH($A599, 'calcolo base'!$A:$A, 0))
) / 1000</f>
        <v>#N/A</v>
      </c>
      <c r="J599" s="50" t="e">
        <f t="shared" si="121"/>
        <v>#N/A</v>
      </c>
      <c r="K599" s="50"/>
      <c r="L599" s="267" t="e">
        <f>INDEX('calcolo base'!$H:$H, MATCH($A599, 'calcolo base'!$A:$A, 0))</f>
        <v>#N/A</v>
      </c>
      <c r="M599" s="50" t="e">
        <f t="shared" si="122"/>
        <v>#N/A</v>
      </c>
      <c r="N599" s="50" t="e">
        <f t="shared" si="123"/>
        <v>#N/A</v>
      </c>
      <c r="O599" s="50" t="e">
        <f t="shared" si="124"/>
        <v>#N/A</v>
      </c>
      <c r="P599" s="50" t="e">
        <f t="shared" si="125"/>
        <v>#N/A</v>
      </c>
      <c r="Q599" s="51" t="e">
        <f t="shared" si="126"/>
        <v>#N/A</v>
      </c>
      <c r="R599" s="205" t="e">
        <f t="shared" si="127"/>
        <v>#N/A</v>
      </c>
      <c r="S599" s="279" t="e">
        <f>IF(R599="si",0,IF(E599="si",0,IF(J599&gt;K599,0,+K599-J599)))+IF('calcolo base'!P2059="SI",('Commissioni De Angeli'!K599-'Commissioni De Angeli'!J599),0)</f>
        <v>#N/A</v>
      </c>
      <c r="T599" s="117" t="e">
        <f t="shared" si="128"/>
        <v>#N/A</v>
      </c>
      <c r="U599" s="272" t="e">
        <f>IF(Q599=0,'calcolo base'!L3198,(T599+Q599))</f>
        <v>#N/A</v>
      </c>
      <c r="V599" s="119"/>
    </row>
    <row r="600" spans="2:22">
      <c r="B600" s="47"/>
      <c r="C600" s="35"/>
      <c r="D600" s="53"/>
      <c r="E600" s="53"/>
      <c r="F600" s="48"/>
      <c r="G600" s="243" t="e">
        <f>INDEX('calcolo base'!$B:$B, MATCH($A600, 'calcolo base'!$A:$A, 0))</f>
        <v>#N/A</v>
      </c>
      <c r="H600" s="54" t="e">
        <f t="shared" si="120"/>
        <v>#N/A</v>
      </c>
      <c r="I600" s="259" t="e">
        <f>IF(  OR(      INDEX('calcolo base'!$D:$D, MATCH($A600, 'calcolo base'!$A:$A, 0)) = 0,
      INDEX('calcolo base'!$D:$D, MATCH($A600, 'calcolo base'!$A:$A, 0)) = ""   ),
   INDEX('calcolo base'!$K:$K, MATCH($A600, 'calcolo base'!$A:$A, 0)),
   INDEX('calcolo base'!$J:$J, MATCH($A600, 'calcolo base'!$A:$A, 0))
) / 1000</f>
        <v>#N/A</v>
      </c>
      <c r="J600" s="50" t="e">
        <f t="shared" si="121"/>
        <v>#N/A</v>
      </c>
      <c r="K600" s="50"/>
      <c r="L600" s="267" t="e">
        <f>INDEX('calcolo base'!$H:$H, MATCH($A600, 'calcolo base'!$A:$A, 0))</f>
        <v>#N/A</v>
      </c>
      <c r="M600" s="50" t="e">
        <f t="shared" si="122"/>
        <v>#N/A</v>
      </c>
      <c r="N600" s="50" t="e">
        <f t="shared" si="123"/>
        <v>#N/A</v>
      </c>
      <c r="O600" s="50" t="e">
        <f t="shared" si="124"/>
        <v>#N/A</v>
      </c>
      <c r="P600" s="50" t="e">
        <f t="shared" si="125"/>
        <v>#N/A</v>
      </c>
      <c r="Q600" s="51" t="e">
        <f t="shared" si="126"/>
        <v>#N/A</v>
      </c>
      <c r="R600" s="205" t="e">
        <f t="shared" si="127"/>
        <v>#N/A</v>
      </c>
      <c r="S600" s="279" t="e">
        <f>IF(R600="si",0,IF(E600="si",0,IF(J600&gt;K600,0,+K600-J600)))+IF('calcolo base'!P2060="SI",('Commissioni De Angeli'!K600-'Commissioni De Angeli'!J600),0)</f>
        <v>#N/A</v>
      </c>
      <c r="T600" s="117" t="e">
        <f t="shared" si="128"/>
        <v>#N/A</v>
      </c>
      <c r="U600" s="272" t="e">
        <f>IF(Q600=0,'calcolo base'!L3199,(T600+Q600))</f>
        <v>#N/A</v>
      </c>
      <c r="V600" s="119"/>
    </row>
    <row r="601" spans="2:22">
      <c r="B601" s="47"/>
      <c r="C601" s="35"/>
      <c r="D601" s="53"/>
      <c r="E601" s="53"/>
      <c r="F601" s="48"/>
      <c r="G601" s="243" t="e">
        <f>INDEX('calcolo base'!$B:$B, MATCH($A601, 'calcolo base'!$A:$A, 0))</f>
        <v>#N/A</v>
      </c>
      <c r="H601" s="54" t="e">
        <f t="shared" si="120"/>
        <v>#N/A</v>
      </c>
      <c r="I601" s="259" t="e">
        <f>IF(  OR(      INDEX('calcolo base'!$D:$D, MATCH($A601, 'calcolo base'!$A:$A, 0)) = 0,
      INDEX('calcolo base'!$D:$D, MATCH($A601, 'calcolo base'!$A:$A, 0)) = ""   ),
   INDEX('calcolo base'!$K:$K, MATCH($A601, 'calcolo base'!$A:$A, 0)),
   INDEX('calcolo base'!$J:$J, MATCH($A601, 'calcolo base'!$A:$A, 0))
) / 1000</f>
        <v>#N/A</v>
      </c>
      <c r="J601" s="50" t="e">
        <f t="shared" si="121"/>
        <v>#N/A</v>
      </c>
      <c r="K601" s="50"/>
      <c r="L601" s="267" t="e">
        <f>INDEX('calcolo base'!$H:$H, MATCH($A601, 'calcolo base'!$A:$A, 0))</f>
        <v>#N/A</v>
      </c>
      <c r="M601" s="50" t="e">
        <f t="shared" si="122"/>
        <v>#N/A</v>
      </c>
      <c r="N601" s="50" t="e">
        <f t="shared" si="123"/>
        <v>#N/A</v>
      </c>
      <c r="O601" s="50" t="e">
        <f t="shared" si="124"/>
        <v>#N/A</v>
      </c>
      <c r="P601" s="50" t="e">
        <f t="shared" si="125"/>
        <v>#N/A</v>
      </c>
      <c r="Q601" s="51" t="e">
        <f t="shared" si="126"/>
        <v>#N/A</v>
      </c>
      <c r="R601" s="205" t="e">
        <f t="shared" si="127"/>
        <v>#N/A</v>
      </c>
      <c r="S601" s="279" t="e">
        <f>IF(R601="si",0,IF(E601="si",0,IF(J601&gt;K601,0,+K601-J601)))+IF('calcolo base'!P2061="SI",('Commissioni De Angeli'!K601-'Commissioni De Angeli'!J601),0)</f>
        <v>#N/A</v>
      </c>
      <c r="T601" s="117" t="e">
        <f t="shared" si="128"/>
        <v>#N/A</v>
      </c>
      <c r="U601" s="272" t="e">
        <f>IF(Q601=0,'calcolo base'!L3200,(T601+Q601))</f>
        <v>#N/A</v>
      </c>
      <c r="V601" s="119"/>
    </row>
    <row r="602" spans="2:22">
      <c r="B602" s="47"/>
      <c r="C602" s="35"/>
      <c r="D602" s="53"/>
      <c r="E602" s="53"/>
      <c r="F602" s="48"/>
      <c r="G602" s="243" t="e">
        <f>INDEX('calcolo base'!$B:$B, MATCH($A602, 'calcolo base'!$A:$A, 0))</f>
        <v>#N/A</v>
      </c>
      <c r="H602" s="54" t="e">
        <f t="shared" si="120"/>
        <v>#N/A</v>
      </c>
      <c r="I602" s="259" t="e">
        <f>IF(  OR(      INDEX('calcolo base'!$D:$D, MATCH($A602, 'calcolo base'!$A:$A, 0)) = 0,
      INDEX('calcolo base'!$D:$D, MATCH($A602, 'calcolo base'!$A:$A, 0)) = ""   ),
   INDEX('calcolo base'!$K:$K, MATCH($A602, 'calcolo base'!$A:$A, 0)),
   INDEX('calcolo base'!$J:$J, MATCH($A602, 'calcolo base'!$A:$A, 0))
) / 1000</f>
        <v>#N/A</v>
      </c>
      <c r="J602" s="50" t="e">
        <f t="shared" si="121"/>
        <v>#N/A</v>
      </c>
      <c r="K602" s="50"/>
      <c r="L602" s="267" t="e">
        <f>INDEX('calcolo base'!$H:$H, MATCH($A602, 'calcolo base'!$A:$A, 0))</f>
        <v>#N/A</v>
      </c>
      <c r="M602" s="50" t="e">
        <f t="shared" si="122"/>
        <v>#N/A</v>
      </c>
      <c r="N602" s="50" t="e">
        <f t="shared" si="123"/>
        <v>#N/A</v>
      </c>
      <c r="O602" s="50" t="e">
        <f t="shared" si="124"/>
        <v>#N/A</v>
      </c>
      <c r="P602" s="50" t="e">
        <f t="shared" si="125"/>
        <v>#N/A</v>
      </c>
      <c r="Q602" s="51" t="e">
        <f t="shared" si="126"/>
        <v>#N/A</v>
      </c>
      <c r="R602" s="205" t="e">
        <f t="shared" si="127"/>
        <v>#N/A</v>
      </c>
      <c r="S602" s="279" t="e">
        <f>IF(R602="si",0,IF(E602="si",0,IF(J602&gt;K602,0,+K602-J602)))+IF('calcolo base'!P2062="SI",('Commissioni De Angeli'!K602-'Commissioni De Angeli'!J602),0)</f>
        <v>#N/A</v>
      </c>
      <c r="T602" s="117" t="e">
        <f t="shared" si="128"/>
        <v>#N/A</v>
      </c>
      <c r="U602" s="272" t="e">
        <f>IF(Q602=0,'calcolo base'!L3201,(T602+Q602))</f>
        <v>#N/A</v>
      </c>
      <c r="V602" s="119"/>
    </row>
    <row r="603" spans="2:22">
      <c r="B603" s="47"/>
      <c r="C603" s="35"/>
      <c r="D603" s="53"/>
      <c r="E603" s="53"/>
      <c r="F603" s="48"/>
      <c r="G603" s="243" t="e">
        <f>INDEX('calcolo base'!$B:$B, MATCH($A603, 'calcolo base'!$A:$A, 0))</f>
        <v>#N/A</v>
      </c>
      <c r="H603" s="54" t="e">
        <f t="shared" si="120"/>
        <v>#N/A</v>
      </c>
      <c r="I603" s="259" t="e">
        <f>IF(  OR(      INDEX('calcolo base'!$D:$D, MATCH($A603, 'calcolo base'!$A:$A, 0)) = 0,
      INDEX('calcolo base'!$D:$D, MATCH($A603, 'calcolo base'!$A:$A, 0)) = ""   ),
   INDEX('calcolo base'!$K:$K, MATCH($A603, 'calcolo base'!$A:$A, 0)),
   INDEX('calcolo base'!$J:$J, MATCH($A603, 'calcolo base'!$A:$A, 0))
) / 1000</f>
        <v>#N/A</v>
      </c>
      <c r="J603" s="50" t="e">
        <f t="shared" si="121"/>
        <v>#N/A</v>
      </c>
      <c r="K603" s="50"/>
      <c r="L603" s="267" t="e">
        <f>INDEX('calcolo base'!$H:$H, MATCH($A603, 'calcolo base'!$A:$A, 0))</f>
        <v>#N/A</v>
      </c>
      <c r="M603" s="50" t="e">
        <f t="shared" si="122"/>
        <v>#N/A</v>
      </c>
      <c r="N603" s="50" t="e">
        <f t="shared" si="123"/>
        <v>#N/A</v>
      </c>
      <c r="O603" s="50" t="e">
        <f t="shared" si="124"/>
        <v>#N/A</v>
      </c>
      <c r="P603" s="50" t="e">
        <f t="shared" si="125"/>
        <v>#N/A</v>
      </c>
      <c r="Q603" s="51" t="e">
        <f t="shared" si="126"/>
        <v>#N/A</v>
      </c>
      <c r="R603" s="205" t="e">
        <f t="shared" si="127"/>
        <v>#N/A</v>
      </c>
      <c r="S603" s="279" t="e">
        <f>IF(R603="si",0,IF(E603="si",0,IF(J603&gt;K603,0,+K603-J603)))+IF('calcolo base'!P2063="SI",('Commissioni De Angeli'!K603-'Commissioni De Angeli'!J603),0)</f>
        <v>#N/A</v>
      </c>
      <c r="T603" s="117" t="e">
        <f t="shared" si="128"/>
        <v>#N/A</v>
      </c>
      <c r="U603" s="272" t="e">
        <f>IF(Q603=0,'calcolo base'!L3202,(T603+Q603))</f>
        <v>#N/A</v>
      </c>
      <c r="V603" s="119"/>
    </row>
    <row r="604" spans="2:22">
      <c r="B604" s="47"/>
      <c r="C604" s="35"/>
      <c r="D604" s="53"/>
      <c r="E604" s="53"/>
      <c r="F604" s="48"/>
      <c r="G604" s="243" t="e">
        <f>INDEX('calcolo base'!$B:$B, MATCH($A604, 'calcolo base'!$A:$A, 0))</f>
        <v>#N/A</v>
      </c>
      <c r="H604" s="54" t="e">
        <f t="shared" si="120"/>
        <v>#N/A</v>
      </c>
      <c r="I604" s="259" t="e">
        <f>IF(  OR(      INDEX('calcolo base'!$D:$D, MATCH($A604, 'calcolo base'!$A:$A, 0)) = 0,
      INDEX('calcolo base'!$D:$D, MATCH($A604, 'calcolo base'!$A:$A, 0)) = ""   ),
   INDEX('calcolo base'!$K:$K, MATCH($A604, 'calcolo base'!$A:$A, 0)),
   INDEX('calcolo base'!$J:$J, MATCH($A604, 'calcolo base'!$A:$A, 0))
) / 1000</f>
        <v>#N/A</v>
      </c>
      <c r="J604" s="50" t="e">
        <f t="shared" si="121"/>
        <v>#N/A</v>
      </c>
      <c r="K604" s="50"/>
      <c r="L604" s="267" t="e">
        <f>INDEX('calcolo base'!$H:$H, MATCH($A604, 'calcolo base'!$A:$A, 0))</f>
        <v>#N/A</v>
      </c>
      <c r="M604" s="50" t="e">
        <f t="shared" si="122"/>
        <v>#N/A</v>
      </c>
      <c r="N604" s="50" t="e">
        <f t="shared" si="123"/>
        <v>#N/A</v>
      </c>
      <c r="O604" s="50" t="e">
        <f t="shared" si="124"/>
        <v>#N/A</v>
      </c>
      <c r="P604" s="50" t="e">
        <f t="shared" si="125"/>
        <v>#N/A</v>
      </c>
      <c r="Q604" s="51" t="e">
        <f t="shared" si="126"/>
        <v>#N/A</v>
      </c>
      <c r="R604" s="205" t="e">
        <f t="shared" si="127"/>
        <v>#N/A</v>
      </c>
      <c r="S604" s="279" t="e">
        <f>IF(R604="si",0,IF(E604="si",0,IF(J604&gt;K604,0,+K604-J604)))+IF('calcolo base'!P2064="SI",('Commissioni De Angeli'!K604-'Commissioni De Angeli'!J604),0)</f>
        <v>#N/A</v>
      </c>
      <c r="T604" s="117" t="e">
        <f t="shared" si="128"/>
        <v>#N/A</v>
      </c>
      <c r="U604" s="272" t="e">
        <f>IF(Q604=0,'calcolo base'!L3203,(T604+Q604))</f>
        <v>#N/A</v>
      </c>
      <c r="V604" s="119"/>
    </row>
    <row r="605" spans="2:22">
      <c r="B605" s="47"/>
      <c r="C605" s="35"/>
      <c r="D605" s="53"/>
      <c r="E605" s="53"/>
      <c r="F605" s="48"/>
      <c r="G605" s="243" t="e">
        <f>INDEX('calcolo base'!$B:$B, MATCH($A605, 'calcolo base'!$A:$A, 0))</f>
        <v>#N/A</v>
      </c>
      <c r="H605" s="54" t="e">
        <f t="shared" si="120"/>
        <v>#N/A</v>
      </c>
      <c r="I605" s="259" t="e">
        <f>IF(  OR(      INDEX('calcolo base'!$D:$D, MATCH($A605, 'calcolo base'!$A:$A, 0)) = 0,
      INDEX('calcolo base'!$D:$D, MATCH($A605, 'calcolo base'!$A:$A, 0)) = ""   ),
   INDEX('calcolo base'!$K:$K, MATCH($A605, 'calcolo base'!$A:$A, 0)),
   INDEX('calcolo base'!$J:$J, MATCH($A605, 'calcolo base'!$A:$A, 0))
) / 1000</f>
        <v>#N/A</v>
      </c>
      <c r="J605" s="50" t="e">
        <f t="shared" si="121"/>
        <v>#N/A</v>
      </c>
      <c r="K605" s="50"/>
      <c r="L605" s="267" t="e">
        <f>INDEX('calcolo base'!$H:$H, MATCH($A605, 'calcolo base'!$A:$A, 0))</f>
        <v>#N/A</v>
      </c>
      <c r="M605" s="50" t="e">
        <f t="shared" si="122"/>
        <v>#N/A</v>
      </c>
      <c r="N605" s="50" t="e">
        <f t="shared" si="123"/>
        <v>#N/A</v>
      </c>
      <c r="O605" s="50" t="e">
        <f t="shared" si="124"/>
        <v>#N/A</v>
      </c>
      <c r="P605" s="50" t="e">
        <f t="shared" si="125"/>
        <v>#N/A</v>
      </c>
      <c r="Q605" s="51" t="e">
        <f t="shared" si="126"/>
        <v>#N/A</v>
      </c>
      <c r="R605" s="205" t="e">
        <f t="shared" si="127"/>
        <v>#N/A</v>
      </c>
      <c r="S605" s="279" t="e">
        <f>IF(R605="si",0,IF(E605="si",0,IF(J605&gt;K605,0,+K605-J605)))+IF('calcolo base'!P2065="SI",('Commissioni De Angeli'!K605-'Commissioni De Angeli'!J605),0)</f>
        <v>#N/A</v>
      </c>
      <c r="T605" s="117" t="e">
        <f t="shared" si="128"/>
        <v>#N/A</v>
      </c>
      <c r="U605" s="272" t="e">
        <f>IF(Q605=0,'calcolo base'!L3204,(T605+Q605))</f>
        <v>#N/A</v>
      </c>
      <c r="V605" s="119"/>
    </row>
    <row r="606" spans="2:22">
      <c r="B606" s="47"/>
      <c r="C606" s="35"/>
      <c r="D606" s="53"/>
      <c r="E606" s="53"/>
      <c r="F606" s="48"/>
      <c r="G606" s="243" t="e">
        <f>INDEX('calcolo base'!$B:$B, MATCH($A606, 'calcolo base'!$A:$A, 0))</f>
        <v>#N/A</v>
      </c>
      <c r="H606" s="54" t="e">
        <f t="shared" si="120"/>
        <v>#N/A</v>
      </c>
      <c r="I606" s="259" t="e">
        <f>IF(  OR(      INDEX('calcolo base'!$D:$D, MATCH($A606, 'calcolo base'!$A:$A, 0)) = 0,
      INDEX('calcolo base'!$D:$D, MATCH($A606, 'calcolo base'!$A:$A, 0)) = ""   ),
   INDEX('calcolo base'!$K:$K, MATCH($A606, 'calcolo base'!$A:$A, 0)),
   INDEX('calcolo base'!$J:$J, MATCH($A606, 'calcolo base'!$A:$A, 0))
) / 1000</f>
        <v>#N/A</v>
      </c>
      <c r="J606" s="50" t="e">
        <f t="shared" si="121"/>
        <v>#N/A</v>
      </c>
      <c r="K606" s="50"/>
      <c r="L606" s="267" t="e">
        <f>INDEX('calcolo base'!$H:$H, MATCH($A606, 'calcolo base'!$A:$A, 0))</f>
        <v>#N/A</v>
      </c>
      <c r="M606" s="50" t="e">
        <f t="shared" si="122"/>
        <v>#N/A</v>
      </c>
      <c r="N606" s="50" t="e">
        <f t="shared" si="123"/>
        <v>#N/A</v>
      </c>
      <c r="O606" s="50" t="e">
        <f t="shared" si="124"/>
        <v>#N/A</v>
      </c>
      <c r="P606" s="50" t="e">
        <f t="shared" si="125"/>
        <v>#N/A</v>
      </c>
      <c r="Q606" s="51" t="e">
        <f t="shared" si="126"/>
        <v>#N/A</v>
      </c>
      <c r="R606" s="205" t="e">
        <f t="shared" si="127"/>
        <v>#N/A</v>
      </c>
      <c r="S606" s="279" t="e">
        <f>IF(R606="si",0,IF(E606="si",0,IF(J606&gt;K606,0,+K606-J606)))+IF('calcolo base'!P2066="SI",('Commissioni De Angeli'!K606-'Commissioni De Angeli'!J606),0)</f>
        <v>#N/A</v>
      </c>
      <c r="T606" s="117" t="e">
        <f t="shared" si="128"/>
        <v>#N/A</v>
      </c>
      <c r="U606" s="272" t="e">
        <f>IF(Q606=0,'calcolo base'!L3205,(T606+Q606))</f>
        <v>#N/A</v>
      </c>
      <c r="V606" s="119"/>
    </row>
    <row r="607" spans="2:22">
      <c r="B607" s="47"/>
      <c r="C607" s="35"/>
      <c r="D607" s="53"/>
      <c r="E607" s="53"/>
      <c r="F607" s="48"/>
      <c r="G607" s="243" t="e">
        <f>INDEX('calcolo base'!$B:$B, MATCH($A607, 'calcolo base'!$A:$A, 0))</f>
        <v>#N/A</v>
      </c>
      <c r="H607" s="54" t="e">
        <f t="shared" si="120"/>
        <v>#N/A</v>
      </c>
      <c r="I607" s="259" t="e">
        <f>IF(  OR(      INDEX('calcolo base'!$D:$D, MATCH($A607, 'calcolo base'!$A:$A, 0)) = 0,
      INDEX('calcolo base'!$D:$D, MATCH($A607, 'calcolo base'!$A:$A, 0)) = ""   ),
   INDEX('calcolo base'!$K:$K, MATCH($A607, 'calcolo base'!$A:$A, 0)),
   INDEX('calcolo base'!$J:$J, MATCH($A607, 'calcolo base'!$A:$A, 0))
) / 1000</f>
        <v>#N/A</v>
      </c>
      <c r="J607" s="50" t="e">
        <f t="shared" si="121"/>
        <v>#N/A</v>
      </c>
      <c r="K607" s="50"/>
      <c r="L607" s="267" t="e">
        <f>INDEX('calcolo base'!$H:$H, MATCH($A607, 'calcolo base'!$A:$A, 0))</f>
        <v>#N/A</v>
      </c>
      <c r="M607" s="50" t="e">
        <f t="shared" si="122"/>
        <v>#N/A</v>
      </c>
      <c r="N607" s="50" t="e">
        <f t="shared" si="123"/>
        <v>#N/A</v>
      </c>
      <c r="O607" s="50" t="e">
        <f t="shared" si="124"/>
        <v>#N/A</v>
      </c>
      <c r="P607" s="50" t="e">
        <f t="shared" si="125"/>
        <v>#N/A</v>
      </c>
      <c r="Q607" s="51" t="e">
        <f t="shared" si="126"/>
        <v>#N/A</v>
      </c>
      <c r="R607" s="205" t="e">
        <f t="shared" si="127"/>
        <v>#N/A</v>
      </c>
      <c r="S607" s="279" t="e">
        <f>IF(R607="si",0,IF(E607="si",0,IF(J607&gt;K607,0,+K607-J607)))+IF('calcolo base'!P2067="SI",('Commissioni De Angeli'!K607-'Commissioni De Angeli'!J607),0)</f>
        <v>#N/A</v>
      </c>
      <c r="T607" s="117" t="e">
        <f t="shared" si="128"/>
        <v>#N/A</v>
      </c>
      <c r="U607" s="272" t="e">
        <f>IF(Q607=0,'calcolo base'!L3206,(T607+Q607))</f>
        <v>#N/A</v>
      </c>
      <c r="V607" s="119"/>
    </row>
    <row r="608" spans="2:22">
      <c r="B608" s="47"/>
      <c r="C608" s="35"/>
      <c r="D608" s="53"/>
      <c r="E608" s="53"/>
      <c r="F608" s="48"/>
      <c r="G608" s="243" t="e">
        <f>INDEX('calcolo base'!$B:$B, MATCH($A608, 'calcolo base'!$A:$A, 0))</f>
        <v>#N/A</v>
      </c>
      <c r="H608" s="54" t="e">
        <f t="shared" si="120"/>
        <v>#N/A</v>
      </c>
      <c r="I608" s="259" t="e">
        <f>IF(  OR(      INDEX('calcolo base'!$D:$D, MATCH($A608, 'calcolo base'!$A:$A, 0)) = 0,
      INDEX('calcolo base'!$D:$D, MATCH($A608, 'calcolo base'!$A:$A, 0)) = ""   ),
   INDEX('calcolo base'!$K:$K, MATCH($A608, 'calcolo base'!$A:$A, 0)),
   INDEX('calcolo base'!$J:$J, MATCH($A608, 'calcolo base'!$A:$A, 0))
) / 1000</f>
        <v>#N/A</v>
      </c>
      <c r="J608" s="50" t="e">
        <f t="shared" si="121"/>
        <v>#N/A</v>
      </c>
      <c r="K608" s="50"/>
      <c r="L608" s="267" t="e">
        <f>INDEX('calcolo base'!$H:$H, MATCH($A608, 'calcolo base'!$A:$A, 0))</f>
        <v>#N/A</v>
      </c>
      <c r="M608" s="50" t="e">
        <f t="shared" si="122"/>
        <v>#N/A</v>
      </c>
      <c r="N608" s="50" t="e">
        <f t="shared" si="123"/>
        <v>#N/A</v>
      </c>
      <c r="O608" s="50" t="e">
        <f t="shared" si="124"/>
        <v>#N/A</v>
      </c>
      <c r="P608" s="50" t="e">
        <f t="shared" si="125"/>
        <v>#N/A</v>
      </c>
      <c r="Q608" s="51" t="e">
        <f t="shared" si="126"/>
        <v>#N/A</v>
      </c>
      <c r="R608" s="205" t="e">
        <f t="shared" si="127"/>
        <v>#N/A</v>
      </c>
      <c r="S608" s="279" t="e">
        <f>IF(R608="si",0,IF(E608="si",0,IF(J608&gt;K608,0,+K608-J608)))+IF('calcolo base'!P2068="SI",('Commissioni De Angeli'!K608-'Commissioni De Angeli'!J608),0)</f>
        <v>#N/A</v>
      </c>
      <c r="T608" s="117" t="e">
        <f t="shared" si="128"/>
        <v>#N/A</v>
      </c>
      <c r="U608" s="272" t="e">
        <f>IF(Q608=0,'calcolo base'!L3207,(T608+Q608))</f>
        <v>#N/A</v>
      </c>
      <c r="V608" s="119"/>
    </row>
    <row r="609" spans="2:22">
      <c r="B609" s="47"/>
      <c r="C609" s="35"/>
      <c r="D609" s="53"/>
      <c r="E609" s="53"/>
      <c r="F609" s="48"/>
      <c r="G609" s="243" t="e">
        <f>INDEX('calcolo base'!$B:$B, MATCH($A609, 'calcolo base'!$A:$A, 0))</f>
        <v>#N/A</v>
      </c>
      <c r="H609" s="54" t="e">
        <f t="shared" si="120"/>
        <v>#N/A</v>
      </c>
      <c r="I609" s="259" t="e">
        <f>IF(  OR(      INDEX('calcolo base'!$D:$D, MATCH($A609, 'calcolo base'!$A:$A, 0)) = 0,
      INDEX('calcolo base'!$D:$D, MATCH($A609, 'calcolo base'!$A:$A, 0)) = ""   ),
   INDEX('calcolo base'!$K:$K, MATCH($A609, 'calcolo base'!$A:$A, 0)),
   INDEX('calcolo base'!$J:$J, MATCH($A609, 'calcolo base'!$A:$A, 0))
) / 1000</f>
        <v>#N/A</v>
      </c>
      <c r="J609" s="50" t="e">
        <f t="shared" si="121"/>
        <v>#N/A</v>
      </c>
      <c r="K609" s="50"/>
      <c r="L609" s="267" t="e">
        <f>INDEX('calcolo base'!$H:$H, MATCH($A609, 'calcolo base'!$A:$A, 0))</f>
        <v>#N/A</v>
      </c>
      <c r="M609" s="50" t="e">
        <f t="shared" si="122"/>
        <v>#N/A</v>
      </c>
      <c r="N609" s="50" t="e">
        <f t="shared" si="123"/>
        <v>#N/A</v>
      </c>
      <c r="O609" s="50" t="e">
        <f t="shared" si="124"/>
        <v>#N/A</v>
      </c>
      <c r="P609" s="50" t="e">
        <f t="shared" si="125"/>
        <v>#N/A</v>
      </c>
      <c r="Q609" s="51" t="e">
        <f t="shared" si="126"/>
        <v>#N/A</v>
      </c>
      <c r="R609" s="205" t="e">
        <f t="shared" si="127"/>
        <v>#N/A</v>
      </c>
      <c r="S609" s="279" t="e">
        <f>IF(R609="si",0,IF(E609="si",0,IF(J609&gt;K609,0,+K609-J609)))+IF('calcolo base'!P2069="SI",('Commissioni De Angeli'!K609-'Commissioni De Angeli'!J609),0)</f>
        <v>#N/A</v>
      </c>
      <c r="T609" s="117" t="e">
        <f t="shared" si="128"/>
        <v>#N/A</v>
      </c>
      <c r="U609" s="272" t="e">
        <f>IF(Q609=0,'calcolo base'!L3208,(T609+Q609))</f>
        <v>#N/A</v>
      </c>
      <c r="V609" s="119"/>
    </row>
    <row r="610" spans="2:22">
      <c r="B610" s="47"/>
      <c r="C610" s="35"/>
      <c r="D610" s="53"/>
      <c r="E610" s="53"/>
      <c r="F610" s="48"/>
      <c r="G610" s="243" t="e">
        <f>INDEX('calcolo base'!$B:$B, MATCH($A610, 'calcolo base'!$A:$A, 0))</f>
        <v>#N/A</v>
      </c>
      <c r="H610" s="54" t="e">
        <f t="shared" si="120"/>
        <v>#N/A</v>
      </c>
      <c r="I610" s="259" t="e">
        <f>IF(  OR(      INDEX('calcolo base'!$D:$D, MATCH($A610, 'calcolo base'!$A:$A, 0)) = 0,
      INDEX('calcolo base'!$D:$D, MATCH($A610, 'calcolo base'!$A:$A, 0)) = ""   ),
   INDEX('calcolo base'!$K:$K, MATCH($A610, 'calcolo base'!$A:$A, 0)),
   INDEX('calcolo base'!$J:$J, MATCH($A610, 'calcolo base'!$A:$A, 0))
) / 1000</f>
        <v>#N/A</v>
      </c>
      <c r="J610" s="50" t="e">
        <f t="shared" si="121"/>
        <v>#N/A</v>
      </c>
      <c r="K610" s="50"/>
      <c r="L610" s="267" t="e">
        <f>INDEX('calcolo base'!$H:$H, MATCH($A610, 'calcolo base'!$A:$A, 0))</f>
        <v>#N/A</v>
      </c>
      <c r="M610" s="50" t="e">
        <f t="shared" si="122"/>
        <v>#N/A</v>
      </c>
      <c r="N610" s="50" t="e">
        <f t="shared" si="123"/>
        <v>#N/A</v>
      </c>
      <c r="O610" s="50" t="e">
        <f t="shared" si="124"/>
        <v>#N/A</v>
      </c>
      <c r="P610" s="50" t="e">
        <f t="shared" si="125"/>
        <v>#N/A</v>
      </c>
      <c r="Q610" s="51" t="e">
        <f t="shared" si="126"/>
        <v>#N/A</v>
      </c>
      <c r="R610" s="205" t="e">
        <f t="shared" si="127"/>
        <v>#N/A</v>
      </c>
      <c r="S610" s="279" t="e">
        <f>IF(R610="si",0,IF(E610="si",0,IF(J610&gt;K610,0,+K610-J610)))+IF('calcolo base'!P2070="SI",('Commissioni De Angeli'!K610-'Commissioni De Angeli'!J610),0)</f>
        <v>#N/A</v>
      </c>
      <c r="T610" s="117" t="e">
        <f t="shared" si="128"/>
        <v>#N/A</v>
      </c>
      <c r="U610" s="272" t="e">
        <f>IF(Q610=0,'calcolo base'!L3209,(T610+Q610))</f>
        <v>#N/A</v>
      </c>
      <c r="V610" s="119"/>
    </row>
    <row r="611" spans="2:22">
      <c r="B611" s="47"/>
      <c r="C611" s="35"/>
      <c r="D611" s="53"/>
      <c r="E611" s="53"/>
      <c r="F611" s="48"/>
      <c r="G611" s="243" t="e">
        <f>INDEX('calcolo base'!$B:$B, MATCH($A611, 'calcolo base'!$A:$A, 0))</f>
        <v>#N/A</v>
      </c>
      <c r="H611" s="54" t="e">
        <f t="shared" si="120"/>
        <v>#N/A</v>
      </c>
      <c r="I611" s="259" t="e">
        <f>IF(  OR(      INDEX('calcolo base'!$D:$D, MATCH($A611, 'calcolo base'!$A:$A, 0)) = 0,
      INDEX('calcolo base'!$D:$D, MATCH($A611, 'calcolo base'!$A:$A, 0)) = ""   ),
   INDEX('calcolo base'!$K:$K, MATCH($A611, 'calcolo base'!$A:$A, 0)),
   INDEX('calcolo base'!$J:$J, MATCH($A611, 'calcolo base'!$A:$A, 0))
) / 1000</f>
        <v>#N/A</v>
      </c>
      <c r="J611" s="50" t="e">
        <f t="shared" si="121"/>
        <v>#N/A</v>
      </c>
      <c r="K611" s="50"/>
      <c r="L611" s="267" t="e">
        <f>INDEX('calcolo base'!$H:$H, MATCH($A611, 'calcolo base'!$A:$A, 0))</f>
        <v>#N/A</v>
      </c>
      <c r="M611" s="50" t="e">
        <f t="shared" si="122"/>
        <v>#N/A</v>
      </c>
      <c r="N611" s="50" t="e">
        <f t="shared" si="123"/>
        <v>#N/A</v>
      </c>
      <c r="O611" s="50" t="e">
        <f t="shared" si="124"/>
        <v>#N/A</v>
      </c>
      <c r="P611" s="50" t="e">
        <f t="shared" si="125"/>
        <v>#N/A</v>
      </c>
      <c r="Q611" s="51" t="e">
        <f t="shared" si="126"/>
        <v>#N/A</v>
      </c>
      <c r="R611" s="205" t="e">
        <f t="shared" si="127"/>
        <v>#N/A</v>
      </c>
      <c r="S611" s="279" t="e">
        <f>IF(R611="si",0,IF(E611="si",0,IF(J611&gt;K611,0,+K611-J611)))+IF('calcolo base'!P2071="SI",('Commissioni De Angeli'!K611-'Commissioni De Angeli'!J611),0)</f>
        <v>#N/A</v>
      </c>
      <c r="T611" s="117" t="e">
        <f t="shared" si="128"/>
        <v>#N/A</v>
      </c>
      <c r="U611" s="272" t="e">
        <f>IF(Q611=0,'calcolo base'!L3210,(T611+Q611))</f>
        <v>#N/A</v>
      </c>
      <c r="V611" s="119"/>
    </row>
    <row r="612" spans="2:22">
      <c r="B612" s="47"/>
      <c r="C612" s="35"/>
      <c r="D612" s="53"/>
      <c r="E612" s="53"/>
      <c r="F612" s="48"/>
      <c r="G612" s="243" t="e">
        <f>INDEX('calcolo base'!$B:$B, MATCH($A612, 'calcolo base'!$A:$A, 0))</f>
        <v>#N/A</v>
      </c>
      <c r="H612" s="54" t="e">
        <f t="shared" si="120"/>
        <v>#N/A</v>
      </c>
      <c r="I612" s="259" t="e">
        <f>IF(  OR(      INDEX('calcolo base'!$D:$D, MATCH($A612, 'calcolo base'!$A:$A, 0)) = 0,
      INDEX('calcolo base'!$D:$D, MATCH($A612, 'calcolo base'!$A:$A, 0)) = ""   ),
   INDEX('calcolo base'!$K:$K, MATCH($A612, 'calcolo base'!$A:$A, 0)),
   INDEX('calcolo base'!$J:$J, MATCH($A612, 'calcolo base'!$A:$A, 0))
) / 1000</f>
        <v>#N/A</v>
      </c>
      <c r="J612" s="50" t="e">
        <f t="shared" si="121"/>
        <v>#N/A</v>
      </c>
      <c r="K612" s="50"/>
      <c r="L612" s="267" t="e">
        <f>INDEX('calcolo base'!$H:$H, MATCH($A612, 'calcolo base'!$A:$A, 0))</f>
        <v>#N/A</v>
      </c>
      <c r="M612" s="50" t="e">
        <f t="shared" si="122"/>
        <v>#N/A</v>
      </c>
      <c r="N612" s="50" t="e">
        <f t="shared" si="123"/>
        <v>#N/A</v>
      </c>
      <c r="O612" s="50" t="e">
        <f t="shared" si="124"/>
        <v>#N/A</v>
      </c>
      <c r="P612" s="50" t="e">
        <f t="shared" si="125"/>
        <v>#N/A</v>
      </c>
      <c r="Q612" s="51" t="e">
        <f t="shared" si="126"/>
        <v>#N/A</v>
      </c>
      <c r="R612" s="205" t="e">
        <f t="shared" si="127"/>
        <v>#N/A</v>
      </c>
      <c r="S612" s="279" t="e">
        <f>IF(R612="si",0,IF(E612="si",0,IF(J612&gt;K612,0,+K612-J612)))+IF('calcolo base'!P2072="SI",('Commissioni De Angeli'!K612-'Commissioni De Angeli'!J612),0)</f>
        <v>#N/A</v>
      </c>
      <c r="T612" s="117" t="e">
        <f t="shared" si="128"/>
        <v>#N/A</v>
      </c>
      <c r="U612" s="272" t="e">
        <f>IF(Q612=0,'calcolo base'!L3211,(T612+Q612))</f>
        <v>#N/A</v>
      </c>
      <c r="V612" s="119"/>
    </row>
    <row r="613" spans="2:22">
      <c r="B613" s="47"/>
      <c r="C613" s="35"/>
      <c r="D613" s="53"/>
      <c r="E613" s="53"/>
      <c r="F613" s="48"/>
      <c r="G613" s="243" t="e">
        <f>INDEX('calcolo base'!$B:$B, MATCH($A613, 'calcolo base'!$A:$A, 0))</f>
        <v>#N/A</v>
      </c>
      <c r="H613" s="54" t="e">
        <f t="shared" si="120"/>
        <v>#N/A</v>
      </c>
      <c r="I613" s="259" t="e">
        <f>IF(  OR(      INDEX('calcolo base'!$D:$D, MATCH($A613, 'calcolo base'!$A:$A, 0)) = 0,
      INDEX('calcolo base'!$D:$D, MATCH($A613, 'calcolo base'!$A:$A, 0)) = ""   ),
   INDEX('calcolo base'!$K:$K, MATCH($A613, 'calcolo base'!$A:$A, 0)),
   INDEX('calcolo base'!$J:$J, MATCH($A613, 'calcolo base'!$A:$A, 0))
) / 1000</f>
        <v>#N/A</v>
      </c>
      <c r="J613" s="50" t="e">
        <f t="shared" si="121"/>
        <v>#N/A</v>
      </c>
      <c r="K613" s="50"/>
      <c r="L613" s="267" t="e">
        <f>INDEX('calcolo base'!$H:$H, MATCH($A613, 'calcolo base'!$A:$A, 0))</f>
        <v>#N/A</v>
      </c>
      <c r="M613" s="50" t="e">
        <f t="shared" si="122"/>
        <v>#N/A</v>
      </c>
      <c r="N613" s="50" t="e">
        <f t="shared" si="123"/>
        <v>#N/A</v>
      </c>
      <c r="O613" s="50" t="e">
        <f t="shared" si="124"/>
        <v>#N/A</v>
      </c>
      <c r="P613" s="50" t="e">
        <f t="shared" si="125"/>
        <v>#N/A</v>
      </c>
      <c r="Q613" s="51" t="e">
        <f t="shared" si="126"/>
        <v>#N/A</v>
      </c>
      <c r="R613" s="205" t="e">
        <f t="shared" si="127"/>
        <v>#N/A</v>
      </c>
      <c r="S613" s="279" t="e">
        <f>IF(R613="si",0,IF(E613="si",0,IF(J613&gt;K613,0,+K613-J613)))+IF('calcolo base'!P2073="SI",('Commissioni De Angeli'!K613-'Commissioni De Angeli'!J613),0)</f>
        <v>#N/A</v>
      </c>
      <c r="T613" s="117" t="e">
        <f t="shared" si="128"/>
        <v>#N/A</v>
      </c>
      <c r="U613" s="272" t="e">
        <f>IF(Q613=0,'calcolo base'!L3212,(T613+Q613))</f>
        <v>#N/A</v>
      </c>
      <c r="V613" s="119"/>
    </row>
    <row r="614" spans="2:22">
      <c r="B614" s="47"/>
      <c r="C614" s="35"/>
      <c r="D614" s="53"/>
      <c r="E614" s="53"/>
      <c r="F614" s="48"/>
      <c r="G614" s="243" t="e">
        <f>INDEX('calcolo base'!$B:$B, MATCH($A614, 'calcolo base'!$A:$A, 0))</f>
        <v>#N/A</v>
      </c>
      <c r="H614" s="54" t="e">
        <f t="shared" si="120"/>
        <v>#N/A</v>
      </c>
      <c r="I614" s="259" t="e">
        <f>IF(  OR(      INDEX('calcolo base'!$D:$D, MATCH($A614, 'calcolo base'!$A:$A, 0)) = 0,
      INDEX('calcolo base'!$D:$D, MATCH($A614, 'calcolo base'!$A:$A, 0)) = ""   ),
   INDEX('calcolo base'!$K:$K, MATCH($A614, 'calcolo base'!$A:$A, 0)),
   INDEX('calcolo base'!$J:$J, MATCH($A614, 'calcolo base'!$A:$A, 0))
) / 1000</f>
        <v>#N/A</v>
      </c>
      <c r="J614" s="50" t="e">
        <f t="shared" si="121"/>
        <v>#N/A</v>
      </c>
      <c r="K614" s="50"/>
      <c r="L614" s="267" t="e">
        <f>INDEX('calcolo base'!$H:$H, MATCH($A614, 'calcolo base'!$A:$A, 0))</f>
        <v>#N/A</v>
      </c>
      <c r="M614" s="50" t="e">
        <f t="shared" si="122"/>
        <v>#N/A</v>
      </c>
      <c r="N614" s="50" t="e">
        <f t="shared" si="123"/>
        <v>#N/A</v>
      </c>
      <c r="O614" s="50" t="e">
        <f t="shared" si="124"/>
        <v>#N/A</v>
      </c>
      <c r="P614" s="50" t="e">
        <f t="shared" si="125"/>
        <v>#N/A</v>
      </c>
      <c r="Q614" s="51" t="e">
        <f t="shared" si="126"/>
        <v>#N/A</v>
      </c>
      <c r="R614" s="205" t="e">
        <f t="shared" si="127"/>
        <v>#N/A</v>
      </c>
      <c r="S614" s="279" t="e">
        <f>IF(R614="si",0,IF(E614="si",0,IF(J614&gt;K614,0,+K614-J614)))+IF('calcolo base'!P2074="SI",('Commissioni De Angeli'!K614-'Commissioni De Angeli'!J614),0)</f>
        <v>#N/A</v>
      </c>
      <c r="T614" s="117" t="e">
        <f t="shared" si="128"/>
        <v>#N/A</v>
      </c>
      <c r="U614" s="272" t="e">
        <f>IF(Q614=0,'calcolo base'!L3213,(T614+Q614))</f>
        <v>#N/A</v>
      </c>
      <c r="V614" s="119"/>
    </row>
    <row r="615" spans="2:22">
      <c r="B615" s="47"/>
      <c r="C615" s="35"/>
      <c r="D615" s="53"/>
      <c r="E615" s="53"/>
      <c r="F615" s="48"/>
      <c r="G615" s="243" t="e">
        <f>INDEX('calcolo base'!$B:$B, MATCH($A615, 'calcolo base'!$A:$A, 0))</f>
        <v>#N/A</v>
      </c>
      <c r="H615" s="54" t="e">
        <f t="shared" si="120"/>
        <v>#N/A</v>
      </c>
      <c r="I615" s="259" t="e">
        <f>IF(  OR(      INDEX('calcolo base'!$D:$D, MATCH($A615, 'calcolo base'!$A:$A, 0)) = 0,
      INDEX('calcolo base'!$D:$D, MATCH($A615, 'calcolo base'!$A:$A, 0)) = ""   ),
   INDEX('calcolo base'!$K:$K, MATCH($A615, 'calcolo base'!$A:$A, 0)),
   INDEX('calcolo base'!$J:$J, MATCH($A615, 'calcolo base'!$A:$A, 0))
) / 1000</f>
        <v>#N/A</v>
      </c>
      <c r="J615" s="50" t="e">
        <f t="shared" si="121"/>
        <v>#N/A</v>
      </c>
      <c r="K615" s="50"/>
      <c r="L615" s="267" t="e">
        <f>INDEX('calcolo base'!$H:$H, MATCH($A615, 'calcolo base'!$A:$A, 0))</f>
        <v>#N/A</v>
      </c>
      <c r="M615" s="50" t="e">
        <f t="shared" si="122"/>
        <v>#N/A</v>
      </c>
      <c r="N615" s="50" t="e">
        <f t="shared" si="123"/>
        <v>#N/A</v>
      </c>
      <c r="O615" s="50" t="e">
        <f t="shared" si="124"/>
        <v>#N/A</v>
      </c>
      <c r="P615" s="50" t="e">
        <f t="shared" si="125"/>
        <v>#N/A</v>
      </c>
      <c r="Q615" s="51" t="e">
        <f t="shared" si="126"/>
        <v>#N/A</v>
      </c>
      <c r="R615" s="205" t="e">
        <f t="shared" si="127"/>
        <v>#N/A</v>
      </c>
      <c r="S615" s="279" t="e">
        <f>IF(R615="si",0,IF(E615="si",0,IF(J615&gt;K615,0,+K615-J615)))+IF('calcolo base'!P2075="SI",('Commissioni De Angeli'!K615-'Commissioni De Angeli'!J615),0)</f>
        <v>#N/A</v>
      </c>
      <c r="T615" s="117" t="e">
        <f t="shared" si="128"/>
        <v>#N/A</v>
      </c>
      <c r="U615" s="272" t="e">
        <f>IF(Q615=0,'calcolo base'!L3214,(T615+Q615))</f>
        <v>#N/A</v>
      </c>
      <c r="V615" s="119"/>
    </row>
    <row r="616" spans="2:22">
      <c r="B616" s="47"/>
      <c r="C616" s="35"/>
      <c r="D616" s="53"/>
      <c r="E616" s="53"/>
      <c r="F616" s="48"/>
      <c r="G616" s="243" t="e">
        <f>INDEX('calcolo base'!$B:$B, MATCH($A616, 'calcolo base'!$A:$A, 0))</f>
        <v>#N/A</v>
      </c>
      <c r="H616" s="54" t="e">
        <f t="shared" si="120"/>
        <v>#N/A</v>
      </c>
      <c r="I616" s="259" t="e">
        <f>IF(  OR(      INDEX('calcolo base'!$D:$D, MATCH($A616, 'calcolo base'!$A:$A, 0)) = 0,
      INDEX('calcolo base'!$D:$D, MATCH($A616, 'calcolo base'!$A:$A, 0)) = ""   ),
   INDEX('calcolo base'!$K:$K, MATCH($A616, 'calcolo base'!$A:$A, 0)),
   INDEX('calcolo base'!$J:$J, MATCH($A616, 'calcolo base'!$A:$A, 0))
) / 1000</f>
        <v>#N/A</v>
      </c>
      <c r="J616" s="50" t="e">
        <f t="shared" si="121"/>
        <v>#N/A</v>
      </c>
      <c r="K616" s="50"/>
      <c r="L616" s="267" t="e">
        <f>INDEX('calcolo base'!$H:$H, MATCH($A616, 'calcolo base'!$A:$A, 0))</f>
        <v>#N/A</v>
      </c>
      <c r="M616" s="50" t="e">
        <f t="shared" si="122"/>
        <v>#N/A</v>
      </c>
      <c r="N616" s="50" t="e">
        <f t="shared" si="123"/>
        <v>#N/A</v>
      </c>
      <c r="O616" s="50" t="e">
        <f t="shared" si="124"/>
        <v>#N/A</v>
      </c>
      <c r="P616" s="50" t="e">
        <f t="shared" si="125"/>
        <v>#N/A</v>
      </c>
      <c r="Q616" s="51" t="e">
        <f t="shared" si="126"/>
        <v>#N/A</v>
      </c>
      <c r="R616" s="205" t="e">
        <f t="shared" si="127"/>
        <v>#N/A</v>
      </c>
      <c r="S616" s="279" t="e">
        <f>IF(R616="si",0,IF(E616="si",0,IF(J616&gt;K616,0,+K616-J616)))+IF('calcolo base'!P2076="SI",('Commissioni De Angeli'!K616-'Commissioni De Angeli'!J616),0)</f>
        <v>#N/A</v>
      </c>
      <c r="T616" s="117" t="e">
        <f t="shared" si="128"/>
        <v>#N/A</v>
      </c>
      <c r="U616" s="272" t="e">
        <f>IF(Q616=0,'calcolo base'!L3215,(T616+Q616))</f>
        <v>#N/A</v>
      </c>
      <c r="V616" s="119"/>
    </row>
    <row r="617" spans="2:22">
      <c r="B617" s="47"/>
      <c r="C617" s="35"/>
      <c r="D617" s="53"/>
      <c r="E617" s="53"/>
      <c r="F617" s="48"/>
      <c r="G617" s="243" t="e">
        <f>INDEX('calcolo base'!$B:$B, MATCH($A617, 'calcolo base'!$A:$A, 0))</f>
        <v>#N/A</v>
      </c>
      <c r="H617" s="54" t="e">
        <f t="shared" si="120"/>
        <v>#N/A</v>
      </c>
      <c r="I617" s="259" t="e">
        <f>IF(  OR(      INDEX('calcolo base'!$D:$D, MATCH($A617, 'calcolo base'!$A:$A, 0)) = 0,
      INDEX('calcolo base'!$D:$D, MATCH($A617, 'calcolo base'!$A:$A, 0)) = ""   ),
   INDEX('calcolo base'!$K:$K, MATCH($A617, 'calcolo base'!$A:$A, 0)),
   INDEX('calcolo base'!$J:$J, MATCH($A617, 'calcolo base'!$A:$A, 0))
) / 1000</f>
        <v>#N/A</v>
      </c>
      <c r="J617" s="50" t="e">
        <f t="shared" si="121"/>
        <v>#N/A</v>
      </c>
      <c r="K617" s="50"/>
      <c r="L617" s="267" t="e">
        <f>INDEX('calcolo base'!$H:$H, MATCH($A617, 'calcolo base'!$A:$A, 0))</f>
        <v>#N/A</v>
      </c>
      <c r="M617" s="50" t="e">
        <f t="shared" si="122"/>
        <v>#N/A</v>
      </c>
      <c r="N617" s="50" t="e">
        <f t="shared" si="123"/>
        <v>#N/A</v>
      </c>
      <c r="O617" s="50" t="e">
        <f t="shared" si="124"/>
        <v>#N/A</v>
      </c>
      <c r="P617" s="50" t="e">
        <f t="shared" si="125"/>
        <v>#N/A</v>
      </c>
      <c r="Q617" s="51" t="e">
        <f t="shared" si="126"/>
        <v>#N/A</v>
      </c>
      <c r="R617" s="205" t="e">
        <f t="shared" si="127"/>
        <v>#N/A</v>
      </c>
      <c r="S617" s="279" t="e">
        <f>IF(R617="si",0,IF(E617="si",0,IF(J617&gt;K617,0,+K617-J617)))+IF('calcolo base'!P2077="SI",('Commissioni De Angeli'!K617-'Commissioni De Angeli'!J617),0)</f>
        <v>#N/A</v>
      </c>
      <c r="T617" s="117" t="e">
        <f t="shared" si="128"/>
        <v>#N/A</v>
      </c>
      <c r="U617" s="272" t="e">
        <f>IF(Q617=0,'calcolo base'!L3216,(T617+Q617))</f>
        <v>#N/A</v>
      </c>
      <c r="V617" s="119"/>
    </row>
    <row r="618" spans="2:22">
      <c r="B618" s="47"/>
      <c r="C618" s="35"/>
      <c r="D618" s="53"/>
      <c r="E618" s="53"/>
      <c r="F618" s="48"/>
      <c r="G618" s="243" t="e">
        <f>INDEX('calcolo base'!$B:$B, MATCH($A618, 'calcolo base'!$A:$A, 0))</f>
        <v>#N/A</v>
      </c>
      <c r="H618" s="54" t="e">
        <f t="shared" si="120"/>
        <v>#N/A</v>
      </c>
      <c r="I618" s="259" t="e">
        <f>IF(  OR(      INDEX('calcolo base'!$D:$D, MATCH($A618, 'calcolo base'!$A:$A, 0)) = 0,
      INDEX('calcolo base'!$D:$D, MATCH($A618, 'calcolo base'!$A:$A, 0)) = ""   ),
   INDEX('calcolo base'!$K:$K, MATCH($A618, 'calcolo base'!$A:$A, 0)),
   INDEX('calcolo base'!$J:$J, MATCH($A618, 'calcolo base'!$A:$A, 0))
) / 1000</f>
        <v>#N/A</v>
      </c>
      <c r="J618" s="50" t="e">
        <f t="shared" si="121"/>
        <v>#N/A</v>
      </c>
      <c r="K618" s="50"/>
      <c r="L618" s="267" t="e">
        <f>INDEX('calcolo base'!$H:$H, MATCH($A618, 'calcolo base'!$A:$A, 0))</f>
        <v>#N/A</v>
      </c>
      <c r="M618" s="50" t="e">
        <f t="shared" si="122"/>
        <v>#N/A</v>
      </c>
      <c r="N618" s="50" t="e">
        <f t="shared" si="123"/>
        <v>#N/A</v>
      </c>
      <c r="O618" s="50" t="e">
        <f t="shared" si="124"/>
        <v>#N/A</v>
      </c>
      <c r="P618" s="50" t="e">
        <f t="shared" si="125"/>
        <v>#N/A</v>
      </c>
      <c r="Q618" s="51" t="e">
        <f t="shared" si="126"/>
        <v>#N/A</v>
      </c>
      <c r="R618" s="205" t="e">
        <f t="shared" si="127"/>
        <v>#N/A</v>
      </c>
      <c r="S618" s="279" t="e">
        <f>IF(R618="si",0,IF(E618="si",0,IF(J618&gt;K618,0,+K618-J618)))+IF('calcolo base'!P2078="SI",('Commissioni De Angeli'!K618-'Commissioni De Angeli'!J618),0)</f>
        <v>#N/A</v>
      </c>
      <c r="T618" s="117" t="e">
        <f t="shared" si="128"/>
        <v>#N/A</v>
      </c>
      <c r="U618" s="272" t="e">
        <f>IF(Q618=0,'calcolo base'!L3217,(T618+Q618))</f>
        <v>#N/A</v>
      </c>
      <c r="V618" s="119"/>
    </row>
    <row r="619" spans="2:22">
      <c r="B619" s="47"/>
      <c r="C619" s="35"/>
      <c r="D619" s="53"/>
      <c r="E619" s="53"/>
      <c r="F619" s="48"/>
      <c r="G619" s="243" t="e">
        <f>INDEX('calcolo base'!$B:$B, MATCH($A619, 'calcolo base'!$A:$A, 0))</f>
        <v>#N/A</v>
      </c>
      <c r="H619" s="54" t="e">
        <f t="shared" si="120"/>
        <v>#N/A</v>
      </c>
      <c r="I619" s="259" t="e">
        <f>IF(  OR(      INDEX('calcolo base'!$D:$D, MATCH($A619, 'calcolo base'!$A:$A, 0)) = 0,
      INDEX('calcolo base'!$D:$D, MATCH($A619, 'calcolo base'!$A:$A, 0)) = ""   ),
   INDEX('calcolo base'!$K:$K, MATCH($A619, 'calcolo base'!$A:$A, 0)),
   INDEX('calcolo base'!$J:$J, MATCH($A619, 'calcolo base'!$A:$A, 0))
) / 1000</f>
        <v>#N/A</v>
      </c>
      <c r="J619" s="50" t="e">
        <f t="shared" si="121"/>
        <v>#N/A</v>
      </c>
      <c r="K619" s="50"/>
      <c r="L619" s="267" t="e">
        <f>INDEX('calcolo base'!$H:$H, MATCH($A619, 'calcolo base'!$A:$A, 0))</f>
        <v>#N/A</v>
      </c>
      <c r="M619" s="50" t="e">
        <f t="shared" si="122"/>
        <v>#N/A</v>
      </c>
      <c r="N619" s="50" t="e">
        <f t="shared" si="123"/>
        <v>#N/A</v>
      </c>
      <c r="O619" s="50" t="e">
        <f t="shared" si="124"/>
        <v>#N/A</v>
      </c>
      <c r="P619" s="50" t="e">
        <f t="shared" si="125"/>
        <v>#N/A</v>
      </c>
      <c r="Q619" s="51" t="e">
        <f t="shared" si="126"/>
        <v>#N/A</v>
      </c>
      <c r="R619" s="205" t="e">
        <f t="shared" si="127"/>
        <v>#N/A</v>
      </c>
      <c r="S619" s="279" t="e">
        <f>IF(R619="si",0,IF(E619="si",0,IF(J619&gt;K619,0,+K619-J619)))+IF('calcolo base'!P2079="SI",('Commissioni De Angeli'!K619-'Commissioni De Angeli'!J619),0)</f>
        <v>#N/A</v>
      </c>
      <c r="T619" s="117" t="e">
        <f t="shared" si="128"/>
        <v>#N/A</v>
      </c>
      <c r="U619" s="272" t="e">
        <f>IF(Q619=0,'calcolo base'!L3218,(T619+Q619))</f>
        <v>#N/A</v>
      </c>
      <c r="V619" s="119"/>
    </row>
    <row r="620" spans="2:22">
      <c r="B620" s="47"/>
      <c r="C620" s="35"/>
      <c r="D620" s="53"/>
      <c r="E620" s="53"/>
      <c r="F620" s="48"/>
      <c r="G620" s="243" t="e">
        <f>INDEX('calcolo base'!$B:$B, MATCH($A620, 'calcolo base'!$A:$A, 0))</f>
        <v>#N/A</v>
      </c>
      <c r="H620" s="54" t="e">
        <f t="shared" ref="H620:H683" si="129">IF(G620=0,"",+G620)</f>
        <v>#N/A</v>
      </c>
      <c r="I620" s="259" t="e">
        <f>IF(  OR(      INDEX('calcolo base'!$D:$D, MATCH($A620, 'calcolo base'!$A:$A, 0)) = 0,
      INDEX('calcolo base'!$D:$D, MATCH($A620, 'calcolo base'!$A:$A, 0)) = ""   ),
   INDEX('calcolo base'!$K:$K, MATCH($A620, 'calcolo base'!$A:$A, 0)),
   INDEX('calcolo base'!$J:$J, MATCH($A620, 'calcolo base'!$A:$A, 0))
) / 1000</f>
        <v>#N/A</v>
      </c>
      <c r="J620" s="50" t="e">
        <f t="shared" ref="J620:J683" si="130">+F620+I620</f>
        <v>#N/A</v>
      </c>
      <c r="K620" s="50"/>
      <c r="L620" s="267" t="e">
        <f>INDEX('calcolo base'!$H:$H, MATCH($A620, 'calcolo base'!$A:$A, 0))</f>
        <v>#N/A</v>
      </c>
      <c r="M620" s="50" t="e">
        <f t="shared" ref="M620:M683" si="131">IF(L620=0,0,J620*L620)</f>
        <v>#N/A</v>
      </c>
      <c r="N620" s="50" t="e">
        <f t="shared" ref="N620:N683" si="132">IF(E620="si",K620*1.5%,IF($L620&gt;=5%,IF($I620=0,0,(IF($G620="RAME",($J620)*1.5%,0)+IF($G620="rame smaltato",($K620)*1.5%,0))),0))</f>
        <v>#N/A</v>
      </c>
      <c r="O620" s="50" t="e">
        <f t="shared" ref="O620:O683" si="133">IF($I620=0,0,(IF($G620="alluminio",($J620)*3%,0)+IF($G620="alluminio smaltato",($K620)*3%,0)))</f>
        <v>#N/A</v>
      </c>
      <c r="P620" s="50" t="e">
        <f t="shared" ref="P620:P683" si="134">IF(H620="alluminio",0,IF(L620&lt;5%,F620*8%,0))</f>
        <v>#N/A</v>
      </c>
      <c r="Q620" s="51" t="e">
        <f t="shared" ref="Q620:Q683" si="135">+(N620*D620)+(O620*D620)+(P620*D620)</f>
        <v>#N/A</v>
      </c>
      <c r="R620" s="205" t="e">
        <f t="shared" ref="R620:R683" si="136">IF(H620="ALLUMINIO",0,IF(L620&lt;5%,"si",0))</f>
        <v>#N/A</v>
      </c>
      <c r="S620" s="279" t="e">
        <f>IF(R620="si",0,IF(E620="si",0,IF(J620&gt;K620,0,+K620-J620)))+IF('calcolo base'!P2080="SI",('Commissioni De Angeli'!K620-'Commissioni De Angeli'!J620),0)</f>
        <v>#N/A</v>
      </c>
      <c r="T620" s="117" t="e">
        <f t="shared" ref="T620:T683" si="137">+(S620)*D620*40%</f>
        <v>#N/A</v>
      </c>
      <c r="U620" s="272" t="e">
        <f>IF(Q620=0,'calcolo base'!L3219,(T620+Q620))</f>
        <v>#N/A</v>
      </c>
      <c r="V620" s="119"/>
    </row>
    <row r="621" spans="2:22">
      <c r="B621" s="47"/>
      <c r="C621" s="35"/>
      <c r="D621" s="53"/>
      <c r="E621" s="53"/>
      <c r="F621" s="48"/>
      <c r="G621" s="243" t="e">
        <f>INDEX('calcolo base'!$B:$B, MATCH($A621, 'calcolo base'!$A:$A, 0))</f>
        <v>#N/A</v>
      </c>
      <c r="H621" s="54" t="e">
        <f t="shared" si="129"/>
        <v>#N/A</v>
      </c>
      <c r="I621" s="259" t="e">
        <f>IF(  OR(      INDEX('calcolo base'!$D:$D, MATCH($A621, 'calcolo base'!$A:$A, 0)) = 0,
      INDEX('calcolo base'!$D:$D, MATCH($A621, 'calcolo base'!$A:$A, 0)) = ""   ),
   INDEX('calcolo base'!$K:$K, MATCH($A621, 'calcolo base'!$A:$A, 0)),
   INDEX('calcolo base'!$J:$J, MATCH($A621, 'calcolo base'!$A:$A, 0))
) / 1000</f>
        <v>#N/A</v>
      </c>
      <c r="J621" s="50" t="e">
        <f t="shared" si="130"/>
        <v>#N/A</v>
      </c>
      <c r="K621" s="50"/>
      <c r="L621" s="267" t="e">
        <f>INDEX('calcolo base'!$H:$H, MATCH($A621, 'calcolo base'!$A:$A, 0))</f>
        <v>#N/A</v>
      </c>
      <c r="M621" s="50" t="e">
        <f t="shared" si="131"/>
        <v>#N/A</v>
      </c>
      <c r="N621" s="50" t="e">
        <f t="shared" si="132"/>
        <v>#N/A</v>
      </c>
      <c r="O621" s="50" t="e">
        <f t="shared" si="133"/>
        <v>#N/A</v>
      </c>
      <c r="P621" s="50" t="e">
        <f t="shared" si="134"/>
        <v>#N/A</v>
      </c>
      <c r="Q621" s="51" t="e">
        <f t="shared" si="135"/>
        <v>#N/A</v>
      </c>
      <c r="R621" s="205" t="e">
        <f t="shared" si="136"/>
        <v>#N/A</v>
      </c>
      <c r="S621" s="279" t="e">
        <f>IF(R621="si",0,IF(E621="si",0,IF(J621&gt;K621,0,+K621-J621)))+IF('calcolo base'!P2081="SI",('Commissioni De Angeli'!K621-'Commissioni De Angeli'!J621),0)</f>
        <v>#N/A</v>
      </c>
      <c r="T621" s="117" t="e">
        <f t="shared" si="137"/>
        <v>#N/A</v>
      </c>
      <c r="U621" s="272" t="e">
        <f>IF(Q621=0,'calcolo base'!L3220,(T621+Q621))</f>
        <v>#N/A</v>
      </c>
      <c r="V621" s="119"/>
    </row>
    <row r="622" spans="2:22">
      <c r="B622" s="47"/>
      <c r="C622" s="35"/>
      <c r="D622" s="53"/>
      <c r="E622" s="53"/>
      <c r="F622" s="48"/>
      <c r="G622" s="243" t="e">
        <f>INDEX('calcolo base'!$B:$B, MATCH($A622, 'calcolo base'!$A:$A, 0))</f>
        <v>#N/A</v>
      </c>
      <c r="H622" s="54" t="e">
        <f t="shared" si="129"/>
        <v>#N/A</v>
      </c>
      <c r="I622" s="259" t="e">
        <f>IF(  OR(      INDEX('calcolo base'!$D:$D, MATCH($A622, 'calcolo base'!$A:$A, 0)) = 0,
      INDEX('calcolo base'!$D:$D, MATCH($A622, 'calcolo base'!$A:$A, 0)) = ""   ),
   INDEX('calcolo base'!$K:$K, MATCH($A622, 'calcolo base'!$A:$A, 0)),
   INDEX('calcolo base'!$J:$J, MATCH($A622, 'calcolo base'!$A:$A, 0))
) / 1000</f>
        <v>#N/A</v>
      </c>
      <c r="J622" s="50" t="e">
        <f t="shared" si="130"/>
        <v>#N/A</v>
      </c>
      <c r="K622" s="50"/>
      <c r="L622" s="267" t="e">
        <f>INDEX('calcolo base'!$H:$H, MATCH($A622, 'calcolo base'!$A:$A, 0))</f>
        <v>#N/A</v>
      </c>
      <c r="M622" s="50" t="e">
        <f t="shared" si="131"/>
        <v>#N/A</v>
      </c>
      <c r="N622" s="50" t="e">
        <f t="shared" si="132"/>
        <v>#N/A</v>
      </c>
      <c r="O622" s="50" t="e">
        <f t="shared" si="133"/>
        <v>#N/A</v>
      </c>
      <c r="P622" s="50" t="e">
        <f t="shared" si="134"/>
        <v>#N/A</v>
      </c>
      <c r="Q622" s="51" t="e">
        <f t="shared" si="135"/>
        <v>#N/A</v>
      </c>
      <c r="R622" s="205" t="e">
        <f t="shared" si="136"/>
        <v>#N/A</v>
      </c>
      <c r="S622" s="279" t="e">
        <f>IF(R622="si",0,IF(E622="si",0,IF(J622&gt;K622,0,+K622-J622)))+IF('calcolo base'!P2082="SI",('Commissioni De Angeli'!K622-'Commissioni De Angeli'!J622),0)</f>
        <v>#N/A</v>
      </c>
      <c r="T622" s="117" t="e">
        <f t="shared" si="137"/>
        <v>#N/A</v>
      </c>
      <c r="U622" s="272" t="e">
        <f>IF(Q622=0,'calcolo base'!L3221,(T622+Q622))</f>
        <v>#N/A</v>
      </c>
      <c r="V622" s="119"/>
    </row>
    <row r="623" spans="2:22">
      <c r="B623" s="47"/>
      <c r="C623" s="35"/>
      <c r="D623" s="53"/>
      <c r="E623" s="53"/>
      <c r="F623" s="48"/>
      <c r="G623" s="243" t="e">
        <f>INDEX('calcolo base'!$B:$B, MATCH($A623, 'calcolo base'!$A:$A, 0))</f>
        <v>#N/A</v>
      </c>
      <c r="H623" s="54" t="e">
        <f t="shared" si="129"/>
        <v>#N/A</v>
      </c>
      <c r="I623" s="259" t="e">
        <f>IF(  OR(      INDEX('calcolo base'!$D:$D, MATCH($A623, 'calcolo base'!$A:$A, 0)) = 0,
      INDEX('calcolo base'!$D:$D, MATCH($A623, 'calcolo base'!$A:$A, 0)) = ""   ),
   INDEX('calcolo base'!$K:$K, MATCH($A623, 'calcolo base'!$A:$A, 0)),
   INDEX('calcolo base'!$J:$J, MATCH($A623, 'calcolo base'!$A:$A, 0))
) / 1000</f>
        <v>#N/A</v>
      </c>
      <c r="J623" s="50" t="e">
        <f t="shared" si="130"/>
        <v>#N/A</v>
      </c>
      <c r="K623" s="50"/>
      <c r="L623" s="267" t="e">
        <f>INDEX('calcolo base'!$H:$H, MATCH($A623, 'calcolo base'!$A:$A, 0))</f>
        <v>#N/A</v>
      </c>
      <c r="M623" s="50" t="e">
        <f t="shared" si="131"/>
        <v>#N/A</v>
      </c>
      <c r="N623" s="50" t="e">
        <f t="shared" si="132"/>
        <v>#N/A</v>
      </c>
      <c r="O623" s="50" t="e">
        <f t="shared" si="133"/>
        <v>#N/A</v>
      </c>
      <c r="P623" s="50" t="e">
        <f t="shared" si="134"/>
        <v>#N/A</v>
      </c>
      <c r="Q623" s="51" t="e">
        <f t="shared" si="135"/>
        <v>#N/A</v>
      </c>
      <c r="R623" s="205" t="e">
        <f t="shared" si="136"/>
        <v>#N/A</v>
      </c>
      <c r="S623" s="279" t="e">
        <f>IF(R623="si",0,IF(E623="si",0,IF(J623&gt;K623,0,+K623-J623)))+IF('calcolo base'!P2083="SI",('Commissioni De Angeli'!K623-'Commissioni De Angeli'!J623),0)</f>
        <v>#N/A</v>
      </c>
      <c r="T623" s="117" t="e">
        <f t="shared" si="137"/>
        <v>#N/A</v>
      </c>
      <c r="U623" s="272" t="e">
        <f>IF(Q623=0,'calcolo base'!L3222,(T623+Q623))</f>
        <v>#N/A</v>
      </c>
      <c r="V623" s="119"/>
    </row>
    <row r="624" spans="2:22">
      <c r="B624" s="47"/>
      <c r="C624" s="35"/>
      <c r="D624" s="53"/>
      <c r="E624" s="53"/>
      <c r="F624" s="48"/>
      <c r="G624" s="243" t="e">
        <f>INDEX('calcolo base'!$B:$B, MATCH($A624, 'calcolo base'!$A:$A, 0))</f>
        <v>#N/A</v>
      </c>
      <c r="H624" s="54" t="e">
        <f t="shared" si="129"/>
        <v>#N/A</v>
      </c>
      <c r="I624" s="259" t="e">
        <f>IF(  OR(      INDEX('calcolo base'!$D:$D, MATCH($A624, 'calcolo base'!$A:$A, 0)) = 0,
      INDEX('calcolo base'!$D:$D, MATCH($A624, 'calcolo base'!$A:$A, 0)) = ""   ),
   INDEX('calcolo base'!$K:$K, MATCH($A624, 'calcolo base'!$A:$A, 0)),
   INDEX('calcolo base'!$J:$J, MATCH($A624, 'calcolo base'!$A:$A, 0))
) / 1000</f>
        <v>#N/A</v>
      </c>
      <c r="J624" s="50" t="e">
        <f t="shared" si="130"/>
        <v>#N/A</v>
      </c>
      <c r="K624" s="50"/>
      <c r="L624" s="267" t="e">
        <f>INDEX('calcolo base'!$H:$H, MATCH($A624, 'calcolo base'!$A:$A, 0))</f>
        <v>#N/A</v>
      </c>
      <c r="M624" s="50" t="e">
        <f t="shared" si="131"/>
        <v>#N/A</v>
      </c>
      <c r="N624" s="50" t="e">
        <f t="shared" si="132"/>
        <v>#N/A</v>
      </c>
      <c r="O624" s="50" t="e">
        <f t="shared" si="133"/>
        <v>#N/A</v>
      </c>
      <c r="P624" s="50" t="e">
        <f t="shared" si="134"/>
        <v>#N/A</v>
      </c>
      <c r="Q624" s="51" t="e">
        <f t="shared" si="135"/>
        <v>#N/A</v>
      </c>
      <c r="R624" s="205" t="e">
        <f t="shared" si="136"/>
        <v>#N/A</v>
      </c>
      <c r="S624" s="279" t="e">
        <f>IF(R624="si",0,IF(E624="si",0,IF(J624&gt;K624,0,+K624-J624)))+IF('calcolo base'!P2084="SI",('Commissioni De Angeli'!K624-'Commissioni De Angeli'!J624),0)</f>
        <v>#N/A</v>
      </c>
      <c r="T624" s="117" t="e">
        <f t="shared" si="137"/>
        <v>#N/A</v>
      </c>
      <c r="U624" s="272" t="e">
        <f>IF(Q624=0,'calcolo base'!L3223,(T624+Q624))</f>
        <v>#N/A</v>
      </c>
      <c r="V624" s="119"/>
    </row>
    <row r="625" spans="2:22">
      <c r="B625" s="47"/>
      <c r="C625" s="35"/>
      <c r="D625" s="53"/>
      <c r="E625" s="53"/>
      <c r="F625" s="48"/>
      <c r="G625" s="243" t="e">
        <f>INDEX('calcolo base'!$B:$B, MATCH($A625, 'calcolo base'!$A:$A, 0))</f>
        <v>#N/A</v>
      </c>
      <c r="H625" s="54" t="e">
        <f t="shared" si="129"/>
        <v>#N/A</v>
      </c>
      <c r="I625" s="259" t="e">
        <f>IF(  OR(      INDEX('calcolo base'!$D:$D, MATCH($A625, 'calcolo base'!$A:$A, 0)) = 0,
      INDEX('calcolo base'!$D:$D, MATCH($A625, 'calcolo base'!$A:$A, 0)) = ""   ),
   INDEX('calcolo base'!$K:$K, MATCH($A625, 'calcolo base'!$A:$A, 0)),
   INDEX('calcolo base'!$J:$J, MATCH($A625, 'calcolo base'!$A:$A, 0))
) / 1000</f>
        <v>#N/A</v>
      </c>
      <c r="J625" s="50" t="e">
        <f t="shared" si="130"/>
        <v>#N/A</v>
      </c>
      <c r="K625" s="50"/>
      <c r="L625" s="267" t="e">
        <f>INDEX('calcolo base'!$H:$H, MATCH($A625, 'calcolo base'!$A:$A, 0))</f>
        <v>#N/A</v>
      </c>
      <c r="M625" s="50" t="e">
        <f t="shared" si="131"/>
        <v>#N/A</v>
      </c>
      <c r="N625" s="50" t="e">
        <f t="shared" si="132"/>
        <v>#N/A</v>
      </c>
      <c r="O625" s="50" t="e">
        <f t="shared" si="133"/>
        <v>#N/A</v>
      </c>
      <c r="P625" s="50" t="e">
        <f t="shared" si="134"/>
        <v>#N/A</v>
      </c>
      <c r="Q625" s="51" t="e">
        <f t="shared" si="135"/>
        <v>#N/A</v>
      </c>
      <c r="R625" s="205" t="e">
        <f t="shared" si="136"/>
        <v>#N/A</v>
      </c>
      <c r="S625" s="279" t="e">
        <f>IF(R625="si",0,IF(E625="si",0,IF(J625&gt;K625,0,+K625-J625)))+IF('calcolo base'!P2085="SI",('Commissioni De Angeli'!K625-'Commissioni De Angeli'!J625),0)</f>
        <v>#N/A</v>
      </c>
      <c r="T625" s="117" t="e">
        <f t="shared" si="137"/>
        <v>#N/A</v>
      </c>
      <c r="U625" s="272" t="e">
        <f>IF(Q625=0,'calcolo base'!L3224,(T625+Q625))</f>
        <v>#N/A</v>
      </c>
      <c r="V625" s="119"/>
    </row>
    <row r="626" spans="2:22">
      <c r="B626" s="47"/>
      <c r="C626" s="35"/>
      <c r="D626" s="53"/>
      <c r="E626" s="53"/>
      <c r="F626" s="48"/>
      <c r="G626" s="243" t="e">
        <f>INDEX('calcolo base'!$B:$B, MATCH($A626, 'calcolo base'!$A:$A, 0))</f>
        <v>#N/A</v>
      </c>
      <c r="H626" s="54" t="e">
        <f t="shared" si="129"/>
        <v>#N/A</v>
      </c>
      <c r="I626" s="259" t="e">
        <f>IF(  OR(      INDEX('calcolo base'!$D:$D, MATCH($A626, 'calcolo base'!$A:$A, 0)) = 0,
      INDEX('calcolo base'!$D:$D, MATCH($A626, 'calcolo base'!$A:$A, 0)) = ""   ),
   INDEX('calcolo base'!$K:$K, MATCH($A626, 'calcolo base'!$A:$A, 0)),
   INDEX('calcolo base'!$J:$J, MATCH($A626, 'calcolo base'!$A:$A, 0))
) / 1000</f>
        <v>#N/A</v>
      </c>
      <c r="J626" s="50" t="e">
        <f t="shared" si="130"/>
        <v>#N/A</v>
      </c>
      <c r="K626" s="50"/>
      <c r="L626" s="267" t="e">
        <f>INDEX('calcolo base'!$H:$H, MATCH($A626, 'calcolo base'!$A:$A, 0))</f>
        <v>#N/A</v>
      </c>
      <c r="M626" s="50" t="e">
        <f t="shared" si="131"/>
        <v>#N/A</v>
      </c>
      <c r="N626" s="50" t="e">
        <f t="shared" si="132"/>
        <v>#N/A</v>
      </c>
      <c r="O626" s="50" t="e">
        <f t="shared" si="133"/>
        <v>#N/A</v>
      </c>
      <c r="P626" s="50" t="e">
        <f t="shared" si="134"/>
        <v>#N/A</v>
      </c>
      <c r="Q626" s="51" t="e">
        <f t="shared" si="135"/>
        <v>#N/A</v>
      </c>
      <c r="R626" s="205" t="e">
        <f t="shared" si="136"/>
        <v>#N/A</v>
      </c>
      <c r="S626" s="279" t="e">
        <f>IF(R626="si",0,IF(E626="si",0,IF(J626&gt;K626,0,+K626-J626)))+IF('calcolo base'!P2086="SI",('Commissioni De Angeli'!K626-'Commissioni De Angeli'!J626),0)</f>
        <v>#N/A</v>
      </c>
      <c r="T626" s="117" t="e">
        <f t="shared" si="137"/>
        <v>#N/A</v>
      </c>
      <c r="U626" s="272" t="e">
        <f>IF(Q626=0,'calcolo base'!L3225,(T626+Q626))</f>
        <v>#N/A</v>
      </c>
      <c r="V626" s="119"/>
    </row>
    <row r="627" spans="2:22">
      <c r="B627" s="47"/>
      <c r="C627" s="35"/>
      <c r="D627" s="53"/>
      <c r="E627" s="53"/>
      <c r="F627" s="48"/>
      <c r="G627" s="243" t="e">
        <f>INDEX('calcolo base'!$B:$B, MATCH($A627, 'calcolo base'!$A:$A, 0))</f>
        <v>#N/A</v>
      </c>
      <c r="H627" s="54" t="e">
        <f t="shared" si="129"/>
        <v>#N/A</v>
      </c>
      <c r="I627" s="259" t="e">
        <f>IF(  OR(      INDEX('calcolo base'!$D:$D, MATCH($A627, 'calcolo base'!$A:$A, 0)) = 0,
      INDEX('calcolo base'!$D:$D, MATCH($A627, 'calcolo base'!$A:$A, 0)) = ""   ),
   INDEX('calcolo base'!$K:$K, MATCH($A627, 'calcolo base'!$A:$A, 0)),
   INDEX('calcolo base'!$J:$J, MATCH($A627, 'calcolo base'!$A:$A, 0))
) / 1000</f>
        <v>#N/A</v>
      </c>
      <c r="J627" s="50" t="e">
        <f t="shared" si="130"/>
        <v>#N/A</v>
      </c>
      <c r="K627" s="50"/>
      <c r="L627" s="267" t="e">
        <f>INDEX('calcolo base'!$H:$H, MATCH($A627, 'calcolo base'!$A:$A, 0))</f>
        <v>#N/A</v>
      </c>
      <c r="M627" s="50" t="e">
        <f t="shared" si="131"/>
        <v>#N/A</v>
      </c>
      <c r="N627" s="50" t="e">
        <f t="shared" si="132"/>
        <v>#N/A</v>
      </c>
      <c r="O627" s="50" t="e">
        <f t="shared" si="133"/>
        <v>#N/A</v>
      </c>
      <c r="P627" s="50" t="e">
        <f t="shared" si="134"/>
        <v>#N/A</v>
      </c>
      <c r="Q627" s="51" t="e">
        <f t="shared" si="135"/>
        <v>#N/A</v>
      </c>
      <c r="R627" s="205" t="e">
        <f t="shared" si="136"/>
        <v>#N/A</v>
      </c>
      <c r="S627" s="279" t="e">
        <f>IF(R627="si",0,IF(E627="si",0,IF(J627&gt;K627,0,+K627-J627)))+IF('calcolo base'!P2087="SI",('Commissioni De Angeli'!K627-'Commissioni De Angeli'!J627),0)</f>
        <v>#N/A</v>
      </c>
      <c r="T627" s="117" t="e">
        <f t="shared" si="137"/>
        <v>#N/A</v>
      </c>
      <c r="U627" s="272" t="e">
        <f>IF(Q627=0,'calcolo base'!L3226,(T627+Q627))</f>
        <v>#N/A</v>
      </c>
      <c r="V627" s="119"/>
    </row>
    <row r="628" spans="2:22">
      <c r="B628" s="47"/>
      <c r="C628" s="35"/>
      <c r="D628" s="53"/>
      <c r="E628" s="53"/>
      <c r="F628" s="48"/>
      <c r="G628" s="243" t="e">
        <f>INDEX('calcolo base'!$B:$B, MATCH($A628, 'calcolo base'!$A:$A, 0))</f>
        <v>#N/A</v>
      </c>
      <c r="H628" s="54" t="e">
        <f t="shared" si="129"/>
        <v>#N/A</v>
      </c>
      <c r="I628" s="259" t="e">
        <f>IF(  OR(      INDEX('calcolo base'!$D:$D, MATCH($A628, 'calcolo base'!$A:$A, 0)) = 0,
      INDEX('calcolo base'!$D:$D, MATCH($A628, 'calcolo base'!$A:$A, 0)) = ""   ),
   INDEX('calcolo base'!$K:$K, MATCH($A628, 'calcolo base'!$A:$A, 0)),
   INDEX('calcolo base'!$J:$J, MATCH($A628, 'calcolo base'!$A:$A, 0))
) / 1000</f>
        <v>#N/A</v>
      </c>
      <c r="J628" s="50" t="e">
        <f t="shared" si="130"/>
        <v>#N/A</v>
      </c>
      <c r="K628" s="50"/>
      <c r="L628" s="267" t="e">
        <f>INDEX('calcolo base'!$H:$H, MATCH($A628, 'calcolo base'!$A:$A, 0))</f>
        <v>#N/A</v>
      </c>
      <c r="M628" s="50" t="e">
        <f t="shared" si="131"/>
        <v>#N/A</v>
      </c>
      <c r="N628" s="50" t="e">
        <f t="shared" si="132"/>
        <v>#N/A</v>
      </c>
      <c r="O628" s="50" t="e">
        <f t="shared" si="133"/>
        <v>#N/A</v>
      </c>
      <c r="P628" s="50" t="e">
        <f t="shared" si="134"/>
        <v>#N/A</v>
      </c>
      <c r="Q628" s="51" t="e">
        <f t="shared" si="135"/>
        <v>#N/A</v>
      </c>
      <c r="R628" s="205" t="e">
        <f t="shared" si="136"/>
        <v>#N/A</v>
      </c>
      <c r="S628" s="279" t="e">
        <f>IF(R628="si",0,IF(E628="si",0,IF(J628&gt;K628,0,+K628-J628)))+IF('calcolo base'!P2088="SI",('Commissioni De Angeli'!K628-'Commissioni De Angeli'!J628),0)</f>
        <v>#N/A</v>
      </c>
      <c r="T628" s="117" t="e">
        <f t="shared" si="137"/>
        <v>#N/A</v>
      </c>
      <c r="U628" s="272" t="e">
        <f>IF(Q628=0,'calcolo base'!L3227,(T628+Q628))</f>
        <v>#N/A</v>
      </c>
      <c r="V628" s="119"/>
    </row>
    <row r="629" spans="2:22">
      <c r="B629" s="47"/>
      <c r="C629" s="35"/>
      <c r="D629" s="53"/>
      <c r="E629" s="53"/>
      <c r="F629" s="48"/>
      <c r="G629" s="243" t="e">
        <f>INDEX('calcolo base'!$B:$B, MATCH($A629, 'calcolo base'!$A:$A, 0))</f>
        <v>#N/A</v>
      </c>
      <c r="H629" s="54" t="e">
        <f t="shared" si="129"/>
        <v>#N/A</v>
      </c>
      <c r="I629" s="259" t="e">
        <f>IF(  OR(      INDEX('calcolo base'!$D:$D, MATCH($A629, 'calcolo base'!$A:$A, 0)) = 0,
      INDEX('calcolo base'!$D:$D, MATCH($A629, 'calcolo base'!$A:$A, 0)) = ""   ),
   INDEX('calcolo base'!$K:$K, MATCH($A629, 'calcolo base'!$A:$A, 0)),
   INDEX('calcolo base'!$J:$J, MATCH($A629, 'calcolo base'!$A:$A, 0))
) / 1000</f>
        <v>#N/A</v>
      </c>
      <c r="J629" s="50" t="e">
        <f t="shared" si="130"/>
        <v>#N/A</v>
      </c>
      <c r="K629" s="50"/>
      <c r="L629" s="267" t="e">
        <f>INDEX('calcolo base'!$H:$H, MATCH($A629, 'calcolo base'!$A:$A, 0))</f>
        <v>#N/A</v>
      </c>
      <c r="M629" s="50" t="e">
        <f t="shared" si="131"/>
        <v>#N/A</v>
      </c>
      <c r="N629" s="50" t="e">
        <f t="shared" si="132"/>
        <v>#N/A</v>
      </c>
      <c r="O629" s="50" t="e">
        <f t="shared" si="133"/>
        <v>#N/A</v>
      </c>
      <c r="P629" s="50" t="e">
        <f t="shared" si="134"/>
        <v>#N/A</v>
      </c>
      <c r="Q629" s="51" t="e">
        <f t="shared" si="135"/>
        <v>#N/A</v>
      </c>
      <c r="R629" s="205" t="e">
        <f t="shared" si="136"/>
        <v>#N/A</v>
      </c>
      <c r="S629" s="279" t="e">
        <f>IF(R629="si",0,IF(E629="si",0,IF(J629&gt;K629,0,+K629-J629)))+IF('calcolo base'!P2089="SI",('Commissioni De Angeli'!K629-'Commissioni De Angeli'!J629),0)</f>
        <v>#N/A</v>
      </c>
      <c r="T629" s="117" t="e">
        <f t="shared" si="137"/>
        <v>#N/A</v>
      </c>
      <c r="U629" s="272" t="e">
        <f>IF(Q629=0,'calcolo base'!L3228,(T629+Q629))</f>
        <v>#N/A</v>
      </c>
      <c r="V629" s="119"/>
    </row>
    <row r="630" spans="2:22">
      <c r="B630" s="47"/>
      <c r="C630" s="35"/>
      <c r="D630" s="53"/>
      <c r="E630" s="53"/>
      <c r="F630" s="48"/>
      <c r="G630" s="243" t="e">
        <f>INDEX('calcolo base'!$B:$B, MATCH($A630, 'calcolo base'!$A:$A, 0))</f>
        <v>#N/A</v>
      </c>
      <c r="H630" s="54" t="e">
        <f t="shared" si="129"/>
        <v>#N/A</v>
      </c>
      <c r="I630" s="259" t="e">
        <f>IF(  OR(      INDEX('calcolo base'!$D:$D, MATCH($A630, 'calcolo base'!$A:$A, 0)) = 0,
      INDEX('calcolo base'!$D:$D, MATCH($A630, 'calcolo base'!$A:$A, 0)) = ""   ),
   INDEX('calcolo base'!$K:$K, MATCH($A630, 'calcolo base'!$A:$A, 0)),
   INDEX('calcolo base'!$J:$J, MATCH($A630, 'calcolo base'!$A:$A, 0))
) / 1000</f>
        <v>#N/A</v>
      </c>
      <c r="J630" s="50" t="e">
        <f t="shared" si="130"/>
        <v>#N/A</v>
      </c>
      <c r="K630" s="50"/>
      <c r="L630" s="267" t="e">
        <f>INDEX('calcolo base'!$H:$H, MATCH($A630, 'calcolo base'!$A:$A, 0))</f>
        <v>#N/A</v>
      </c>
      <c r="M630" s="50" t="e">
        <f t="shared" si="131"/>
        <v>#N/A</v>
      </c>
      <c r="N630" s="50" t="e">
        <f t="shared" si="132"/>
        <v>#N/A</v>
      </c>
      <c r="O630" s="50" t="e">
        <f t="shared" si="133"/>
        <v>#N/A</v>
      </c>
      <c r="P630" s="50" t="e">
        <f t="shared" si="134"/>
        <v>#N/A</v>
      </c>
      <c r="Q630" s="51" t="e">
        <f t="shared" si="135"/>
        <v>#N/A</v>
      </c>
      <c r="R630" s="205" t="e">
        <f t="shared" si="136"/>
        <v>#N/A</v>
      </c>
      <c r="S630" s="279" t="e">
        <f>IF(R630="si",0,IF(E630="si",0,IF(J630&gt;K630,0,+K630-J630)))+IF('calcolo base'!P2090="SI",('Commissioni De Angeli'!K630-'Commissioni De Angeli'!J630),0)</f>
        <v>#N/A</v>
      </c>
      <c r="T630" s="117" t="e">
        <f t="shared" si="137"/>
        <v>#N/A</v>
      </c>
      <c r="U630" s="272" t="e">
        <f>IF(Q630=0,'calcolo base'!L3229,(T630+Q630))</f>
        <v>#N/A</v>
      </c>
      <c r="V630" s="119"/>
    </row>
    <row r="631" spans="2:22">
      <c r="B631" s="47"/>
      <c r="C631" s="35"/>
      <c r="D631" s="53"/>
      <c r="E631" s="53"/>
      <c r="F631" s="48"/>
      <c r="G631" s="243" t="e">
        <f>INDEX('calcolo base'!$B:$B, MATCH($A631, 'calcolo base'!$A:$A, 0))</f>
        <v>#N/A</v>
      </c>
      <c r="H631" s="54" t="e">
        <f t="shared" si="129"/>
        <v>#N/A</v>
      </c>
      <c r="I631" s="259" t="e">
        <f>IF(  OR(      INDEX('calcolo base'!$D:$D, MATCH($A631, 'calcolo base'!$A:$A, 0)) = 0,
      INDEX('calcolo base'!$D:$D, MATCH($A631, 'calcolo base'!$A:$A, 0)) = ""   ),
   INDEX('calcolo base'!$K:$K, MATCH($A631, 'calcolo base'!$A:$A, 0)),
   INDEX('calcolo base'!$J:$J, MATCH($A631, 'calcolo base'!$A:$A, 0))
) / 1000</f>
        <v>#N/A</v>
      </c>
      <c r="J631" s="50" t="e">
        <f t="shared" si="130"/>
        <v>#N/A</v>
      </c>
      <c r="K631" s="50"/>
      <c r="L631" s="267" t="e">
        <f>INDEX('calcolo base'!$H:$H, MATCH($A631, 'calcolo base'!$A:$A, 0))</f>
        <v>#N/A</v>
      </c>
      <c r="M631" s="50" t="e">
        <f t="shared" si="131"/>
        <v>#N/A</v>
      </c>
      <c r="N631" s="50" t="e">
        <f t="shared" si="132"/>
        <v>#N/A</v>
      </c>
      <c r="O631" s="50" t="e">
        <f t="shared" si="133"/>
        <v>#N/A</v>
      </c>
      <c r="P631" s="50" t="e">
        <f t="shared" si="134"/>
        <v>#N/A</v>
      </c>
      <c r="Q631" s="51" t="e">
        <f t="shared" si="135"/>
        <v>#N/A</v>
      </c>
      <c r="R631" s="205" t="e">
        <f t="shared" si="136"/>
        <v>#N/A</v>
      </c>
      <c r="S631" s="279" t="e">
        <f>IF(R631="si",0,IF(E631="si",0,IF(J631&gt;K631,0,+K631-J631)))+IF('calcolo base'!P2091="SI",('Commissioni De Angeli'!K631-'Commissioni De Angeli'!J631),0)</f>
        <v>#N/A</v>
      </c>
      <c r="T631" s="117" t="e">
        <f t="shared" si="137"/>
        <v>#N/A</v>
      </c>
      <c r="U631" s="272" t="e">
        <f>IF(Q631=0,'calcolo base'!L3230,(T631+Q631))</f>
        <v>#N/A</v>
      </c>
      <c r="V631" s="119"/>
    </row>
    <row r="632" spans="2:22">
      <c r="B632" s="47"/>
      <c r="C632" s="35"/>
      <c r="D632" s="53"/>
      <c r="E632" s="53"/>
      <c r="F632" s="48"/>
      <c r="G632" s="243" t="e">
        <f>INDEX('calcolo base'!$B:$B, MATCH($A632, 'calcolo base'!$A:$A, 0))</f>
        <v>#N/A</v>
      </c>
      <c r="H632" s="54" t="e">
        <f t="shared" si="129"/>
        <v>#N/A</v>
      </c>
      <c r="I632" s="259" t="e">
        <f>IF(  OR(      INDEX('calcolo base'!$D:$D, MATCH($A632, 'calcolo base'!$A:$A, 0)) = 0,
      INDEX('calcolo base'!$D:$D, MATCH($A632, 'calcolo base'!$A:$A, 0)) = ""   ),
   INDEX('calcolo base'!$K:$K, MATCH($A632, 'calcolo base'!$A:$A, 0)),
   INDEX('calcolo base'!$J:$J, MATCH($A632, 'calcolo base'!$A:$A, 0))
) / 1000</f>
        <v>#N/A</v>
      </c>
      <c r="J632" s="50" t="e">
        <f t="shared" si="130"/>
        <v>#N/A</v>
      </c>
      <c r="K632" s="50"/>
      <c r="L632" s="267" t="e">
        <f>INDEX('calcolo base'!$H:$H, MATCH($A632, 'calcolo base'!$A:$A, 0))</f>
        <v>#N/A</v>
      </c>
      <c r="M632" s="50" t="e">
        <f t="shared" si="131"/>
        <v>#N/A</v>
      </c>
      <c r="N632" s="50" t="e">
        <f t="shared" si="132"/>
        <v>#N/A</v>
      </c>
      <c r="O632" s="50" t="e">
        <f t="shared" si="133"/>
        <v>#N/A</v>
      </c>
      <c r="P632" s="50" t="e">
        <f t="shared" si="134"/>
        <v>#N/A</v>
      </c>
      <c r="Q632" s="51" t="e">
        <f t="shared" si="135"/>
        <v>#N/A</v>
      </c>
      <c r="R632" s="205" t="e">
        <f t="shared" si="136"/>
        <v>#N/A</v>
      </c>
      <c r="S632" s="279" t="e">
        <f>IF(R632="si",0,IF(E632="si",0,IF(J632&gt;K632,0,+K632-J632)))+IF('calcolo base'!P2092="SI",('Commissioni De Angeli'!K632-'Commissioni De Angeli'!J632),0)</f>
        <v>#N/A</v>
      </c>
      <c r="T632" s="117" t="e">
        <f t="shared" si="137"/>
        <v>#N/A</v>
      </c>
      <c r="U632" s="272" t="e">
        <f>IF(Q632=0,'calcolo base'!L3231,(T632+Q632))</f>
        <v>#N/A</v>
      </c>
      <c r="V632" s="119"/>
    </row>
    <row r="633" spans="2:22">
      <c r="B633" s="47"/>
      <c r="C633" s="35"/>
      <c r="D633" s="53"/>
      <c r="E633" s="53"/>
      <c r="F633" s="48"/>
      <c r="G633" s="243" t="e">
        <f>INDEX('calcolo base'!$B:$B, MATCH($A633, 'calcolo base'!$A:$A, 0))</f>
        <v>#N/A</v>
      </c>
      <c r="H633" s="54" t="e">
        <f t="shared" si="129"/>
        <v>#N/A</v>
      </c>
      <c r="I633" s="259" t="e">
        <f>IF(  OR(      INDEX('calcolo base'!$D:$D, MATCH($A633, 'calcolo base'!$A:$A, 0)) = 0,
      INDEX('calcolo base'!$D:$D, MATCH($A633, 'calcolo base'!$A:$A, 0)) = ""   ),
   INDEX('calcolo base'!$K:$K, MATCH($A633, 'calcolo base'!$A:$A, 0)),
   INDEX('calcolo base'!$J:$J, MATCH($A633, 'calcolo base'!$A:$A, 0))
) / 1000</f>
        <v>#N/A</v>
      </c>
      <c r="J633" s="50" t="e">
        <f t="shared" si="130"/>
        <v>#N/A</v>
      </c>
      <c r="K633" s="50"/>
      <c r="L633" s="267" t="e">
        <f>INDEX('calcolo base'!$H:$H, MATCH($A633, 'calcolo base'!$A:$A, 0))</f>
        <v>#N/A</v>
      </c>
      <c r="M633" s="50" t="e">
        <f t="shared" si="131"/>
        <v>#N/A</v>
      </c>
      <c r="N633" s="50" t="e">
        <f t="shared" si="132"/>
        <v>#N/A</v>
      </c>
      <c r="O633" s="50" t="e">
        <f t="shared" si="133"/>
        <v>#N/A</v>
      </c>
      <c r="P633" s="50" t="e">
        <f t="shared" si="134"/>
        <v>#N/A</v>
      </c>
      <c r="Q633" s="51" t="e">
        <f t="shared" si="135"/>
        <v>#N/A</v>
      </c>
      <c r="R633" s="205" t="e">
        <f t="shared" si="136"/>
        <v>#N/A</v>
      </c>
      <c r="S633" s="279" t="e">
        <f>IF(R633="si",0,IF(E633="si",0,IF(J633&gt;K633,0,+K633-J633)))+IF('calcolo base'!P2093="SI",('Commissioni De Angeli'!K633-'Commissioni De Angeli'!J633),0)</f>
        <v>#N/A</v>
      </c>
      <c r="T633" s="117" t="e">
        <f t="shared" si="137"/>
        <v>#N/A</v>
      </c>
      <c r="U633" s="272" t="e">
        <f>IF(Q633=0,'calcolo base'!L3232,(T633+Q633))</f>
        <v>#N/A</v>
      </c>
      <c r="V633" s="119"/>
    </row>
    <row r="634" spans="2:22">
      <c r="B634" s="47"/>
      <c r="C634" s="35"/>
      <c r="D634" s="53"/>
      <c r="E634" s="53"/>
      <c r="F634" s="48"/>
      <c r="G634" s="243" t="e">
        <f>INDEX('calcolo base'!$B:$B, MATCH($A634, 'calcolo base'!$A:$A, 0))</f>
        <v>#N/A</v>
      </c>
      <c r="H634" s="54" t="e">
        <f t="shared" si="129"/>
        <v>#N/A</v>
      </c>
      <c r="I634" s="259" t="e">
        <f>IF(  OR(      INDEX('calcolo base'!$D:$D, MATCH($A634, 'calcolo base'!$A:$A, 0)) = 0,
      INDEX('calcolo base'!$D:$D, MATCH($A634, 'calcolo base'!$A:$A, 0)) = ""   ),
   INDEX('calcolo base'!$K:$K, MATCH($A634, 'calcolo base'!$A:$A, 0)),
   INDEX('calcolo base'!$J:$J, MATCH($A634, 'calcolo base'!$A:$A, 0))
) / 1000</f>
        <v>#N/A</v>
      </c>
      <c r="J634" s="50" t="e">
        <f t="shared" si="130"/>
        <v>#N/A</v>
      </c>
      <c r="K634" s="50"/>
      <c r="L634" s="267" t="e">
        <f>INDEX('calcolo base'!$H:$H, MATCH($A634, 'calcolo base'!$A:$A, 0))</f>
        <v>#N/A</v>
      </c>
      <c r="M634" s="50" t="e">
        <f t="shared" si="131"/>
        <v>#N/A</v>
      </c>
      <c r="N634" s="50" t="e">
        <f t="shared" si="132"/>
        <v>#N/A</v>
      </c>
      <c r="O634" s="50" t="e">
        <f t="shared" si="133"/>
        <v>#N/A</v>
      </c>
      <c r="P634" s="50" t="e">
        <f t="shared" si="134"/>
        <v>#N/A</v>
      </c>
      <c r="Q634" s="51" t="e">
        <f t="shared" si="135"/>
        <v>#N/A</v>
      </c>
      <c r="R634" s="205" t="e">
        <f t="shared" si="136"/>
        <v>#N/A</v>
      </c>
      <c r="S634" s="279" t="e">
        <f>IF(R634="si",0,IF(E634="si",0,IF(J634&gt;K634,0,+K634-J634)))+IF('calcolo base'!P2094="SI",('Commissioni De Angeli'!K634-'Commissioni De Angeli'!J634),0)</f>
        <v>#N/A</v>
      </c>
      <c r="T634" s="117" t="e">
        <f t="shared" si="137"/>
        <v>#N/A</v>
      </c>
      <c r="U634" s="272" t="e">
        <f>IF(Q634=0,'calcolo base'!L3233,(T634+Q634))</f>
        <v>#N/A</v>
      </c>
      <c r="V634" s="119"/>
    </row>
    <row r="635" spans="2:22">
      <c r="B635" s="47"/>
      <c r="C635" s="35"/>
      <c r="D635" s="53"/>
      <c r="E635" s="53"/>
      <c r="F635" s="48"/>
      <c r="G635" s="243" t="e">
        <f>INDEX('calcolo base'!$B:$B, MATCH($A635, 'calcolo base'!$A:$A, 0))</f>
        <v>#N/A</v>
      </c>
      <c r="H635" s="54" t="e">
        <f t="shared" si="129"/>
        <v>#N/A</v>
      </c>
      <c r="I635" s="259" t="e">
        <f>IF(  OR(      INDEX('calcolo base'!$D:$D, MATCH($A635, 'calcolo base'!$A:$A, 0)) = 0,
      INDEX('calcolo base'!$D:$D, MATCH($A635, 'calcolo base'!$A:$A, 0)) = ""   ),
   INDEX('calcolo base'!$K:$K, MATCH($A635, 'calcolo base'!$A:$A, 0)),
   INDEX('calcolo base'!$J:$J, MATCH($A635, 'calcolo base'!$A:$A, 0))
) / 1000</f>
        <v>#N/A</v>
      </c>
      <c r="J635" s="50" t="e">
        <f t="shared" si="130"/>
        <v>#N/A</v>
      </c>
      <c r="K635" s="50"/>
      <c r="L635" s="267" t="e">
        <f>INDEX('calcolo base'!$H:$H, MATCH($A635, 'calcolo base'!$A:$A, 0))</f>
        <v>#N/A</v>
      </c>
      <c r="M635" s="50" t="e">
        <f t="shared" si="131"/>
        <v>#N/A</v>
      </c>
      <c r="N635" s="50" t="e">
        <f t="shared" si="132"/>
        <v>#N/A</v>
      </c>
      <c r="O635" s="50" t="e">
        <f t="shared" si="133"/>
        <v>#N/A</v>
      </c>
      <c r="P635" s="50" t="e">
        <f t="shared" si="134"/>
        <v>#N/A</v>
      </c>
      <c r="Q635" s="51" t="e">
        <f t="shared" si="135"/>
        <v>#N/A</v>
      </c>
      <c r="R635" s="205" t="e">
        <f t="shared" si="136"/>
        <v>#N/A</v>
      </c>
      <c r="S635" s="279" t="e">
        <f>IF(R635="si",0,IF(E635="si",0,IF(J635&gt;K635,0,+K635-J635)))+IF('calcolo base'!P2095="SI",('Commissioni De Angeli'!K635-'Commissioni De Angeli'!J635),0)</f>
        <v>#N/A</v>
      </c>
      <c r="T635" s="117" t="e">
        <f t="shared" si="137"/>
        <v>#N/A</v>
      </c>
      <c r="U635" s="272" t="e">
        <f>IF(Q635=0,'calcolo base'!L3234,(T635+Q635))</f>
        <v>#N/A</v>
      </c>
      <c r="V635" s="119"/>
    </row>
    <row r="636" spans="2:22">
      <c r="B636" s="47"/>
      <c r="C636" s="35"/>
      <c r="D636" s="53"/>
      <c r="E636" s="53"/>
      <c r="F636" s="48"/>
      <c r="G636" s="243" t="e">
        <f>INDEX('calcolo base'!$B:$B, MATCH($A636, 'calcolo base'!$A:$A, 0))</f>
        <v>#N/A</v>
      </c>
      <c r="H636" s="54" t="e">
        <f t="shared" si="129"/>
        <v>#N/A</v>
      </c>
      <c r="I636" s="259" t="e">
        <f>IF(  OR(      INDEX('calcolo base'!$D:$D, MATCH($A636, 'calcolo base'!$A:$A, 0)) = 0,
      INDEX('calcolo base'!$D:$D, MATCH($A636, 'calcolo base'!$A:$A, 0)) = ""   ),
   INDEX('calcolo base'!$K:$K, MATCH($A636, 'calcolo base'!$A:$A, 0)),
   INDEX('calcolo base'!$J:$J, MATCH($A636, 'calcolo base'!$A:$A, 0))
) / 1000</f>
        <v>#N/A</v>
      </c>
      <c r="J636" s="50" t="e">
        <f t="shared" si="130"/>
        <v>#N/A</v>
      </c>
      <c r="K636" s="50"/>
      <c r="L636" s="267" t="e">
        <f>INDEX('calcolo base'!$H:$H, MATCH($A636, 'calcolo base'!$A:$A, 0))</f>
        <v>#N/A</v>
      </c>
      <c r="M636" s="50" t="e">
        <f t="shared" si="131"/>
        <v>#N/A</v>
      </c>
      <c r="N636" s="50" t="e">
        <f t="shared" si="132"/>
        <v>#N/A</v>
      </c>
      <c r="O636" s="50" t="e">
        <f t="shared" si="133"/>
        <v>#N/A</v>
      </c>
      <c r="P636" s="50" t="e">
        <f t="shared" si="134"/>
        <v>#N/A</v>
      </c>
      <c r="Q636" s="51" t="e">
        <f t="shared" si="135"/>
        <v>#N/A</v>
      </c>
      <c r="R636" s="205" t="e">
        <f t="shared" si="136"/>
        <v>#N/A</v>
      </c>
      <c r="S636" s="279" t="e">
        <f>IF(R636="si",0,IF(E636="si",0,IF(J636&gt;K636,0,+K636-J636)))+IF('calcolo base'!P2096="SI",('Commissioni De Angeli'!K636-'Commissioni De Angeli'!J636),0)</f>
        <v>#N/A</v>
      </c>
      <c r="T636" s="117" t="e">
        <f t="shared" si="137"/>
        <v>#N/A</v>
      </c>
      <c r="U636" s="272" t="e">
        <f>IF(Q636=0,'calcolo base'!L3235,(T636+Q636))</f>
        <v>#N/A</v>
      </c>
      <c r="V636" s="119"/>
    </row>
    <row r="637" spans="2:22">
      <c r="B637" s="47"/>
      <c r="C637" s="35"/>
      <c r="D637" s="53"/>
      <c r="E637" s="53"/>
      <c r="F637" s="48"/>
      <c r="G637" s="243" t="e">
        <f>INDEX('calcolo base'!$B:$B, MATCH($A637, 'calcolo base'!$A:$A, 0))</f>
        <v>#N/A</v>
      </c>
      <c r="H637" s="54" t="e">
        <f t="shared" si="129"/>
        <v>#N/A</v>
      </c>
      <c r="I637" s="259" t="e">
        <f>IF(  OR(      INDEX('calcolo base'!$D:$D, MATCH($A637, 'calcolo base'!$A:$A, 0)) = 0,
      INDEX('calcolo base'!$D:$D, MATCH($A637, 'calcolo base'!$A:$A, 0)) = ""   ),
   INDEX('calcolo base'!$K:$K, MATCH($A637, 'calcolo base'!$A:$A, 0)),
   INDEX('calcolo base'!$J:$J, MATCH($A637, 'calcolo base'!$A:$A, 0))
) / 1000</f>
        <v>#N/A</v>
      </c>
      <c r="J637" s="50" t="e">
        <f t="shared" si="130"/>
        <v>#N/A</v>
      </c>
      <c r="K637" s="50"/>
      <c r="L637" s="267" t="e">
        <f>INDEX('calcolo base'!$H:$H, MATCH($A637, 'calcolo base'!$A:$A, 0))</f>
        <v>#N/A</v>
      </c>
      <c r="M637" s="50" t="e">
        <f t="shared" si="131"/>
        <v>#N/A</v>
      </c>
      <c r="N637" s="50" t="e">
        <f t="shared" si="132"/>
        <v>#N/A</v>
      </c>
      <c r="O637" s="50" t="e">
        <f t="shared" si="133"/>
        <v>#N/A</v>
      </c>
      <c r="P637" s="50" t="e">
        <f t="shared" si="134"/>
        <v>#N/A</v>
      </c>
      <c r="Q637" s="51" t="e">
        <f t="shared" si="135"/>
        <v>#N/A</v>
      </c>
      <c r="R637" s="205" t="e">
        <f t="shared" si="136"/>
        <v>#N/A</v>
      </c>
      <c r="S637" s="279" t="e">
        <f>IF(R637="si",0,IF(E637="si",0,IF(J637&gt;K637,0,+K637-J637)))+IF('calcolo base'!P2097="SI",('Commissioni De Angeli'!K637-'Commissioni De Angeli'!J637),0)</f>
        <v>#N/A</v>
      </c>
      <c r="T637" s="117" t="e">
        <f t="shared" si="137"/>
        <v>#N/A</v>
      </c>
      <c r="U637" s="272" t="e">
        <f>IF(Q637=0,'calcolo base'!L3236,(T637+Q637))</f>
        <v>#N/A</v>
      </c>
      <c r="V637" s="119"/>
    </row>
    <row r="638" spans="2:22">
      <c r="B638" s="47"/>
      <c r="C638" s="35"/>
      <c r="D638" s="53"/>
      <c r="E638" s="53"/>
      <c r="F638" s="48"/>
      <c r="G638" s="243" t="e">
        <f>INDEX('calcolo base'!$B:$B, MATCH($A638, 'calcolo base'!$A:$A, 0))</f>
        <v>#N/A</v>
      </c>
      <c r="H638" s="54" t="e">
        <f t="shared" si="129"/>
        <v>#N/A</v>
      </c>
      <c r="I638" s="259" t="e">
        <f>IF(  OR(      INDEX('calcolo base'!$D:$D, MATCH($A638, 'calcolo base'!$A:$A, 0)) = 0,
      INDEX('calcolo base'!$D:$D, MATCH($A638, 'calcolo base'!$A:$A, 0)) = ""   ),
   INDEX('calcolo base'!$K:$K, MATCH($A638, 'calcolo base'!$A:$A, 0)),
   INDEX('calcolo base'!$J:$J, MATCH($A638, 'calcolo base'!$A:$A, 0))
) / 1000</f>
        <v>#N/A</v>
      </c>
      <c r="J638" s="50" t="e">
        <f t="shared" si="130"/>
        <v>#N/A</v>
      </c>
      <c r="K638" s="50"/>
      <c r="L638" s="267" t="e">
        <f>INDEX('calcolo base'!$H:$H, MATCH($A638, 'calcolo base'!$A:$A, 0))</f>
        <v>#N/A</v>
      </c>
      <c r="M638" s="50" t="e">
        <f t="shared" si="131"/>
        <v>#N/A</v>
      </c>
      <c r="N638" s="50" t="e">
        <f t="shared" si="132"/>
        <v>#N/A</v>
      </c>
      <c r="O638" s="50" t="e">
        <f t="shared" si="133"/>
        <v>#N/A</v>
      </c>
      <c r="P638" s="50" t="e">
        <f t="shared" si="134"/>
        <v>#N/A</v>
      </c>
      <c r="Q638" s="51" t="e">
        <f t="shared" si="135"/>
        <v>#N/A</v>
      </c>
      <c r="R638" s="205" t="e">
        <f t="shared" si="136"/>
        <v>#N/A</v>
      </c>
      <c r="S638" s="279" t="e">
        <f>IF(R638="si",0,IF(E638="si",0,IF(J638&gt;K638,0,+K638-J638)))+IF('calcolo base'!P2098="SI",('Commissioni De Angeli'!K638-'Commissioni De Angeli'!J638),0)</f>
        <v>#N/A</v>
      </c>
      <c r="T638" s="117" t="e">
        <f t="shared" si="137"/>
        <v>#N/A</v>
      </c>
      <c r="U638" s="272" t="e">
        <f>IF(Q638=0,'calcolo base'!L3237,(T638+Q638))</f>
        <v>#N/A</v>
      </c>
      <c r="V638" s="119"/>
    </row>
    <row r="639" spans="2:22">
      <c r="B639" s="47"/>
      <c r="C639" s="35"/>
      <c r="D639" s="53"/>
      <c r="E639" s="53"/>
      <c r="F639" s="48"/>
      <c r="G639" s="243" t="e">
        <f>INDEX('calcolo base'!$B:$B, MATCH($A639, 'calcolo base'!$A:$A, 0))</f>
        <v>#N/A</v>
      </c>
      <c r="H639" s="54" t="e">
        <f t="shared" si="129"/>
        <v>#N/A</v>
      </c>
      <c r="I639" s="259" t="e">
        <f>IF(  OR(      INDEX('calcolo base'!$D:$D, MATCH($A639, 'calcolo base'!$A:$A, 0)) = 0,
      INDEX('calcolo base'!$D:$D, MATCH($A639, 'calcolo base'!$A:$A, 0)) = ""   ),
   INDEX('calcolo base'!$K:$K, MATCH($A639, 'calcolo base'!$A:$A, 0)),
   INDEX('calcolo base'!$J:$J, MATCH($A639, 'calcolo base'!$A:$A, 0))
) / 1000</f>
        <v>#N/A</v>
      </c>
      <c r="J639" s="50" t="e">
        <f t="shared" si="130"/>
        <v>#N/A</v>
      </c>
      <c r="K639" s="50"/>
      <c r="L639" s="267" t="e">
        <f>INDEX('calcolo base'!$H:$H, MATCH($A639, 'calcolo base'!$A:$A, 0))</f>
        <v>#N/A</v>
      </c>
      <c r="M639" s="50" t="e">
        <f t="shared" si="131"/>
        <v>#N/A</v>
      </c>
      <c r="N639" s="50" t="e">
        <f t="shared" si="132"/>
        <v>#N/A</v>
      </c>
      <c r="O639" s="50" t="e">
        <f t="shared" si="133"/>
        <v>#N/A</v>
      </c>
      <c r="P639" s="50" t="e">
        <f t="shared" si="134"/>
        <v>#N/A</v>
      </c>
      <c r="Q639" s="51" t="e">
        <f t="shared" si="135"/>
        <v>#N/A</v>
      </c>
      <c r="R639" s="205" t="e">
        <f t="shared" si="136"/>
        <v>#N/A</v>
      </c>
      <c r="S639" s="279" t="e">
        <f>IF(R639="si",0,IF(E639="si",0,IF(J639&gt;K639,0,+K639-J639)))+IF('calcolo base'!P2099="SI",('Commissioni De Angeli'!K639-'Commissioni De Angeli'!J639),0)</f>
        <v>#N/A</v>
      </c>
      <c r="T639" s="117" t="e">
        <f t="shared" si="137"/>
        <v>#N/A</v>
      </c>
      <c r="U639" s="272" t="e">
        <f>IF(Q639=0,'calcolo base'!L3238,(T639+Q639))</f>
        <v>#N/A</v>
      </c>
      <c r="V639" s="119"/>
    </row>
    <row r="640" spans="2:22">
      <c r="B640" s="47"/>
      <c r="C640" s="35"/>
      <c r="D640" s="53"/>
      <c r="E640" s="53"/>
      <c r="F640" s="48"/>
      <c r="G640" s="243" t="e">
        <f>INDEX('calcolo base'!$B:$B, MATCH($A640, 'calcolo base'!$A:$A, 0))</f>
        <v>#N/A</v>
      </c>
      <c r="H640" s="54" t="e">
        <f t="shared" si="129"/>
        <v>#N/A</v>
      </c>
      <c r="I640" s="259" t="e">
        <f>IF(  OR(      INDEX('calcolo base'!$D:$D, MATCH($A640, 'calcolo base'!$A:$A, 0)) = 0,
      INDEX('calcolo base'!$D:$D, MATCH($A640, 'calcolo base'!$A:$A, 0)) = ""   ),
   INDEX('calcolo base'!$K:$K, MATCH($A640, 'calcolo base'!$A:$A, 0)),
   INDEX('calcolo base'!$J:$J, MATCH($A640, 'calcolo base'!$A:$A, 0))
) / 1000</f>
        <v>#N/A</v>
      </c>
      <c r="J640" s="50" t="e">
        <f t="shared" si="130"/>
        <v>#N/A</v>
      </c>
      <c r="K640" s="50"/>
      <c r="L640" s="267" t="e">
        <f>INDEX('calcolo base'!$H:$H, MATCH($A640, 'calcolo base'!$A:$A, 0))</f>
        <v>#N/A</v>
      </c>
      <c r="M640" s="50" t="e">
        <f t="shared" si="131"/>
        <v>#N/A</v>
      </c>
      <c r="N640" s="50" t="e">
        <f t="shared" si="132"/>
        <v>#N/A</v>
      </c>
      <c r="O640" s="50" t="e">
        <f t="shared" si="133"/>
        <v>#N/A</v>
      </c>
      <c r="P640" s="50" t="e">
        <f t="shared" si="134"/>
        <v>#N/A</v>
      </c>
      <c r="Q640" s="51" t="e">
        <f t="shared" si="135"/>
        <v>#N/A</v>
      </c>
      <c r="R640" s="205" t="e">
        <f t="shared" si="136"/>
        <v>#N/A</v>
      </c>
      <c r="S640" s="279" t="e">
        <f>IF(R640="si",0,IF(E640="si",0,IF(J640&gt;K640,0,+K640-J640)))+IF('calcolo base'!P2100="SI",('Commissioni De Angeli'!K640-'Commissioni De Angeli'!J640),0)</f>
        <v>#N/A</v>
      </c>
      <c r="T640" s="117" t="e">
        <f t="shared" si="137"/>
        <v>#N/A</v>
      </c>
      <c r="U640" s="272" t="e">
        <f>IF(Q640=0,'calcolo base'!L3239,(T640+Q640))</f>
        <v>#N/A</v>
      </c>
      <c r="V640" s="119"/>
    </row>
    <row r="641" spans="2:22">
      <c r="B641" s="47"/>
      <c r="C641" s="35"/>
      <c r="D641" s="53"/>
      <c r="E641" s="53"/>
      <c r="F641" s="48"/>
      <c r="G641" s="243" t="e">
        <f>INDEX('calcolo base'!$B:$B, MATCH($A641, 'calcolo base'!$A:$A, 0))</f>
        <v>#N/A</v>
      </c>
      <c r="H641" s="54" t="e">
        <f t="shared" si="129"/>
        <v>#N/A</v>
      </c>
      <c r="I641" s="259" t="e">
        <f>IF(  OR(      INDEX('calcolo base'!$D:$D, MATCH($A641, 'calcolo base'!$A:$A, 0)) = 0,
      INDEX('calcolo base'!$D:$D, MATCH($A641, 'calcolo base'!$A:$A, 0)) = ""   ),
   INDEX('calcolo base'!$K:$K, MATCH($A641, 'calcolo base'!$A:$A, 0)),
   INDEX('calcolo base'!$J:$J, MATCH($A641, 'calcolo base'!$A:$A, 0))
) / 1000</f>
        <v>#N/A</v>
      </c>
      <c r="J641" s="50" t="e">
        <f t="shared" si="130"/>
        <v>#N/A</v>
      </c>
      <c r="K641" s="50"/>
      <c r="L641" s="267" t="e">
        <f>INDEX('calcolo base'!$H:$H, MATCH($A641, 'calcolo base'!$A:$A, 0))</f>
        <v>#N/A</v>
      </c>
      <c r="M641" s="50" t="e">
        <f t="shared" si="131"/>
        <v>#N/A</v>
      </c>
      <c r="N641" s="50" t="e">
        <f t="shared" si="132"/>
        <v>#N/A</v>
      </c>
      <c r="O641" s="50" t="e">
        <f t="shared" si="133"/>
        <v>#N/A</v>
      </c>
      <c r="P641" s="50" t="e">
        <f t="shared" si="134"/>
        <v>#N/A</v>
      </c>
      <c r="Q641" s="51" t="e">
        <f t="shared" si="135"/>
        <v>#N/A</v>
      </c>
      <c r="R641" s="205" t="e">
        <f t="shared" si="136"/>
        <v>#N/A</v>
      </c>
      <c r="S641" s="279" t="e">
        <f>IF(R641="si",0,IF(E641="si",0,IF(J641&gt;K641,0,+K641-J641)))+IF('calcolo base'!P2101="SI",('Commissioni De Angeli'!K641-'Commissioni De Angeli'!J641),0)</f>
        <v>#N/A</v>
      </c>
      <c r="T641" s="117" t="e">
        <f t="shared" si="137"/>
        <v>#N/A</v>
      </c>
      <c r="U641" s="272" t="e">
        <f>IF(Q641=0,'calcolo base'!L3240,(T641+Q641))</f>
        <v>#N/A</v>
      </c>
      <c r="V641" s="119"/>
    </row>
    <row r="642" spans="2:22">
      <c r="B642" s="47"/>
      <c r="C642" s="35"/>
      <c r="D642" s="53"/>
      <c r="E642" s="53"/>
      <c r="F642" s="48"/>
      <c r="G642" s="243" t="e">
        <f>INDEX('calcolo base'!$B:$B, MATCH($A642, 'calcolo base'!$A:$A, 0))</f>
        <v>#N/A</v>
      </c>
      <c r="H642" s="54" t="e">
        <f t="shared" si="129"/>
        <v>#N/A</v>
      </c>
      <c r="I642" s="259" t="e">
        <f>IF(  OR(      INDEX('calcolo base'!$D:$D, MATCH($A642, 'calcolo base'!$A:$A, 0)) = 0,
      INDEX('calcolo base'!$D:$D, MATCH($A642, 'calcolo base'!$A:$A, 0)) = ""   ),
   INDEX('calcolo base'!$K:$K, MATCH($A642, 'calcolo base'!$A:$A, 0)),
   INDEX('calcolo base'!$J:$J, MATCH($A642, 'calcolo base'!$A:$A, 0))
) / 1000</f>
        <v>#N/A</v>
      </c>
      <c r="J642" s="50" t="e">
        <f t="shared" si="130"/>
        <v>#N/A</v>
      </c>
      <c r="K642" s="50"/>
      <c r="L642" s="267" t="e">
        <f>INDEX('calcolo base'!$H:$H, MATCH($A642, 'calcolo base'!$A:$A, 0))</f>
        <v>#N/A</v>
      </c>
      <c r="M642" s="50" t="e">
        <f t="shared" si="131"/>
        <v>#N/A</v>
      </c>
      <c r="N642" s="50" t="e">
        <f t="shared" si="132"/>
        <v>#N/A</v>
      </c>
      <c r="O642" s="50" t="e">
        <f t="shared" si="133"/>
        <v>#N/A</v>
      </c>
      <c r="P642" s="50" t="e">
        <f t="shared" si="134"/>
        <v>#N/A</v>
      </c>
      <c r="Q642" s="51" t="e">
        <f t="shared" si="135"/>
        <v>#N/A</v>
      </c>
      <c r="R642" s="205" t="e">
        <f t="shared" si="136"/>
        <v>#N/A</v>
      </c>
      <c r="S642" s="279" t="e">
        <f>IF(R642="si",0,IF(E642="si",0,IF(J642&gt;K642,0,+K642-J642)))+IF('calcolo base'!P2102="SI",('Commissioni De Angeli'!K642-'Commissioni De Angeli'!J642),0)</f>
        <v>#N/A</v>
      </c>
      <c r="T642" s="117" t="e">
        <f t="shared" si="137"/>
        <v>#N/A</v>
      </c>
      <c r="U642" s="272" t="e">
        <f>IF(Q642=0,'calcolo base'!L3241,(T642+Q642))</f>
        <v>#N/A</v>
      </c>
      <c r="V642" s="119"/>
    </row>
    <row r="643" spans="2:22">
      <c r="B643" s="47"/>
      <c r="C643" s="35"/>
      <c r="D643" s="53"/>
      <c r="E643" s="53"/>
      <c r="F643" s="48"/>
      <c r="G643" s="243" t="e">
        <f>INDEX('calcolo base'!$B:$B, MATCH($A643, 'calcolo base'!$A:$A, 0))</f>
        <v>#N/A</v>
      </c>
      <c r="H643" s="54" t="e">
        <f t="shared" si="129"/>
        <v>#N/A</v>
      </c>
      <c r="I643" s="259" t="e">
        <f>IF(  OR(      INDEX('calcolo base'!$D:$D, MATCH($A643, 'calcolo base'!$A:$A, 0)) = 0,
      INDEX('calcolo base'!$D:$D, MATCH($A643, 'calcolo base'!$A:$A, 0)) = ""   ),
   INDEX('calcolo base'!$K:$K, MATCH($A643, 'calcolo base'!$A:$A, 0)),
   INDEX('calcolo base'!$J:$J, MATCH($A643, 'calcolo base'!$A:$A, 0))
) / 1000</f>
        <v>#N/A</v>
      </c>
      <c r="J643" s="50" t="e">
        <f t="shared" si="130"/>
        <v>#N/A</v>
      </c>
      <c r="K643" s="50"/>
      <c r="L643" s="267" t="e">
        <f>INDEX('calcolo base'!$H:$H, MATCH($A643, 'calcolo base'!$A:$A, 0))</f>
        <v>#N/A</v>
      </c>
      <c r="M643" s="50" t="e">
        <f t="shared" si="131"/>
        <v>#N/A</v>
      </c>
      <c r="N643" s="50" t="e">
        <f t="shared" si="132"/>
        <v>#N/A</v>
      </c>
      <c r="O643" s="50" t="e">
        <f t="shared" si="133"/>
        <v>#N/A</v>
      </c>
      <c r="P643" s="50" t="e">
        <f t="shared" si="134"/>
        <v>#N/A</v>
      </c>
      <c r="Q643" s="51" t="e">
        <f t="shared" si="135"/>
        <v>#N/A</v>
      </c>
      <c r="R643" s="205" t="e">
        <f t="shared" si="136"/>
        <v>#N/A</v>
      </c>
      <c r="S643" s="279" t="e">
        <f>IF(R643="si",0,IF(E643="si",0,IF(J643&gt;K643,0,+K643-J643)))+IF('calcolo base'!P2103="SI",('Commissioni De Angeli'!K643-'Commissioni De Angeli'!J643),0)</f>
        <v>#N/A</v>
      </c>
      <c r="T643" s="117" t="e">
        <f t="shared" si="137"/>
        <v>#N/A</v>
      </c>
      <c r="U643" s="272" t="e">
        <f>IF(Q643=0,'calcolo base'!L3242,(T643+Q643))</f>
        <v>#N/A</v>
      </c>
      <c r="V643" s="119"/>
    </row>
    <row r="644" spans="2:22">
      <c r="B644" s="47"/>
      <c r="C644" s="35"/>
      <c r="D644" s="53"/>
      <c r="E644" s="53"/>
      <c r="F644" s="48"/>
      <c r="G644" s="243" t="e">
        <f>INDEX('calcolo base'!$B:$B, MATCH($A644, 'calcolo base'!$A:$A, 0))</f>
        <v>#N/A</v>
      </c>
      <c r="H644" s="54" t="e">
        <f t="shared" si="129"/>
        <v>#N/A</v>
      </c>
      <c r="I644" s="259" t="e">
        <f>IF(  OR(      INDEX('calcolo base'!$D:$D, MATCH($A644, 'calcolo base'!$A:$A, 0)) = 0,
      INDEX('calcolo base'!$D:$D, MATCH($A644, 'calcolo base'!$A:$A, 0)) = ""   ),
   INDEX('calcolo base'!$K:$K, MATCH($A644, 'calcolo base'!$A:$A, 0)),
   INDEX('calcolo base'!$J:$J, MATCH($A644, 'calcolo base'!$A:$A, 0))
) / 1000</f>
        <v>#N/A</v>
      </c>
      <c r="J644" s="50" t="e">
        <f t="shared" si="130"/>
        <v>#N/A</v>
      </c>
      <c r="K644" s="50"/>
      <c r="L644" s="267" t="e">
        <f>INDEX('calcolo base'!$H:$H, MATCH($A644, 'calcolo base'!$A:$A, 0))</f>
        <v>#N/A</v>
      </c>
      <c r="M644" s="50" t="e">
        <f t="shared" si="131"/>
        <v>#N/A</v>
      </c>
      <c r="N644" s="50" t="e">
        <f t="shared" si="132"/>
        <v>#N/A</v>
      </c>
      <c r="O644" s="50" t="e">
        <f t="shared" si="133"/>
        <v>#N/A</v>
      </c>
      <c r="P644" s="50" t="e">
        <f t="shared" si="134"/>
        <v>#N/A</v>
      </c>
      <c r="Q644" s="51" t="e">
        <f t="shared" si="135"/>
        <v>#N/A</v>
      </c>
      <c r="R644" s="205" t="e">
        <f t="shared" si="136"/>
        <v>#N/A</v>
      </c>
      <c r="S644" s="279" t="e">
        <f>IF(R644="si",0,IF(E644="si",0,IF(J644&gt;K644,0,+K644-J644)))+IF('calcolo base'!P2104="SI",('Commissioni De Angeli'!K644-'Commissioni De Angeli'!J644),0)</f>
        <v>#N/A</v>
      </c>
      <c r="T644" s="117" t="e">
        <f t="shared" si="137"/>
        <v>#N/A</v>
      </c>
      <c r="U644" s="272" t="e">
        <f>IF(Q644=0,'calcolo base'!L3243,(T644+Q644))</f>
        <v>#N/A</v>
      </c>
      <c r="V644" s="119"/>
    </row>
    <row r="645" spans="2:22">
      <c r="B645" s="47"/>
      <c r="C645" s="35"/>
      <c r="D645" s="53"/>
      <c r="E645" s="53"/>
      <c r="F645" s="48"/>
      <c r="G645" s="243" t="e">
        <f>INDEX('calcolo base'!$B:$B, MATCH($A645, 'calcolo base'!$A:$A, 0))</f>
        <v>#N/A</v>
      </c>
      <c r="H645" s="54" t="e">
        <f t="shared" si="129"/>
        <v>#N/A</v>
      </c>
      <c r="I645" s="259" t="e">
        <f>IF(  OR(      INDEX('calcolo base'!$D:$D, MATCH($A645, 'calcolo base'!$A:$A, 0)) = 0,
      INDEX('calcolo base'!$D:$D, MATCH($A645, 'calcolo base'!$A:$A, 0)) = ""   ),
   INDEX('calcolo base'!$K:$K, MATCH($A645, 'calcolo base'!$A:$A, 0)),
   INDEX('calcolo base'!$J:$J, MATCH($A645, 'calcolo base'!$A:$A, 0))
) / 1000</f>
        <v>#N/A</v>
      </c>
      <c r="J645" s="50" t="e">
        <f t="shared" si="130"/>
        <v>#N/A</v>
      </c>
      <c r="K645" s="50"/>
      <c r="L645" s="267" t="e">
        <f>INDEX('calcolo base'!$H:$H, MATCH($A645, 'calcolo base'!$A:$A, 0))</f>
        <v>#N/A</v>
      </c>
      <c r="M645" s="50" t="e">
        <f t="shared" si="131"/>
        <v>#N/A</v>
      </c>
      <c r="N645" s="50" t="e">
        <f t="shared" si="132"/>
        <v>#N/A</v>
      </c>
      <c r="O645" s="50" t="e">
        <f t="shared" si="133"/>
        <v>#N/A</v>
      </c>
      <c r="P645" s="50" t="e">
        <f t="shared" si="134"/>
        <v>#N/A</v>
      </c>
      <c r="Q645" s="51" t="e">
        <f t="shared" si="135"/>
        <v>#N/A</v>
      </c>
      <c r="R645" s="205" t="e">
        <f t="shared" si="136"/>
        <v>#N/A</v>
      </c>
      <c r="S645" s="279" t="e">
        <f>IF(R645="si",0,IF(E645="si",0,IF(J645&gt;K645,0,+K645-J645)))+IF('calcolo base'!P2105="SI",('Commissioni De Angeli'!K645-'Commissioni De Angeli'!J645),0)</f>
        <v>#N/A</v>
      </c>
      <c r="T645" s="117" t="e">
        <f t="shared" si="137"/>
        <v>#N/A</v>
      </c>
      <c r="U645" s="272" t="e">
        <f>IF(Q645=0,'calcolo base'!L3244,(T645+Q645))</f>
        <v>#N/A</v>
      </c>
      <c r="V645" s="119"/>
    </row>
    <row r="646" spans="2:22">
      <c r="B646" s="47"/>
      <c r="C646" s="35"/>
      <c r="D646" s="53"/>
      <c r="E646" s="53"/>
      <c r="F646" s="48"/>
      <c r="G646" s="243" t="e">
        <f>INDEX('calcolo base'!$B:$B, MATCH($A646, 'calcolo base'!$A:$A, 0))</f>
        <v>#N/A</v>
      </c>
      <c r="H646" s="54" t="e">
        <f t="shared" si="129"/>
        <v>#N/A</v>
      </c>
      <c r="I646" s="259" t="e">
        <f>IF(  OR(      INDEX('calcolo base'!$D:$D, MATCH($A646, 'calcolo base'!$A:$A, 0)) = 0,
      INDEX('calcolo base'!$D:$D, MATCH($A646, 'calcolo base'!$A:$A, 0)) = ""   ),
   INDEX('calcolo base'!$K:$K, MATCH($A646, 'calcolo base'!$A:$A, 0)),
   INDEX('calcolo base'!$J:$J, MATCH($A646, 'calcolo base'!$A:$A, 0))
) / 1000</f>
        <v>#N/A</v>
      </c>
      <c r="J646" s="50" t="e">
        <f t="shared" si="130"/>
        <v>#N/A</v>
      </c>
      <c r="K646" s="50"/>
      <c r="L646" s="267" t="e">
        <f>INDEX('calcolo base'!$H:$H, MATCH($A646, 'calcolo base'!$A:$A, 0))</f>
        <v>#N/A</v>
      </c>
      <c r="M646" s="50" t="e">
        <f t="shared" si="131"/>
        <v>#N/A</v>
      </c>
      <c r="N646" s="50" t="e">
        <f t="shared" si="132"/>
        <v>#N/A</v>
      </c>
      <c r="O646" s="50" t="e">
        <f t="shared" si="133"/>
        <v>#N/A</v>
      </c>
      <c r="P646" s="50" t="e">
        <f t="shared" si="134"/>
        <v>#N/A</v>
      </c>
      <c r="Q646" s="51" t="e">
        <f t="shared" si="135"/>
        <v>#N/A</v>
      </c>
      <c r="R646" s="205" t="e">
        <f t="shared" si="136"/>
        <v>#N/A</v>
      </c>
      <c r="S646" s="279" t="e">
        <f>IF(R646="si",0,IF(E646="si",0,IF(J646&gt;K646,0,+K646-J646)))+IF('calcolo base'!P2106="SI",('Commissioni De Angeli'!K646-'Commissioni De Angeli'!J646),0)</f>
        <v>#N/A</v>
      </c>
      <c r="T646" s="117" t="e">
        <f t="shared" si="137"/>
        <v>#N/A</v>
      </c>
      <c r="U646" s="272" t="e">
        <f>IF(Q646=0,'calcolo base'!L3245,(T646+Q646))</f>
        <v>#N/A</v>
      </c>
      <c r="V646" s="119"/>
    </row>
    <row r="647" spans="2:22">
      <c r="B647" s="47"/>
      <c r="C647" s="35"/>
      <c r="D647" s="53"/>
      <c r="E647" s="53"/>
      <c r="F647" s="48"/>
      <c r="G647" s="243" t="e">
        <f>INDEX('calcolo base'!$B:$B, MATCH($A647, 'calcolo base'!$A:$A, 0))</f>
        <v>#N/A</v>
      </c>
      <c r="H647" s="54" t="e">
        <f t="shared" si="129"/>
        <v>#N/A</v>
      </c>
      <c r="I647" s="259" t="e">
        <f>IF(  OR(      INDEX('calcolo base'!$D:$D, MATCH($A647, 'calcolo base'!$A:$A, 0)) = 0,
      INDEX('calcolo base'!$D:$D, MATCH($A647, 'calcolo base'!$A:$A, 0)) = ""   ),
   INDEX('calcolo base'!$K:$K, MATCH($A647, 'calcolo base'!$A:$A, 0)),
   INDEX('calcolo base'!$J:$J, MATCH($A647, 'calcolo base'!$A:$A, 0))
) / 1000</f>
        <v>#N/A</v>
      </c>
      <c r="J647" s="50" t="e">
        <f t="shared" si="130"/>
        <v>#N/A</v>
      </c>
      <c r="K647" s="50"/>
      <c r="L647" s="267" t="e">
        <f>INDEX('calcolo base'!$H:$H, MATCH($A647, 'calcolo base'!$A:$A, 0))</f>
        <v>#N/A</v>
      </c>
      <c r="M647" s="50" t="e">
        <f t="shared" si="131"/>
        <v>#N/A</v>
      </c>
      <c r="N647" s="50" t="e">
        <f t="shared" si="132"/>
        <v>#N/A</v>
      </c>
      <c r="O647" s="50" t="e">
        <f t="shared" si="133"/>
        <v>#N/A</v>
      </c>
      <c r="P647" s="50" t="e">
        <f t="shared" si="134"/>
        <v>#N/A</v>
      </c>
      <c r="Q647" s="51" t="e">
        <f t="shared" si="135"/>
        <v>#N/A</v>
      </c>
      <c r="R647" s="205" t="e">
        <f t="shared" si="136"/>
        <v>#N/A</v>
      </c>
      <c r="S647" s="279" t="e">
        <f>IF(R647="si",0,IF(E647="si",0,IF(J647&gt;K647,0,+K647-J647)))+IF('calcolo base'!P2107="SI",('Commissioni De Angeli'!K647-'Commissioni De Angeli'!J647),0)</f>
        <v>#N/A</v>
      </c>
      <c r="T647" s="117" t="e">
        <f t="shared" si="137"/>
        <v>#N/A</v>
      </c>
      <c r="U647" s="272" t="e">
        <f>IF(Q647=0,'calcolo base'!L3246,(T647+Q647))</f>
        <v>#N/A</v>
      </c>
      <c r="V647" s="119"/>
    </row>
    <row r="648" spans="2:22">
      <c r="B648" s="47"/>
      <c r="C648" s="35"/>
      <c r="D648" s="53"/>
      <c r="E648" s="53"/>
      <c r="F648" s="48"/>
      <c r="G648" s="243" t="e">
        <f>INDEX('calcolo base'!$B:$B, MATCH($A648, 'calcolo base'!$A:$A, 0))</f>
        <v>#N/A</v>
      </c>
      <c r="H648" s="54" t="e">
        <f t="shared" si="129"/>
        <v>#N/A</v>
      </c>
      <c r="I648" s="259" t="e">
        <f>IF(  OR(      INDEX('calcolo base'!$D:$D, MATCH($A648, 'calcolo base'!$A:$A, 0)) = 0,
      INDEX('calcolo base'!$D:$D, MATCH($A648, 'calcolo base'!$A:$A, 0)) = ""   ),
   INDEX('calcolo base'!$K:$K, MATCH($A648, 'calcolo base'!$A:$A, 0)),
   INDEX('calcolo base'!$J:$J, MATCH($A648, 'calcolo base'!$A:$A, 0))
) / 1000</f>
        <v>#N/A</v>
      </c>
      <c r="J648" s="50" t="e">
        <f t="shared" si="130"/>
        <v>#N/A</v>
      </c>
      <c r="K648" s="50"/>
      <c r="L648" s="267" t="e">
        <f>INDEX('calcolo base'!$H:$H, MATCH($A648, 'calcolo base'!$A:$A, 0))</f>
        <v>#N/A</v>
      </c>
      <c r="M648" s="50" t="e">
        <f t="shared" si="131"/>
        <v>#N/A</v>
      </c>
      <c r="N648" s="50" t="e">
        <f t="shared" si="132"/>
        <v>#N/A</v>
      </c>
      <c r="O648" s="50" t="e">
        <f t="shared" si="133"/>
        <v>#N/A</v>
      </c>
      <c r="P648" s="50" t="e">
        <f t="shared" si="134"/>
        <v>#N/A</v>
      </c>
      <c r="Q648" s="51" t="e">
        <f t="shared" si="135"/>
        <v>#N/A</v>
      </c>
      <c r="R648" s="205" t="e">
        <f t="shared" si="136"/>
        <v>#N/A</v>
      </c>
      <c r="S648" s="279" t="e">
        <f>IF(R648="si",0,IF(E648="si",0,IF(J648&gt;K648,0,+K648-J648)))+IF('calcolo base'!P2108="SI",('Commissioni De Angeli'!K648-'Commissioni De Angeli'!J648),0)</f>
        <v>#N/A</v>
      </c>
      <c r="T648" s="117" t="e">
        <f t="shared" si="137"/>
        <v>#N/A</v>
      </c>
      <c r="U648" s="272" t="e">
        <f>IF(Q648=0,'calcolo base'!L3247,(T648+Q648))</f>
        <v>#N/A</v>
      </c>
      <c r="V648" s="119"/>
    </row>
    <row r="649" spans="2:22">
      <c r="B649" s="47"/>
      <c r="C649" s="35"/>
      <c r="D649" s="53"/>
      <c r="E649" s="53"/>
      <c r="F649" s="48"/>
      <c r="G649" s="243" t="e">
        <f>INDEX('calcolo base'!$B:$B, MATCH($A649, 'calcolo base'!$A:$A, 0))</f>
        <v>#N/A</v>
      </c>
      <c r="H649" s="54" t="e">
        <f t="shared" si="129"/>
        <v>#N/A</v>
      </c>
      <c r="I649" s="259" t="e">
        <f>IF(  OR(      INDEX('calcolo base'!$D:$D, MATCH($A649, 'calcolo base'!$A:$A, 0)) = 0,
      INDEX('calcolo base'!$D:$D, MATCH($A649, 'calcolo base'!$A:$A, 0)) = ""   ),
   INDEX('calcolo base'!$K:$K, MATCH($A649, 'calcolo base'!$A:$A, 0)),
   INDEX('calcolo base'!$J:$J, MATCH($A649, 'calcolo base'!$A:$A, 0))
) / 1000</f>
        <v>#N/A</v>
      </c>
      <c r="J649" s="50" t="e">
        <f t="shared" si="130"/>
        <v>#N/A</v>
      </c>
      <c r="K649" s="50"/>
      <c r="L649" s="267" t="e">
        <f>INDEX('calcolo base'!$H:$H, MATCH($A649, 'calcolo base'!$A:$A, 0))</f>
        <v>#N/A</v>
      </c>
      <c r="M649" s="50" t="e">
        <f t="shared" si="131"/>
        <v>#N/A</v>
      </c>
      <c r="N649" s="50" t="e">
        <f t="shared" si="132"/>
        <v>#N/A</v>
      </c>
      <c r="O649" s="50" t="e">
        <f t="shared" si="133"/>
        <v>#N/A</v>
      </c>
      <c r="P649" s="50" t="e">
        <f t="shared" si="134"/>
        <v>#N/A</v>
      </c>
      <c r="Q649" s="51" t="e">
        <f t="shared" si="135"/>
        <v>#N/A</v>
      </c>
      <c r="R649" s="205" t="e">
        <f t="shared" si="136"/>
        <v>#N/A</v>
      </c>
      <c r="S649" s="279" t="e">
        <f>IF(R649="si",0,IF(E649="si",0,IF(J649&gt;K649,0,+K649-J649)))+IF('calcolo base'!P2109="SI",('Commissioni De Angeli'!K649-'Commissioni De Angeli'!J649),0)</f>
        <v>#N/A</v>
      </c>
      <c r="T649" s="117" t="e">
        <f t="shared" si="137"/>
        <v>#N/A</v>
      </c>
      <c r="U649" s="272" t="e">
        <f>IF(Q649=0,'calcolo base'!L3248,(T649+Q649))</f>
        <v>#N/A</v>
      </c>
      <c r="V649" s="119"/>
    </row>
    <row r="650" spans="2:22">
      <c r="B650" s="47"/>
      <c r="C650" s="35"/>
      <c r="D650" s="53"/>
      <c r="E650" s="53"/>
      <c r="F650" s="48"/>
      <c r="G650" s="243" t="e">
        <f>INDEX('calcolo base'!$B:$B, MATCH($A650, 'calcolo base'!$A:$A, 0))</f>
        <v>#N/A</v>
      </c>
      <c r="H650" s="54" t="e">
        <f t="shared" si="129"/>
        <v>#N/A</v>
      </c>
      <c r="I650" s="259" t="e">
        <f>IF(  OR(      INDEX('calcolo base'!$D:$D, MATCH($A650, 'calcolo base'!$A:$A, 0)) = 0,
      INDEX('calcolo base'!$D:$D, MATCH($A650, 'calcolo base'!$A:$A, 0)) = ""   ),
   INDEX('calcolo base'!$K:$K, MATCH($A650, 'calcolo base'!$A:$A, 0)),
   INDEX('calcolo base'!$J:$J, MATCH($A650, 'calcolo base'!$A:$A, 0))
) / 1000</f>
        <v>#N/A</v>
      </c>
      <c r="J650" s="50" t="e">
        <f t="shared" si="130"/>
        <v>#N/A</v>
      </c>
      <c r="K650" s="50"/>
      <c r="L650" s="267" t="e">
        <f>INDEX('calcolo base'!$H:$H, MATCH($A650, 'calcolo base'!$A:$A, 0))</f>
        <v>#N/A</v>
      </c>
      <c r="M650" s="50" t="e">
        <f t="shared" si="131"/>
        <v>#N/A</v>
      </c>
      <c r="N650" s="50" t="e">
        <f t="shared" si="132"/>
        <v>#N/A</v>
      </c>
      <c r="O650" s="50" t="e">
        <f t="shared" si="133"/>
        <v>#N/A</v>
      </c>
      <c r="P650" s="50" t="e">
        <f t="shared" si="134"/>
        <v>#N/A</v>
      </c>
      <c r="Q650" s="51" t="e">
        <f t="shared" si="135"/>
        <v>#N/A</v>
      </c>
      <c r="R650" s="205" t="e">
        <f t="shared" si="136"/>
        <v>#N/A</v>
      </c>
      <c r="S650" s="279" t="e">
        <f>IF(R650="si",0,IF(E650="si",0,IF(J650&gt;K650,0,+K650-J650)))+IF('calcolo base'!P2110="SI",('Commissioni De Angeli'!K650-'Commissioni De Angeli'!J650),0)</f>
        <v>#N/A</v>
      </c>
      <c r="T650" s="117" t="e">
        <f t="shared" si="137"/>
        <v>#N/A</v>
      </c>
      <c r="U650" s="272" t="e">
        <f>IF(Q650=0,'calcolo base'!L3249,(T650+Q650))</f>
        <v>#N/A</v>
      </c>
      <c r="V650" s="119"/>
    </row>
    <row r="651" spans="2:22">
      <c r="B651" s="47"/>
      <c r="C651" s="35"/>
      <c r="D651" s="53"/>
      <c r="E651" s="53"/>
      <c r="F651" s="48"/>
      <c r="G651" s="243" t="e">
        <f>INDEX('calcolo base'!$B:$B, MATCH($A651, 'calcolo base'!$A:$A, 0))</f>
        <v>#N/A</v>
      </c>
      <c r="H651" s="54" t="e">
        <f t="shared" si="129"/>
        <v>#N/A</v>
      </c>
      <c r="I651" s="259" t="e">
        <f>IF(  OR(      INDEX('calcolo base'!$D:$D, MATCH($A651, 'calcolo base'!$A:$A, 0)) = 0,
      INDEX('calcolo base'!$D:$D, MATCH($A651, 'calcolo base'!$A:$A, 0)) = ""   ),
   INDEX('calcolo base'!$K:$K, MATCH($A651, 'calcolo base'!$A:$A, 0)),
   INDEX('calcolo base'!$J:$J, MATCH($A651, 'calcolo base'!$A:$A, 0))
) / 1000</f>
        <v>#N/A</v>
      </c>
      <c r="J651" s="50" t="e">
        <f t="shared" si="130"/>
        <v>#N/A</v>
      </c>
      <c r="K651" s="50"/>
      <c r="L651" s="267" t="e">
        <f>INDEX('calcolo base'!$H:$H, MATCH($A651, 'calcolo base'!$A:$A, 0))</f>
        <v>#N/A</v>
      </c>
      <c r="M651" s="50" t="e">
        <f t="shared" si="131"/>
        <v>#N/A</v>
      </c>
      <c r="N651" s="50" t="e">
        <f t="shared" si="132"/>
        <v>#N/A</v>
      </c>
      <c r="O651" s="50" t="e">
        <f t="shared" si="133"/>
        <v>#N/A</v>
      </c>
      <c r="P651" s="50" t="e">
        <f t="shared" si="134"/>
        <v>#N/A</v>
      </c>
      <c r="Q651" s="51" t="e">
        <f t="shared" si="135"/>
        <v>#N/A</v>
      </c>
      <c r="R651" s="205" t="e">
        <f t="shared" si="136"/>
        <v>#N/A</v>
      </c>
      <c r="S651" s="279" t="e">
        <f>IF(R651="si",0,IF(E651="si",0,IF(J651&gt;K651,0,+K651-J651)))+IF('calcolo base'!P2111="SI",('Commissioni De Angeli'!K651-'Commissioni De Angeli'!J651),0)</f>
        <v>#N/A</v>
      </c>
      <c r="T651" s="117" t="e">
        <f t="shared" si="137"/>
        <v>#N/A</v>
      </c>
      <c r="U651" s="272" t="e">
        <f>IF(Q651=0,'calcolo base'!L3250,(T651+Q651))</f>
        <v>#N/A</v>
      </c>
      <c r="V651" s="119"/>
    </row>
    <row r="652" spans="2:22">
      <c r="B652" s="47"/>
      <c r="C652" s="35"/>
      <c r="D652" s="53"/>
      <c r="E652" s="53"/>
      <c r="F652" s="48"/>
      <c r="G652" s="243" t="e">
        <f>INDEX('calcolo base'!$B:$B, MATCH($A652, 'calcolo base'!$A:$A, 0))</f>
        <v>#N/A</v>
      </c>
      <c r="H652" s="54" t="e">
        <f t="shared" si="129"/>
        <v>#N/A</v>
      </c>
      <c r="I652" s="259" t="e">
        <f>IF(  OR(      INDEX('calcolo base'!$D:$D, MATCH($A652, 'calcolo base'!$A:$A, 0)) = 0,
      INDEX('calcolo base'!$D:$D, MATCH($A652, 'calcolo base'!$A:$A, 0)) = ""   ),
   INDEX('calcolo base'!$K:$K, MATCH($A652, 'calcolo base'!$A:$A, 0)),
   INDEX('calcolo base'!$J:$J, MATCH($A652, 'calcolo base'!$A:$A, 0))
) / 1000</f>
        <v>#N/A</v>
      </c>
      <c r="J652" s="50" t="e">
        <f t="shared" si="130"/>
        <v>#N/A</v>
      </c>
      <c r="K652" s="50"/>
      <c r="L652" s="267" t="e">
        <f>INDEX('calcolo base'!$H:$H, MATCH($A652, 'calcolo base'!$A:$A, 0))</f>
        <v>#N/A</v>
      </c>
      <c r="M652" s="50" t="e">
        <f t="shared" si="131"/>
        <v>#N/A</v>
      </c>
      <c r="N652" s="50" t="e">
        <f t="shared" si="132"/>
        <v>#N/A</v>
      </c>
      <c r="O652" s="50" t="e">
        <f t="shared" si="133"/>
        <v>#N/A</v>
      </c>
      <c r="P652" s="50" t="e">
        <f t="shared" si="134"/>
        <v>#N/A</v>
      </c>
      <c r="Q652" s="51" t="e">
        <f t="shared" si="135"/>
        <v>#N/A</v>
      </c>
      <c r="R652" s="205" t="e">
        <f t="shared" si="136"/>
        <v>#N/A</v>
      </c>
      <c r="S652" s="279" t="e">
        <f>IF(R652="si",0,IF(E652="si",0,IF(J652&gt;K652,0,+K652-J652)))+IF('calcolo base'!P2112="SI",('Commissioni De Angeli'!K652-'Commissioni De Angeli'!J652),0)</f>
        <v>#N/A</v>
      </c>
      <c r="T652" s="117" t="e">
        <f t="shared" si="137"/>
        <v>#N/A</v>
      </c>
      <c r="U652" s="272" t="e">
        <f>IF(Q652=0,'calcolo base'!L3251,(T652+Q652))</f>
        <v>#N/A</v>
      </c>
      <c r="V652" s="119"/>
    </row>
    <row r="653" spans="2:22">
      <c r="B653" s="47"/>
      <c r="C653" s="35"/>
      <c r="D653" s="53"/>
      <c r="E653" s="53"/>
      <c r="F653" s="48"/>
      <c r="G653" s="243" t="e">
        <f>INDEX('calcolo base'!$B:$B, MATCH($A653, 'calcolo base'!$A:$A, 0))</f>
        <v>#N/A</v>
      </c>
      <c r="H653" s="54" t="e">
        <f t="shared" si="129"/>
        <v>#N/A</v>
      </c>
      <c r="I653" s="259" t="e">
        <f>IF(  OR(      INDEX('calcolo base'!$D:$D, MATCH($A653, 'calcolo base'!$A:$A, 0)) = 0,
      INDEX('calcolo base'!$D:$D, MATCH($A653, 'calcolo base'!$A:$A, 0)) = ""   ),
   INDEX('calcolo base'!$K:$K, MATCH($A653, 'calcolo base'!$A:$A, 0)),
   INDEX('calcolo base'!$J:$J, MATCH($A653, 'calcolo base'!$A:$A, 0))
) / 1000</f>
        <v>#N/A</v>
      </c>
      <c r="J653" s="50" t="e">
        <f t="shared" si="130"/>
        <v>#N/A</v>
      </c>
      <c r="K653" s="50"/>
      <c r="L653" s="267" t="e">
        <f>INDEX('calcolo base'!$H:$H, MATCH($A653, 'calcolo base'!$A:$A, 0))</f>
        <v>#N/A</v>
      </c>
      <c r="M653" s="50" t="e">
        <f t="shared" si="131"/>
        <v>#N/A</v>
      </c>
      <c r="N653" s="50" t="e">
        <f t="shared" si="132"/>
        <v>#N/A</v>
      </c>
      <c r="O653" s="50" t="e">
        <f t="shared" si="133"/>
        <v>#N/A</v>
      </c>
      <c r="P653" s="50" t="e">
        <f t="shared" si="134"/>
        <v>#N/A</v>
      </c>
      <c r="Q653" s="51" t="e">
        <f t="shared" si="135"/>
        <v>#N/A</v>
      </c>
      <c r="R653" s="205" t="e">
        <f t="shared" si="136"/>
        <v>#N/A</v>
      </c>
      <c r="S653" s="279" t="e">
        <f>IF(R653="si",0,IF(E653="si",0,IF(J653&gt;K653,0,+K653-J653)))+IF('calcolo base'!P2113="SI",('Commissioni De Angeli'!K653-'Commissioni De Angeli'!J653),0)</f>
        <v>#N/A</v>
      </c>
      <c r="T653" s="117" t="e">
        <f t="shared" si="137"/>
        <v>#N/A</v>
      </c>
      <c r="U653" s="272" t="e">
        <f>IF(Q653=0,'calcolo base'!L3252,(T653+Q653))</f>
        <v>#N/A</v>
      </c>
      <c r="V653" s="119"/>
    </row>
    <row r="654" spans="2:22">
      <c r="B654" s="47"/>
      <c r="C654" s="35"/>
      <c r="D654" s="53"/>
      <c r="E654" s="53"/>
      <c r="F654" s="48"/>
      <c r="G654" s="243" t="e">
        <f>INDEX('calcolo base'!$B:$B, MATCH($A654, 'calcolo base'!$A:$A, 0))</f>
        <v>#N/A</v>
      </c>
      <c r="H654" s="54" t="e">
        <f t="shared" si="129"/>
        <v>#N/A</v>
      </c>
      <c r="I654" s="259" t="e">
        <f>IF(  OR(      INDEX('calcolo base'!$D:$D, MATCH($A654, 'calcolo base'!$A:$A, 0)) = 0,
      INDEX('calcolo base'!$D:$D, MATCH($A654, 'calcolo base'!$A:$A, 0)) = ""   ),
   INDEX('calcolo base'!$K:$K, MATCH($A654, 'calcolo base'!$A:$A, 0)),
   INDEX('calcolo base'!$J:$J, MATCH($A654, 'calcolo base'!$A:$A, 0))
) / 1000</f>
        <v>#N/A</v>
      </c>
      <c r="J654" s="50" t="e">
        <f t="shared" si="130"/>
        <v>#N/A</v>
      </c>
      <c r="K654" s="50"/>
      <c r="L654" s="267" t="e">
        <f>INDEX('calcolo base'!$H:$H, MATCH($A654, 'calcolo base'!$A:$A, 0))</f>
        <v>#N/A</v>
      </c>
      <c r="M654" s="50" t="e">
        <f t="shared" si="131"/>
        <v>#N/A</v>
      </c>
      <c r="N654" s="50" t="e">
        <f t="shared" si="132"/>
        <v>#N/A</v>
      </c>
      <c r="O654" s="50" t="e">
        <f t="shared" si="133"/>
        <v>#N/A</v>
      </c>
      <c r="P654" s="50" t="e">
        <f t="shared" si="134"/>
        <v>#N/A</v>
      </c>
      <c r="Q654" s="51" t="e">
        <f t="shared" si="135"/>
        <v>#N/A</v>
      </c>
      <c r="R654" s="205" t="e">
        <f t="shared" si="136"/>
        <v>#N/A</v>
      </c>
      <c r="S654" s="279" t="e">
        <f>IF(R654="si",0,IF(E654="si",0,IF(J654&gt;K654,0,+K654-J654)))+IF('calcolo base'!P2114="SI",('Commissioni De Angeli'!K654-'Commissioni De Angeli'!J654),0)</f>
        <v>#N/A</v>
      </c>
      <c r="T654" s="117" t="e">
        <f t="shared" si="137"/>
        <v>#N/A</v>
      </c>
      <c r="U654" s="272" t="e">
        <f>IF(Q654=0,'calcolo base'!L3253,(T654+Q654))</f>
        <v>#N/A</v>
      </c>
      <c r="V654" s="119"/>
    </row>
    <row r="655" spans="2:22">
      <c r="B655" s="47"/>
      <c r="C655" s="35"/>
      <c r="D655" s="53"/>
      <c r="E655" s="53"/>
      <c r="F655" s="48"/>
      <c r="G655" s="243" t="e">
        <f>INDEX('calcolo base'!$B:$B, MATCH($A655, 'calcolo base'!$A:$A, 0))</f>
        <v>#N/A</v>
      </c>
      <c r="H655" s="54" t="e">
        <f t="shared" si="129"/>
        <v>#N/A</v>
      </c>
      <c r="I655" s="259" t="e">
        <f>IF(  OR(      INDEX('calcolo base'!$D:$D, MATCH($A655, 'calcolo base'!$A:$A, 0)) = 0,
      INDEX('calcolo base'!$D:$D, MATCH($A655, 'calcolo base'!$A:$A, 0)) = ""   ),
   INDEX('calcolo base'!$K:$K, MATCH($A655, 'calcolo base'!$A:$A, 0)),
   INDEX('calcolo base'!$J:$J, MATCH($A655, 'calcolo base'!$A:$A, 0))
) / 1000</f>
        <v>#N/A</v>
      </c>
      <c r="J655" s="50" t="e">
        <f t="shared" si="130"/>
        <v>#N/A</v>
      </c>
      <c r="K655" s="50"/>
      <c r="L655" s="267" t="e">
        <f>INDEX('calcolo base'!$H:$H, MATCH($A655, 'calcolo base'!$A:$A, 0))</f>
        <v>#N/A</v>
      </c>
      <c r="M655" s="50" t="e">
        <f t="shared" si="131"/>
        <v>#N/A</v>
      </c>
      <c r="N655" s="50" t="e">
        <f t="shared" si="132"/>
        <v>#N/A</v>
      </c>
      <c r="O655" s="50" t="e">
        <f t="shared" si="133"/>
        <v>#N/A</v>
      </c>
      <c r="P655" s="50" t="e">
        <f t="shared" si="134"/>
        <v>#N/A</v>
      </c>
      <c r="Q655" s="51" t="e">
        <f t="shared" si="135"/>
        <v>#N/A</v>
      </c>
      <c r="R655" s="205" t="e">
        <f t="shared" si="136"/>
        <v>#N/A</v>
      </c>
      <c r="S655" s="279" t="e">
        <f>IF(R655="si",0,IF(E655="si",0,IF(J655&gt;K655,0,+K655-J655)))+IF('calcolo base'!P2115="SI",('Commissioni De Angeli'!K655-'Commissioni De Angeli'!J655),0)</f>
        <v>#N/A</v>
      </c>
      <c r="T655" s="117" t="e">
        <f t="shared" si="137"/>
        <v>#N/A</v>
      </c>
      <c r="U655" s="272" t="e">
        <f>IF(Q655=0,'calcolo base'!L3254,(T655+Q655))</f>
        <v>#N/A</v>
      </c>
      <c r="V655" s="119"/>
    </row>
    <row r="656" spans="2:22">
      <c r="B656" s="47"/>
      <c r="C656" s="35"/>
      <c r="D656" s="53"/>
      <c r="E656" s="53"/>
      <c r="F656" s="48"/>
      <c r="G656" s="243" t="e">
        <f>INDEX('calcolo base'!$B:$B, MATCH($A656, 'calcolo base'!$A:$A, 0))</f>
        <v>#N/A</v>
      </c>
      <c r="H656" s="54" t="e">
        <f t="shared" si="129"/>
        <v>#N/A</v>
      </c>
      <c r="I656" s="259" t="e">
        <f>IF(  OR(      INDEX('calcolo base'!$D:$D, MATCH($A656, 'calcolo base'!$A:$A, 0)) = 0,
      INDEX('calcolo base'!$D:$D, MATCH($A656, 'calcolo base'!$A:$A, 0)) = ""   ),
   INDEX('calcolo base'!$K:$K, MATCH($A656, 'calcolo base'!$A:$A, 0)),
   INDEX('calcolo base'!$J:$J, MATCH($A656, 'calcolo base'!$A:$A, 0))
) / 1000</f>
        <v>#N/A</v>
      </c>
      <c r="J656" s="50" t="e">
        <f t="shared" si="130"/>
        <v>#N/A</v>
      </c>
      <c r="K656" s="50"/>
      <c r="L656" s="267" t="e">
        <f>INDEX('calcolo base'!$H:$H, MATCH($A656, 'calcolo base'!$A:$A, 0))</f>
        <v>#N/A</v>
      </c>
      <c r="M656" s="50" t="e">
        <f t="shared" si="131"/>
        <v>#N/A</v>
      </c>
      <c r="N656" s="50" t="e">
        <f t="shared" si="132"/>
        <v>#N/A</v>
      </c>
      <c r="O656" s="50" t="e">
        <f t="shared" si="133"/>
        <v>#N/A</v>
      </c>
      <c r="P656" s="50" t="e">
        <f t="shared" si="134"/>
        <v>#N/A</v>
      </c>
      <c r="Q656" s="51" t="e">
        <f t="shared" si="135"/>
        <v>#N/A</v>
      </c>
      <c r="R656" s="205" t="e">
        <f t="shared" si="136"/>
        <v>#N/A</v>
      </c>
      <c r="S656" s="279" t="e">
        <f>IF(R656="si",0,IF(E656="si",0,IF(J656&gt;K656,0,+K656-J656)))+IF('calcolo base'!P2116="SI",('Commissioni De Angeli'!K656-'Commissioni De Angeli'!J656),0)</f>
        <v>#N/A</v>
      </c>
      <c r="T656" s="117" t="e">
        <f t="shared" si="137"/>
        <v>#N/A</v>
      </c>
      <c r="U656" s="272" t="e">
        <f>IF(Q656=0,'calcolo base'!L3255,(T656+Q656))</f>
        <v>#N/A</v>
      </c>
      <c r="V656" s="119"/>
    </row>
    <row r="657" spans="2:22">
      <c r="B657" s="47"/>
      <c r="C657" s="35"/>
      <c r="D657" s="53"/>
      <c r="E657" s="53"/>
      <c r="F657" s="48"/>
      <c r="G657" s="243" t="e">
        <f>INDEX('calcolo base'!$B:$B, MATCH($A657, 'calcolo base'!$A:$A, 0))</f>
        <v>#N/A</v>
      </c>
      <c r="H657" s="54" t="e">
        <f t="shared" si="129"/>
        <v>#N/A</v>
      </c>
      <c r="I657" s="259" t="e">
        <f>IF(  OR(      INDEX('calcolo base'!$D:$D, MATCH($A657, 'calcolo base'!$A:$A, 0)) = 0,
      INDEX('calcolo base'!$D:$D, MATCH($A657, 'calcolo base'!$A:$A, 0)) = ""   ),
   INDEX('calcolo base'!$K:$K, MATCH($A657, 'calcolo base'!$A:$A, 0)),
   INDEX('calcolo base'!$J:$J, MATCH($A657, 'calcolo base'!$A:$A, 0))
) / 1000</f>
        <v>#N/A</v>
      </c>
      <c r="J657" s="50" t="e">
        <f t="shared" si="130"/>
        <v>#N/A</v>
      </c>
      <c r="K657" s="50"/>
      <c r="L657" s="267" t="e">
        <f>INDEX('calcolo base'!$H:$H, MATCH($A657, 'calcolo base'!$A:$A, 0))</f>
        <v>#N/A</v>
      </c>
      <c r="M657" s="50" t="e">
        <f t="shared" si="131"/>
        <v>#N/A</v>
      </c>
      <c r="N657" s="50" t="e">
        <f t="shared" si="132"/>
        <v>#N/A</v>
      </c>
      <c r="O657" s="50" t="e">
        <f t="shared" si="133"/>
        <v>#N/A</v>
      </c>
      <c r="P657" s="50" t="e">
        <f t="shared" si="134"/>
        <v>#N/A</v>
      </c>
      <c r="Q657" s="51" t="e">
        <f t="shared" si="135"/>
        <v>#N/A</v>
      </c>
      <c r="R657" s="205" t="e">
        <f t="shared" si="136"/>
        <v>#N/A</v>
      </c>
      <c r="S657" s="279" t="e">
        <f>IF(R657="si",0,IF(E657="si",0,IF(J657&gt;K657,0,+K657-J657)))+IF('calcolo base'!P2117="SI",('Commissioni De Angeli'!K657-'Commissioni De Angeli'!J657),0)</f>
        <v>#N/A</v>
      </c>
      <c r="T657" s="117" t="e">
        <f t="shared" si="137"/>
        <v>#N/A</v>
      </c>
      <c r="U657" s="272" t="e">
        <f>IF(Q657=0,'calcolo base'!L3256,(T657+Q657))</f>
        <v>#N/A</v>
      </c>
      <c r="V657" s="119"/>
    </row>
    <row r="658" spans="2:22">
      <c r="B658" s="47"/>
      <c r="C658" s="35"/>
      <c r="D658" s="53"/>
      <c r="E658" s="53"/>
      <c r="F658" s="48"/>
      <c r="G658" s="243" t="e">
        <f>INDEX('calcolo base'!$B:$B, MATCH($A658, 'calcolo base'!$A:$A, 0))</f>
        <v>#N/A</v>
      </c>
      <c r="H658" s="54" t="e">
        <f t="shared" si="129"/>
        <v>#N/A</v>
      </c>
      <c r="I658" s="259" t="e">
        <f>IF(  OR(      INDEX('calcolo base'!$D:$D, MATCH($A658, 'calcolo base'!$A:$A, 0)) = 0,
      INDEX('calcolo base'!$D:$D, MATCH($A658, 'calcolo base'!$A:$A, 0)) = ""   ),
   INDEX('calcolo base'!$K:$K, MATCH($A658, 'calcolo base'!$A:$A, 0)),
   INDEX('calcolo base'!$J:$J, MATCH($A658, 'calcolo base'!$A:$A, 0))
) / 1000</f>
        <v>#N/A</v>
      </c>
      <c r="J658" s="50" t="e">
        <f t="shared" si="130"/>
        <v>#N/A</v>
      </c>
      <c r="K658" s="50"/>
      <c r="L658" s="267" t="e">
        <f>INDEX('calcolo base'!$H:$H, MATCH($A658, 'calcolo base'!$A:$A, 0))</f>
        <v>#N/A</v>
      </c>
      <c r="M658" s="50" t="e">
        <f t="shared" si="131"/>
        <v>#N/A</v>
      </c>
      <c r="N658" s="50" t="e">
        <f t="shared" si="132"/>
        <v>#N/A</v>
      </c>
      <c r="O658" s="50" t="e">
        <f t="shared" si="133"/>
        <v>#N/A</v>
      </c>
      <c r="P658" s="50" t="e">
        <f t="shared" si="134"/>
        <v>#N/A</v>
      </c>
      <c r="Q658" s="51" t="e">
        <f t="shared" si="135"/>
        <v>#N/A</v>
      </c>
      <c r="R658" s="205" t="e">
        <f t="shared" si="136"/>
        <v>#N/A</v>
      </c>
      <c r="S658" s="279" t="e">
        <f>IF(R658="si",0,IF(E658="si",0,IF(J658&gt;K658,0,+K658-J658)))+IF('calcolo base'!P2118="SI",('Commissioni De Angeli'!K658-'Commissioni De Angeli'!J658),0)</f>
        <v>#N/A</v>
      </c>
      <c r="T658" s="117" t="e">
        <f t="shared" si="137"/>
        <v>#N/A</v>
      </c>
      <c r="U658" s="272" t="e">
        <f>IF(Q658=0,'calcolo base'!L3257,(T658+Q658))</f>
        <v>#N/A</v>
      </c>
      <c r="V658" s="119"/>
    </row>
    <row r="659" spans="2:22">
      <c r="B659" s="47"/>
      <c r="C659" s="35"/>
      <c r="D659" s="53"/>
      <c r="E659" s="53"/>
      <c r="F659" s="48"/>
      <c r="G659" s="243" t="e">
        <f>INDEX('calcolo base'!$B:$B, MATCH($A659, 'calcolo base'!$A:$A, 0))</f>
        <v>#N/A</v>
      </c>
      <c r="H659" s="54" t="e">
        <f t="shared" si="129"/>
        <v>#N/A</v>
      </c>
      <c r="I659" s="259" t="e">
        <f>IF(  OR(      INDEX('calcolo base'!$D:$D, MATCH($A659, 'calcolo base'!$A:$A, 0)) = 0,
      INDEX('calcolo base'!$D:$D, MATCH($A659, 'calcolo base'!$A:$A, 0)) = ""   ),
   INDEX('calcolo base'!$K:$K, MATCH($A659, 'calcolo base'!$A:$A, 0)),
   INDEX('calcolo base'!$J:$J, MATCH($A659, 'calcolo base'!$A:$A, 0))
) / 1000</f>
        <v>#N/A</v>
      </c>
      <c r="J659" s="50" t="e">
        <f t="shared" si="130"/>
        <v>#N/A</v>
      </c>
      <c r="K659" s="50"/>
      <c r="L659" s="267" t="e">
        <f>INDEX('calcolo base'!$H:$H, MATCH($A659, 'calcolo base'!$A:$A, 0))</f>
        <v>#N/A</v>
      </c>
      <c r="M659" s="50" t="e">
        <f t="shared" si="131"/>
        <v>#N/A</v>
      </c>
      <c r="N659" s="50" t="e">
        <f t="shared" si="132"/>
        <v>#N/A</v>
      </c>
      <c r="O659" s="50" t="e">
        <f t="shared" si="133"/>
        <v>#N/A</v>
      </c>
      <c r="P659" s="50" t="e">
        <f t="shared" si="134"/>
        <v>#N/A</v>
      </c>
      <c r="Q659" s="51" t="e">
        <f t="shared" si="135"/>
        <v>#N/A</v>
      </c>
      <c r="R659" s="205" t="e">
        <f t="shared" si="136"/>
        <v>#N/A</v>
      </c>
      <c r="S659" s="279" t="e">
        <f>IF(R659="si",0,IF(E659="si",0,IF(J659&gt;K659,0,+K659-J659)))+IF('calcolo base'!P2119="SI",('Commissioni De Angeli'!K659-'Commissioni De Angeli'!J659),0)</f>
        <v>#N/A</v>
      </c>
      <c r="T659" s="117" t="e">
        <f t="shared" si="137"/>
        <v>#N/A</v>
      </c>
      <c r="U659" s="272" t="e">
        <f>IF(Q659=0,'calcolo base'!L3258,(T659+Q659))</f>
        <v>#N/A</v>
      </c>
      <c r="V659" s="119"/>
    </row>
    <row r="660" spans="2:22">
      <c r="B660" s="47"/>
      <c r="C660" s="35"/>
      <c r="D660" s="53"/>
      <c r="E660" s="53"/>
      <c r="F660" s="48"/>
      <c r="G660" s="243" t="e">
        <f>INDEX('calcolo base'!$B:$B, MATCH($A660, 'calcolo base'!$A:$A, 0))</f>
        <v>#N/A</v>
      </c>
      <c r="H660" s="54" t="e">
        <f t="shared" si="129"/>
        <v>#N/A</v>
      </c>
      <c r="I660" s="259" t="e">
        <f>IF(  OR(      INDEX('calcolo base'!$D:$D, MATCH($A660, 'calcolo base'!$A:$A, 0)) = 0,
      INDEX('calcolo base'!$D:$D, MATCH($A660, 'calcolo base'!$A:$A, 0)) = ""   ),
   INDEX('calcolo base'!$K:$K, MATCH($A660, 'calcolo base'!$A:$A, 0)),
   INDEX('calcolo base'!$J:$J, MATCH($A660, 'calcolo base'!$A:$A, 0))
) / 1000</f>
        <v>#N/A</v>
      </c>
      <c r="J660" s="50" t="e">
        <f t="shared" si="130"/>
        <v>#N/A</v>
      </c>
      <c r="K660" s="50"/>
      <c r="L660" s="267" t="e">
        <f>INDEX('calcolo base'!$H:$H, MATCH($A660, 'calcolo base'!$A:$A, 0))</f>
        <v>#N/A</v>
      </c>
      <c r="M660" s="50" t="e">
        <f t="shared" si="131"/>
        <v>#N/A</v>
      </c>
      <c r="N660" s="50" t="e">
        <f t="shared" si="132"/>
        <v>#N/A</v>
      </c>
      <c r="O660" s="50" t="e">
        <f t="shared" si="133"/>
        <v>#N/A</v>
      </c>
      <c r="P660" s="50" t="e">
        <f t="shared" si="134"/>
        <v>#N/A</v>
      </c>
      <c r="Q660" s="51" t="e">
        <f t="shared" si="135"/>
        <v>#N/A</v>
      </c>
      <c r="R660" s="205" t="e">
        <f t="shared" si="136"/>
        <v>#N/A</v>
      </c>
      <c r="S660" s="279" t="e">
        <f>IF(R660="si",0,IF(E660="si",0,IF(J660&gt;K660,0,+K660-J660)))+IF('calcolo base'!P2120="SI",('Commissioni De Angeli'!K660-'Commissioni De Angeli'!J660),0)</f>
        <v>#N/A</v>
      </c>
      <c r="T660" s="117" t="e">
        <f t="shared" si="137"/>
        <v>#N/A</v>
      </c>
      <c r="U660" s="272" t="e">
        <f>IF(Q660=0,'calcolo base'!L3259,(T660+Q660))</f>
        <v>#N/A</v>
      </c>
      <c r="V660" s="119"/>
    </row>
    <row r="661" spans="2:22">
      <c r="B661" s="47"/>
      <c r="C661" s="35"/>
      <c r="D661" s="53"/>
      <c r="E661" s="53"/>
      <c r="F661" s="48"/>
      <c r="G661" s="243" t="e">
        <f>INDEX('calcolo base'!$B:$B, MATCH($A661, 'calcolo base'!$A:$A, 0))</f>
        <v>#N/A</v>
      </c>
      <c r="H661" s="54" t="e">
        <f t="shared" si="129"/>
        <v>#N/A</v>
      </c>
      <c r="I661" s="259" t="e">
        <f>IF(  OR(      INDEX('calcolo base'!$D:$D, MATCH($A661, 'calcolo base'!$A:$A, 0)) = 0,
      INDEX('calcolo base'!$D:$D, MATCH($A661, 'calcolo base'!$A:$A, 0)) = ""   ),
   INDEX('calcolo base'!$K:$K, MATCH($A661, 'calcolo base'!$A:$A, 0)),
   INDEX('calcolo base'!$J:$J, MATCH($A661, 'calcolo base'!$A:$A, 0))
) / 1000</f>
        <v>#N/A</v>
      </c>
      <c r="J661" s="50" t="e">
        <f t="shared" si="130"/>
        <v>#N/A</v>
      </c>
      <c r="K661" s="50"/>
      <c r="L661" s="267" t="e">
        <f>INDEX('calcolo base'!$H:$H, MATCH($A661, 'calcolo base'!$A:$A, 0))</f>
        <v>#N/A</v>
      </c>
      <c r="M661" s="50" t="e">
        <f t="shared" si="131"/>
        <v>#N/A</v>
      </c>
      <c r="N661" s="50" t="e">
        <f t="shared" si="132"/>
        <v>#N/A</v>
      </c>
      <c r="O661" s="50" t="e">
        <f t="shared" si="133"/>
        <v>#N/A</v>
      </c>
      <c r="P661" s="50" t="e">
        <f t="shared" si="134"/>
        <v>#N/A</v>
      </c>
      <c r="Q661" s="51" t="e">
        <f t="shared" si="135"/>
        <v>#N/A</v>
      </c>
      <c r="R661" s="205" t="e">
        <f t="shared" si="136"/>
        <v>#N/A</v>
      </c>
      <c r="S661" s="279" t="e">
        <f>IF(R661="si",0,IF(E661="si",0,IF(J661&gt;K661,0,+K661-J661)))+IF('calcolo base'!P2121="SI",('Commissioni De Angeli'!K661-'Commissioni De Angeli'!J661),0)</f>
        <v>#N/A</v>
      </c>
      <c r="T661" s="117" t="e">
        <f t="shared" si="137"/>
        <v>#N/A</v>
      </c>
      <c r="U661" s="272" t="e">
        <f>IF(Q661=0,'calcolo base'!L3260,(T661+Q661))</f>
        <v>#N/A</v>
      </c>
      <c r="V661" s="119"/>
    </row>
    <row r="662" spans="2:22">
      <c r="B662" s="47"/>
      <c r="C662" s="35"/>
      <c r="D662" s="53"/>
      <c r="E662" s="53"/>
      <c r="F662" s="48"/>
      <c r="G662" s="243" t="e">
        <f>INDEX('calcolo base'!$B:$B, MATCH($A662, 'calcolo base'!$A:$A, 0))</f>
        <v>#N/A</v>
      </c>
      <c r="H662" s="54" t="e">
        <f t="shared" si="129"/>
        <v>#N/A</v>
      </c>
      <c r="I662" s="259" t="e">
        <f>IF(  OR(      INDEX('calcolo base'!$D:$D, MATCH($A662, 'calcolo base'!$A:$A, 0)) = 0,
      INDEX('calcolo base'!$D:$D, MATCH($A662, 'calcolo base'!$A:$A, 0)) = ""   ),
   INDEX('calcolo base'!$K:$K, MATCH($A662, 'calcolo base'!$A:$A, 0)),
   INDEX('calcolo base'!$J:$J, MATCH($A662, 'calcolo base'!$A:$A, 0))
) / 1000</f>
        <v>#N/A</v>
      </c>
      <c r="J662" s="50" t="e">
        <f t="shared" si="130"/>
        <v>#N/A</v>
      </c>
      <c r="K662" s="50"/>
      <c r="L662" s="267" t="e">
        <f>INDEX('calcolo base'!$H:$H, MATCH($A662, 'calcolo base'!$A:$A, 0))</f>
        <v>#N/A</v>
      </c>
      <c r="M662" s="50" t="e">
        <f t="shared" si="131"/>
        <v>#N/A</v>
      </c>
      <c r="N662" s="50" t="e">
        <f t="shared" si="132"/>
        <v>#N/A</v>
      </c>
      <c r="O662" s="50" t="e">
        <f t="shared" si="133"/>
        <v>#N/A</v>
      </c>
      <c r="P662" s="50" t="e">
        <f t="shared" si="134"/>
        <v>#N/A</v>
      </c>
      <c r="Q662" s="51" t="e">
        <f t="shared" si="135"/>
        <v>#N/A</v>
      </c>
      <c r="R662" s="205" t="e">
        <f t="shared" si="136"/>
        <v>#N/A</v>
      </c>
      <c r="S662" s="279" t="e">
        <f>IF(R662="si",0,IF(E662="si",0,IF(J662&gt;K662,0,+K662-J662)))+IF('calcolo base'!P2122="SI",('Commissioni De Angeli'!K662-'Commissioni De Angeli'!J662),0)</f>
        <v>#N/A</v>
      </c>
      <c r="T662" s="117" t="e">
        <f t="shared" si="137"/>
        <v>#N/A</v>
      </c>
      <c r="U662" s="272" t="e">
        <f>IF(Q662=0,'calcolo base'!L3261,(T662+Q662))</f>
        <v>#N/A</v>
      </c>
      <c r="V662" s="119"/>
    </row>
    <row r="663" spans="2:22">
      <c r="B663" s="47"/>
      <c r="C663" s="35"/>
      <c r="D663" s="53"/>
      <c r="E663" s="53"/>
      <c r="F663" s="48"/>
      <c r="G663" s="243" t="e">
        <f>INDEX('calcolo base'!$B:$B, MATCH($A663, 'calcolo base'!$A:$A, 0))</f>
        <v>#N/A</v>
      </c>
      <c r="H663" s="54" t="e">
        <f t="shared" si="129"/>
        <v>#N/A</v>
      </c>
      <c r="I663" s="259" t="e">
        <f>IF(  OR(      INDEX('calcolo base'!$D:$D, MATCH($A663, 'calcolo base'!$A:$A, 0)) = 0,
      INDEX('calcolo base'!$D:$D, MATCH($A663, 'calcolo base'!$A:$A, 0)) = ""   ),
   INDEX('calcolo base'!$K:$K, MATCH($A663, 'calcolo base'!$A:$A, 0)),
   INDEX('calcolo base'!$J:$J, MATCH($A663, 'calcolo base'!$A:$A, 0))
) / 1000</f>
        <v>#N/A</v>
      </c>
      <c r="J663" s="50" t="e">
        <f t="shared" si="130"/>
        <v>#N/A</v>
      </c>
      <c r="K663" s="50"/>
      <c r="L663" s="267" t="e">
        <f>INDEX('calcolo base'!$H:$H, MATCH($A663, 'calcolo base'!$A:$A, 0))</f>
        <v>#N/A</v>
      </c>
      <c r="M663" s="50" t="e">
        <f t="shared" si="131"/>
        <v>#N/A</v>
      </c>
      <c r="N663" s="50" t="e">
        <f t="shared" si="132"/>
        <v>#N/A</v>
      </c>
      <c r="O663" s="50" t="e">
        <f t="shared" si="133"/>
        <v>#N/A</v>
      </c>
      <c r="P663" s="50" t="e">
        <f t="shared" si="134"/>
        <v>#N/A</v>
      </c>
      <c r="Q663" s="51" t="e">
        <f t="shared" si="135"/>
        <v>#N/A</v>
      </c>
      <c r="R663" s="205" t="e">
        <f t="shared" si="136"/>
        <v>#N/A</v>
      </c>
      <c r="S663" s="279" t="e">
        <f>IF(R663="si",0,IF(E663="si",0,IF(J663&gt;K663,0,+K663-J663)))+IF('calcolo base'!P2123="SI",('Commissioni De Angeli'!K663-'Commissioni De Angeli'!J663),0)</f>
        <v>#N/A</v>
      </c>
      <c r="T663" s="117" t="e">
        <f t="shared" si="137"/>
        <v>#N/A</v>
      </c>
      <c r="U663" s="272" t="e">
        <f>IF(Q663=0,'calcolo base'!L3262,(T663+Q663))</f>
        <v>#N/A</v>
      </c>
      <c r="V663" s="119"/>
    </row>
    <row r="664" spans="2:22">
      <c r="B664" s="47"/>
      <c r="C664" s="35"/>
      <c r="D664" s="53"/>
      <c r="E664" s="53"/>
      <c r="F664" s="48"/>
      <c r="G664" s="243" t="e">
        <f>INDEX('calcolo base'!$B:$B, MATCH($A664, 'calcolo base'!$A:$A, 0))</f>
        <v>#N/A</v>
      </c>
      <c r="H664" s="54" t="e">
        <f t="shared" si="129"/>
        <v>#N/A</v>
      </c>
      <c r="I664" s="259" t="e">
        <f>IF(  OR(      INDEX('calcolo base'!$D:$D, MATCH($A664, 'calcolo base'!$A:$A, 0)) = 0,
      INDEX('calcolo base'!$D:$D, MATCH($A664, 'calcolo base'!$A:$A, 0)) = ""   ),
   INDEX('calcolo base'!$K:$K, MATCH($A664, 'calcolo base'!$A:$A, 0)),
   INDEX('calcolo base'!$J:$J, MATCH($A664, 'calcolo base'!$A:$A, 0))
) / 1000</f>
        <v>#N/A</v>
      </c>
      <c r="J664" s="50" t="e">
        <f t="shared" si="130"/>
        <v>#N/A</v>
      </c>
      <c r="K664" s="50"/>
      <c r="L664" s="267" t="e">
        <f>INDEX('calcolo base'!$H:$H, MATCH($A664, 'calcolo base'!$A:$A, 0))</f>
        <v>#N/A</v>
      </c>
      <c r="M664" s="50" t="e">
        <f t="shared" si="131"/>
        <v>#N/A</v>
      </c>
      <c r="N664" s="50" t="e">
        <f t="shared" si="132"/>
        <v>#N/A</v>
      </c>
      <c r="O664" s="50" t="e">
        <f t="shared" si="133"/>
        <v>#N/A</v>
      </c>
      <c r="P664" s="50" t="e">
        <f t="shared" si="134"/>
        <v>#N/A</v>
      </c>
      <c r="Q664" s="51" t="e">
        <f t="shared" si="135"/>
        <v>#N/A</v>
      </c>
      <c r="R664" s="205" t="e">
        <f t="shared" si="136"/>
        <v>#N/A</v>
      </c>
      <c r="S664" s="279" t="e">
        <f>IF(R664="si",0,IF(E664="si",0,IF(J664&gt;K664,0,+K664-J664)))+IF('calcolo base'!P2124="SI",('Commissioni De Angeli'!K664-'Commissioni De Angeli'!J664),0)</f>
        <v>#N/A</v>
      </c>
      <c r="T664" s="117" t="e">
        <f t="shared" si="137"/>
        <v>#N/A</v>
      </c>
      <c r="U664" s="272" t="e">
        <f>IF(Q664=0,'calcolo base'!L3263,(T664+Q664))</f>
        <v>#N/A</v>
      </c>
      <c r="V664" s="119"/>
    </row>
    <row r="665" spans="2:22">
      <c r="B665" s="47"/>
      <c r="C665" s="35"/>
      <c r="D665" s="53"/>
      <c r="E665" s="53"/>
      <c r="F665" s="48"/>
      <c r="G665" s="243" t="e">
        <f>INDEX('calcolo base'!$B:$B, MATCH($A665, 'calcolo base'!$A:$A, 0))</f>
        <v>#N/A</v>
      </c>
      <c r="H665" s="54" t="e">
        <f t="shared" si="129"/>
        <v>#N/A</v>
      </c>
      <c r="I665" s="259" t="e">
        <f>IF(  OR(      INDEX('calcolo base'!$D:$D, MATCH($A665, 'calcolo base'!$A:$A, 0)) = 0,
      INDEX('calcolo base'!$D:$D, MATCH($A665, 'calcolo base'!$A:$A, 0)) = ""   ),
   INDEX('calcolo base'!$K:$K, MATCH($A665, 'calcolo base'!$A:$A, 0)),
   INDEX('calcolo base'!$J:$J, MATCH($A665, 'calcolo base'!$A:$A, 0))
) / 1000</f>
        <v>#N/A</v>
      </c>
      <c r="J665" s="50" t="e">
        <f t="shared" si="130"/>
        <v>#N/A</v>
      </c>
      <c r="K665" s="50"/>
      <c r="L665" s="267" t="e">
        <f>INDEX('calcolo base'!$H:$H, MATCH($A665, 'calcolo base'!$A:$A, 0))</f>
        <v>#N/A</v>
      </c>
      <c r="M665" s="50" t="e">
        <f t="shared" si="131"/>
        <v>#N/A</v>
      </c>
      <c r="N665" s="50" t="e">
        <f t="shared" si="132"/>
        <v>#N/A</v>
      </c>
      <c r="O665" s="50" t="e">
        <f t="shared" si="133"/>
        <v>#N/A</v>
      </c>
      <c r="P665" s="50" t="e">
        <f t="shared" si="134"/>
        <v>#N/A</v>
      </c>
      <c r="Q665" s="51" t="e">
        <f t="shared" si="135"/>
        <v>#N/A</v>
      </c>
      <c r="R665" s="205" t="e">
        <f t="shared" si="136"/>
        <v>#N/A</v>
      </c>
      <c r="S665" s="279" t="e">
        <f>IF(R665="si",0,IF(E665="si",0,IF(J665&gt;K665,0,+K665-J665)))+IF('calcolo base'!P2125="SI",('Commissioni De Angeli'!K665-'Commissioni De Angeli'!J665),0)</f>
        <v>#N/A</v>
      </c>
      <c r="T665" s="117" t="e">
        <f t="shared" si="137"/>
        <v>#N/A</v>
      </c>
      <c r="U665" s="272" t="e">
        <f>IF(Q665=0,'calcolo base'!L3264,(T665+Q665))</f>
        <v>#N/A</v>
      </c>
      <c r="V665" s="119"/>
    </row>
    <row r="666" spans="2:22">
      <c r="B666" s="47"/>
      <c r="C666" s="35"/>
      <c r="D666" s="53"/>
      <c r="E666" s="53"/>
      <c r="F666" s="48"/>
      <c r="G666" s="243" t="e">
        <f>INDEX('calcolo base'!$B:$B, MATCH($A666, 'calcolo base'!$A:$A, 0))</f>
        <v>#N/A</v>
      </c>
      <c r="H666" s="54" t="e">
        <f t="shared" si="129"/>
        <v>#N/A</v>
      </c>
      <c r="I666" s="259" t="e">
        <f>IF(  OR(      INDEX('calcolo base'!$D:$D, MATCH($A666, 'calcolo base'!$A:$A, 0)) = 0,
      INDEX('calcolo base'!$D:$D, MATCH($A666, 'calcolo base'!$A:$A, 0)) = ""   ),
   INDEX('calcolo base'!$K:$K, MATCH($A666, 'calcolo base'!$A:$A, 0)),
   INDEX('calcolo base'!$J:$J, MATCH($A666, 'calcolo base'!$A:$A, 0))
) / 1000</f>
        <v>#N/A</v>
      </c>
      <c r="J666" s="50" t="e">
        <f t="shared" si="130"/>
        <v>#N/A</v>
      </c>
      <c r="K666" s="50"/>
      <c r="L666" s="267" t="e">
        <f>INDEX('calcolo base'!$H:$H, MATCH($A666, 'calcolo base'!$A:$A, 0))</f>
        <v>#N/A</v>
      </c>
      <c r="M666" s="50" t="e">
        <f t="shared" si="131"/>
        <v>#N/A</v>
      </c>
      <c r="N666" s="50" t="e">
        <f t="shared" si="132"/>
        <v>#N/A</v>
      </c>
      <c r="O666" s="50" t="e">
        <f t="shared" si="133"/>
        <v>#N/A</v>
      </c>
      <c r="P666" s="50" t="e">
        <f t="shared" si="134"/>
        <v>#N/A</v>
      </c>
      <c r="Q666" s="51" t="e">
        <f t="shared" si="135"/>
        <v>#N/A</v>
      </c>
      <c r="R666" s="205" t="e">
        <f t="shared" si="136"/>
        <v>#N/A</v>
      </c>
      <c r="S666" s="279" t="e">
        <f>IF(R666="si",0,IF(E666="si",0,IF(J666&gt;K666,0,+K666-J666)))+IF('calcolo base'!P2126="SI",('Commissioni De Angeli'!K666-'Commissioni De Angeli'!J666),0)</f>
        <v>#N/A</v>
      </c>
      <c r="T666" s="117" t="e">
        <f t="shared" si="137"/>
        <v>#N/A</v>
      </c>
      <c r="U666" s="272" t="e">
        <f>IF(Q666=0,'calcolo base'!L3265,(T666+Q666))</f>
        <v>#N/A</v>
      </c>
      <c r="V666" s="119"/>
    </row>
    <row r="667" spans="2:22">
      <c r="B667" s="47"/>
      <c r="C667" s="35"/>
      <c r="D667" s="53"/>
      <c r="E667" s="53"/>
      <c r="F667" s="48"/>
      <c r="G667" s="243" t="e">
        <f>INDEX('calcolo base'!$B:$B, MATCH($A667, 'calcolo base'!$A:$A, 0))</f>
        <v>#N/A</v>
      </c>
      <c r="H667" s="54" t="e">
        <f t="shared" si="129"/>
        <v>#N/A</v>
      </c>
      <c r="I667" s="259" t="e">
        <f>IF(  OR(      INDEX('calcolo base'!$D:$D, MATCH($A667, 'calcolo base'!$A:$A, 0)) = 0,
      INDEX('calcolo base'!$D:$D, MATCH($A667, 'calcolo base'!$A:$A, 0)) = ""   ),
   INDEX('calcolo base'!$K:$K, MATCH($A667, 'calcolo base'!$A:$A, 0)),
   INDEX('calcolo base'!$J:$J, MATCH($A667, 'calcolo base'!$A:$A, 0))
) / 1000</f>
        <v>#N/A</v>
      </c>
      <c r="J667" s="50" t="e">
        <f t="shared" si="130"/>
        <v>#N/A</v>
      </c>
      <c r="K667" s="50"/>
      <c r="L667" s="267" t="e">
        <f>INDEX('calcolo base'!$H:$H, MATCH($A667, 'calcolo base'!$A:$A, 0))</f>
        <v>#N/A</v>
      </c>
      <c r="M667" s="50" t="e">
        <f t="shared" si="131"/>
        <v>#N/A</v>
      </c>
      <c r="N667" s="50" t="e">
        <f t="shared" si="132"/>
        <v>#N/A</v>
      </c>
      <c r="O667" s="50" t="e">
        <f t="shared" si="133"/>
        <v>#N/A</v>
      </c>
      <c r="P667" s="50" t="e">
        <f t="shared" si="134"/>
        <v>#N/A</v>
      </c>
      <c r="Q667" s="51" t="e">
        <f t="shared" si="135"/>
        <v>#N/A</v>
      </c>
      <c r="R667" s="205" t="e">
        <f t="shared" si="136"/>
        <v>#N/A</v>
      </c>
      <c r="S667" s="279" t="e">
        <f>IF(R667="si",0,IF(E667="si",0,IF(J667&gt;K667,0,+K667-J667)))+IF('calcolo base'!P2127="SI",('Commissioni De Angeli'!K667-'Commissioni De Angeli'!J667),0)</f>
        <v>#N/A</v>
      </c>
      <c r="T667" s="117" t="e">
        <f t="shared" si="137"/>
        <v>#N/A</v>
      </c>
      <c r="U667" s="272" t="e">
        <f>IF(Q667=0,'calcolo base'!L3266,(T667+Q667))</f>
        <v>#N/A</v>
      </c>
      <c r="V667" s="119"/>
    </row>
    <row r="668" spans="2:22">
      <c r="B668" s="47"/>
      <c r="C668" s="35"/>
      <c r="D668" s="53"/>
      <c r="E668" s="53"/>
      <c r="F668" s="48"/>
      <c r="G668" s="243" t="e">
        <f>INDEX('calcolo base'!$B:$B, MATCH($A668, 'calcolo base'!$A:$A, 0))</f>
        <v>#N/A</v>
      </c>
      <c r="H668" s="54" t="e">
        <f t="shared" si="129"/>
        <v>#N/A</v>
      </c>
      <c r="I668" s="259" t="e">
        <f>IF(  OR(      INDEX('calcolo base'!$D:$D, MATCH($A668, 'calcolo base'!$A:$A, 0)) = 0,
      INDEX('calcolo base'!$D:$D, MATCH($A668, 'calcolo base'!$A:$A, 0)) = ""   ),
   INDEX('calcolo base'!$K:$K, MATCH($A668, 'calcolo base'!$A:$A, 0)),
   INDEX('calcolo base'!$J:$J, MATCH($A668, 'calcolo base'!$A:$A, 0))
) / 1000</f>
        <v>#N/A</v>
      </c>
      <c r="J668" s="50" t="e">
        <f t="shared" si="130"/>
        <v>#N/A</v>
      </c>
      <c r="K668" s="50"/>
      <c r="L668" s="267" t="e">
        <f>INDEX('calcolo base'!$H:$H, MATCH($A668, 'calcolo base'!$A:$A, 0))</f>
        <v>#N/A</v>
      </c>
      <c r="M668" s="50" t="e">
        <f t="shared" si="131"/>
        <v>#N/A</v>
      </c>
      <c r="N668" s="50" t="e">
        <f t="shared" si="132"/>
        <v>#N/A</v>
      </c>
      <c r="O668" s="50" t="e">
        <f t="shared" si="133"/>
        <v>#N/A</v>
      </c>
      <c r="P668" s="50" t="e">
        <f t="shared" si="134"/>
        <v>#N/A</v>
      </c>
      <c r="Q668" s="51" t="e">
        <f t="shared" si="135"/>
        <v>#N/A</v>
      </c>
      <c r="R668" s="205" t="e">
        <f t="shared" si="136"/>
        <v>#N/A</v>
      </c>
      <c r="S668" s="279" t="e">
        <f>IF(R668="si",0,IF(E668="si",0,IF(J668&gt;K668,0,+K668-J668)))+IF('calcolo base'!P2128="SI",('Commissioni De Angeli'!K668-'Commissioni De Angeli'!J668),0)</f>
        <v>#N/A</v>
      </c>
      <c r="T668" s="117" t="e">
        <f t="shared" si="137"/>
        <v>#N/A</v>
      </c>
      <c r="U668" s="272" t="e">
        <f>IF(Q668=0,'calcolo base'!L3267,(T668+Q668))</f>
        <v>#N/A</v>
      </c>
      <c r="V668" s="119"/>
    </row>
    <row r="669" spans="2:22">
      <c r="B669" s="47"/>
      <c r="C669" s="35"/>
      <c r="D669" s="53"/>
      <c r="E669" s="53"/>
      <c r="F669" s="48"/>
      <c r="G669" s="243" t="e">
        <f>INDEX('calcolo base'!$B:$B, MATCH($A669, 'calcolo base'!$A:$A, 0))</f>
        <v>#N/A</v>
      </c>
      <c r="H669" s="54" t="e">
        <f t="shared" si="129"/>
        <v>#N/A</v>
      </c>
      <c r="I669" s="259" t="e">
        <f>IF(  OR(      INDEX('calcolo base'!$D:$D, MATCH($A669, 'calcolo base'!$A:$A, 0)) = 0,
      INDEX('calcolo base'!$D:$D, MATCH($A669, 'calcolo base'!$A:$A, 0)) = ""   ),
   INDEX('calcolo base'!$K:$K, MATCH($A669, 'calcolo base'!$A:$A, 0)),
   INDEX('calcolo base'!$J:$J, MATCH($A669, 'calcolo base'!$A:$A, 0))
) / 1000</f>
        <v>#N/A</v>
      </c>
      <c r="J669" s="50" t="e">
        <f t="shared" si="130"/>
        <v>#N/A</v>
      </c>
      <c r="K669" s="50"/>
      <c r="L669" s="267" t="e">
        <f>INDEX('calcolo base'!$H:$H, MATCH($A669, 'calcolo base'!$A:$A, 0))</f>
        <v>#N/A</v>
      </c>
      <c r="M669" s="50" t="e">
        <f t="shared" si="131"/>
        <v>#N/A</v>
      </c>
      <c r="N669" s="50" t="e">
        <f t="shared" si="132"/>
        <v>#N/A</v>
      </c>
      <c r="O669" s="50" t="e">
        <f t="shared" si="133"/>
        <v>#N/A</v>
      </c>
      <c r="P669" s="50" t="e">
        <f t="shared" si="134"/>
        <v>#N/A</v>
      </c>
      <c r="Q669" s="51" t="e">
        <f t="shared" si="135"/>
        <v>#N/A</v>
      </c>
      <c r="R669" s="205" t="e">
        <f t="shared" si="136"/>
        <v>#N/A</v>
      </c>
      <c r="S669" s="279" t="e">
        <f>IF(R669="si",0,IF(E669="si",0,IF(J669&gt;K669,0,+K669-J669)))+IF('calcolo base'!P2129="SI",('Commissioni De Angeli'!K669-'Commissioni De Angeli'!J669),0)</f>
        <v>#N/A</v>
      </c>
      <c r="T669" s="117" t="e">
        <f t="shared" si="137"/>
        <v>#N/A</v>
      </c>
      <c r="U669" s="272" t="e">
        <f>IF(Q669=0,'calcolo base'!L3268,(T669+Q669))</f>
        <v>#N/A</v>
      </c>
      <c r="V669" s="119"/>
    </row>
    <row r="670" spans="2:22">
      <c r="B670" s="47"/>
      <c r="C670" s="35"/>
      <c r="D670" s="53"/>
      <c r="E670" s="53"/>
      <c r="F670" s="48"/>
      <c r="G670" s="243" t="e">
        <f>INDEX('calcolo base'!$B:$B, MATCH($A670, 'calcolo base'!$A:$A, 0))</f>
        <v>#N/A</v>
      </c>
      <c r="H670" s="54" t="e">
        <f t="shared" si="129"/>
        <v>#N/A</v>
      </c>
      <c r="I670" s="259" t="e">
        <f>IF(  OR(      INDEX('calcolo base'!$D:$D, MATCH($A670, 'calcolo base'!$A:$A, 0)) = 0,
      INDEX('calcolo base'!$D:$D, MATCH($A670, 'calcolo base'!$A:$A, 0)) = ""   ),
   INDEX('calcolo base'!$K:$K, MATCH($A670, 'calcolo base'!$A:$A, 0)),
   INDEX('calcolo base'!$J:$J, MATCH($A670, 'calcolo base'!$A:$A, 0))
) / 1000</f>
        <v>#N/A</v>
      </c>
      <c r="J670" s="50" t="e">
        <f t="shared" si="130"/>
        <v>#N/A</v>
      </c>
      <c r="K670" s="50"/>
      <c r="L670" s="267" t="e">
        <f>INDEX('calcolo base'!$H:$H, MATCH($A670, 'calcolo base'!$A:$A, 0))</f>
        <v>#N/A</v>
      </c>
      <c r="M670" s="50" t="e">
        <f t="shared" si="131"/>
        <v>#N/A</v>
      </c>
      <c r="N670" s="50" t="e">
        <f t="shared" si="132"/>
        <v>#N/A</v>
      </c>
      <c r="O670" s="50" t="e">
        <f t="shared" si="133"/>
        <v>#N/A</v>
      </c>
      <c r="P670" s="50" t="e">
        <f t="shared" si="134"/>
        <v>#N/A</v>
      </c>
      <c r="Q670" s="51" t="e">
        <f t="shared" si="135"/>
        <v>#N/A</v>
      </c>
      <c r="R670" s="205" t="e">
        <f t="shared" si="136"/>
        <v>#N/A</v>
      </c>
      <c r="S670" s="279" t="e">
        <f>IF(R670="si",0,IF(E670="si",0,IF(J670&gt;K670,0,+K670-J670)))+IF('calcolo base'!P2130="SI",('Commissioni De Angeli'!K670-'Commissioni De Angeli'!J670),0)</f>
        <v>#N/A</v>
      </c>
      <c r="T670" s="117" t="e">
        <f t="shared" si="137"/>
        <v>#N/A</v>
      </c>
      <c r="U670" s="272" t="e">
        <f>IF(Q670=0,'calcolo base'!L3269,(T670+Q670))</f>
        <v>#N/A</v>
      </c>
      <c r="V670" s="119"/>
    </row>
    <row r="671" spans="2:22">
      <c r="B671" s="47"/>
      <c r="C671" s="35"/>
      <c r="D671" s="53"/>
      <c r="E671" s="53"/>
      <c r="F671" s="48"/>
      <c r="G671" s="243" t="e">
        <f>INDEX('calcolo base'!$B:$B, MATCH($A671, 'calcolo base'!$A:$A, 0))</f>
        <v>#N/A</v>
      </c>
      <c r="H671" s="54" t="e">
        <f t="shared" si="129"/>
        <v>#N/A</v>
      </c>
      <c r="I671" s="259" t="e">
        <f>IF(  OR(      INDEX('calcolo base'!$D:$D, MATCH($A671, 'calcolo base'!$A:$A, 0)) = 0,
      INDEX('calcolo base'!$D:$D, MATCH($A671, 'calcolo base'!$A:$A, 0)) = ""   ),
   INDEX('calcolo base'!$K:$K, MATCH($A671, 'calcolo base'!$A:$A, 0)),
   INDEX('calcolo base'!$J:$J, MATCH($A671, 'calcolo base'!$A:$A, 0))
) / 1000</f>
        <v>#N/A</v>
      </c>
      <c r="J671" s="50" t="e">
        <f t="shared" si="130"/>
        <v>#N/A</v>
      </c>
      <c r="K671" s="50"/>
      <c r="L671" s="267" t="e">
        <f>INDEX('calcolo base'!$H:$H, MATCH($A671, 'calcolo base'!$A:$A, 0))</f>
        <v>#N/A</v>
      </c>
      <c r="M671" s="50" t="e">
        <f t="shared" si="131"/>
        <v>#N/A</v>
      </c>
      <c r="N671" s="50" t="e">
        <f t="shared" si="132"/>
        <v>#N/A</v>
      </c>
      <c r="O671" s="50" t="e">
        <f t="shared" si="133"/>
        <v>#N/A</v>
      </c>
      <c r="P671" s="50" t="e">
        <f t="shared" si="134"/>
        <v>#N/A</v>
      </c>
      <c r="Q671" s="51" t="e">
        <f t="shared" si="135"/>
        <v>#N/A</v>
      </c>
      <c r="R671" s="205" t="e">
        <f t="shared" si="136"/>
        <v>#N/A</v>
      </c>
      <c r="S671" s="279" t="e">
        <f>IF(R671="si",0,IF(E671="si",0,IF(J671&gt;K671,0,+K671-J671)))+IF('calcolo base'!P2131="SI",('Commissioni De Angeli'!K671-'Commissioni De Angeli'!J671),0)</f>
        <v>#N/A</v>
      </c>
      <c r="T671" s="117" t="e">
        <f t="shared" si="137"/>
        <v>#N/A</v>
      </c>
      <c r="U671" s="272" t="e">
        <f>IF(Q671=0,'calcolo base'!L3270,(T671+Q671))</f>
        <v>#N/A</v>
      </c>
      <c r="V671" s="119"/>
    </row>
    <row r="672" spans="2:22">
      <c r="B672" s="47"/>
      <c r="C672" s="35"/>
      <c r="D672" s="53"/>
      <c r="E672" s="53"/>
      <c r="F672" s="48"/>
      <c r="G672" s="243" t="e">
        <f>INDEX('calcolo base'!$B:$B, MATCH($A672, 'calcolo base'!$A:$A, 0))</f>
        <v>#N/A</v>
      </c>
      <c r="H672" s="54" t="e">
        <f t="shared" si="129"/>
        <v>#N/A</v>
      </c>
      <c r="I672" s="259" t="e">
        <f>IF(  OR(      INDEX('calcolo base'!$D:$D, MATCH($A672, 'calcolo base'!$A:$A, 0)) = 0,
      INDEX('calcolo base'!$D:$D, MATCH($A672, 'calcolo base'!$A:$A, 0)) = ""   ),
   INDEX('calcolo base'!$K:$K, MATCH($A672, 'calcolo base'!$A:$A, 0)),
   INDEX('calcolo base'!$J:$J, MATCH($A672, 'calcolo base'!$A:$A, 0))
) / 1000</f>
        <v>#N/A</v>
      </c>
      <c r="J672" s="50" t="e">
        <f t="shared" si="130"/>
        <v>#N/A</v>
      </c>
      <c r="K672" s="50"/>
      <c r="L672" s="267" t="e">
        <f>INDEX('calcolo base'!$H:$H, MATCH($A672, 'calcolo base'!$A:$A, 0))</f>
        <v>#N/A</v>
      </c>
      <c r="M672" s="50" t="e">
        <f t="shared" si="131"/>
        <v>#N/A</v>
      </c>
      <c r="N672" s="50" t="e">
        <f t="shared" si="132"/>
        <v>#N/A</v>
      </c>
      <c r="O672" s="50" t="e">
        <f t="shared" si="133"/>
        <v>#N/A</v>
      </c>
      <c r="P672" s="50" t="e">
        <f t="shared" si="134"/>
        <v>#N/A</v>
      </c>
      <c r="Q672" s="51" t="e">
        <f t="shared" si="135"/>
        <v>#N/A</v>
      </c>
      <c r="R672" s="205" t="e">
        <f t="shared" si="136"/>
        <v>#N/A</v>
      </c>
      <c r="S672" s="279" t="e">
        <f>IF(R672="si",0,IF(E672="si",0,IF(J672&gt;K672,0,+K672-J672)))+IF('calcolo base'!P2132="SI",('Commissioni De Angeli'!K672-'Commissioni De Angeli'!J672),0)</f>
        <v>#N/A</v>
      </c>
      <c r="T672" s="117" t="e">
        <f t="shared" si="137"/>
        <v>#N/A</v>
      </c>
      <c r="U672" s="272" t="e">
        <f>IF(Q672=0,'calcolo base'!L3271,(T672+Q672))</f>
        <v>#N/A</v>
      </c>
      <c r="V672" s="119"/>
    </row>
    <row r="673" spans="2:22">
      <c r="B673" s="47"/>
      <c r="C673" s="35"/>
      <c r="D673" s="53"/>
      <c r="E673" s="53"/>
      <c r="F673" s="48"/>
      <c r="G673" s="243" t="e">
        <f>INDEX('calcolo base'!$B:$B, MATCH($A673, 'calcolo base'!$A:$A, 0))</f>
        <v>#N/A</v>
      </c>
      <c r="H673" s="54" t="e">
        <f t="shared" si="129"/>
        <v>#N/A</v>
      </c>
      <c r="I673" s="259" t="e">
        <f>IF(  OR(      INDEX('calcolo base'!$D:$D, MATCH($A673, 'calcolo base'!$A:$A, 0)) = 0,
      INDEX('calcolo base'!$D:$D, MATCH($A673, 'calcolo base'!$A:$A, 0)) = ""   ),
   INDEX('calcolo base'!$K:$K, MATCH($A673, 'calcolo base'!$A:$A, 0)),
   INDEX('calcolo base'!$J:$J, MATCH($A673, 'calcolo base'!$A:$A, 0))
) / 1000</f>
        <v>#N/A</v>
      </c>
      <c r="J673" s="50" t="e">
        <f t="shared" si="130"/>
        <v>#N/A</v>
      </c>
      <c r="K673" s="50"/>
      <c r="L673" s="267" t="e">
        <f>INDEX('calcolo base'!$H:$H, MATCH($A673, 'calcolo base'!$A:$A, 0))</f>
        <v>#N/A</v>
      </c>
      <c r="M673" s="50" t="e">
        <f t="shared" si="131"/>
        <v>#N/A</v>
      </c>
      <c r="N673" s="50" t="e">
        <f t="shared" si="132"/>
        <v>#N/A</v>
      </c>
      <c r="O673" s="50" t="e">
        <f t="shared" si="133"/>
        <v>#N/A</v>
      </c>
      <c r="P673" s="50" t="e">
        <f t="shared" si="134"/>
        <v>#N/A</v>
      </c>
      <c r="Q673" s="51" t="e">
        <f t="shared" si="135"/>
        <v>#N/A</v>
      </c>
      <c r="R673" s="205" t="e">
        <f t="shared" si="136"/>
        <v>#N/A</v>
      </c>
      <c r="S673" s="279" t="e">
        <f>IF(R673="si",0,IF(E673="si",0,IF(J673&gt;K673,0,+K673-J673)))+IF('calcolo base'!P2133="SI",('Commissioni De Angeli'!K673-'Commissioni De Angeli'!J673),0)</f>
        <v>#N/A</v>
      </c>
      <c r="T673" s="117" t="e">
        <f t="shared" si="137"/>
        <v>#N/A</v>
      </c>
      <c r="U673" s="272" t="e">
        <f>IF(Q673=0,'calcolo base'!L3272,(T673+Q673))</f>
        <v>#N/A</v>
      </c>
      <c r="V673" s="119"/>
    </row>
    <row r="674" spans="2:22">
      <c r="B674" s="47"/>
      <c r="C674" s="35"/>
      <c r="D674" s="53"/>
      <c r="E674" s="53"/>
      <c r="F674" s="48"/>
      <c r="G674" s="243" t="e">
        <f>INDEX('calcolo base'!$B:$B, MATCH($A674, 'calcolo base'!$A:$A, 0))</f>
        <v>#N/A</v>
      </c>
      <c r="H674" s="54" t="e">
        <f t="shared" si="129"/>
        <v>#N/A</v>
      </c>
      <c r="I674" s="259" t="e">
        <f>IF(  OR(      INDEX('calcolo base'!$D:$D, MATCH($A674, 'calcolo base'!$A:$A, 0)) = 0,
      INDEX('calcolo base'!$D:$D, MATCH($A674, 'calcolo base'!$A:$A, 0)) = ""   ),
   INDEX('calcolo base'!$K:$K, MATCH($A674, 'calcolo base'!$A:$A, 0)),
   INDEX('calcolo base'!$J:$J, MATCH($A674, 'calcolo base'!$A:$A, 0))
) / 1000</f>
        <v>#N/A</v>
      </c>
      <c r="J674" s="50" t="e">
        <f t="shared" si="130"/>
        <v>#N/A</v>
      </c>
      <c r="K674" s="50"/>
      <c r="L674" s="267" t="e">
        <f>INDEX('calcolo base'!$H:$H, MATCH($A674, 'calcolo base'!$A:$A, 0))</f>
        <v>#N/A</v>
      </c>
      <c r="M674" s="50" t="e">
        <f t="shared" si="131"/>
        <v>#N/A</v>
      </c>
      <c r="N674" s="50" t="e">
        <f t="shared" si="132"/>
        <v>#N/A</v>
      </c>
      <c r="O674" s="50" t="e">
        <f t="shared" si="133"/>
        <v>#N/A</v>
      </c>
      <c r="P674" s="50" t="e">
        <f t="shared" si="134"/>
        <v>#N/A</v>
      </c>
      <c r="Q674" s="51" t="e">
        <f t="shared" si="135"/>
        <v>#N/A</v>
      </c>
      <c r="R674" s="205" t="e">
        <f t="shared" si="136"/>
        <v>#N/A</v>
      </c>
      <c r="S674" s="279" t="e">
        <f>IF(R674="si",0,IF(E674="si",0,IF(J674&gt;K674,0,+K674-J674)))+IF('calcolo base'!P2134="SI",('Commissioni De Angeli'!K674-'Commissioni De Angeli'!J674),0)</f>
        <v>#N/A</v>
      </c>
      <c r="T674" s="117" t="e">
        <f t="shared" si="137"/>
        <v>#N/A</v>
      </c>
      <c r="U674" s="272" t="e">
        <f>IF(Q674=0,'calcolo base'!L3273,(T674+Q674))</f>
        <v>#N/A</v>
      </c>
      <c r="V674" s="119"/>
    </row>
    <row r="675" spans="2:22">
      <c r="B675" s="47"/>
      <c r="C675" s="35"/>
      <c r="D675" s="53"/>
      <c r="E675" s="53"/>
      <c r="F675" s="48"/>
      <c r="G675" s="243" t="e">
        <f>INDEX('calcolo base'!$B:$B, MATCH($A675, 'calcolo base'!$A:$A, 0))</f>
        <v>#N/A</v>
      </c>
      <c r="H675" s="54" t="e">
        <f t="shared" si="129"/>
        <v>#N/A</v>
      </c>
      <c r="I675" s="259" t="e">
        <f>IF(  OR(      INDEX('calcolo base'!$D:$D, MATCH($A675, 'calcolo base'!$A:$A, 0)) = 0,
      INDEX('calcolo base'!$D:$D, MATCH($A675, 'calcolo base'!$A:$A, 0)) = ""   ),
   INDEX('calcolo base'!$K:$K, MATCH($A675, 'calcolo base'!$A:$A, 0)),
   INDEX('calcolo base'!$J:$J, MATCH($A675, 'calcolo base'!$A:$A, 0))
) / 1000</f>
        <v>#N/A</v>
      </c>
      <c r="J675" s="50" t="e">
        <f t="shared" si="130"/>
        <v>#N/A</v>
      </c>
      <c r="K675" s="50"/>
      <c r="L675" s="267" t="e">
        <f>INDEX('calcolo base'!$H:$H, MATCH($A675, 'calcolo base'!$A:$A, 0))</f>
        <v>#N/A</v>
      </c>
      <c r="M675" s="50" t="e">
        <f t="shared" si="131"/>
        <v>#N/A</v>
      </c>
      <c r="N675" s="50" t="e">
        <f t="shared" si="132"/>
        <v>#N/A</v>
      </c>
      <c r="O675" s="50" t="e">
        <f t="shared" si="133"/>
        <v>#N/A</v>
      </c>
      <c r="P675" s="50" t="e">
        <f t="shared" si="134"/>
        <v>#N/A</v>
      </c>
      <c r="Q675" s="51" t="e">
        <f t="shared" si="135"/>
        <v>#N/A</v>
      </c>
      <c r="R675" s="205" t="e">
        <f t="shared" si="136"/>
        <v>#N/A</v>
      </c>
      <c r="S675" s="279" t="e">
        <f>IF(R675="si",0,IF(E675="si",0,IF(J675&gt;K675,0,+K675-J675)))+IF('calcolo base'!P2135="SI",('Commissioni De Angeli'!K675-'Commissioni De Angeli'!J675),0)</f>
        <v>#N/A</v>
      </c>
      <c r="T675" s="117" t="e">
        <f t="shared" si="137"/>
        <v>#N/A</v>
      </c>
      <c r="U675" s="272" t="e">
        <f>IF(Q675=0,'calcolo base'!L3274,(T675+Q675))</f>
        <v>#N/A</v>
      </c>
      <c r="V675" s="119"/>
    </row>
    <row r="676" spans="2:22">
      <c r="B676" s="47"/>
      <c r="C676" s="35"/>
      <c r="D676" s="53"/>
      <c r="E676" s="53"/>
      <c r="F676" s="48"/>
      <c r="G676" s="243" t="e">
        <f>INDEX('calcolo base'!$B:$B, MATCH($A676, 'calcolo base'!$A:$A, 0))</f>
        <v>#N/A</v>
      </c>
      <c r="H676" s="54" t="e">
        <f t="shared" si="129"/>
        <v>#N/A</v>
      </c>
      <c r="I676" s="259" t="e">
        <f>IF(  OR(      INDEX('calcolo base'!$D:$D, MATCH($A676, 'calcolo base'!$A:$A, 0)) = 0,
      INDEX('calcolo base'!$D:$D, MATCH($A676, 'calcolo base'!$A:$A, 0)) = ""   ),
   INDEX('calcolo base'!$K:$K, MATCH($A676, 'calcolo base'!$A:$A, 0)),
   INDEX('calcolo base'!$J:$J, MATCH($A676, 'calcolo base'!$A:$A, 0))
) / 1000</f>
        <v>#N/A</v>
      </c>
      <c r="J676" s="50" t="e">
        <f t="shared" si="130"/>
        <v>#N/A</v>
      </c>
      <c r="K676" s="50"/>
      <c r="L676" s="267" t="e">
        <f>INDEX('calcolo base'!$H:$H, MATCH($A676, 'calcolo base'!$A:$A, 0))</f>
        <v>#N/A</v>
      </c>
      <c r="M676" s="50" t="e">
        <f t="shared" si="131"/>
        <v>#N/A</v>
      </c>
      <c r="N676" s="50" t="e">
        <f t="shared" si="132"/>
        <v>#N/A</v>
      </c>
      <c r="O676" s="50" t="e">
        <f t="shared" si="133"/>
        <v>#N/A</v>
      </c>
      <c r="P676" s="50" t="e">
        <f t="shared" si="134"/>
        <v>#N/A</v>
      </c>
      <c r="Q676" s="51" t="e">
        <f t="shared" si="135"/>
        <v>#N/A</v>
      </c>
      <c r="R676" s="205" t="e">
        <f t="shared" si="136"/>
        <v>#N/A</v>
      </c>
      <c r="S676" s="279" t="e">
        <f>IF(R676="si",0,IF(E676="si",0,IF(J676&gt;K676,0,+K676-J676)))+IF('calcolo base'!P2136="SI",('Commissioni De Angeli'!K676-'Commissioni De Angeli'!J676),0)</f>
        <v>#N/A</v>
      </c>
      <c r="T676" s="117" t="e">
        <f t="shared" si="137"/>
        <v>#N/A</v>
      </c>
      <c r="U676" s="272" t="e">
        <f>IF(Q676=0,'calcolo base'!L3275,(T676+Q676))</f>
        <v>#N/A</v>
      </c>
      <c r="V676" s="119"/>
    </row>
    <row r="677" spans="2:22">
      <c r="B677" s="47"/>
      <c r="C677" s="35"/>
      <c r="D677" s="53"/>
      <c r="E677" s="53"/>
      <c r="F677" s="48"/>
      <c r="G677" s="243" t="e">
        <f>INDEX('calcolo base'!$B:$B, MATCH($A677, 'calcolo base'!$A:$A, 0))</f>
        <v>#N/A</v>
      </c>
      <c r="H677" s="54" t="e">
        <f t="shared" si="129"/>
        <v>#N/A</v>
      </c>
      <c r="I677" s="259" t="e">
        <f>IF(  OR(      INDEX('calcolo base'!$D:$D, MATCH($A677, 'calcolo base'!$A:$A, 0)) = 0,
      INDEX('calcolo base'!$D:$D, MATCH($A677, 'calcolo base'!$A:$A, 0)) = ""   ),
   INDEX('calcolo base'!$K:$K, MATCH($A677, 'calcolo base'!$A:$A, 0)),
   INDEX('calcolo base'!$J:$J, MATCH($A677, 'calcolo base'!$A:$A, 0))
) / 1000</f>
        <v>#N/A</v>
      </c>
      <c r="J677" s="50" t="e">
        <f t="shared" si="130"/>
        <v>#N/A</v>
      </c>
      <c r="K677" s="50"/>
      <c r="L677" s="267" t="e">
        <f>INDEX('calcolo base'!$H:$H, MATCH($A677, 'calcolo base'!$A:$A, 0))</f>
        <v>#N/A</v>
      </c>
      <c r="M677" s="50" t="e">
        <f t="shared" si="131"/>
        <v>#N/A</v>
      </c>
      <c r="N677" s="50" t="e">
        <f t="shared" si="132"/>
        <v>#N/A</v>
      </c>
      <c r="O677" s="50" t="e">
        <f t="shared" si="133"/>
        <v>#N/A</v>
      </c>
      <c r="P677" s="50" t="e">
        <f t="shared" si="134"/>
        <v>#N/A</v>
      </c>
      <c r="Q677" s="51" t="e">
        <f t="shared" si="135"/>
        <v>#N/A</v>
      </c>
      <c r="R677" s="205" t="e">
        <f t="shared" si="136"/>
        <v>#N/A</v>
      </c>
      <c r="S677" s="279" t="e">
        <f>IF(R677="si",0,IF(E677="si",0,IF(J677&gt;K677,0,+K677-J677)))+IF('calcolo base'!P2137="SI",('Commissioni De Angeli'!K677-'Commissioni De Angeli'!J677),0)</f>
        <v>#N/A</v>
      </c>
      <c r="T677" s="117" t="e">
        <f t="shared" si="137"/>
        <v>#N/A</v>
      </c>
      <c r="U677" s="272" t="e">
        <f>IF(Q677=0,'calcolo base'!L3276,(T677+Q677))</f>
        <v>#N/A</v>
      </c>
      <c r="V677" s="119"/>
    </row>
    <row r="678" spans="2:22">
      <c r="B678" s="47"/>
      <c r="C678" s="35"/>
      <c r="D678" s="53"/>
      <c r="E678" s="53"/>
      <c r="F678" s="48"/>
      <c r="G678" s="243" t="e">
        <f>INDEX('calcolo base'!$B:$B, MATCH($A678, 'calcolo base'!$A:$A, 0))</f>
        <v>#N/A</v>
      </c>
      <c r="H678" s="54" t="e">
        <f t="shared" si="129"/>
        <v>#N/A</v>
      </c>
      <c r="I678" s="259" t="e">
        <f>IF(  OR(      INDEX('calcolo base'!$D:$D, MATCH($A678, 'calcolo base'!$A:$A, 0)) = 0,
      INDEX('calcolo base'!$D:$D, MATCH($A678, 'calcolo base'!$A:$A, 0)) = ""   ),
   INDEX('calcolo base'!$K:$K, MATCH($A678, 'calcolo base'!$A:$A, 0)),
   INDEX('calcolo base'!$J:$J, MATCH($A678, 'calcolo base'!$A:$A, 0))
) / 1000</f>
        <v>#N/A</v>
      </c>
      <c r="J678" s="50" t="e">
        <f t="shared" si="130"/>
        <v>#N/A</v>
      </c>
      <c r="K678" s="50"/>
      <c r="L678" s="267" t="e">
        <f>INDEX('calcolo base'!$H:$H, MATCH($A678, 'calcolo base'!$A:$A, 0))</f>
        <v>#N/A</v>
      </c>
      <c r="M678" s="50" t="e">
        <f t="shared" si="131"/>
        <v>#N/A</v>
      </c>
      <c r="N678" s="50" t="e">
        <f t="shared" si="132"/>
        <v>#N/A</v>
      </c>
      <c r="O678" s="50" t="e">
        <f t="shared" si="133"/>
        <v>#N/A</v>
      </c>
      <c r="P678" s="50" t="e">
        <f t="shared" si="134"/>
        <v>#N/A</v>
      </c>
      <c r="Q678" s="51" t="e">
        <f t="shared" si="135"/>
        <v>#N/A</v>
      </c>
      <c r="R678" s="205" t="e">
        <f t="shared" si="136"/>
        <v>#N/A</v>
      </c>
      <c r="S678" s="279" t="e">
        <f>IF(R678="si",0,IF(E678="si",0,IF(J678&gt;K678,0,+K678-J678)))+IF('calcolo base'!P2138="SI",('Commissioni De Angeli'!K678-'Commissioni De Angeli'!J678),0)</f>
        <v>#N/A</v>
      </c>
      <c r="T678" s="117" t="e">
        <f t="shared" si="137"/>
        <v>#N/A</v>
      </c>
      <c r="U678" s="272" t="e">
        <f>IF(Q678=0,'calcolo base'!L3277,(T678+Q678))</f>
        <v>#N/A</v>
      </c>
      <c r="V678" s="119"/>
    </row>
    <row r="679" spans="2:22">
      <c r="B679" s="47"/>
      <c r="C679" s="35"/>
      <c r="D679" s="53"/>
      <c r="E679" s="53"/>
      <c r="F679" s="48"/>
      <c r="G679" s="243" t="e">
        <f>INDEX('calcolo base'!$B:$B, MATCH($A679, 'calcolo base'!$A:$A, 0))</f>
        <v>#N/A</v>
      </c>
      <c r="H679" s="54" t="e">
        <f t="shared" si="129"/>
        <v>#N/A</v>
      </c>
      <c r="I679" s="259" t="e">
        <f>IF(  OR(      INDEX('calcolo base'!$D:$D, MATCH($A679, 'calcolo base'!$A:$A, 0)) = 0,
      INDEX('calcolo base'!$D:$D, MATCH($A679, 'calcolo base'!$A:$A, 0)) = ""   ),
   INDEX('calcolo base'!$K:$K, MATCH($A679, 'calcolo base'!$A:$A, 0)),
   INDEX('calcolo base'!$J:$J, MATCH($A679, 'calcolo base'!$A:$A, 0))
) / 1000</f>
        <v>#N/A</v>
      </c>
      <c r="J679" s="50" t="e">
        <f t="shared" si="130"/>
        <v>#N/A</v>
      </c>
      <c r="K679" s="50"/>
      <c r="L679" s="267" t="e">
        <f>INDEX('calcolo base'!$H:$H, MATCH($A679, 'calcolo base'!$A:$A, 0))</f>
        <v>#N/A</v>
      </c>
      <c r="M679" s="50" t="e">
        <f t="shared" si="131"/>
        <v>#N/A</v>
      </c>
      <c r="N679" s="50" t="e">
        <f t="shared" si="132"/>
        <v>#N/A</v>
      </c>
      <c r="O679" s="50" t="e">
        <f t="shared" si="133"/>
        <v>#N/A</v>
      </c>
      <c r="P679" s="50" t="e">
        <f t="shared" si="134"/>
        <v>#N/A</v>
      </c>
      <c r="Q679" s="51" t="e">
        <f t="shared" si="135"/>
        <v>#N/A</v>
      </c>
      <c r="R679" s="205" t="e">
        <f t="shared" si="136"/>
        <v>#N/A</v>
      </c>
      <c r="S679" s="279" t="e">
        <f>IF(R679="si",0,IF(E679="si",0,IF(J679&gt;K679,0,+K679-J679)))+IF('calcolo base'!P2139="SI",('Commissioni De Angeli'!K679-'Commissioni De Angeli'!J679),0)</f>
        <v>#N/A</v>
      </c>
      <c r="T679" s="117" t="e">
        <f t="shared" si="137"/>
        <v>#N/A</v>
      </c>
      <c r="U679" s="272" t="e">
        <f>IF(Q679=0,'calcolo base'!L3278,(T679+Q679))</f>
        <v>#N/A</v>
      </c>
      <c r="V679" s="119"/>
    </row>
    <row r="680" spans="2:22">
      <c r="B680" s="47"/>
      <c r="C680" s="35"/>
      <c r="D680" s="53"/>
      <c r="E680" s="53"/>
      <c r="F680" s="48"/>
      <c r="G680" s="243" t="e">
        <f>INDEX('calcolo base'!$B:$B, MATCH($A680, 'calcolo base'!$A:$A, 0))</f>
        <v>#N/A</v>
      </c>
      <c r="H680" s="54" t="e">
        <f t="shared" si="129"/>
        <v>#N/A</v>
      </c>
      <c r="I680" s="259" t="e">
        <f>IF(  OR(      INDEX('calcolo base'!$D:$D, MATCH($A680, 'calcolo base'!$A:$A, 0)) = 0,
      INDEX('calcolo base'!$D:$D, MATCH($A680, 'calcolo base'!$A:$A, 0)) = ""   ),
   INDEX('calcolo base'!$K:$K, MATCH($A680, 'calcolo base'!$A:$A, 0)),
   INDEX('calcolo base'!$J:$J, MATCH($A680, 'calcolo base'!$A:$A, 0))
) / 1000</f>
        <v>#N/A</v>
      </c>
      <c r="J680" s="50" t="e">
        <f t="shared" si="130"/>
        <v>#N/A</v>
      </c>
      <c r="K680" s="50"/>
      <c r="L680" s="267" t="e">
        <f>INDEX('calcolo base'!$H:$H, MATCH($A680, 'calcolo base'!$A:$A, 0))</f>
        <v>#N/A</v>
      </c>
      <c r="M680" s="50" t="e">
        <f t="shared" si="131"/>
        <v>#N/A</v>
      </c>
      <c r="N680" s="50" t="e">
        <f t="shared" si="132"/>
        <v>#N/A</v>
      </c>
      <c r="O680" s="50" t="e">
        <f t="shared" si="133"/>
        <v>#N/A</v>
      </c>
      <c r="P680" s="50" t="e">
        <f t="shared" si="134"/>
        <v>#N/A</v>
      </c>
      <c r="Q680" s="51" t="e">
        <f t="shared" si="135"/>
        <v>#N/A</v>
      </c>
      <c r="R680" s="205" t="e">
        <f t="shared" si="136"/>
        <v>#N/A</v>
      </c>
      <c r="S680" s="279" t="e">
        <f>IF(R680="si",0,IF(E680="si",0,IF(J680&gt;K680,0,+K680-J680)))+IF('calcolo base'!P2140="SI",('Commissioni De Angeli'!K680-'Commissioni De Angeli'!J680),0)</f>
        <v>#N/A</v>
      </c>
      <c r="T680" s="117" t="e">
        <f t="shared" si="137"/>
        <v>#N/A</v>
      </c>
      <c r="U680" s="272" t="e">
        <f>IF(Q680=0,'calcolo base'!L3279,(T680+Q680))</f>
        <v>#N/A</v>
      </c>
      <c r="V680" s="119"/>
    </row>
    <row r="681" spans="2:22">
      <c r="B681" s="47"/>
      <c r="C681" s="35"/>
      <c r="D681" s="53"/>
      <c r="E681" s="53"/>
      <c r="F681" s="48"/>
      <c r="G681" s="243" t="e">
        <f>INDEX('calcolo base'!$B:$B, MATCH($A681, 'calcolo base'!$A:$A, 0))</f>
        <v>#N/A</v>
      </c>
      <c r="H681" s="54" t="e">
        <f t="shared" si="129"/>
        <v>#N/A</v>
      </c>
      <c r="I681" s="259" t="e">
        <f>IF(  OR(      INDEX('calcolo base'!$D:$D, MATCH($A681, 'calcolo base'!$A:$A, 0)) = 0,
      INDEX('calcolo base'!$D:$D, MATCH($A681, 'calcolo base'!$A:$A, 0)) = ""   ),
   INDEX('calcolo base'!$K:$K, MATCH($A681, 'calcolo base'!$A:$A, 0)),
   INDEX('calcolo base'!$J:$J, MATCH($A681, 'calcolo base'!$A:$A, 0))
) / 1000</f>
        <v>#N/A</v>
      </c>
      <c r="J681" s="50" t="e">
        <f t="shared" si="130"/>
        <v>#N/A</v>
      </c>
      <c r="K681" s="50"/>
      <c r="L681" s="267" t="e">
        <f>INDEX('calcolo base'!$H:$H, MATCH($A681, 'calcolo base'!$A:$A, 0))</f>
        <v>#N/A</v>
      </c>
      <c r="M681" s="50" t="e">
        <f t="shared" si="131"/>
        <v>#N/A</v>
      </c>
      <c r="N681" s="50" t="e">
        <f t="shared" si="132"/>
        <v>#N/A</v>
      </c>
      <c r="O681" s="50" t="e">
        <f t="shared" si="133"/>
        <v>#N/A</v>
      </c>
      <c r="P681" s="50" t="e">
        <f t="shared" si="134"/>
        <v>#N/A</v>
      </c>
      <c r="Q681" s="51" t="e">
        <f t="shared" si="135"/>
        <v>#N/A</v>
      </c>
      <c r="R681" s="205" t="e">
        <f t="shared" si="136"/>
        <v>#N/A</v>
      </c>
      <c r="S681" s="279" t="e">
        <f>IF(R681="si",0,IF(E681="si",0,IF(J681&gt;K681,0,+K681-J681)))+IF('calcolo base'!P2141="SI",('Commissioni De Angeli'!K681-'Commissioni De Angeli'!J681),0)</f>
        <v>#N/A</v>
      </c>
      <c r="T681" s="117" t="e">
        <f t="shared" si="137"/>
        <v>#N/A</v>
      </c>
      <c r="U681" s="272" t="e">
        <f>IF(Q681=0,'calcolo base'!L3280,(T681+Q681))</f>
        <v>#N/A</v>
      </c>
      <c r="V681" s="119"/>
    </row>
    <row r="682" spans="2:22">
      <c r="B682" s="47"/>
      <c r="C682" s="35"/>
      <c r="D682" s="53"/>
      <c r="E682" s="53"/>
      <c r="F682" s="48"/>
      <c r="G682" s="243" t="e">
        <f>INDEX('calcolo base'!$B:$B, MATCH($A682, 'calcolo base'!$A:$A, 0))</f>
        <v>#N/A</v>
      </c>
      <c r="H682" s="54" t="e">
        <f t="shared" si="129"/>
        <v>#N/A</v>
      </c>
      <c r="I682" s="259" t="e">
        <f>IF(  OR(      INDEX('calcolo base'!$D:$D, MATCH($A682, 'calcolo base'!$A:$A, 0)) = 0,
      INDEX('calcolo base'!$D:$D, MATCH($A682, 'calcolo base'!$A:$A, 0)) = ""   ),
   INDEX('calcolo base'!$K:$K, MATCH($A682, 'calcolo base'!$A:$A, 0)),
   INDEX('calcolo base'!$J:$J, MATCH($A682, 'calcolo base'!$A:$A, 0))
) / 1000</f>
        <v>#N/A</v>
      </c>
      <c r="J682" s="50" t="e">
        <f t="shared" si="130"/>
        <v>#N/A</v>
      </c>
      <c r="K682" s="50"/>
      <c r="L682" s="267" t="e">
        <f>INDEX('calcolo base'!$H:$H, MATCH($A682, 'calcolo base'!$A:$A, 0))</f>
        <v>#N/A</v>
      </c>
      <c r="M682" s="50" t="e">
        <f t="shared" si="131"/>
        <v>#N/A</v>
      </c>
      <c r="N682" s="50" t="e">
        <f t="shared" si="132"/>
        <v>#N/A</v>
      </c>
      <c r="O682" s="50" t="e">
        <f t="shared" si="133"/>
        <v>#N/A</v>
      </c>
      <c r="P682" s="50" t="e">
        <f t="shared" si="134"/>
        <v>#N/A</v>
      </c>
      <c r="Q682" s="51" t="e">
        <f t="shared" si="135"/>
        <v>#N/A</v>
      </c>
      <c r="R682" s="205" t="e">
        <f t="shared" si="136"/>
        <v>#N/A</v>
      </c>
      <c r="S682" s="279" t="e">
        <f>IF(R682="si",0,IF(E682="si",0,IF(J682&gt;K682,0,+K682-J682)))+IF('calcolo base'!P2142="SI",('Commissioni De Angeli'!K682-'Commissioni De Angeli'!J682),0)</f>
        <v>#N/A</v>
      </c>
      <c r="T682" s="117" t="e">
        <f t="shared" si="137"/>
        <v>#N/A</v>
      </c>
      <c r="U682" s="272" t="e">
        <f>IF(Q682=0,'calcolo base'!L3281,(T682+Q682))</f>
        <v>#N/A</v>
      </c>
      <c r="V682" s="119"/>
    </row>
    <row r="683" spans="2:22">
      <c r="B683" s="47"/>
      <c r="C683" s="35"/>
      <c r="D683" s="53"/>
      <c r="E683" s="53"/>
      <c r="F683" s="48"/>
      <c r="G683" s="243" t="e">
        <f>INDEX('calcolo base'!$B:$B, MATCH($A683, 'calcolo base'!$A:$A, 0))</f>
        <v>#N/A</v>
      </c>
      <c r="H683" s="54" t="e">
        <f t="shared" si="129"/>
        <v>#N/A</v>
      </c>
      <c r="I683" s="259" t="e">
        <f>IF(  OR(      INDEX('calcolo base'!$D:$D, MATCH($A683, 'calcolo base'!$A:$A, 0)) = 0,
      INDEX('calcolo base'!$D:$D, MATCH($A683, 'calcolo base'!$A:$A, 0)) = ""   ),
   INDEX('calcolo base'!$K:$K, MATCH($A683, 'calcolo base'!$A:$A, 0)),
   INDEX('calcolo base'!$J:$J, MATCH($A683, 'calcolo base'!$A:$A, 0))
) / 1000</f>
        <v>#N/A</v>
      </c>
      <c r="J683" s="50" t="e">
        <f t="shared" si="130"/>
        <v>#N/A</v>
      </c>
      <c r="K683" s="50"/>
      <c r="L683" s="267" t="e">
        <f>INDEX('calcolo base'!$H:$H, MATCH($A683, 'calcolo base'!$A:$A, 0))</f>
        <v>#N/A</v>
      </c>
      <c r="M683" s="50" t="e">
        <f t="shared" si="131"/>
        <v>#N/A</v>
      </c>
      <c r="N683" s="50" t="e">
        <f t="shared" si="132"/>
        <v>#N/A</v>
      </c>
      <c r="O683" s="50" t="e">
        <f t="shared" si="133"/>
        <v>#N/A</v>
      </c>
      <c r="P683" s="50" t="e">
        <f t="shared" si="134"/>
        <v>#N/A</v>
      </c>
      <c r="Q683" s="51" t="e">
        <f t="shared" si="135"/>
        <v>#N/A</v>
      </c>
      <c r="R683" s="205" t="e">
        <f t="shared" si="136"/>
        <v>#N/A</v>
      </c>
      <c r="S683" s="279" t="e">
        <f>IF(R683="si",0,IF(E683="si",0,IF(J683&gt;K683,0,+K683-J683)))+IF('calcolo base'!P2143="SI",('Commissioni De Angeli'!K683-'Commissioni De Angeli'!J683),0)</f>
        <v>#N/A</v>
      </c>
      <c r="T683" s="117" t="e">
        <f t="shared" si="137"/>
        <v>#N/A</v>
      </c>
      <c r="U683" s="272" t="e">
        <f>IF(Q683=0,'calcolo base'!L3282,(T683+Q683))</f>
        <v>#N/A</v>
      </c>
      <c r="V683" s="119"/>
    </row>
    <row r="684" spans="2:22">
      <c r="B684" s="47"/>
      <c r="C684" s="35"/>
      <c r="D684" s="53"/>
      <c r="E684" s="53"/>
      <c r="F684" s="48"/>
      <c r="G684" s="243" t="e">
        <f>INDEX('calcolo base'!$B:$B, MATCH($A684, 'calcolo base'!$A:$A, 0))</f>
        <v>#N/A</v>
      </c>
      <c r="H684" s="54" t="e">
        <f t="shared" ref="H684:H747" si="138">IF(G684=0,"",+G684)</f>
        <v>#N/A</v>
      </c>
      <c r="I684" s="259" t="e">
        <f>IF(  OR(      INDEX('calcolo base'!$D:$D, MATCH($A684, 'calcolo base'!$A:$A, 0)) = 0,
      INDEX('calcolo base'!$D:$D, MATCH($A684, 'calcolo base'!$A:$A, 0)) = ""   ),
   INDEX('calcolo base'!$K:$K, MATCH($A684, 'calcolo base'!$A:$A, 0)),
   INDEX('calcolo base'!$J:$J, MATCH($A684, 'calcolo base'!$A:$A, 0))
) / 1000</f>
        <v>#N/A</v>
      </c>
      <c r="J684" s="50" t="e">
        <f t="shared" ref="J684:J747" si="139">+F684+I684</f>
        <v>#N/A</v>
      </c>
      <c r="K684" s="50"/>
      <c r="L684" s="267" t="e">
        <f>INDEX('calcolo base'!$H:$H, MATCH($A684, 'calcolo base'!$A:$A, 0))</f>
        <v>#N/A</v>
      </c>
      <c r="M684" s="50" t="e">
        <f t="shared" ref="M684:M747" si="140">IF(L684=0,0,J684*L684)</f>
        <v>#N/A</v>
      </c>
      <c r="N684" s="50" t="e">
        <f t="shared" ref="N684:N747" si="141">IF(E684="si",K684*1.5%,IF($L684&gt;=5%,IF($I684=0,0,(IF($G684="RAME",($J684)*1.5%,0)+IF($G684="rame smaltato",($K684)*1.5%,0))),0))</f>
        <v>#N/A</v>
      </c>
      <c r="O684" s="50" t="e">
        <f t="shared" ref="O684:O747" si="142">IF($I684=0,0,(IF($G684="alluminio",($J684)*3%,0)+IF($G684="alluminio smaltato",($K684)*3%,0)))</f>
        <v>#N/A</v>
      </c>
      <c r="P684" s="50" t="e">
        <f t="shared" ref="P684:P747" si="143">IF(H684="alluminio",0,IF(L684&lt;5%,F684*8%,0))</f>
        <v>#N/A</v>
      </c>
      <c r="Q684" s="51" t="e">
        <f t="shared" ref="Q684:Q747" si="144">+(N684*D684)+(O684*D684)+(P684*D684)</f>
        <v>#N/A</v>
      </c>
      <c r="R684" s="205" t="e">
        <f t="shared" ref="R684:R747" si="145">IF(H684="ALLUMINIO",0,IF(L684&lt;5%,"si",0))</f>
        <v>#N/A</v>
      </c>
      <c r="S684" s="279" t="e">
        <f>IF(R684="si",0,IF(E684="si",0,IF(J684&gt;K684,0,+K684-J684)))+IF('calcolo base'!P2144="SI",('Commissioni De Angeli'!K684-'Commissioni De Angeli'!J684),0)</f>
        <v>#N/A</v>
      </c>
      <c r="T684" s="117" t="e">
        <f t="shared" ref="T684:T747" si="146">+(S684)*D684*40%</f>
        <v>#N/A</v>
      </c>
      <c r="U684" s="272" t="e">
        <f>IF(Q684=0,'calcolo base'!L3283,(T684+Q684))</f>
        <v>#N/A</v>
      </c>
      <c r="V684" s="119"/>
    </row>
    <row r="685" spans="2:22">
      <c r="B685" s="47"/>
      <c r="C685" s="35"/>
      <c r="D685" s="53"/>
      <c r="E685" s="53"/>
      <c r="F685" s="48"/>
      <c r="G685" s="243" t="e">
        <f>INDEX('calcolo base'!$B:$B, MATCH($A685, 'calcolo base'!$A:$A, 0))</f>
        <v>#N/A</v>
      </c>
      <c r="H685" s="54" t="e">
        <f t="shared" si="138"/>
        <v>#N/A</v>
      </c>
      <c r="I685" s="259" t="e">
        <f>IF(  OR(      INDEX('calcolo base'!$D:$D, MATCH($A685, 'calcolo base'!$A:$A, 0)) = 0,
      INDEX('calcolo base'!$D:$D, MATCH($A685, 'calcolo base'!$A:$A, 0)) = ""   ),
   INDEX('calcolo base'!$K:$K, MATCH($A685, 'calcolo base'!$A:$A, 0)),
   INDEX('calcolo base'!$J:$J, MATCH($A685, 'calcolo base'!$A:$A, 0))
) / 1000</f>
        <v>#N/A</v>
      </c>
      <c r="J685" s="50" t="e">
        <f t="shared" si="139"/>
        <v>#N/A</v>
      </c>
      <c r="K685" s="50"/>
      <c r="L685" s="267" t="e">
        <f>INDEX('calcolo base'!$H:$H, MATCH($A685, 'calcolo base'!$A:$A, 0))</f>
        <v>#N/A</v>
      </c>
      <c r="M685" s="50" t="e">
        <f t="shared" si="140"/>
        <v>#N/A</v>
      </c>
      <c r="N685" s="50" t="e">
        <f t="shared" si="141"/>
        <v>#N/A</v>
      </c>
      <c r="O685" s="50" t="e">
        <f t="shared" si="142"/>
        <v>#N/A</v>
      </c>
      <c r="P685" s="50" t="e">
        <f t="shared" si="143"/>
        <v>#N/A</v>
      </c>
      <c r="Q685" s="51" t="e">
        <f t="shared" si="144"/>
        <v>#N/A</v>
      </c>
      <c r="R685" s="205" t="e">
        <f t="shared" si="145"/>
        <v>#N/A</v>
      </c>
      <c r="S685" s="279" t="e">
        <f>IF(R685="si",0,IF(E685="si",0,IF(J685&gt;K685,0,+K685-J685)))+IF('calcolo base'!P2145="SI",('Commissioni De Angeli'!K685-'Commissioni De Angeli'!J685),0)</f>
        <v>#N/A</v>
      </c>
      <c r="T685" s="117" t="e">
        <f t="shared" si="146"/>
        <v>#N/A</v>
      </c>
      <c r="U685" s="272" t="e">
        <f>IF(Q685=0,'calcolo base'!L3284,(T685+Q685))</f>
        <v>#N/A</v>
      </c>
      <c r="V685" s="119"/>
    </row>
    <row r="686" spans="2:22">
      <c r="B686" s="47"/>
      <c r="C686" s="35"/>
      <c r="D686" s="53"/>
      <c r="E686" s="53"/>
      <c r="F686" s="48"/>
      <c r="G686" s="243" t="e">
        <f>INDEX('calcolo base'!$B:$B, MATCH($A686, 'calcolo base'!$A:$A, 0))</f>
        <v>#N/A</v>
      </c>
      <c r="H686" s="54" t="e">
        <f t="shared" si="138"/>
        <v>#N/A</v>
      </c>
      <c r="I686" s="259" t="e">
        <f>IF(  OR(      INDEX('calcolo base'!$D:$D, MATCH($A686, 'calcolo base'!$A:$A, 0)) = 0,
      INDEX('calcolo base'!$D:$D, MATCH($A686, 'calcolo base'!$A:$A, 0)) = ""   ),
   INDEX('calcolo base'!$K:$K, MATCH($A686, 'calcolo base'!$A:$A, 0)),
   INDEX('calcolo base'!$J:$J, MATCH($A686, 'calcolo base'!$A:$A, 0))
) / 1000</f>
        <v>#N/A</v>
      </c>
      <c r="J686" s="50" t="e">
        <f t="shared" si="139"/>
        <v>#N/A</v>
      </c>
      <c r="K686" s="50"/>
      <c r="L686" s="267" t="e">
        <f>INDEX('calcolo base'!$H:$H, MATCH($A686, 'calcolo base'!$A:$A, 0))</f>
        <v>#N/A</v>
      </c>
      <c r="M686" s="50" t="e">
        <f t="shared" si="140"/>
        <v>#N/A</v>
      </c>
      <c r="N686" s="50" t="e">
        <f t="shared" si="141"/>
        <v>#N/A</v>
      </c>
      <c r="O686" s="50" t="e">
        <f t="shared" si="142"/>
        <v>#N/A</v>
      </c>
      <c r="P686" s="50" t="e">
        <f t="shared" si="143"/>
        <v>#N/A</v>
      </c>
      <c r="Q686" s="51" t="e">
        <f t="shared" si="144"/>
        <v>#N/A</v>
      </c>
      <c r="R686" s="205" t="e">
        <f t="shared" si="145"/>
        <v>#N/A</v>
      </c>
      <c r="S686" s="279" t="e">
        <f>IF(R686="si",0,IF(E686="si",0,IF(J686&gt;K686,0,+K686-J686)))+IF('calcolo base'!P2146="SI",('Commissioni De Angeli'!K686-'Commissioni De Angeli'!J686),0)</f>
        <v>#N/A</v>
      </c>
      <c r="T686" s="117" t="e">
        <f t="shared" si="146"/>
        <v>#N/A</v>
      </c>
      <c r="U686" s="272" t="e">
        <f>IF(Q686=0,'calcolo base'!L3285,(T686+Q686))</f>
        <v>#N/A</v>
      </c>
      <c r="V686" s="119"/>
    </row>
    <row r="687" spans="2:22">
      <c r="B687" s="47"/>
      <c r="C687" s="35"/>
      <c r="D687" s="53"/>
      <c r="E687" s="53"/>
      <c r="F687" s="48"/>
      <c r="G687" s="243" t="e">
        <f>INDEX('calcolo base'!$B:$B, MATCH($A687, 'calcolo base'!$A:$A, 0))</f>
        <v>#N/A</v>
      </c>
      <c r="H687" s="54" t="e">
        <f t="shared" si="138"/>
        <v>#N/A</v>
      </c>
      <c r="I687" s="259" t="e">
        <f>IF(  OR(      INDEX('calcolo base'!$D:$D, MATCH($A687, 'calcolo base'!$A:$A, 0)) = 0,
      INDEX('calcolo base'!$D:$D, MATCH($A687, 'calcolo base'!$A:$A, 0)) = ""   ),
   INDEX('calcolo base'!$K:$K, MATCH($A687, 'calcolo base'!$A:$A, 0)),
   INDEX('calcolo base'!$J:$J, MATCH($A687, 'calcolo base'!$A:$A, 0))
) / 1000</f>
        <v>#N/A</v>
      </c>
      <c r="J687" s="50" t="e">
        <f t="shared" si="139"/>
        <v>#N/A</v>
      </c>
      <c r="K687" s="50"/>
      <c r="L687" s="267" t="e">
        <f>INDEX('calcolo base'!$H:$H, MATCH($A687, 'calcolo base'!$A:$A, 0))</f>
        <v>#N/A</v>
      </c>
      <c r="M687" s="50" t="e">
        <f t="shared" si="140"/>
        <v>#N/A</v>
      </c>
      <c r="N687" s="50" t="e">
        <f t="shared" si="141"/>
        <v>#N/A</v>
      </c>
      <c r="O687" s="50" t="e">
        <f t="shared" si="142"/>
        <v>#N/A</v>
      </c>
      <c r="P687" s="50" t="e">
        <f t="shared" si="143"/>
        <v>#N/A</v>
      </c>
      <c r="Q687" s="51" t="e">
        <f t="shared" si="144"/>
        <v>#N/A</v>
      </c>
      <c r="R687" s="205" t="e">
        <f t="shared" si="145"/>
        <v>#N/A</v>
      </c>
      <c r="S687" s="279" t="e">
        <f>IF(R687="si",0,IF(E687="si",0,IF(J687&gt;K687,0,+K687-J687)))+IF('calcolo base'!P2147="SI",('Commissioni De Angeli'!K687-'Commissioni De Angeli'!J687),0)</f>
        <v>#N/A</v>
      </c>
      <c r="T687" s="117" t="e">
        <f t="shared" si="146"/>
        <v>#N/A</v>
      </c>
      <c r="U687" s="272" t="e">
        <f>IF(Q687=0,'calcolo base'!L3286,(T687+Q687))</f>
        <v>#N/A</v>
      </c>
      <c r="V687" s="119"/>
    </row>
    <row r="688" spans="2:22">
      <c r="B688" s="47"/>
      <c r="C688" s="35"/>
      <c r="D688" s="53"/>
      <c r="E688" s="53"/>
      <c r="F688" s="48"/>
      <c r="G688" s="243" t="e">
        <f>INDEX('calcolo base'!$B:$B, MATCH($A688, 'calcolo base'!$A:$A, 0))</f>
        <v>#N/A</v>
      </c>
      <c r="H688" s="54" t="e">
        <f t="shared" si="138"/>
        <v>#N/A</v>
      </c>
      <c r="I688" s="259" t="e">
        <f>IF(  OR(      INDEX('calcolo base'!$D:$D, MATCH($A688, 'calcolo base'!$A:$A, 0)) = 0,
      INDEX('calcolo base'!$D:$D, MATCH($A688, 'calcolo base'!$A:$A, 0)) = ""   ),
   INDEX('calcolo base'!$K:$K, MATCH($A688, 'calcolo base'!$A:$A, 0)),
   INDEX('calcolo base'!$J:$J, MATCH($A688, 'calcolo base'!$A:$A, 0))
) / 1000</f>
        <v>#N/A</v>
      </c>
      <c r="J688" s="50" t="e">
        <f t="shared" si="139"/>
        <v>#N/A</v>
      </c>
      <c r="K688" s="50"/>
      <c r="L688" s="267" t="e">
        <f>INDEX('calcolo base'!$H:$H, MATCH($A688, 'calcolo base'!$A:$A, 0))</f>
        <v>#N/A</v>
      </c>
      <c r="M688" s="50" t="e">
        <f t="shared" si="140"/>
        <v>#N/A</v>
      </c>
      <c r="N688" s="50" t="e">
        <f t="shared" si="141"/>
        <v>#N/A</v>
      </c>
      <c r="O688" s="50" t="e">
        <f t="shared" si="142"/>
        <v>#N/A</v>
      </c>
      <c r="P688" s="50" t="e">
        <f t="shared" si="143"/>
        <v>#N/A</v>
      </c>
      <c r="Q688" s="51" t="e">
        <f t="shared" si="144"/>
        <v>#N/A</v>
      </c>
      <c r="R688" s="205" t="e">
        <f t="shared" si="145"/>
        <v>#N/A</v>
      </c>
      <c r="S688" s="279" t="e">
        <f>IF(R688="si",0,IF(E688="si",0,IF(J688&gt;K688,0,+K688-J688)))+IF('calcolo base'!P2148="SI",('Commissioni De Angeli'!K688-'Commissioni De Angeli'!J688),0)</f>
        <v>#N/A</v>
      </c>
      <c r="T688" s="117" t="e">
        <f t="shared" si="146"/>
        <v>#N/A</v>
      </c>
      <c r="U688" s="272" t="e">
        <f>IF(Q688=0,'calcolo base'!L3287,(T688+Q688))</f>
        <v>#N/A</v>
      </c>
      <c r="V688" s="119"/>
    </row>
    <row r="689" spans="2:22">
      <c r="B689" s="47"/>
      <c r="C689" s="35"/>
      <c r="D689" s="53"/>
      <c r="E689" s="53"/>
      <c r="F689" s="48"/>
      <c r="G689" s="243" t="e">
        <f>INDEX('calcolo base'!$B:$B, MATCH($A689, 'calcolo base'!$A:$A, 0))</f>
        <v>#N/A</v>
      </c>
      <c r="H689" s="54" t="e">
        <f t="shared" si="138"/>
        <v>#N/A</v>
      </c>
      <c r="I689" s="259" t="e">
        <f>IF(  OR(      INDEX('calcolo base'!$D:$D, MATCH($A689, 'calcolo base'!$A:$A, 0)) = 0,
      INDEX('calcolo base'!$D:$D, MATCH($A689, 'calcolo base'!$A:$A, 0)) = ""   ),
   INDEX('calcolo base'!$K:$K, MATCH($A689, 'calcolo base'!$A:$A, 0)),
   INDEX('calcolo base'!$J:$J, MATCH($A689, 'calcolo base'!$A:$A, 0))
) / 1000</f>
        <v>#N/A</v>
      </c>
      <c r="J689" s="50" t="e">
        <f t="shared" si="139"/>
        <v>#N/A</v>
      </c>
      <c r="K689" s="50"/>
      <c r="L689" s="267" t="e">
        <f>INDEX('calcolo base'!$H:$H, MATCH($A689, 'calcolo base'!$A:$A, 0))</f>
        <v>#N/A</v>
      </c>
      <c r="M689" s="50" t="e">
        <f t="shared" si="140"/>
        <v>#N/A</v>
      </c>
      <c r="N689" s="50" t="e">
        <f t="shared" si="141"/>
        <v>#N/A</v>
      </c>
      <c r="O689" s="50" t="e">
        <f t="shared" si="142"/>
        <v>#N/A</v>
      </c>
      <c r="P689" s="50" t="e">
        <f t="shared" si="143"/>
        <v>#N/A</v>
      </c>
      <c r="Q689" s="51" t="e">
        <f t="shared" si="144"/>
        <v>#N/A</v>
      </c>
      <c r="R689" s="205" t="e">
        <f t="shared" si="145"/>
        <v>#N/A</v>
      </c>
      <c r="S689" s="279" t="e">
        <f>IF(R689="si",0,IF(E689="si",0,IF(J689&gt;K689,0,+K689-J689)))+IF('calcolo base'!P2149="SI",('Commissioni De Angeli'!K689-'Commissioni De Angeli'!J689),0)</f>
        <v>#N/A</v>
      </c>
      <c r="T689" s="117" t="e">
        <f t="shared" si="146"/>
        <v>#N/A</v>
      </c>
      <c r="U689" s="272" t="e">
        <f>IF(Q689=0,'calcolo base'!L3288,(T689+Q689))</f>
        <v>#N/A</v>
      </c>
      <c r="V689" s="119"/>
    </row>
    <row r="690" spans="2:22">
      <c r="B690" s="47"/>
      <c r="C690" s="35"/>
      <c r="D690" s="53"/>
      <c r="E690" s="53"/>
      <c r="F690" s="48"/>
      <c r="G690" s="243" t="e">
        <f>INDEX('calcolo base'!$B:$B, MATCH($A690, 'calcolo base'!$A:$A, 0))</f>
        <v>#N/A</v>
      </c>
      <c r="H690" s="54" t="e">
        <f t="shared" si="138"/>
        <v>#N/A</v>
      </c>
      <c r="I690" s="259" t="e">
        <f>IF(  OR(      INDEX('calcolo base'!$D:$D, MATCH($A690, 'calcolo base'!$A:$A, 0)) = 0,
      INDEX('calcolo base'!$D:$D, MATCH($A690, 'calcolo base'!$A:$A, 0)) = ""   ),
   INDEX('calcolo base'!$K:$K, MATCH($A690, 'calcolo base'!$A:$A, 0)),
   INDEX('calcolo base'!$J:$J, MATCH($A690, 'calcolo base'!$A:$A, 0))
) / 1000</f>
        <v>#N/A</v>
      </c>
      <c r="J690" s="50" t="e">
        <f t="shared" si="139"/>
        <v>#N/A</v>
      </c>
      <c r="K690" s="50"/>
      <c r="L690" s="267" t="e">
        <f>INDEX('calcolo base'!$H:$H, MATCH($A690, 'calcolo base'!$A:$A, 0))</f>
        <v>#N/A</v>
      </c>
      <c r="M690" s="50" t="e">
        <f t="shared" si="140"/>
        <v>#N/A</v>
      </c>
      <c r="N690" s="50" t="e">
        <f t="shared" si="141"/>
        <v>#N/A</v>
      </c>
      <c r="O690" s="50" t="e">
        <f t="shared" si="142"/>
        <v>#N/A</v>
      </c>
      <c r="P690" s="50" t="e">
        <f t="shared" si="143"/>
        <v>#N/A</v>
      </c>
      <c r="Q690" s="51" t="e">
        <f t="shared" si="144"/>
        <v>#N/A</v>
      </c>
      <c r="R690" s="205" t="e">
        <f t="shared" si="145"/>
        <v>#N/A</v>
      </c>
      <c r="S690" s="279" t="e">
        <f>IF(R690="si",0,IF(E690="si",0,IF(J690&gt;K690,0,+K690-J690)))+IF('calcolo base'!P2150="SI",('Commissioni De Angeli'!K690-'Commissioni De Angeli'!J690),0)</f>
        <v>#N/A</v>
      </c>
      <c r="T690" s="117" t="e">
        <f t="shared" si="146"/>
        <v>#N/A</v>
      </c>
      <c r="U690" s="272" t="e">
        <f>IF(Q690=0,'calcolo base'!L3289,(T690+Q690))</f>
        <v>#N/A</v>
      </c>
      <c r="V690" s="119"/>
    </row>
    <row r="691" spans="2:22">
      <c r="B691" s="47"/>
      <c r="C691" s="35"/>
      <c r="D691" s="53"/>
      <c r="E691" s="53"/>
      <c r="F691" s="48"/>
      <c r="G691" s="243" t="e">
        <f>INDEX('calcolo base'!$B:$B, MATCH($A691, 'calcolo base'!$A:$A, 0))</f>
        <v>#N/A</v>
      </c>
      <c r="H691" s="54" t="e">
        <f t="shared" si="138"/>
        <v>#N/A</v>
      </c>
      <c r="I691" s="259" t="e">
        <f>IF(  OR(      INDEX('calcolo base'!$D:$D, MATCH($A691, 'calcolo base'!$A:$A, 0)) = 0,
      INDEX('calcolo base'!$D:$D, MATCH($A691, 'calcolo base'!$A:$A, 0)) = ""   ),
   INDEX('calcolo base'!$K:$K, MATCH($A691, 'calcolo base'!$A:$A, 0)),
   INDEX('calcolo base'!$J:$J, MATCH($A691, 'calcolo base'!$A:$A, 0))
) / 1000</f>
        <v>#N/A</v>
      </c>
      <c r="J691" s="50" t="e">
        <f t="shared" si="139"/>
        <v>#N/A</v>
      </c>
      <c r="K691" s="50"/>
      <c r="L691" s="267" t="e">
        <f>INDEX('calcolo base'!$H:$H, MATCH($A691, 'calcolo base'!$A:$A, 0))</f>
        <v>#N/A</v>
      </c>
      <c r="M691" s="50" t="e">
        <f t="shared" si="140"/>
        <v>#N/A</v>
      </c>
      <c r="N691" s="50" t="e">
        <f t="shared" si="141"/>
        <v>#N/A</v>
      </c>
      <c r="O691" s="50" t="e">
        <f t="shared" si="142"/>
        <v>#N/A</v>
      </c>
      <c r="P691" s="50" t="e">
        <f t="shared" si="143"/>
        <v>#N/A</v>
      </c>
      <c r="Q691" s="51" t="e">
        <f t="shared" si="144"/>
        <v>#N/A</v>
      </c>
      <c r="R691" s="205" t="e">
        <f t="shared" si="145"/>
        <v>#N/A</v>
      </c>
      <c r="S691" s="279" t="e">
        <f>IF(R691="si",0,IF(E691="si",0,IF(J691&gt;K691,0,+K691-J691)))+IF('calcolo base'!P2151="SI",('Commissioni De Angeli'!K691-'Commissioni De Angeli'!J691),0)</f>
        <v>#N/A</v>
      </c>
      <c r="T691" s="117" t="e">
        <f t="shared" si="146"/>
        <v>#N/A</v>
      </c>
      <c r="U691" s="272" t="e">
        <f>IF(Q691=0,'calcolo base'!L3290,(T691+Q691))</f>
        <v>#N/A</v>
      </c>
      <c r="V691" s="119"/>
    </row>
    <row r="692" spans="2:22">
      <c r="B692" s="47"/>
      <c r="C692" s="35"/>
      <c r="D692" s="53"/>
      <c r="E692" s="53"/>
      <c r="F692" s="48"/>
      <c r="G692" s="243" t="e">
        <f>INDEX('calcolo base'!$B:$B, MATCH($A692, 'calcolo base'!$A:$A, 0))</f>
        <v>#N/A</v>
      </c>
      <c r="H692" s="54" t="e">
        <f t="shared" si="138"/>
        <v>#N/A</v>
      </c>
      <c r="I692" s="259" t="e">
        <f>IF(  OR(      INDEX('calcolo base'!$D:$D, MATCH($A692, 'calcolo base'!$A:$A, 0)) = 0,
      INDEX('calcolo base'!$D:$D, MATCH($A692, 'calcolo base'!$A:$A, 0)) = ""   ),
   INDEX('calcolo base'!$K:$K, MATCH($A692, 'calcolo base'!$A:$A, 0)),
   INDEX('calcolo base'!$J:$J, MATCH($A692, 'calcolo base'!$A:$A, 0))
) / 1000</f>
        <v>#N/A</v>
      </c>
      <c r="J692" s="50" t="e">
        <f t="shared" si="139"/>
        <v>#N/A</v>
      </c>
      <c r="K692" s="50"/>
      <c r="L692" s="267" t="e">
        <f>INDEX('calcolo base'!$H:$H, MATCH($A692, 'calcolo base'!$A:$A, 0))</f>
        <v>#N/A</v>
      </c>
      <c r="M692" s="50" t="e">
        <f t="shared" si="140"/>
        <v>#N/A</v>
      </c>
      <c r="N692" s="50" t="e">
        <f t="shared" si="141"/>
        <v>#N/A</v>
      </c>
      <c r="O692" s="50" t="e">
        <f t="shared" si="142"/>
        <v>#N/A</v>
      </c>
      <c r="P692" s="50" t="e">
        <f t="shared" si="143"/>
        <v>#N/A</v>
      </c>
      <c r="Q692" s="51" t="e">
        <f t="shared" si="144"/>
        <v>#N/A</v>
      </c>
      <c r="R692" s="205" t="e">
        <f t="shared" si="145"/>
        <v>#N/A</v>
      </c>
      <c r="S692" s="279" t="e">
        <f>IF(R692="si",0,IF(E692="si",0,IF(J692&gt;K692,0,+K692-J692)))+IF('calcolo base'!P2152="SI",('Commissioni De Angeli'!K692-'Commissioni De Angeli'!J692),0)</f>
        <v>#N/A</v>
      </c>
      <c r="T692" s="117" t="e">
        <f t="shared" si="146"/>
        <v>#N/A</v>
      </c>
      <c r="U692" s="272" t="e">
        <f>IF(Q692=0,'calcolo base'!L3291,(T692+Q692))</f>
        <v>#N/A</v>
      </c>
      <c r="V692" s="119"/>
    </row>
    <row r="693" spans="2:22">
      <c r="B693" s="47"/>
      <c r="C693" s="35"/>
      <c r="D693" s="53"/>
      <c r="E693" s="53"/>
      <c r="F693" s="48"/>
      <c r="G693" s="243" t="e">
        <f>INDEX('calcolo base'!$B:$B, MATCH($A693, 'calcolo base'!$A:$A, 0))</f>
        <v>#N/A</v>
      </c>
      <c r="H693" s="54" t="e">
        <f t="shared" si="138"/>
        <v>#N/A</v>
      </c>
      <c r="I693" s="259" t="e">
        <f>IF(  OR(      INDEX('calcolo base'!$D:$D, MATCH($A693, 'calcolo base'!$A:$A, 0)) = 0,
      INDEX('calcolo base'!$D:$D, MATCH($A693, 'calcolo base'!$A:$A, 0)) = ""   ),
   INDEX('calcolo base'!$K:$K, MATCH($A693, 'calcolo base'!$A:$A, 0)),
   INDEX('calcolo base'!$J:$J, MATCH($A693, 'calcolo base'!$A:$A, 0))
) / 1000</f>
        <v>#N/A</v>
      </c>
      <c r="J693" s="50" t="e">
        <f t="shared" si="139"/>
        <v>#N/A</v>
      </c>
      <c r="K693" s="50"/>
      <c r="L693" s="267" t="e">
        <f>INDEX('calcolo base'!$H:$H, MATCH($A693, 'calcolo base'!$A:$A, 0))</f>
        <v>#N/A</v>
      </c>
      <c r="M693" s="50" t="e">
        <f t="shared" si="140"/>
        <v>#N/A</v>
      </c>
      <c r="N693" s="50" t="e">
        <f t="shared" si="141"/>
        <v>#N/A</v>
      </c>
      <c r="O693" s="50" t="e">
        <f t="shared" si="142"/>
        <v>#N/A</v>
      </c>
      <c r="P693" s="50" t="e">
        <f t="shared" si="143"/>
        <v>#N/A</v>
      </c>
      <c r="Q693" s="51" t="e">
        <f t="shared" si="144"/>
        <v>#N/A</v>
      </c>
      <c r="R693" s="205" t="e">
        <f t="shared" si="145"/>
        <v>#N/A</v>
      </c>
      <c r="S693" s="279" t="e">
        <f>IF(R693="si",0,IF(E693="si",0,IF(J693&gt;K693,0,+K693-J693)))+IF('calcolo base'!P2153="SI",('Commissioni De Angeli'!K693-'Commissioni De Angeli'!J693),0)</f>
        <v>#N/A</v>
      </c>
      <c r="T693" s="117" t="e">
        <f t="shared" si="146"/>
        <v>#N/A</v>
      </c>
      <c r="U693" s="272" t="e">
        <f>IF(Q693=0,'calcolo base'!L3292,(T693+Q693))</f>
        <v>#N/A</v>
      </c>
      <c r="V693" s="119"/>
    </row>
    <row r="694" spans="2:22">
      <c r="B694" s="47"/>
      <c r="C694" s="35"/>
      <c r="D694" s="53"/>
      <c r="E694" s="53"/>
      <c r="F694" s="48"/>
      <c r="G694" s="243" t="e">
        <f>INDEX('calcolo base'!$B:$B, MATCH($A694, 'calcolo base'!$A:$A, 0))</f>
        <v>#N/A</v>
      </c>
      <c r="H694" s="54" t="e">
        <f t="shared" si="138"/>
        <v>#N/A</v>
      </c>
      <c r="I694" s="259" t="e">
        <f>IF(  OR(      INDEX('calcolo base'!$D:$D, MATCH($A694, 'calcolo base'!$A:$A, 0)) = 0,
      INDEX('calcolo base'!$D:$D, MATCH($A694, 'calcolo base'!$A:$A, 0)) = ""   ),
   INDEX('calcolo base'!$K:$K, MATCH($A694, 'calcolo base'!$A:$A, 0)),
   INDEX('calcolo base'!$J:$J, MATCH($A694, 'calcolo base'!$A:$A, 0))
) / 1000</f>
        <v>#N/A</v>
      </c>
      <c r="J694" s="50" t="e">
        <f t="shared" si="139"/>
        <v>#N/A</v>
      </c>
      <c r="K694" s="50"/>
      <c r="L694" s="267" t="e">
        <f>INDEX('calcolo base'!$H:$H, MATCH($A694, 'calcolo base'!$A:$A, 0))</f>
        <v>#N/A</v>
      </c>
      <c r="M694" s="50" t="e">
        <f t="shared" si="140"/>
        <v>#N/A</v>
      </c>
      <c r="N694" s="50" t="e">
        <f t="shared" si="141"/>
        <v>#N/A</v>
      </c>
      <c r="O694" s="50" t="e">
        <f t="shared" si="142"/>
        <v>#N/A</v>
      </c>
      <c r="P694" s="50" t="e">
        <f t="shared" si="143"/>
        <v>#N/A</v>
      </c>
      <c r="Q694" s="51" t="e">
        <f t="shared" si="144"/>
        <v>#N/A</v>
      </c>
      <c r="R694" s="205" t="e">
        <f t="shared" si="145"/>
        <v>#N/A</v>
      </c>
      <c r="S694" s="279" t="e">
        <f>IF(R694="si",0,IF(E694="si",0,IF(J694&gt;K694,0,+K694-J694)))+IF('calcolo base'!P2154="SI",('Commissioni De Angeli'!K694-'Commissioni De Angeli'!J694),0)</f>
        <v>#N/A</v>
      </c>
      <c r="T694" s="117" t="e">
        <f t="shared" si="146"/>
        <v>#N/A</v>
      </c>
      <c r="U694" s="272" t="e">
        <f>IF(Q694=0,'calcolo base'!L3293,(T694+Q694))</f>
        <v>#N/A</v>
      </c>
      <c r="V694" s="119"/>
    </row>
    <row r="695" spans="2:22">
      <c r="B695" s="47"/>
      <c r="C695" s="35"/>
      <c r="D695" s="53"/>
      <c r="E695" s="53"/>
      <c r="F695" s="48"/>
      <c r="G695" s="243" t="e">
        <f>INDEX('calcolo base'!$B:$B, MATCH($A695, 'calcolo base'!$A:$A, 0))</f>
        <v>#N/A</v>
      </c>
      <c r="H695" s="54" t="e">
        <f t="shared" si="138"/>
        <v>#N/A</v>
      </c>
      <c r="I695" s="259" t="e">
        <f>IF(  OR(      INDEX('calcolo base'!$D:$D, MATCH($A695, 'calcolo base'!$A:$A, 0)) = 0,
      INDEX('calcolo base'!$D:$D, MATCH($A695, 'calcolo base'!$A:$A, 0)) = ""   ),
   INDEX('calcolo base'!$K:$K, MATCH($A695, 'calcolo base'!$A:$A, 0)),
   INDEX('calcolo base'!$J:$J, MATCH($A695, 'calcolo base'!$A:$A, 0))
) / 1000</f>
        <v>#N/A</v>
      </c>
      <c r="J695" s="50" t="e">
        <f t="shared" si="139"/>
        <v>#N/A</v>
      </c>
      <c r="K695" s="50"/>
      <c r="L695" s="267" t="e">
        <f>INDEX('calcolo base'!$H:$H, MATCH($A695, 'calcolo base'!$A:$A, 0))</f>
        <v>#N/A</v>
      </c>
      <c r="M695" s="50" t="e">
        <f t="shared" si="140"/>
        <v>#N/A</v>
      </c>
      <c r="N695" s="50" t="e">
        <f t="shared" si="141"/>
        <v>#N/A</v>
      </c>
      <c r="O695" s="50" t="e">
        <f t="shared" si="142"/>
        <v>#N/A</v>
      </c>
      <c r="P695" s="50" t="e">
        <f t="shared" si="143"/>
        <v>#N/A</v>
      </c>
      <c r="Q695" s="51" t="e">
        <f t="shared" si="144"/>
        <v>#N/A</v>
      </c>
      <c r="R695" s="205" t="e">
        <f t="shared" si="145"/>
        <v>#N/A</v>
      </c>
      <c r="S695" s="279" t="e">
        <f>IF(R695="si",0,IF(E695="si",0,IF(J695&gt;K695,0,+K695-J695)))+IF('calcolo base'!P2155="SI",('Commissioni De Angeli'!K695-'Commissioni De Angeli'!J695),0)</f>
        <v>#N/A</v>
      </c>
      <c r="T695" s="117" t="e">
        <f t="shared" si="146"/>
        <v>#N/A</v>
      </c>
      <c r="U695" s="272" t="e">
        <f>IF(Q695=0,'calcolo base'!L3294,(T695+Q695))</f>
        <v>#N/A</v>
      </c>
      <c r="V695" s="119"/>
    </row>
    <row r="696" spans="2:22">
      <c r="B696" s="47"/>
      <c r="C696" s="35"/>
      <c r="D696" s="53"/>
      <c r="E696" s="53"/>
      <c r="F696" s="48"/>
      <c r="G696" s="243" t="e">
        <f>INDEX('calcolo base'!$B:$B, MATCH($A696, 'calcolo base'!$A:$A, 0))</f>
        <v>#N/A</v>
      </c>
      <c r="H696" s="54" t="e">
        <f t="shared" si="138"/>
        <v>#N/A</v>
      </c>
      <c r="I696" s="259" t="e">
        <f>IF(  OR(      INDEX('calcolo base'!$D:$D, MATCH($A696, 'calcolo base'!$A:$A, 0)) = 0,
      INDEX('calcolo base'!$D:$D, MATCH($A696, 'calcolo base'!$A:$A, 0)) = ""   ),
   INDEX('calcolo base'!$K:$K, MATCH($A696, 'calcolo base'!$A:$A, 0)),
   INDEX('calcolo base'!$J:$J, MATCH($A696, 'calcolo base'!$A:$A, 0))
) / 1000</f>
        <v>#N/A</v>
      </c>
      <c r="J696" s="50" t="e">
        <f t="shared" si="139"/>
        <v>#N/A</v>
      </c>
      <c r="K696" s="50"/>
      <c r="L696" s="267" t="e">
        <f>INDEX('calcolo base'!$H:$H, MATCH($A696, 'calcolo base'!$A:$A, 0))</f>
        <v>#N/A</v>
      </c>
      <c r="M696" s="50" t="e">
        <f t="shared" si="140"/>
        <v>#N/A</v>
      </c>
      <c r="N696" s="50" t="e">
        <f t="shared" si="141"/>
        <v>#N/A</v>
      </c>
      <c r="O696" s="50" t="e">
        <f t="shared" si="142"/>
        <v>#N/A</v>
      </c>
      <c r="P696" s="50" t="e">
        <f t="shared" si="143"/>
        <v>#N/A</v>
      </c>
      <c r="Q696" s="51" t="e">
        <f t="shared" si="144"/>
        <v>#N/A</v>
      </c>
      <c r="R696" s="205" t="e">
        <f t="shared" si="145"/>
        <v>#N/A</v>
      </c>
      <c r="S696" s="279" t="e">
        <f>IF(R696="si",0,IF(E696="si",0,IF(J696&gt;K696,0,+K696-J696)))+IF('calcolo base'!P2156="SI",('Commissioni De Angeli'!K696-'Commissioni De Angeli'!J696),0)</f>
        <v>#N/A</v>
      </c>
      <c r="T696" s="117" t="e">
        <f t="shared" si="146"/>
        <v>#N/A</v>
      </c>
      <c r="U696" s="272" t="e">
        <f>IF(Q696=0,'calcolo base'!L3295,(T696+Q696))</f>
        <v>#N/A</v>
      </c>
      <c r="V696" s="119"/>
    </row>
    <row r="697" spans="2:22">
      <c r="B697" s="47"/>
      <c r="C697" s="35"/>
      <c r="D697" s="53"/>
      <c r="E697" s="53"/>
      <c r="F697" s="48"/>
      <c r="G697" s="243" t="e">
        <f>INDEX('calcolo base'!$B:$B, MATCH($A697, 'calcolo base'!$A:$A, 0))</f>
        <v>#N/A</v>
      </c>
      <c r="H697" s="54" t="e">
        <f t="shared" si="138"/>
        <v>#N/A</v>
      </c>
      <c r="I697" s="259" t="e">
        <f>IF(  OR(      INDEX('calcolo base'!$D:$D, MATCH($A697, 'calcolo base'!$A:$A, 0)) = 0,
      INDEX('calcolo base'!$D:$D, MATCH($A697, 'calcolo base'!$A:$A, 0)) = ""   ),
   INDEX('calcolo base'!$K:$K, MATCH($A697, 'calcolo base'!$A:$A, 0)),
   INDEX('calcolo base'!$J:$J, MATCH($A697, 'calcolo base'!$A:$A, 0))
) / 1000</f>
        <v>#N/A</v>
      </c>
      <c r="J697" s="50" t="e">
        <f t="shared" si="139"/>
        <v>#N/A</v>
      </c>
      <c r="K697" s="50"/>
      <c r="L697" s="267" t="e">
        <f>INDEX('calcolo base'!$H:$H, MATCH($A697, 'calcolo base'!$A:$A, 0))</f>
        <v>#N/A</v>
      </c>
      <c r="M697" s="50" t="e">
        <f t="shared" si="140"/>
        <v>#N/A</v>
      </c>
      <c r="N697" s="50" t="e">
        <f t="shared" si="141"/>
        <v>#N/A</v>
      </c>
      <c r="O697" s="50" t="e">
        <f t="shared" si="142"/>
        <v>#N/A</v>
      </c>
      <c r="P697" s="50" t="e">
        <f t="shared" si="143"/>
        <v>#N/A</v>
      </c>
      <c r="Q697" s="51" t="e">
        <f t="shared" si="144"/>
        <v>#N/A</v>
      </c>
      <c r="R697" s="205" t="e">
        <f t="shared" si="145"/>
        <v>#N/A</v>
      </c>
      <c r="S697" s="279" t="e">
        <f>IF(R697="si",0,IF(E697="si",0,IF(J697&gt;K697,0,+K697-J697)))+IF('calcolo base'!P2157="SI",('Commissioni De Angeli'!K697-'Commissioni De Angeli'!J697),0)</f>
        <v>#N/A</v>
      </c>
      <c r="T697" s="117" t="e">
        <f t="shared" si="146"/>
        <v>#N/A</v>
      </c>
      <c r="U697" s="272" t="e">
        <f>IF(Q697=0,'calcolo base'!L3296,(T697+Q697))</f>
        <v>#N/A</v>
      </c>
      <c r="V697" s="119"/>
    </row>
    <row r="698" spans="2:22">
      <c r="B698" s="47"/>
      <c r="C698" s="35"/>
      <c r="D698" s="53"/>
      <c r="E698" s="53"/>
      <c r="F698" s="48"/>
      <c r="G698" s="243" t="e">
        <f>INDEX('calcolo base'!$B:$B, MATCH($A698, 'calcolo base'!$A:$A, 0))</f>
        <v>#N/A</v>
      </c>
      <c r="H698" s="54" t="e">
        <f t="shared" si="138"/>
        <v>#N/A</v>
      </c>
      <c r="I698" s="259" t="e">
        <f>IF(  OR(      INDEX('calcolo base'!$D:$D, MATCH($A698, 'calcolo base'!$A:$A, 0)) = 0,
      INDEX('calcolo base'!$D:$D, MATCH($A698, 'calcolo base'!$A:$A, 0)) = ""   ),
   INDEX('calcolo base'!$K:$K, MATCH($A698, 'calcolo base'!$A:$A, 0)),
   INDEX('calcolo base'!$J:$J, MATCH($A698, 'calcolo base'!$A:$A, 0))
) / 1000</f>
        <v>#N/A</v>
      </c>
      <c r="J698" s="50" t="e">
        <f t="shared" si="139"/>
        <v>#N/A</v>
      </c>
      <c r="K698" s="50"/>
      <c r="L698" s="267" t="e">
        <f>INDEX('calcolo base'!$H:$H, MATCH($A698, 'calcolo base'!$A:$A, 0))</f>
        <v>#N/A</v>
      </c>
      <c r="M698" s="50" t="e">
        <f t="shared" si="140"/>
        <v>#N/A</v>
      </c>
      <c r="N698" s="50" t="e">
        <f t="shared" si="141"/>
        <v>#N/A</v>
      </c>
      <c r="O698" s="50" t="e">
        <f t="shared" si="142"/>
        <v>#N/A</v>
      </c>
      <c r="P698" s="50" t="e">
        <f t="shared" si="143"/>
        <v>#N/A</v>
      </c>
      <c r="Q698" s="51" t="e">
        <f t="shared" si="144"/>
        <v>#N/A</v>
      </c>
      <c r="R698" s="205" t="e">
        <f t="shared" si="145"/>
        <v>#N/A</v>
      </c>
      <c r="S698" s="279" t="e">
        <f>IF(R698="si",0,IF(E698="si",0,IF(J698&gt;K698,0,+K698-J698)))+IF('calcolo base'!P2158="SI",('Commissioni De Angeli'!K698-'Commissioni De Angeli'!J698),0)</f>
        <v>#N/A</v>
      </c>
      <c r="T698" s="117" t="e">
        <f t="shared" si="146"/>
        <v>#N/A</v>
      </c>
      <c r="U698" s="272" t="e">
        <f>IF(Q698=0,'calcolo base'!L3297,(T698+Q698))</f>
        <v>#N/A</v>
      </c>
      <c r="V698" s="119"/>
    </row>
    <row r="699" spans="2:22">
      <c r="B699" s="47"/>
      <c r="C699" s="35"/>
      <c r="D699" s="53"/>
      <c r="E699" s="53"/>
      <c r="F699" s="48"/>
      <c r="G699" s="243" t="e">
        <f>INDEX('calcolo base'!$B:$B, MATCH($A699, 'calcolo base'!$A:$A, 0))</f>
        <v>#N/A</v>
      </c>
      <c r="H699" s="54" t="e">
        <f t="shared" si="138"/>
        <v>#N/A</v>
      </c>
      <c r="I699" s="259" t="e">
        <f>IF(  OR(      INDEX('calcolo base'!$D:$D, MATCH($A699, 'calcolo base'!$A:$A, 0)) = 0,
      INDEX('calcolo base'!$D:$D, MATCH($A699, 'calcolo base'!$A:$A, 0)) = ""   ),
   INDEX('calcolo base'!$K:$K, MATCH($A699, 'calcolo base'!$A:$A, 0)),
   INDEX('calcolo base'!$J:$J, MATCH($A699, 'calcolo base'!$A:$A, 0))
) / 1000</f>
        <v>#N/A</v>
      </c>
      <c r="J699" s="50" t="e">
        <f t="shared" si="139"/>
        <v>#N/A</v>
      </c>
      <c r="K699" s="50"/>
      <c r="L699" s="267" t="e">
        <f>INDEX('calcolo base'!$H:$H, MATCH($A699, 'calcolo base'!$A:$A, 0))</f>
        <v>#N/A</v>
      </c>
      <c r="M699" s="50" t="e">
        <f t="shared" si="140"/>
        <v>#N/A</v>
      </c>
      <c r="N699" s="50" t="e">
        <f t="shared" si="141"/>
        <v>#N/A</v>
      </c>
      <c r="O699" s="50" t="e">
        <f t="shared" si="142"/>
        <v>#N/A</v>
      </c>
      <c r="P699" s="50" t="e">
        <f t="shared" si="143"/>
        <v>#N/A</v>
      </c>
      <c r="Q699" s="51" t="e">
        <f t="shared" si="144"/>
        <v>#N/A</v>
      </c>
      <c r="R699" s="205" t="e">
        <f t="shared" si="145"/>
        <v>#N/A</v>
      </c>
      <c r="S699" s="279" t="e">
        <f>IF(R699="si",0,IF(E699="si",0,IF(J699&gt;K699,0,+K699-J699)))+IF('calcolo base'!P2159="SI",('Commissioni De Angeli'!K699-'Commissioni De Angeli'!J699),0)</f>
        <v>#N/A</v>
      </c>
      <c r="T699" s="117" t="e">
        <f t="shared" si="146"/>
        <v>#N/A</v>
      </c>
      <c r="U699" s="272" t="e">
        <f>IF(Q699=0,'calcolo base'!L3298,(T699+Q699))</f>
        <v>#N/A</v>
      </c>
      <c r="V699" s="119"/>
    </row>
    <row r="700" spans="2:22">
      <c r="B700" s="47"/>
      <c r="C700" s="35"/>
      <c r="D700" s="53"/>
      <c r="E700" s="53"/>
      <c r="F700" s="48"/>
      <c r="G700" s="243" t="e">
        <f>INDEX('calcolo base'!$B:$B, MATCH($A700, 'calcolo base'!$A:$A, 0))</f>
        <v>#N/A</v>
      </c>
      <c r="H700" s="54" t="e">
        <f t="shared" si="138"/>
        <v>#N/A</v>
      </c>
      <c r="I700" s="259" t="e">
        <f>IF(  OR(      INDEX('calcolo base'!$D:$D, MATCH($A700, 'calcolo base'!$A:$A, 0)) = 0,
      INDEX('calcolo base'!$D:$D, MATCH($A700, 'calcolo base'!$A:$A, 0)) = ""   ),
   INDEX('calcolo base'!$K:$K, MATCH($A700, 'calcolo base'!$A:$A, 0)),
   INDEX('calcolo base'!$J:$J, MATCH($A700, 'calcolo base'!$A:$A, 0))
) / 1000</f>
        <v>#N/A</v>
      </c>
      <c r="J700" s="50" t="e">
        <f t="shared" si="139"/>
        <v>#N/A</v>
      </c>
      <c r="K700" s="50"/>
      <c r="L700" s="267" t="e">
        <f>INDEX('calcolo base'!$H:$H, MATCH($A700, 'calcolo base'!$A:$A, 0))</f>
        <v>#N/A</v>
      </c>
      <c r="M700" s="50" t="e">
        <f t="shared" si="140"/>
        <v>#N/A</v>
      </c>
      <c r="N700" s="50" t="e">
        <f t="shared" si="141"/>
        <v>#N/A</v>
      </c>
      <c r="O700" s="50" t="e">
        <f t="shared" si="142"/>
        <v>#N/A</v>
      </c>
      <c r="P700" s="50" t="e">
        <f t="shared" si="143"/>
        <v>#N/A</v>
      </c>
      <c r="Q700" s="51" t="e">
        <f t="shared" si="144"/>
        <v>#N/A</v>
      </c>
      <c r="R700" s="205" t="e">
        <f t="shared" si="145"/>
        <v>#N/A</v>
      </c>
      <c r="S700" s="279" t="e">
        <f>IF(R700="si",0,IF(E700="si",0,IF(J700&gt;K700,0,+K700-J700)))+IF('calcolo base'!P2160="SI",('Commissioni De Angeli'!K700-'Commissioni De Angeli'!J700),0)</f>
        <v>#N/A</v>
      </c>
      <c r="T700" s="117" t="e">
        <f t="shared" si="146"/>
        <v>#N/A</v>
      </c>
      <c r="U700" s="272" t="e">
        <f>IF(Q700=0,'calcolo base'!L3299,(T700+Q700))</f>
        <v>#N/A</v>
      </c>
      <c r="V700" s="119"/>
    </row>
    <row r="701" spans="2:22">
      <c r="B701" s="47"/>
      <c r="C701" s="35"/>
      <c r="D701" s="53"/>
      <c r="E701" s="53"/>
      <c r="F701" s="48"/>
      <c r="G701" s="243" t="e">
        <f>INDEX('calcolo base'!$B:$B, MATCH($A701, 'calcolo base'!$A:$A, 0))</f>
        <v>#N/A</v>
      </c>
      <c r="H701" s="54" t="e">
        <f t="shared" si="138"/>
        <v>#N/A</v>
      </c>
      <c r="I701" s="259" t="e">
        <f>IF(  OR(      INDEX('calcolo base'!$D:$D, MATCH($A701, 'calcolo base'!$A:$A, 0)) = 0,
      INDEX('calcolo base'!$D:$D, MATCH($A701, 'calcolo base'!$A:$A, 0)) = ""   ),
   INDEX('calcolo base'!$K:$K, MATCH($A701, 'calcolo base'!$A:$A, 0)),
   INDEX('calcolo base'!$J:$J, MATCH($A701, 'calcolo base'!$A:$A, 0))
) / 1000</f>
        <v>#N/A</v>
      </c>
      <c r="J701" s="50" t="e">
        <f t="shared" si="139"/>
        <v>#N/A</v>
      </c>
      <c r="K701" s="50"/>
      <c r="L701" s="267" t="e">
        <f>INDEX('calcolo base'!$H:$H, MATCH($A701, 'calcolo base'!$A:$A, 0))</f>
        <v>#N/A</v>
      </c>
      <c r="M701" s="50" t="e">
        <f t="shared" si="140"/>
        <v>#N/A</v>
      </c>
      <c r="N701" s="50" t="e">
        <f t="shared" si="141"/>
        <v>#N/A</v>
      </c>
      <c r="O701" s="50" t="e">
        <f t="shared" si="142"/>
        <v>#N/A</v>
      </c>
      <c r="P701" s="50" t="e">
        <f t="shared" si="143"/>
        <v>#N/A</v>
      </c>
      <c r="Q701" s="51" t="e">
        <f t="shared" si="144"/>
        <v>#N/A</v>
      </c>
      <c r="R701" s="205" t="e">
        <f t="shared" si="145"/>
        <v>#N/A</v>
      </c>
      <c r="S701" s="279" t="e">
        <f>IF(R701="si",0,IF(E701="si",0,IF(J701&gt;K701,0,+K701-J701)))+IF('calcolo base'!P2161="SI",('Commissioni De Angeli'!K701-'Commissioni De Angeli'!J701),0)</f>
        <v>#N/A</v>
      </c>
      <c r="T701" s="117" t="e">
        <f t="shared" si="146"/>
        <v>#N/A</v>
      </c>
      <c r="U701" s="272" t="e">
        <f>IF(Q701=0,'calcolo base'!L3300,(T701+Q701))</f>
        <v>#N/A</v>
      </c>
      <c r="V701" s="119"/>
    </row>
    <row r="702" spans="2:22">
      <c r="B702" s="47"/>
      <c r="C702" s="35"/>
      <c r="D702" s="53"/>
      <c r="E702" s="53"/>
      <c r="F702" s="48"/>
      <c r="G702" s="243" t="e">
        <f>INDEX('calcolo base'!$B:$B, MATCH($A702, 'calcolo base'!$A:$A, 0))</f>
        <v>#N/A</v>
      </c>
      <c r="H702" s="54" t="e">
        <f t="shared" si="138"/>
        <v>#N/A</v>
      </c>
      <c r="I702" s="259" t="e">
        <f>IF(  OR(      INDEX('calcolo base'!$D:$D, MATCH($A702, 'calcolo base'!$A:$A, 0)) = 0,
      INDEX('calcolo base'!$D:$D, MATCH($A702, 'calcolo base'!$A:$A, 0)) = ""   ),
   INDEX('calcolo base'!$K:$K, MATCH($A702, 'calcolo base'!$A:$A, 0)),
   INDEX('calcolo base'!$J:$J, MATCH($A702, 'calcolo base'!$A:$A, 0))
) / 1000</f>
        <v>#N/A</v>
      </c>
      <c r="J702" s="50" t="e">
        <f t="shared" si="139"/>
        <v>#N/A</v>
      </c>
      <c r="K702" s="50"/>
      <c r="L702" s="267" t="e">
        <f>INDEX('calcolo base'!$H:$H, MATCH($A702, 'calcolo base'!$A:$A, 0))</f>
        <v>#N/A</v>
      </c>
      <c r="M702" s="50" t="e">
        <f t="shared" si="140"/>
        <v>#N/A</v>
      </c>
      <c r="N702" s="50" t="e">
        <f t="shared" si="141"/>
        <v>#N/A</v>
      </c>
      <c r="O702" s="50" t="e">
        <f t="shared" si="142"/>
        <v>#N/A</v>
      </c>
      <c r="P702" s="50" t="e">
        <f t="shared" si="143"/>
        <v>#N/A</v>
      </c>
      <c r="Q702" s="51" t="e">
        <f t="shared" si="144"/>
        <v>#N/A</v>
      </c>
      <c r="R702" s="205" t="e">
        <f t="shared" si="145"/>
        <v>#N/A</v>
      </c>
      <c r="S702" s="279" t="e">
        <f>IF(R702="si",0,IF(E702="si",0,IF(J702&gt;K702,0,+K702-J702)))+IF('calcolo base'!P2162="SI",('Commissioni De Angeli'!K702-'Commissioni De Angeli'!J702),0)</f>
        <v>#N/A</v>
      </c>
      <c r="T702" s="117" t="e">
        <f t="shared" si="146"/>
        <v>#N/A</v>
      </c>
      <c r="U702" s="272" t="e">
        <f>IF(Q702=0,'calcolo base'!L3301,(T702+Q702))</f>
        <v>#N/A</v>
      </c>
      <c r="V702" s="119"/>
    </row>
    <row r="703" spans="2:22">
      <c r="B703" s="47"/>
      <c r="C703" s="35"/>
      <c r="D703" s="53"/>
      <c r="E703" s="53"/>
      <c r="F703" s="48"/>
      <c r="G703" s="243" t="e">
        <f>INDEX('calcolo base'!$B:$B, MATCH($A703, 'calcolo base'!$A:$A, 0))</f>
        <v>#N/A</v>
      </c>
      <c r="H703" s="54" t="e">
        <f t="shared" si="138"/>
        <v>#N/A</v>
      </c>
      <c r="I703" s="259" t="e">
        <f>IF(  OR(      INDEX('calcolo base'!$D:$D, MATCH($A703, 'calcolo base'!$A:$A, 0)) = 0,
      INDEX('calcolo base'!$D:$D, MATCH($A703, 'calcolo base'!$A:$A, 0)) = ""   ),
   INDEX('calcolo base'!$K:$K, MATCH($A703, 'calcolo base'!$A:$A, 0)),
   INDEX('calcolo base'!$J:$J, MATCH($A703, 'calcolo base'!$A:$A, 0))
) / 1000</f>
        <v>#N/A</v>
      </c>
      <c r="J703" s="50" t="e">
        <f t="shared" si="139"/>
        <v>#N/A</v>
      </c>
      <c r="K703" s="50"/>
      <c r="L703" s="267" t="e">
        <f>INDEX('calcolo base'!$H:$H, MATCH($A703, 'calcolo base'!$A:$A, 0))</f>
        <v>#N/A</v>
      </c>
      <c r="M703" s="50" t="e">
        <f t="shared" si="140"/>
        <v>#N/A</v>
      </c>
      <c r="N703" s="50" t="e">
        <f t="shared" si="141"/>
        <v>#N/A</v>
      </c>
      <c r="O703" s="50" t="e">
        <f t="shared" si="142"/>
        <v>#N/A</v>
      </c>
      <c r="P703" s="50" t="e">
        <f t="shared" si="143"/>
        <v>#N/A</v>
      </c>
      <c r="Q703" s="51" t="e">
        <f t="shared" si="144"/>
        <v>#N/A</v>
      </c>
      <c r="R703" s="205" t="e">
        <f t="shared" si="145"/>
        <v>#N/A</v>
      </c>
      <c r="S703" s="279" t="e">
        <f>IF(R703="si",0,IF(E703="si",0,IF(J703&gt;K703,0,+K703-J703)))+IF('calcolo base'!P2163="SI",('Commissioni De Angeli'!K703-'Commissioni De Angeli'!J703),0)</f>
        <v>#N/A</v>
      </c>
      <c r="T703" s="117" t="e">
        <f t="shared" si="146"/>
        <v>#N/A</v>
      </c>
      <c r="U703" s="272" t="e">
        <f>IF(Q703=0,'calcolo base'!L3302,(T703+Q703))</f>
        <v>#N/A</v>
      </c>
      <c r="V703" s="119"/>
    </row>
    <row r="704" spans="2:22">
      <c r="B704" s="47"/>
      <c r="C704" s="35"/>
      <c r="D704" s="53"/>
      <c r="E704" s="53"/>
      <c r="F704" s="48"/>
      <c r="G704" s="243" t="e">
        <f>INDEX('calcolo base'!$B:$B, MATCH($A704, 'calcolo base'!$A:$A, 0))</f>
        <v>#N/A</v>
      </c>
      <c r="H704" s="54" t="e">
        <f t="shared" si="138"/>
        <v>#N/A</v>
      </c>
      <c r="I704" s="259" t="e">
        <f>IF(  OR(      INDEX('calcolo base'!$D:$D, MATCH($A704, 'calcolo base'!$A:$A, 0)) = 0,
      INDEX('calcolo base'!$D:$D, MATCH($A704, 'calcolo base'!$A:$A, 0)) = ""   ),
   INDEX('calcolo base'!$K:$K, MATCH($A704, 'calcolo base'!$A:$A, 0)),
   INDEX('calcolo base'!$J:$J, MATCH($A704, 'calcolo base'!$A:$A, 0))
) / 1000</f>
        <v>#N/A</v>
      </c>
      <c r="J704" s="50" t="e">
        <f t="shared" si="139"/>
        <v>#N/A</v>
      </c>
      <c r="K704" s="50"/>
      <c r="L704" s="267" t="e">
        <f>INDEX('calcolo base'!$H:$H, MATCH($A704, 'calcolo base'!$A:$A, 0))</f>
        <v>#N/A</v>
      </c>
      <c r="M704" s="50" t="e">
        <f t="shared" si="140"/>
        <v>#N/A</v>
      </c>
      <c r="N704" s="50" t="e">
        <f t="shared" si="141"/>
        <v>#N/A</v>
      </c>
      <c r="O704" s="50" t="e">
        <f t="shared" si="142"/>
        <v>#N/A</v>
      </c>
      <c r="P704" s="50" t="e">
        <f t="shared" si="143"/>
        <v>#N/A</v>
      </c>
      <c r="Q704" s="51" t="e">
        <f t="shared" si="144"/>
        <v>#N/A</v>
      </c>
      <c r="R704" s="205" t="e">
        <f t="shared" si="145"/>
        <v>#N/A</v>
      </c>
      <c r="S704" s="279" t="e">
        <f>IF(R704="si",0,IF(E704="si",0,IF(J704&gt;K704,0,+K704-J704)))+IF('calcolo base'!P2164="SI",('Commissioni De Angeli'!K704-'Commissioni De Angeli'!J704),0)</f>
        <v>#N/A</v>
      </c>
      <c r="T704" s="117" t="e">
        <f t="shared" si="146"/>
        <v>#N/A</v>
      </c>
      <c r="U704" s="272" t="e">
        <f>IF(Q704=0,'calcolo base'!L3303,(T704+Q704))</f>
        <v>#N/A</v>
      </c>
      <c r="V704" s="119"/>
    </row>
    <row r="705" spans="2:22">
      <c r="B705" s="47"/>
      <c r="C705" s="35"/>
      <c r="D705" s="53"/>
      <c r="E705" s="53"/>
      <c r="F705" s="48"/>
      <c r="G705" s="243" t="e">
        <f>INDEX('calcolo base'!$B:$B, MATCH($A705, 'calcolo base'!$A:$A, 0))</f>
        <v>#N/A</v>
      </c>
      <c r="H705" s="54" t="e">
        <f t="shared" si="138"/>
        <v>#N/A</v>
      </c>
      <c r="I705" s="259" t="e">
        <f>IF(  OR(      INDEX('calcolo base'!$D:$D, MATCH($A705, 'calcolo base'!$A:$A, 0)) = 0,
      INDEX('calcolo base'!$D:$D, MATCH($A705, 'calcolo base'!$A:$A, 0)) = ""   ),
   INDEX('calcolo base'!$K:$K, MATCH($A705, 'calcolo base'!$A:$A, 0)),
   INDEX('calcolo base'!$J:$J, MATCH($A705, 'calcolo base'!$A:$A, 0))
) / 1000</f>
        <v>#N/A</v>
      </c>
      <c r="J705" s="50" t="e">
        <f t="shared" si="139"/>
        <v>#N/A</v>
      </c>
      <c r="K705" s="50"/>
      <c r="L705" s="267" t="e">
        <f>INDEX('calcolo base'!$H:$H, MATCH($A705, 'calcolo base'!$A:$A, 0))</f>
        <v>#N/A</v>
      </c>
      <c r="M705" s="50" t="e">
        <f t="shared" si="140"/>
        <v>#N/A</v>
      </c>
      <c r="N705" s="50" t="e">
        <f t="shared" si="141"/>
        <v>#N/A</v>
      </c>
      <c r="O705" s="50" t="e">
        <f t="shared" si="142"/>
        <v>#N/A</v>
      </c>
      <c r="P705" s="50" t="e">
        <f t="shared" si="143"/>
        <v>#N/A</v>
      </c>
      <c r="Q705" s="51" t="e">
        <f t="shared" si="144"/>
        <v>#N/A</v>
      </c>
      <c r="R705" s="205" t="e">
        <f t="shared" si="145"/>
        <v>#N/A</v>
      </c>
      <c r="S705" s="279" t="e">
        <f>IF(R705="si",0,IF(E705="si",0,IF(J705&gt;K705,0,+K705-J705)))+IF('calcolo base'!P2165="SI",('Commissioni De Angeli'!K705-'Commissioni De Angeli'!J705),0)</f>
        <v>#N/A</v>
      </c>
      <c r="T705" s="117" t="e">
        <f t="shared" si="146"/>
        <v>#N/A</v>
      </c>
      <c r="U705" s="272" t="e">
        <f>IF(Q705=0,'calcolo base'!L3304,(T705+Q705))</f>
        <v>#N/A</v>
      </c>
      <c r="V705" s="119"/>
    </row>
    <row r="706" spans="2:22">
      <c r="B706" s="47"/>
      <c r="C706" s="35"/>
      <c r="D706" s="53"/>
      <c r="E706" s="53"/>
      <c r="F706" s="48"/>
      <c r="G706" s="243" t="e">
        <f>INDEX('calcolo base'!$B:$B, MATCH($A706, 'calcolo base'!$A:$A, 0))</f>
        <v>#N/A</v>
      </c>
      <c r="H706" s="54" t="e">
        <f t="shared" si="138"/>
        <v>#N/A</v>
      </c>
      <c r="I706" s="259" t="e">
        <f>IF(  OR(      INDEX('calcolo base'!$D:$D, MATCH($A706, 'calcolo base'!$A:$A, 0)) = 0,
      INDEX('calcolo base'!$D:$D, MATCH($A706, 'calcolo base'!$A:$A, 0)) = ""   ),
   INDEX('calcolo base'!$K:$K, MATCH($A706, 'calcolo base'!$A:$A, 0)),
   INDEX('calcolo base'!$J:$J, MATCH($A706, 'calcolo base'!$A:$A, 0))
) / 1000</f>
        <v>#N/A</v>
      </c>
      <c r="J706" s="50" t="e">
        <f t="shared" si="139"/>
        <v>#N/A</v>
      </c>
      <c r="K706" s="50"/>
      <c r="L706" s="267" t="e">
        <f>INDEX('calcolo base'!$H:$H, MATCH($A706, 'calcolo base'!$A:$A, 0))</f>
        <v>#N/A</v>
      </c>
      <c r="M706" s="50" t="e">
        <f t="shared" si="140"/>
        <v>#N/A</v>
      </c>
      <c r="N706" s="50" t="e">
        <f t="shared" si="141"/>
        <v>#N/A</v>
      </c>
      <c r="O706" s="50" t="e">
        <f t="shared" si="142"/>
        <v>#N/A</v>
      </c>
      <c r="P706" s="50" t="e">
        <f t="shared" si="143"/>
        <v>#N/A</v>
      </c>
      <c r="Q706" s="51" t="e">
        <f t="shared" si="144"/>
        <v>#N/A</v>
      </c>
      <c r="R706" s="205" t="e">
        <f t="shared" si="145"/>
        <v>#N/A</v>
      </c>
      <c r="S706" s="279" t="e">
        <f>IF(R706="si",0,IF(E706="si",0,IF(J706&gt;K706,0,+K706-J706)))+IF('calcolo base'!P2166="SI",('Commissioni De Angeli'!K706-'Commissioni De Angeli'!J706),0)</f>
        <v>#N/A</v>
      </c>
      <c r="T706" s="117" t="e">
        <f t="shared" si="146"/>
        <v>#N/A</v>
      </c>
      <c r="U706" s="272" t="e">
        <f>IF(Q706=0,'calcolo base'!L3305,(T706+Q706))</f>
        <v>#N/A</v>
      </c>
      <c r="V706" s="119"/>
    </row>
    <row r="707" spans="2:22">
      <c r="B707" s="47"/>
      <c r="C707" s="35"/>
      <c r="D707" s="53"/>
      <c r="E707" s="53"/>
      <c r="F707" s="48"/>
      <c r="G707" s="243" t="e">
        <f>INDEX('calcolo base'!$B:$B, MATCH($A707, 'calcolo base'!$A:$A, 0))</f>
        <v>#N/A</v>
      </c>
      <c r="H707" s="54" t="e">
        <f t="shared" si="138"/>
        <v>#N/A</v>
      </c>
      <c r="I707" s="259" t="e">
        <f>IF(  OR(      INDEX('calcolo base'!$D:$D, MATCH($A707, 'calcolo base'!$A:$A, 0)) = 0,
      INDEX('calcolo base'!$D:$D, MATCH($A707, 'calcolo base'!$A:$A, 0)) = ""   ),
   INDEX('calcolo base'!$K:$K, MATCH($A707, 'calcolo base'!$A:$A, 0)),
   INDEX('calcolo base'!$J:$J, MATCH($A707, 'calcolo base'!$A:$A, 0))
) / 1000</f>
        <v>#N/A</v>
      </c>
      <c r="J707" s="50" t="e">
        <f t="shared" si="139"/>
        <v>#N/A</v>
      </c>
      <c r="K707" s="50"/>
      <c r="L707" s="267" t="e">
        <f>INDEX('calcolo base'!$H:$H, MATCH($A707, 'calcolo base'!$A:$A, 0))</f>
        <v>#N/A</v>
      </c>
      <c r="M707" s="50" t="e">
        <f t="shared" si="140"/>
        <v>#N/A</v>
      </c>
      <c r="N707" s="50" t="e">
        <f t="shared" si="141"/>
        <v>#N/A</v>
      </c>
      <c r="O707" s="50" t="e">
        <f t="shared" si="142"/>
        <v>#N/A</v>
      </c>
      <c r="P707" s="50" t="e">
        <f t="shared" si="143"/>
        <v>#N/A</v>
      </c>
      <c r="Q707" s="51" t="e">
        <f t="shared" si="144"/>
        <v>#N/A</v>
      </c>
      <c r="R707" s="205" t="e">
        <f t="shared" si="145"/>
        <v>#N/A</v>
      </c>
      <c r="S707" s="279" t="e">
        <f>IF(R707="si",0,IF(E707="si",0,IF(J707&gt;K707,0,+K707-J707)))+IF('calcolo base'!P2167="SI",('Commissioni De Angeli'!K707-'Commissioni De Angeli'!J707),0)</f>
        <v>#N/A</v>
      </c>
      <c r="T707" s="117" t="e">
        <f t="shared" si="146"/>
        <v>#N/A</v>
      </c>
      <c r="U707" s="272" t="e">
        <f>IF(Q707=0,'calcolo base'!L3306,(T707+Q707))</f>
        <v>#N/A</v>
      </c>
      <c r="V707" s="119"/>
    </row>
    <row r="708" spans="2:22">
      <c r="B708" s="47"/>
      <c r="C708" s="35"/>
      <c r="D708" s="53"/>
      <c r="E708" s="53"/>
      <c r="F708" s="48"/>
      <c r="G708" s="243" t="e">
        <f>INDEX('calcolo base'!$B:$B, MATCH($A708, 'calcolo base'!$A:$A, 0))</f>
        <v>#N/A</v>
      </c>
      <c r="H708" s="54" t="e">
        <f t="shared" si="138"/>
        <v>#N/A</v>
      </c>
      <c r="I708" s="259" t="e">
        <f>IF(  OR(      INDEX('calcolo base'!$D:$D, MATCH($A708, 'calcolo base'!$A:$A, 0)) = 0,
      INDEX('calcolo base'!$D:$D, MATCH($A708, 'calcolo base'!$A:$A, 0)) = ""   ),
   INDEX('calcolo base'!$K:$K, MATCH($A708, 'calcolo base'!$A:$A, 0)),
   INDEX('calcolo base'!$J:$J, MATCH($A708, 'calcolo base'!$A:$A, 0))
) / 1000</f>
        <v>#N/A</v>
      </c>
      <c r="J708" s="50" t="e">
        <f t="shared" si="139"/>
        <v>#N/A</v>
      </c>
      <c r="K708" s="50"/>
      <c r="L708" s="267" t="e">
        <f>INDEX('calcolo base'!$H:$H, MATCH($A708, 'calcolo base'!$A:$A, 0))</f>
        <v>#N/A</v>
      </c>
      <c r="M708" s="50" t="e">
        <f t="shared" si="140"/>
        <v>#N/A</v>
      </c>
      <c r="N708" s="50" t="e">
        <f t="shared" si="141"/>
        <v>#N/A</v>
      </c>
      <c r="O708" s="50" t="e">
        <f t="shared" si="142"/>
        <v>#N/A</v>
      </c>
      <c r="P708" s="50" t="e">
        <f t="shared" si="143"/>
        <v>#N/A</v>
      </c>
      <c r="Q708" s="51" t="e">
        <f t="shared" si="144"/>
        <v>#N/A</v>
      </c>
      <c r="R708" s="205" t="e">
        <f t="shared" si="145"/>
        <v>#N/A</v>
      </c>
      <c r="S708" s="279" t="e">
        <f>IF(R708="si",0,IF(E708="si",0,IF(J708&gt;K708,0,+K708-J708)))+IF('calcolo base'!P2168="SI",('Commissioni De Angeli'!K708-'Commissioni De Angeli'!J708),0)</f>
        <v>#N/A</v>
      </c>
      <c r="T708" s="117" t="e">
        <f t="shared" si="146"/>
        <v>#N/A</v>
      </c>
      <c r="U708" s="272" t="e">
        <f>IF(Q708=0,'calcolo base'!L3307,(T708+Q708))</f>
        <v>#N/A</v>
      </c>
      <c r="V708" s="119"/>
    </row>
    <row r="709" spans="2:22">
      <c r="B709" s="47"/>
      <c r="C709" s="35"/>
      <c r="D709" s="53"/>
      <c r="E709" s="53"/>
      <c r="F709" s="48"/>
      <c r="G709" s="243" t="e">
        <f>INDEX('calcolo base'!$B:$B, MATCH($A709, 'calcolo base'!$A:$A, 0))</f>
        <v>#N/A</v>
      </c>
      <c r="H709" s="54" t="e">
        <f t="shared" si="138"/>
        <v>#N/A</v>
      </c>
      <c r="I709" s="259" t="e">
        <f>IF(  OR(      INDEX('calcolo base'!$D:$D, MATCH($A709, 'calcolo base'!$A:$A, 0)) = 0,
      INDEX('calcolo base'!$D:$D, MATCH($A709, 'calcolo base'!$A:$A, 0)) = ""   ),
   INDEX('calcolo base'!$K:$K, MATCH($A709, 'calcolo base'!$A:$A, 0)),
   INDEX('calcolo base'!$J:$J, MATCH($A709, 'calcolo base'!$A:$A, 0))
) / 1000</f>
        <v>#N/A</v>
      </c>
      <c r="J709" s="50" t="e">
        <f t="shared" si="139"/>
        <v>#N/A</v>
      </c>
      <c r="K709" s="50"/>
      <c r="L709" s="267" t="e">
        <f>INDEX('calcolo base'!$H:$H, MATCH($A709, 'calcolo base'!$A:$A, 0))</f>
        <v>#N/A</v>
      </c>
      <c r="M709" s="50" t="e">
        <f t="shared" si="140"/>
        <v>#N/A</v>
      </c>
      <c r="N709" s="50" t="e">
        <f t="shared" si="141"/>
        <v>#N/A</v>
      </c>
      <c r="O709" s="50" t="e">
        <f t="shared" si="142"/>
        <v>#N/A</v>
      </c>
      <c r="P709" s="50" t="e">
        <f t="shared" si="143"/>
        <v>#N/A</v>
      </c>
      <c r="Q709" s="51" t="e">
        <f t="shared" si="144"/>
        <v>#N/A</v>
      </c>
      <c r="R709" s="205" t="e">
        <f t="shared" si="145"/>
        <v>#N/A</v>
      </c>
      <c r="S709" s="279" t="e">
        <f>IF(R709="si",0,IF(E709="si",0,IF(J709&gt;K709,0,+K709-J709)))+IF('calcolo base'!P2169="SI",('Commissioni De Angeli'!K709-'Commissioni De Angeli'!J709),0)</f>
        <v>#N/A</v>
      </c>
      <c r="T709" s="117" t="e">
        <f t="shared" si="146"/>
        <v>#N/A</v>
      </c>
      <c r="U709" s="272" t="e">
        <f>IF(Q709=0,'calcolo base'!L3308,(T709+Q709))</f>
        <v>#N/A</v>
      </c>
      <c r="V709" s="119"/>
    </row>
    <row r="710" spans="2:22">
      <c r="B710" s="47"/>
      <c r="C710" s="35"/>
      <c r="D710" s="53"/>
      <c r="E710" s="53"/>
      <c r="F710" s="48"/>
      <c r="G710" s="243" t="e">
        <f>INDEX('calcolo base'!$B:$B, MATCH($A710, 'calcolo base'!$A:$A, 0))</f>
        <v>#N/A</v>
      </c>
      <c r="H710" s="54" t="e">
        <f t="shared" si="138"/>
        <v>#N/A</v>
      </c>
      <c r="I710" s="259" t="e">
        <f>IF(  OR(      INDEX('calcolo base'!$D:$D, MATCH($A710, 'calcolo base'!$A:$A, 0)) = 0,
      INDEX('calcolo base'!$D:$D, MATCH($A710, 'calcolo base'!$A:$A, 0)) = ""   ),
   INDEX('calcolo base'!$K:$K, MATCH($A710, 'calcolo base'!$A:$A, 0)),
   INDEX('calcolo base'!$J:$J, MATCH($A710, 'calcolo base'!$A:$A, 0))
) / 1000</f>
        <v>#N/A</v>
      </c>
      <c r="J710" s="50" t="e">
        <f t="shared" si="139"/>
        <v>#N/A</v>
      </c>
      <c r="K710" s="50"/>
      <c r="L710" s="267" t="e">
        <f>INDEX('calcolo base'!$H:$H, MATCH($A710, 'calcolo base'!$A:$A, 0))</f>
        <v>#N/A</v>
      </c>
      <c r="M710" s="50" t="e">
        <f t="shared" si="140"/>
        <v>#N/A</v>
      </c>
      <c r="N710" s="50" t="e">
        <f t="shared" si="141"/>
        <v>#N/A</v>
      </c>
      <c r="O710" s="50" t="e">
        <f t="shared" si="142"/>
        <v>#N/A</v>
      </c>
      <c r="P710" s="50" t="e">
        <f t="shared" si="143"/>
        <v>#N/A</v>
      </c>
      <c r="Q710" s="51" t="e">
        <f t="shared" si="144"/>
        <v>#N/A</v>
      </c>
      <c r="R710" s="205" t="e">
        <f t="shared" si="145"/>
        <v>#N/A</v>
      </c>
      <c r="S710" s="279" t="e">
        <f>IF(R710="si",0,IF(E710="si",0,IF(J710&gt;K710,0,+K710-J710)))+IF('calcolo base'!P2170="SI",('Commissioni De Angeli'!K710-'Commissioni De Angeli'!J710),0)</f>
        <v>#N/A</v>
      </c>
      <c r="T710" s="117" t="e">
        <f t="shared" si="146"/>
        <v>#N/A</v>
      </c>
      <c r="U710" s="272" t="e">
        <f>IF(Q710=0,'calcolo base'!L3309,(T710+Q710))</f>
        <v>#N/A</v>
      </c>
      <c r="V710" s="119"/>
    </row>
    <row r="711" spans="2:22">
      <c r="B711" s="47"/>
      <c r="C711" s="35"/>
      <c r="D711" s="53"/>
      <c r="E711" s="53"/>
      <c r="F711" s="48"/>
      <c r="G711" s="243" t="e">
        <f>INDEX('calcolo base'!$B:$B, MATCH($A711, 'calcolo base'!$A:$A, 0))</f>
        <v>#N/A</v>
      </c>
      <c r="H711" s="54" t="e">
        <f t="shared" si="138"/>
        <v>#N/A</v>
      </c>
      <c r="I711" s="259" t="e">
        <f>IF(  OR(      INDEX('calcolo base'!$D:$D, MATCH($A711, 'calcolo base'!$A:$A, 0)) = 0,
      INDEX('calcolo base'!$D:$D, MATCH($A711, 'calcolo base'!$A:$A, 0)) = ""   ),
   INDEX('calcolo base'!$K:$K, MATCH($A711, 'calcolo base'!$A:$A, 0)),
   INDEX('calcolo base'!$J:$J, MATCH($A711, 'calcolo base'!$A:$A, 0))
) / 1000</f>
        <v>#N/A</v>
      </c>
      <c r="J711" s="50" t="e">
        <f t="shared" si="139"/>
        <v>#N/A</v>
      </c>
      <c r="K711" s="50"/>
      <c r="L711" s="267" t="e">
        <f>INDEX('calcolo base'!$H:$H, MATCH($A711, 'calcolo base'!$A:$A, 0))</f>
        <v>#N/A</v>
      </c>
      <c r="M711" s="50" t="e">
        <f t="shared" si="140"/>
        <v>#N/A</v>
      </c>
      <c r="N711" s="50" t="e">
        <f t="shared" si="141"/>
        <v>#N/A</v>
      </c>
      <c r="O711" s="50" t="e">
        <f t="shared" si="142"/>
        <v>#N/A</v>
      </c>
      <c r="P711" s="50" t="e">
        <f t="shared" si="143"/>
        <v>#N/A</v>
      </c>
      <c r="Q711" s="51" t="e">
        <f t="shared" si="144"/>
        <v>#N/A</v>
      </c>
      <c r="R711" s="205" t="e">
        <f t="shared" si="145"/>
        <v>#N/A</v>
      </c>
      <c r="S711" s="279" t="e">
        <f>IF(R711="si",0,IF(E711="si",0,IF(J711&gt;K711,0,+K711-J711)))+IF('calcolo base'!P2171="SI",('Commissioni De Angeli'!K711-'Commissioni De Angeli'!J711),0)</f>
        <v>#N/A</v>
      </c>
      <c r="T711" s="117" t="e">
        <f t="shared" si="146"/>
        <v>#N/A</v>
      </c>
      <c r="U711" s="272" t="e">
        <f>IF(Q711=0,'calcolo base'!L3310,(T711+Q711))</f>
        <v>#N/A</v>
      </c>
      <c r="V711" s="119"/>
    </row>
    <row r="712" spans="2:22">
      <c r="B712" s="47"/>
      <c r="C712" s="35"/>
      <c r="D712" s="53"/>
      <c r="E712" s="53"/>
      <c r="F712" s="48"/>
      <c r="G712" s="243" t="e">
        <f>INDEX('calcolo base'!$B:$B, MATCH($A712, 'calcolo base'!$A:$A, 0))</f>
        <v>#N/A</v>
      </c>
      <c r="H712" s="54" t="e">
        <f t="shared" si="138"/>
        <v>#N/A</v>
      </c>
      <c r="I712" s="259" t="e">
        <f>IF(  OR(      INDEX('calcolo base'!$D:$D, MATCH($A712, 'calcolo base'!$A:$A, 0)) = 0,
      INDEX('calcolo base'!$D:$D, MATCH($A712, 'calcolo base'!$A:$A, 0)) = ""   ),
   INDEX('calcolo base'!$K:$K, MATCH($A712, 'calcolo base'!$A:$A, 0)),
   INDEX('calcolo base'!$J:$J, MATCH($A712, 'calcolo base'!$A:$A, 0))
) / 1000</f>
        <v>#N/A</v>
      </c>
      <c r="J712" s="50" t="e">
        <f t="shared" si="139"/>
        <v>#N/A</v>
      </c>
      <c r="K712" s="50"/>
      <c r="L712" s="267" t="e">
        <f>INDEX('calcolo base'!$H:$H, MATCH($A712, 'calcolo base'!$A:$A, 0))</f>
        <v>#N/A</v>
      </c>
      <c r="M712" s="50" t="e">
        <f t="shared" si="140"/>
        <v>#N/A</v>
      </c>
      <c r="N712" s="50" t="e">
        <f t="shared" si="141"/>
        <v>#N/A</v>
      </c>
      <c r="O712" s="50" t="e">
        <f t="shared" si="142"/>
        <v>#N/A</v>
      </c>
      <c r="P712" s="50" t="e">
        <f t="shared" si="143"/>
        <v>#N/A</v>
      </c>
      <c r="Q712" s="51" t="e">
        <f t="shared" si="144"/>
        <v>#N/A</v>
      </c>
      <c r="R712" s="205" t="e">
        <f t="shared" si="145"/>
        <v>#N/A</v>
      </c>
      <c r="S712" s="279" t="e">
        <f>IF(R712="si",0,IF(E712="si",0,IF(J712&gt;K712,0,+K712-J712)))+IF('calcolo base'!P2172="SI",('Commissioni De Angeli'!K712-'Commissioni De Angeli'!J712),0)</f>
        <v>#N/A</v>
      </c>
      <c r="T712" s="117" t="e">
        <f t="shared" si="146"/>
        <v>#N/A</v>
      </c>
      <c r="U712" s="272" t="e">
        <f>IF(Q712=0,'calcolo base'!L3311,(T712+Q712))</f>
        <v>#N/A</v>
      </c>
      <c r="V712" s="119"/>
    </row>
    <row r="713" spans="2:22">
      <c r="B713" s="47"/>
      <c r="C713" s="35"/>
      <c r="D713" s="53"/>
      <c r="E713" s="53"/>
      <c r="F713" s="48"/>
      <c r="G713" s="243" t="e">
        <f>INDEX('calcolo base'!$B:$B, MATCH($A713, 'calcolo base'!$A:$A, 0))</f>
        <v>#N/A</v>
      </c>
      <c r="H713" s="54" t="e">
        <f t="shared" si="138"/>
        <v>#N/A</v>
      </c>
      <c r="I713" s="259" t="e">
        <f>IF(  OR(      INDEX('calcolo base'!$D:$D, MATCH($A713, 'calcolo base'!$A:$A, 0)) = 0,
      INDEX('calcolo base'!$D:$D, MATCH($A713, 'calcolo base'!$A:$A, 0)) = ""   ),
   INDEX('calcolo base'!$K:$K, MATCH($A713, 'calcolo base'!$A:$A, 0)),
   INDEX('calcolo base'!$J:$J, MATCH($A713, 'calcolo base'!$A:$A, 0))
) / 1000</f>
        <v>#N/A</v>
      </c>
      <c r="J713" s="50" t="e">
        <f t="shared" si="139"/>
        <v>#N/A</v>
      </c>
      <c r="K713" s="50"/>
      <c r="L713" s="267" t="e">
        <f>INDEX('calcolo base'!$H:$H, MATCH($A713, 'calcolo base'!$A:$A, 0))</f>
        <v>#N/A</v>
      </c>
      <c r="M713" s="50" t="e">
        <f t="shared" si="140"/>
        <v>#N/A</v>
      </c>
      <c r="N713" s="50" t="e">
        <f t="shared" si="141"/>
        <v>#N/A</v>
      </c>
      <c r="O713" s="50" t="e">
        <f t="shared" si="142"/>
        <v>#N/A</v>
      </c>
      <c r="P713" s="50" t="e">
        <f t="shared" si="143"/>
        <v>#N/A</v>
      </c>
      <c r="Q713" s="51" t="e">
        <f t="shared" si="144"/>
        <v>#N/A</v>
      </c>
      <c r="R713" s="205" t="e">
        <f t="shared" si="145"/>
        <v>#N/A</v>
      </c>
      <c r="S713" s="279" t="e">
        <f>IF(R713="si",0,IF(E713="si",0,IF(J713&gt;K713,0,+K713-J713)))+IF('calcolo base'!P2173="SI",('Commissioni De Angeli'!K713-'Commissioni De Angeli'!J713),0)</f>
        <v>#N/A</v>
      </c>
      <c r="T713" s="117" t="e">
        <f t="shared" si="146"/>
        <v>#N/A</v>
      </c>
      <c r="U713" s="272" t="e">
        <f>IF(Q713=0,'calcolo base'!L3312,(T713+Q713))</f>
        <v>#N/A</v>
      </c>
      <c r="V713" s="119"/>
    </row>
    <row r="714" spans="2:22">
      <c r="B714" s="47"/>
      <c r="C714" s="35"/>
      <c r="D714" s="53"/>
      <c r="E714" s="53"/>
      <c r="F714" s="48"/>
      <c r="G714" s="243" t="e">
        <f>INDEX('calcolo base'!$B:$B, MATCH($A714, 'calcolo base'!$A:$A, 0))</f>
        <v>#N/A</v>
      </c>
      <c r="H714" s="54" t="e">
        <f t="shared" si="138"/>
        <v>#N/A</v>
      </c>
      <c r="I714" s="259" t="e">
        <f>IF(  OR(      INDEX('calcolo base'!$D:$D, MATCH($A714, 'calcolo base'!$A:$A, 0)) = 0,
      INDEX('calcolo base'!$D:$D, MATCH($A714, 'calcolo base'!$A:$A, 0)) = ""   ),
   INDEX('calcolo base'!$K:$K, MATCH($A714, 'calcolo base'!$A:$A, 0)),
   INDEX('calcolo base'!$J:$J, MATCH($A714, 'calcolo base'!$A:$A, 0))
) / 1000</f>
        <v>#N/A</v>
      </c>
      <c r="J714" s="50" t="e">
        <f t="shared" si="139"/>
        <v>#N/A</v>
      </c>
      <c r="K714" s="50"/>
      <c r="L714" s="267" t="e">
        <f>INDEX('calcolo base'!$H:$H, MATCH($A714, 'calcolo base'!$A:$A, 0))</f>
        <v>#N/A</v>
      </c>
      <c r="M714" s="50" t="e">
        <f t="shared" si="140"/>
        <v>#N/A</v>
      </c>
      <c r="N714" s="50" t="e">
        <f t="shared" si="141"/>
        <v>#N/A</v>
      </c>
      <c r="O714" s="50" t="e">
        <f t="shared" si="142"/>
        <v>#N/A</v>
      </c>
      <c r="P714" s="50" t="e">
        <f t="shared" si="143"/>
        <v>#N/A</v>
      </c>
      <c r="Q714" s="51" t="e">
        <f t="shared" si="144"/>
        <v>#N/A</v>
      </c>
      <c r="R714" s="205" t="e">
        <f t="shared" si="145"/>
        <v>#N/A</v>
      </c>
      <c r="S714" s="279" t="e">
        <f>IF(R714="si",0,IF(E714="si",0,IF(J714&gt;K714,0,+K714-J714)))+IF('calcolo base'!P2174="SI",('Commissioni De Angeli'!K714-'Commissioni De Angeli'!J714),0)</f>
        <v>#N/A</v>
      </c>
      <c r="T714" s="117" t="e">
        <f t="shared" si="146"/>
        <v>#N/A</v>
      </c>
      <c r="U714" s="272" t="e">
        <f>IF(Q714=0,'calcolo base'!L3313,(T714+Q714))</f>
        <v>#N/A</v>
      </c>
      <c r="V714" s="119"/>
    </row>
    <row r="715" spans="2:22">
      <c r="B715" s="47"/>
      <c r="C715" s="35"/>
      <c r="D715" s="53"/>
      <c r="E715" s="53"/>
      <c r="F715" s="48"/>
      <c r="G715" s="243" t="e">
        <f>INDEX('calcolo base'!$B:$B, MATCH($A715, 'calcolo base'!$A:$A, 0))</f>
        <v>#N/A</v>
      </c>
      <c r="H715" s="54" t="e">
        <f t="shared" si="138"/>
        <v>#N/A</v>
      </c>
      <c r="I715" s="259" t="e">
        <f>IF(  OR(      INDEX('calcolo base'!$D:$D, MATCH($A715, 'calcolo base'!$A:$A, 0)) = 0,
      INDEX('calcolo base'!$D:$D, MATCH($A715, 'calcolo base'!$A:$A, 0)) = ""   ),
   INDEX('calcolo base'!$K:$K, MATCH($A715, 'calcolo base'!$A:$A, 0)),
   INDEX('calcolo base'!$J:$J, MATCH($A715, 'calcolo base'!$A:$A, 0))
) / 1000</f>
        <v>#N/A</v>
      </c>
      <c r="J715" s="50" t="e">
        <f t="shared" si="139"/>
        <v>#N/A</v>
      </c>
      <c r="K715" s="50"/>
      <c r="L715" s="267" t="e">
        <f>INDEX('calcolo base'!$H:$H, MATCH($A715, 'calcolo base'!$A:$A, 0))</f>
        <v>#N/A</v>
      </c>
      <c r="M715" s="50" t="e">
        <f t="shared" si="140"/>
        <v>#N/A</v>
      </c>
      <c r="N715" s="50" t="e">
        <f t="shared" si="141"/>
        <v>#N/A</v>
      </c>
      <c r="O715" s="50" t="e">
        <f t="shared" si="142"/>
        <v>#N/A</v>
      </c>
      <c r="P715" s="50" t="e">
        <f t="shared" si="143"/>
        <v>#N/A</v>
      </c>
      <c r="Q715" s="51" t="e">
        <f t="shared" si="144"/>
        <v>#N/A</v>
      </c>
      <c r="R715" s="205" t="e">
        <f t="shared" si="145"/>
        <v>#N/A</v>
      </c>
      <c r="S715" s="279" t="e">
        <f>IF(R715="si",0,IF(E715="si",0,IF(J715&gt;K715,0,+K715-J715)))+IF('calcolo base'!P2175="SI",('Commissioni De Angeli'!K715-'Commissioni De Angeli'!J715),0)</f>
        <v>#N/A</v>
      </c>
      <c r="T715" s="117" t="e">
        <f t="shared" si="146"/>
        <v>#N/A</v>
      </c>
      <c r="U715" s="272" t="e">
        <f>IF(Q715=0,'calcolo base'!L3314,(T715+Q715))</f>
        <v>#N/A</v>
      </c>
      <c r="V715" s="119"/>
    </row>
    <row r="716" spans="2:22">
      <c r="B716" s="47"/>
      <c r="C716" s="35"/>
      <c r="D716" s="53"/>
      <c r="E716" s="53"/>
      <c r="F716" s="48"/>
      <c r="G716" s="243" t="e">
        <f>INDEX('calcolo base'!$B:$B, MATCH($A716, 'calcolo base'!$A:$A, 0))</f>
        <v>#N/A</v>
      </c>
      <c r="H716" s="54" t="e">
        <f t="shared" si="138"/>
        <v>#N/A</v>
      </c>
      <c r="I716" s="259" t="e">
        <f>IF(  OR(      INDEX('calcolo base'!$D:$D, MATCH($A716, 'calcolo base'!$A:$A, 0)) = 0,
      INDEX('calcolo base'!$D:$D, MATCH($A716, 'calcolo base'!$A:$A, 0)) = ""   ),
   INDEX('calcolo base'!$K:$K, MATCH($A716, 'calcolo base'!$A:$A, 0)),
   INDEX('calcolo base'!$J:$J, MATCH($A716, 'calcolo base'!$A:$A, 0))
) / 1000</f>
        <v>#N/A</v>
      </c>
      <c r="J716" s="50" t="e">
        <f t="shared" si="139"/>
        <v>#N/A</v>
      </c>
      <c r="K716" s="50"/>
      <c r="L716" s="267" t="e">
        <f>INDEX('calcolo base'!$H:$H, MATCH($A716, 'calcolo base'!$A:$A, 0))</f>
        <v>#N/A</v>
      </c>
      <c r="M716" s="50" t="e">
        <f t="shared" si="140"/>
        <v>#N/A</v>
      </c>
      <c r="N716" s="50" t="e">
        <f t="shared" si="141"/>
        <v>#N/A</v>
      </c>
      <c r="O716" s="50" t="e">
        <f t="shared" si="142"/>
        <v>#N/A</v>
      </c>
      <c r="P716" s="50" t="e">
        <f t="shared" si="143"/>
        <v>#N/A</v>
      </c>
      <c r="Q716" s="51" t="e">
        <f t="shared" si="144"/>
        <v>#N/A</v>
      </c>
      <c r="R716" s="205" t="e">
        <f t="shared" si="145"/>
        <v>#N/A</v>
      </c>
      <c r="S716" s="279" t="e">
        <f>IF(R716="si",0,IF(E716="si",0,IF(J716&gt;K716,0,+K716-J716)))+IF('calcolo base'!P2176="SI",('Commissioni De Angeli'!K716-'Commissioni De Angeli'!J716),0)</f>
        <v>#N/A</v>
      </c>
      <c r="T716" s="117" t="e">
        <f t="shared" si="146"/>
        <v>#N/A</v>
      </c>
      <c r="U716" s="272" t="e">
        <f>IF(Q716=0,'calcolo base'!L3315,(T716+Q716))</f>
        <v>#N/A</v>
      </c>
      <c r="V716" s="119"/>
    </row>
    <row r="717" spans="2:22">
      <c r="B717" s="47"/>
      <c r="C717" s="35"/>
      <c r="D717" s="53"/>
      <c r="E717" s="53"/>
      <c r="F717" s="48"/>
      <c r="G717" s="243" t="e">
        <f>INDEX('calcolo base'!$B:$B, MATCH($A717, 'calcolo base'!$A:$A, 0))</f>
        <v>#N/A</v>
      </c>
      <c r="H717" s="54" t="e">
        <f t="shared" si="138"/>
        <v>#N/A</v>
      </c>
      <c r="I717" s="259" t="e">
        <f>IF(  OR(      INDEX('calcolo base'!$D:$D, MATCH($A717, 'calcolo base'!$A:$A, 0)) = 0,
      INDEX('calcolo base'!$D:$D, MATCH($A717, 'calcolo base'!$A:$A, 0)) = ""   ),
   INDEX('calcolo base'!$K:$K, MATCH($A717, 'calcolo base'!$A:$A, 0)),
   INDEX('calcolo base'!$J:$J, MATCH($A717, 'calcolo base'!$A:$A, 0))
) / 1000</f>
        <v>#N/A</v>
      </c>
      <c r="J717" s="50" t="e">
        <f t="shared" si="139"/>
        <v>#N/A</v>
      </c>
      <c r="K717" s="50"/>
      <c r="L717" s="267" t="e">
        <f>INDEX('calcolo base'!$H:$H, MATCH($A717, 'calcolo base'!$A:$A, 0))</f>
        <v>#N/A</v>
      </c>
      <c r="M717" s="50" t="e">
        <f t="shared" si="140"/>
        <v>#N/A</v>
      </c>
      <c r="N717" s="50" t="e">
        <f t="shared" si="141"/>
        <v>#N/A</v>
      </c>
      <c r="O717" s="50" t="e">
        <f t="shared" si="142"/>
        <v>#N/A</v>
      </c>
      <c r="P717" s="50" t="e">
        <f t="shared" si="143"/>
        <v>#N/A</v>
      </c>
      <c r="Q717" s="51" t="e">
        <f t="shared" si="144"/>
        <v>#N/A</v>
      </c>
      <c r="R717" s="205" t="e">
        <f t="shared" si="145"/>
        <v>#N/A</v>
      </c>
      <c r="S717" s="279" t="e">
        <f>IF(R717="si",0,IF(E717="si",0,IF(J717&gt;K717,0,+K717-J717)))+IF('calcolo base'!P2177="SI",('Commissioni De Angeli'!K717-'Commissioni De Angeli'!J717),0)</f>
        <v>#N/A</v>
      </c>
      <c r="T717" s="117" t="e">
        <f t="shared" si="146"/>
        <v>#N/A</v>
      </c>
      <c r="U717" s="272" t="e">
        <f>IF(Q717=0,'calcolo base'!L3316,(T717+Q717))</f>
        <v>#N/A</v>
      </c>
      <c r="V717" s="119"/>
    </row>
    <row r="718" spans="2:22">
      <c r="B718" s="47"/>
      <c r="C718" s="35"/>
      <c r="D718" s="53"/>
      <c r="E718" s="53"/>
      <c r="F718" s="48"/>
      <c r="G718" s="243" t="e">
        <f>INDEX('calcolo base'!$B:$B, MATCH($A718, 'calcolo base'!$A:$A, 0))</f>
        <v>#N/A</v>
      </c>
      <c r="H718" s="54" t="e">
        <f t="shared" si="138"/>
        <v>#N/A</v>
      </c>
      <c r="I718" s="259" t="e">
        <f>IF(  OR(      INDEX('calcolo base'!$D:$D, MATCH($A718, 'calcolo base'!$A:$A, 0)) = 0,
      INDEX('calcolo base'!$D:$D, MATCH($A718, 'calcolo base'!$A:$A, 0)) = ""   ),
   INDEX('calcolo base'!$K:$K, MATCH($A718, 'calcolo base'!$A:$A, 0)),
   INDEX('calcolo base'!$J:$J, MATCH($A718, 'calcolo base'!$A:$A, 0))
) / 1000</f>
        <v>#N/A</v>
      </c>
      <c r="J718" s="50" t="e">
        <f t="shared" si="139"/>
        <v>#N/A</v>
      </c>
      <c r="K718" s="50"/>
      <c r="L718" s="267" t="e">
        <f>INDEX('calcolo base'!$H:$H, MATCH($A718, 'calcolo base'!$A:$A, 0))</f>
        <v>#N/A</v>
      </c>
      <c r="M718" s="50" t="e">
        <f t="shared" si="140"/>
        <v>#N/A</v>
      </c>
      <c r="N718" s="50" t="e">
        <f t="shared" si="141"/>
        <v>#N/A</v>
      </c>
      <c r="O718" s="50" t="e">
        <f t="shared" si="142"/>
        <v>#N/A</v>
      </c>
      <c r="P718" s="50" t="e">
        <f t="shared" si="143"/>
        <v>#N/A</v>
      </c>
      <c r="Q718" s="51" t="e">
        <f t="shared" si="144"/>
        <v>#N/A</v>
      </c>
      <c r="R718" s="205" t="e">
        <f t="shared" si="145"/>
        <v>#N/A</v>
      </c>
      <c r="S718" s="279" t="e">
        <f>IF(R718="si",0,IF(E718="si",0,IF(J718&gt;K718,0,+K718-J718)))+IF('calcolo base'!P2178="SI",('Commissioni De Angeli'!K718-'Commissioni De Angeli'!J718),0)</f>
        <v>#N/A</v>
      </c>
      <c r="T718" s="117" t="e">
        <f t="shared" si="146"/>
        <v>#N/A</v>
      </c>
      <c r="U718" s="272" t="e">
        <f>IF(Q718=0,'calcolo base'!L3317,(T718+Q718))</f>
        <v>#N/A</v>
      </c>
      <c r="V718" s="119"/>
    </row>
    <row r="719" spans="2:22">
      <c r="B719" s="47"/>
      <c r="C719" s="35"/>
      <c r="D719" s="53"/>
      <c r="E719" s="53"/>
      <c r="F719" s="48"/>
      <c r="G719" s="243" t="e">
        <f>INDEX('calcolo base'!$B:$B, MATCH($A719, 'calcolo base'!$A:$A, 0))</f>
        <v>#N/A</v>
      </c>
      <c r="H719" s="54" t="e">
        <f t="shared" si="138"/>
        <v>#N/A</v>
      </c>
      <c r="I719" s="259" t="e">
        <f>IF(  OR(      INDEX('calcolo base'!$D:$D, MATCH($A719, 'calcolo base'!$A:$A, 0)) = 0,
      INDEX('calcolo base'!$D:$D, MATCH($A719, 'calcolo base'!$A:$A, 0)) = ""   ),
   INDEX('calcolo base'!$K:$K, MATCH($A719, 'calcolo base'!$A:$A, 0)),
   INDEX('calcolo base'!$J:$J, MATCH($A719, 'calcolo base'!$A:$A, 0))
) / 1000</f>
        <v>#N/A</v>
      </c>
      <c r="J719" s="50" t="e">
        <f t="shared" si="139"/>
        <v>#N/A</v>
      </c>
      <c r="K719" s="50"/>
      <c r="L719" s="267" t="e">
        <f>INDEX('calcolo base'!$H:$H, MATCH($A719, 'calcolo base'!$A:$A, 0))</f>
        <v>#N/A</v>
      </c>
      <c r="M719" s="50" t="e">
        <f t="shared" si="140"/>
        <v>#N/A</v>
      </c>
      <c r="N719" s="50" t="e">
        <f t="shared" si="141"/>
        <v>#N/A</v>
      </c>
      <c r="O719" s="50" t="e">
        <f t="shared" si="142"/>
        <v>#N/A</v>
      </c>
      <c r="P719" s="50" t="e">
        <f t="shared" si="143"/>
        <v>#N/A</v>
      </c>
      <c r="Q719" s="51" t="e">
        <f t="shared" si="144"/>
        <v>#N/A</v>
      </c>
      <c r="R719" s="205" t="e">
        <f t="shared" si="145"/>
        <v>#N/A</v>
      </c>
      <c r="S719" s="279" t="e">
        <f>IF(R719="si",0,IF(E719="si",0,IF(J719&gt;K719,0,+K719-J719)))+IF('calcolo base'!P2179="SI",('Commissioni De Angeli'!K719-'Commissioni De Angeli'!J719),0)</f>
        <v>#N/A</v>
      </c>
      <c r="T719" s="117" t="e">
        <f t="shared" si="146"/>
        <v>#N/A</v>
      </c>
      <c r="U719" s="272" t="e">
        <f>IF(Q719=0,'calcolo base'!L3318,(T719+Q719))</f>
        <v>#N/A</v>
      </c>
      <c r="V719" s="119"/>
    </row>
    <row r="720" spans="2:22">
      <c r="B720" s="47"/>
      <c r="C720" s="35"/>
      <c r="D720" s="53"/>
      <c r="E720" s="53"/>
      <c r="F720" s="48"/>
      <c r="G720" s="243" t="e">
        <f>INDEX('calcolo base'!$B:$B, MATCH($A720, 'calcolo base'!$A:$A, 0))</f>
        <v>#N/A</v>
      </c>
      <c r="H720" s="54" t="e">
        <f t="shared" si="138"/>
        <v>#N/A</v>
      </c>
      <c r="I720" s="259" t="e">
        <f>IF(  OR(      INDEX('calcolo base'!$D:$D, MATCH($A720, 'calcolo base'!$A:$A, 0)) = 0,
      INDEX('calcolo base'!$D:$D, MATCH($A720, 'calcolo base'!$A:$A, 0)) = ""   ),
   INDEX('calcolo base'!$K:$K, MATCH($A720, 'calcolo base'!$A:$A, 0)),
   INDEX('calcolo base'!$J:$J, MATCH($A720, 'calcolo base'!$A:$A, 0))
) / 1000</f>
        <v>#N/A</v>
      </c>
      <c r="J720" s="50" t="e">
        <f t="shared" si="139"/>
        <v>#N/A</v>
      </c>
      <c r="K720" s="50"/>
      <c r="L720" s="267" t="e">
        <f>INDEX('calcolo base'!$H:$H, MATCH($A720, 'calcolo base'!$A:$A, 0))</f>
        <v>#N/A</v>
      </c>
      <c r="M720" s="50" t="e">
        <f t="shared" si="140"/>
        <v>#N/A</v>
      </c>
      <c r="N720" s="50" t="e">
        <f t="shared" si="141"/>
        <v>#N/A</v>
      </c>
      <c r="O720" s="50" t="e">
        <f t="shared" si="142"/>
        <v>#N/A</v>
      </c>
      <c r="P720" s="50" t="e">
        <f t="shared" si="143"/>
        <v>#N/A</v>
      </c>
      <c r="Q720" s="51" t="e">
        <f t="shared" si="144"/>
        <v>#N/A</v>
      </c>
      <c r="R720" s="205" t="e">
        <f t="shared" si="145"/>
        <v>#N/A</v>
      </c>
      <c r="S720" s="279" t="e">
        <f>IF(R720="si",0,IF(E720="si",0,IF(J720&gt;K720,0,+K720-J720)))+IF('calcolo base'!P2180="SI",('Commissioni De Angeli'!K720-'Commissioni De Angeli'!J720),0)</f>
        <v>#N/A</v>
      </c>
      <c r="T720" s="117" t="e">
        <f t="shared" si="146"/>
        <v>#N/A</v>
      </c>
      <c r="U720" s="272" t="e">
        <f>IF(Q720=0,'calcolo base'!L3319,(T720+Q720))</f>
        <v>#N/A</v>
      </c>
      <c r="V720" s="119"/>
    </row>
    <row r="721" spans="2:22">
      <c r="B721" s="47"/>
      <c r="C721" s="35"/>
      <c r="D721" s="53"/>
      <c r="E721" s="53"/>
      <c r="F721" s="48"/>
      <c r="G721" s="243" t="e">
        <f>INDEX('calcolo base'!$B:$B, MATCH($A721, 'calcolo base'!$A:$A, 0))</f>
        <v>#N/A</v>
      </c>
      <c r="H721" s="54" t="e">
        <f t="shared" si="138"/>
        <v>#N/A</v>
      </c>
      <c r="I721" s="259" t="e">
        <f>IF(  OR(      INDEX('calcolo base'!$D:$D, MATCH($A721, 'calcolo base'!$A:$A, 0)) = 0,
      INDEX('calcolo base'!$D:$D, MATCH($A721, 'calcolo base'!$A:$A, 0)) = ""   ),
   INDEX('calcolo base'!$K:$K, MATCH($A721, 'calcolo base'!$A:$A, 0)),
   INDEX('calcolo base'!$J:$J, MATCH($A721, 'calcolo base'!$A:$A, 0))
) / 1000</f>
        <v>#N/A</v>
      </c>
      <c r="J721" s="50" t="e">
        <f t="shared" si="139"/>
        <v>#N/A</v>
      </c>
      <c r="K721" s="50"/>
      <c r="L721" s="267" t="e">
        <f>INDEX('calcolo base'!$H:$H, MATCH($A721, 'calcolo base'!$A:$A, 0))</f>
        <v>#N/A</v>
      </c>
      <c r="M721" s="50" t="e">
        <f t="shared" si="140"/>
        <v>#N/A</v>
      </c>
      <c r="N721" s="50" t="e">
        <f t="shared" si="141"/>
        <v>#N/A</v>
      </c>
      <c r="O721" s="50" t="e">
        <f t="shared" si="142"/>
        <v>#N/A</v>
      </c>
      <c r="P721" s="50" t="e">
        <f t="shared" si="143"/>
        <v>#N/A</v>
      </c>
      <c r="Q721" s="51" t="e">
        <f t="shared" si="144"/>
        <v>#N/A</v>
      </c>
      <c r="R721" s="205" t="e">
        <f t="shared" si="145"/>
        <v>#N/A</v>
      </c>
      <c r="S721" s="279" t="e">
        <f>IF(R721="si",0,IF(E721="si",0,IF(J721&gt;K721,0,+K721-J721)))+IF('calcolo base'!P2181="SI",('Commissioni De Angeli'!K721-'Commissioni De Angeli'!J721),0)</f>
        <v>#N/A</v>
      </c>
      <c r="T721" s="117" t="e">
        <f t="shared" si="146"/>
        <v>#N/A</v>
      </c>
      <c r="U721" s="272" t="e">
        <f>IF(Q721=0,'calcolo base'!L3320,(T721+Q721))</f>
        <v>#N/A</v>
      </c>
      <c r="V721" s="119"/>
    </row>
    <row r="722" spans="2:22">
      <c r="B722" s="47"/>
      <c r="C722" s="35"/>
      <c r="D722" s="53"/>
      <c r="E722" s="53"/>
      <c r="F722" s="48"/>
      <c r="G722" s="243" t="e">
        <f>INDEX('calcolo base'!$B:$B, MATCH($A722, 'calcolo base'!$A:$A, 0))</f>
        <v>#N/A</v>
      </c>
      <c r="H722" s="54" t="e">
        <f t="shared" si="138"/>
        <v>#N/A</v>
      </c>
      <c r="I722" s="259" t="e">
        <f>IF(  OR(      INDEX('calcolo base'!$D:$D, MATCH($A722, 'calcolo base'!$A:$A, 0)) = 0,
      INDEX('calcolo base'!$D:$D, MATCH($A722, 'calcolo base'!$A:$A, 0)) = ""   ),
   INDEX('calcolo base'!$K:$K, MATCH($A722, 'calcolo base'!$A:$A, 0)),
   INDEX('calcolo base'!$J:$J, MATCH($A722, 'calcolo base'!$A:$A, 0))
) / 1000</f>
        <v>#N/A</v>
      </c>
      <c r="J722" s="50" t="e">
        <f t="shared" si="139"/>
        <v>#N/A</v>
      </c>
      <c r="K722" s="50"/>
      <c r="L722" s="267" t="e">
        <f>INDEX('calcolo base'!$H:$H, MATCH($A722, 'calcolo base'!$A:$A, 0))</f>
        <v>#N/A</v>
      </c>
      <c r="M722" s="50" t="e">
        <f t="shared" si="140"/>
        <v>#N/A</v>
      </c>
      <c r="N722" s="50" t="e">
        <f t="shared" si="141"/>
        <v>#N/A</v>
      </c>
      <c r="O722" s="50" t="e">
        <f t="shared" si="142"/>
        <v>#N/A</v>
      </c>
      <c r="P722" s="50" t="e">
        <f t="shared" si="143"/>
        <v>#N/A</v>
      </c>
      <c r="Q722" s="51" t="e">
        <f t="shared" si="144"/>
        <v>#N/A</v>
      </c>
      <c r="R722" s="205" t="e">
        <f t="shared" si="145"/>
        <v>#N/A</v>
      </c>
      <c r="S722" s="279" t="e">
        <f>IF(R722="si",0,IF(E722="si",0,IF(J722&gt;K722,0,+K722-J722)))+IF('calcolo base'!P2182="SI",('Commissioni De Angeli'!K722-'Commissioni De Angeli'!J722),0)</f>
        <v>#N/A</v>
      </c>
      <c r="T722" s="117" t="e">
        <f t="shared" si="146"/>
        <v>#N/A</v>
      </c>
      <c r="U722" s="272" t="e">
        <f>IF(Q722=0,'calcolo base'!L3321,(T722+Q722))</f>
        <v>#N/A</v>
      </c>
      <c r="V722" s="119"/>
    </row>
    <row r="723" spans="2:22">
      <c r="B723" s="47"/>
      <c r="C723" s="35"/>
      <c r="D723" s="53"/>
      <c r="E723" s="53"/>
      <c r="F723" s="48"/>
      <c r="G723" s="243" t="e">
        <f>INDEX('calcolo base'!$B:$B, MATCH($A723, 'calcolo base'!$A:$A, 0))</f>
        <v>#N/A</v>
      </c>
      <c r="H723" s="54" t="e">
        <f t="shared" si="138"/>
        <v>#N/A</v>
      </c>
      <c r="I723" s="259" t="e">
        <f>IF(  OR(      INDEX('calcolo base'!$D:$D, MATCH($A723, 'calcolo base'!$A:$A, 0)) = 0,
      INDEX('calcolo base'!$D:$D, MATCH($A723, 'calcolo base'!$A:$A, 0)) = ""   ),
   INDEX('calcolo base'!$K:$K, MATCH($A723, 'calcolo base'!$A:$A, 0)),
   INDEX('calcolo base'!$J:$J, MATCH($A723, 'calcolo base'!$A:$A, 0))
) / 1000</f>
        <v>#N/A</v>
      </c>
      <c r="J723" s="50" t="e">
        <f t="shared" si="139"/>
        <v>#N/A</v>
      </c>
      <c r="K723" s="50"/>
      <c r="L723" s="267" t="e">
        <f>INDEX('calcolo base'!$H:$H, MATCH($A723, 'calcolo base'!$A:$A, 0))</f>
        <v>#N/A</v>
      </c>
      <c r="M723" s="50" t="e">
        <f t="shared" si="140"/>
        <v>#N/A</v>
      </c>
      <c r="N723" s="50" t="e">
        <f t="shared" si="141"/>
        <v>#N/A</v>
      </c>
      <c r="O723" s="50" t="e">
        <f t="shared" si="142"/>
        <v>#N/A</v>
      </c>
      <c r="P723" s="50" t="e">
        <f t="shared" si="143"/>
        <v>#N/A</v>
      </c>
      <c r="Q723" s="51" t="e">
        <f t="shared" si="144"/>
        <v>#N/A</v>
      </c>
      <c r="R723" s="205" t="e">
        <f t="shared" si="145"/>
        <v>#N/A</v>
      </c>
      <c r="S723" s="279" t="e">
        <f>IF(R723="si",0,IF(E723="si",0,IF(J723&gt;K723,0,+K723-J723)))+IF('calcolo base'!P2183="SI",('Commissioni De Angeli'!K723-'Commissioni De Angeli'!J723),0)</f>
        <v>#N/A</v>
      </c>
      <c r="T723" s="117" t="e">
        <f t="shared" si="146"/>
        <v>#N/A</v>
      </c>
      <c r="U723" s="272" t="e">
        <f>IF(Q723=0,'calcolo base'!L3322,(T723+Q723))</f>
        <v>#N/A</v>
      </c>
      <c r="V723" s="119"/>
    </row>
    <row r="724" spans="2:22">
      <c r="B724" s="47"/>
      <c r="C724" s="35"/>
      <c r="D724" s="53"/>
      <c r="E724" s="53"/>
      <c r="F724" s="48"/>
      <c r="G724" s="243" t="e">
        <f>INDEX('calcolo base'!$B:$B, MATCH($A724, 'calcolo base'!$A:$A, 0))</f>
        <v>#N/A</v>
      </c>
      <c r="H724" s="54" t="e">
        <f t="shared" si="138"/>
        <v>#N/A</v>
      </c>
      <c r="I724" s="259" t="e">
        <f>IF(  OR(      INDEX('calcolo base'!$D:$D, MATCH($A724, 'calcolo base'!$A:$A, 0)) = 0,
      INDEX('calcolo base'!$D:$D, MATCH($A724, 'calcolo base'!$A:$A, 0)) = ""   ),
   INDEX('calcolo base'!$K:$K, MATCH($A724, 'calcolo base'!$A:$A, 0)),
   INDEX('calcolo base'!$J:$J, MATCH($A724, 'calcolo base'!$A:$A, 0))
) / 1000</f>
        <v>#N/A</v>
      </c>
      <c r="J724" s="50" t="e">
        <f t="shared" si="139"/>
        <v>#N/A</v>
      </c>
      <c r="K724" s="50"/>
      <c r="L724" s="267" t="e">
        <f>INDEX('calcolo base'!$H:$H, MATCH($A724, 'calcolo base'!$A:$A, 0))</f>
        <v>#N/A</v>
      </c>
      <c r="M724" s="50" t="e">
        <f t="shared" si="140"/>
        <v>#N/A</v>
      </c>
      <c r="N724" s="50" t="e">
        <f t="shared" si="141"/>
        <v>#N/A</v>
      </c>
      <c r="O724" s="50" t="e">
        <f t="shared" si="142"/>
        <v>#N/A</v>
      </c>
      <c r="P724" s="50" t="e">
        <f t="shared" si="143"/>
        <v>#N/A</v>
      </c>
      <c r="Q724" s="51" t="e">
        <f t="shared" si="144"/>
        <v>#N/A</v>
      </c>
      <c r="R724" s="205" t="e">
        <f t="shared" si="145"/>
        <v>#N/A</v>
      </c>
      <c r="S724" s="279" t="e">
        <f>IF(R724="si",0,IF(E724="si",0,IF(J724&gt;K724,0,+K724-J724)))+IF('calcolo base'!P2184="SI",('Commissioni De Angeli'!K724-'Commissioni De Angeli'!J724),0)</f>
        <v>#N/A</v>
      </c>
      <c r="T724" s="117" t="e">
        <f t="shared" si="146"/>
        <v>#N/A</v>
      </c>
      <c r="U724" s="272" t="e">
        <f>IF(Q724=0,'calcolo base'!L3323,(T724+Q724))</f>
        <v>#N/A</v>
      </c>
      <c r="V724" s="119"/>
    </row>
    <row r="725" spans="2:22">
      <c r="B725" s="47"/>
      <c r="C725" s="35"/>
      <c r="D725" s="53"/>
      <c r="E725" s="53"/>
      <c r="F725" s="48"/>
      <c r="G725" s="243" t="e">
        <f>INDEX('calcolo base'!$B:$B, MATCH($A725, 'calcolo base'!$A:$A, 0))</f>
        <v>#N/A</v>
      </c>
      <c r="H725" s="54" t="e">
        <f t="shared" si="138"/>
        <v>#N/A</v>
      </c>
      <c r="I725" s="259" t="e">
        <f>IF(  OR(      INDEX('calcolo base'!$D:$D, MATCH($A725, 'calcolo base'!$A:$A, 0)) = 0,
      INDEX('calcolo base'!$D:$D, MATCH($A725, 'calcolo base'!$A:$A, 0)) = ""   ),
   INDEX('calcolo base'!$K:$K, MATCH($A725, 'calcolo base'!$A:$A, 0)),
   INDEX('calcolo base'!$J:$J, MATCH($A725, 'calcolo base'!$A:$A, 0))
) / 1000</f>
        <v>#N/A</v>
      </c>
      <c r="J725" s="50" t="e">
        <f t="shared" si="139"/>
        <v>#N/A</v>
      </c>
      <c r="K725" s="50"/>
      <c r="L725" s="267" t="e">
        <f>INDEX('calcolo base'!$H:$H, MATCH($A725, 'calcolo base'!$A:$A, 0))</f>
        <v>#N/A</v>
      </c>
      <c r="M725" s="50" t="e">
        <f t="shared" si="140"/>
        <v>#N/A</v>
      </c>
      <c r="N725" s="50" t="e">
        <f t="shared" si="141"/>
        <v>#N/A</v>
      </c>
      <c r="O725" s="50" t="e">
        <f t="shared" si="142"/>
        <v>#N/A</v>
      </c>
      <c r="P725" s="50" t="e">
        <f t="shared" si="143"/>
        <v>#N/A</v>
      </c>
      <c r="Q725" s="51" t="e">
        <f t="shared" si="144"/>
        <v>#N/A</v>
      </c>
      <c r="R725" s="205" t="e">
        <f t="shared" si="145"/>
        <v>#N/A</v>
      </c>
      <c r="S725" s="279" t="e">
        <f>IF(R725="si",0,IF(E725="si",0,IF(J725&gt;K725,0,+K725-J725)))+IF('calcolo base'!P2185="SI",('Commissioni De Angeli'!K725-'Commissioni De Angeli'!J725),0)</f>
        <v>#N/A</v>
      </c>
      <c r="T725" s="117" t="e">
        <f t="shared" si="146"/>
        <v>#N/A</v>
      </c>
      <c r="U725" s="272" t="e">
        <f>IF(Q725=0,'calcolo base'!L3324,(T725+Q725))</f>
        <v>#N/A</v>
      </c>
      <c r="V725" s="119"/>
    </row>
    <row r="726" spans="2:22">
      <c r="B726" s="47"/>
      <c r="C726" s="35"/>
      <c r="D726" s="53"/>
      <c r="E726" s="53"/>
      <c r="F726" s="48"/>
      <c r="G726" s="243" t="e">
        <f>INDEX('calcolo base'!$B:$B, MATCH($A726, 'calcolo base'!$A:$A, 0))</f>
        <v>#N/A</v>
      </c>
      <c r="H726" s="54" t="e">
        <f t="shared" si="138"/>
        <v>#N/A</v>
      </c>
      <c r="I726" s="259" t="e">
        <f>IF(  OR(      INDEX('calcolo base'!$D:$D, MATCH($A726, 'calcolo base'!$A:$A, 0)) = 0,
      INDEX('calcolo base'!$D:$D, MATCH($A726, 'calcolo base'!$A:$A, 0)) = ""   ),
   INDEX('calcolo base'!$K:$K, MATCH($A726, 'calcolo base'!$A:$A, 0)),
   INDEX('calcolo base'!$J:$J, MATCH($A726, 'calcolo base'!$A:$A, 0))
) / 1000</f>
        <v>#N/A</v>
      </c>
      <c r="J726" s="50" t="e">
        <f t="shared" si="139"/>
        <v>#N/A</v>
      </c>
      <c r="K726" s="50"/>
      <c r="L726" s="267" t="e">
        <f>INDEX('calcolo base'!$H:$H, MATCH($A726, 'calcolo base'!$A:$A, 0))</f>
        <v>#N/A</v>
      </c>
      <c r="M726" s="50" t="e">
        <f t="shared" si="140"/>
        <v>#N/A</v>
      </c>
      <c r="N726" s="50" t="e">
        <f t="shared" si="141"/>
        <v>#N/A</v>
      </c>
      <c r="O726" s="50" t="e">
        <f t="shared" si="142"/>
        <v>#N/A</v>
      </c>
      <c r="P726" s="50" t="e">
        <f t="shared" si="143"/>
        <v>#N/A</v>
      </c>
      <c r="Q726" s="51" t="e">
        <f t="shared" si="144"/>
        <v>#N/A</v>
      </c>
      <c r="R726" s="205" t="e">
        <f t="shared" si="145"/>
        <v>#N/A</v>
      </c>
      <c r="S726" s="279" t="e">
        <f>IF(R726="si",0,IF(E726="si",0,IF(J726&gt;K726,0,+K726-J726)))+IF('calcolo base'!P2186="SI",('Commissioni De Angeli'!K726-'Commissioni De Angeli'!J726),0)</f>
        <v>#N/A</v>
      </c>
      <c r="T726" s="117" t="e">
        <f t="shared" si="146"/>
        <v>#N/A</v>
      </c>
      <c r="U726" s="272" t="e">
        <f>IF(Q726=0,'calcolo base'!L3325,(T726+Q726))</f>
        <v>#N/A</v>
      </c>
      <c r="V726" s="119"/>
    </row>
    <row r="727" spans="2:22">
      <c r="B727" s="47"/>
      <c r="C727" s="35"/>
      <c r="D727" s="53"/>
      <c r="E727" s="53"/>
      <c r="F727" s="48"/>
      <c r="G727" s="243" t="e">
        <f>INDEX('calcolo base'!$B:$B, MATCH($A727, 'calcolo base'!$A:$A, 0))</f>
        <v>#N/A</v>
      </c>
      <c r="H727" s="54" t="e">
        <f t="shared" si="138"/>
        <v>#N/A</v>
      </c>
      <c r="I727" s="259" t="e">
        <f>IF(  OR(      INDEX('calcolo base'!$D:$D, MATCH($A727, 'calcolo base'!$A:$A, 0)) = 0,
      INDEX('calcolo base'!$D:$D, MATCH($A727, 'calcolo base'!$A:$A, 0)) = ""   ),
   INDEX('calcolo base'!$K:$K, MATCH($A727, 'calcolo base'!$A:$A, 0)),
   INDEX('calcolo base'!$J:$J, MATCH($A727, 'calcolo base'!$A:$A, 0))
) / 1000</f>
        <v>#N/A</v>
      </c>
      <c r="J727" s="50" t="e">
        <f t="shared" si="139"/>
        <v>#N/A</v>
      </c>
      <c r="K727" s="50"/>
      <c r="L727" s="267" t="e">
        <f>INDEX('calcolo base'!$H:$H, MATCH($A727, 'calcolo base'!$A:$A, 0))</f>
        <v>#N/A</v>
      </c>
      <c r="M727" s="50" t="e">
        <f t="shared" si="140"/>
        <v>#N/A</v>
      </c>
      <c r="N727" s="50" t="e">
        <f t="shared" si="141"/>
        <v>#N/A</v>
      </c>
      <c r="O727" s="50" t="e">
        <f t="shared" si="142"/>
        <v>#N/A</v>
      </c>
      <c r="P727" s="50" t="e">
        <f t="shared" si="143"/>
        <v>#N/A</v>
      </c>
      <c r="Q727" s="51" t="e">
        <f t="shared" si="144"/>
        <v>#N/A</v>
      </c>
      <c r="R727" s="205" t="e">
        <f t="shared" si="145"/>
        <v>#N/A</v>
      </c>
      <c r="S727" s="279" t="e">
        <f>IF(R727="si",0,IF(E727="si",0,IF(J727&gt;K727,0,+K727-J727)))+IF('calcolo base'!P2187="SI",('Commissioni De Angeli'!K727-'Commissioni De Angeli'!J727),0)</f>
        <v>#N/A</v>
      </c>
      <c r="T727" s="117" t="e">
        <f t="shared" si="146"/>
        <v>#N/A</v>
      </c>
      <c r="U727" s="272" t="e">
        <f>IF(Q727=0,'calcolo base'!L3326,(T727+Q727))</f>
        <v>#N/A</v>
      </c>
      <c r="V727" s="119"/>
    </row>
    <row r="728" spans="2:22">
      <c r="B728" s="47"/>
      <c r="C728" s="35"/>
      <c r="D728" s="53"/>
      <c r="E728" s="53"/>
      <c r="F728" s="48"/>
      <c r="G728" s="243" t="e">
        <f>INDEX('calcolo base'!$B:$B, MATCH($A728, 'calcolo base'!$A:$A, 0))</f>
        <v>#N/A</v>
      </c>
      <c r="H728" s="54" t="e">
        <f t="shared" si="138"/>
        <v>#N/A</v>
      </c>
      <c r="I728" s="259" t="e">
        <f>IF(  OR(      INDEX('calcolo base'!$D:$D, MATCH($A728, 'calcolo base'!$A:$A, 0)) = 0,
      INDEX('calcolo base'!$D:$D, MATCH($A728, 'calcolo base'!$A:$A, 0)) = ""   ),
   INDEX('calcolo base'!$K:$K, MATCH($A728, 'calcolo base'!$A:$A, 0)),
   INDEX('calcolo base'!$J:$J, MATCH($A728, 'calcolo base'!$A:$A, 0))
) / 1000</f>
        <v>#N/A</v>
      </c>
      <c r="J728" s="50" t="e">
        <f t="shared" si="139"/>
        <v>#N/A</v>
      </c>
      <c r="K728" s="50"/>
      <c r="L728" s="267" t="e">
        <f>INDEX('calcolo base'!$H:$H, MATCH($A728, 'calcolo base'!$A:$A, 0))</f>
        <v>#N/A</v>
      </c>
      <c r="M728" s="50" t="e">
        <f t="shared" si="140"/>
        <v>#N/A</v>
      </c>
      <c r="N728" s="50" t="e">
        <f t="shared" si="141"/>
        <v>#N/A</v>
      </c>
      <c r="O728" s="50" t="e">
        <f t="shared" si="142"/>
        <v>#N/A</v>
      </c>
      <c r="P728" s="50" t="e">
        <f t="shared" si="143"/>
        <v>#N/A</v>
      </c>
      <c r="Q728" s="51" t="e">
        <f t="shared" si="144"/>
        <v>#N/A</v>
      </c>
      <c r="R728" s="205" t="e">
        <f t="shared" si="145"/>
        <v>#N/A</v>
      </c>
      <c r="S728" s="279" t="e">
        <f>IF(R728="si",0,IF(E728="si",0,IF(J728&gt;K728,0,+K728-J728)))+IF('calcolo base'!P2188="SI",('Commissioni De Angeli'!K728-'Commissioni De Angeli'!J728),0)</f>
        <v>#N/A</v>
      </c>
      <c r="T728" s="117" t="e">
        <f t="shared" si="146"/>
        <v>#N/A</v>
      </c>
      <c r="U728" s="272" t="e">
        <f>IF(Q728=0,'calcolo base'!L3327,(T728+Q728))</f>
        <v>#N/A</v>
      </c>
      <c r="V728" s="119"/>
    </row>
    <row r="729" spans="2:22">
      <c r="B729" s="47"/>
      <c r="C729" s="35"/>
      <c r="D729" s="53"/>
      <c r="E729" s="53"/>
      <c r="F729" s="48"/>
      <c r="G729" s="243" t="e">
        <f>INDEX('calcolo base'!$B:$B, MATCH($A729, 'calcolo base'!$A:$A, 0))</f>
        <v>#N/A</v>
      </c>
      <c r="H729" s="54" t="e">
        <f t="shared" si="138"/>
        <v>#N/A</v>
      </c>
      <c r="I729" s="259" t="e">
        <f>IF(  OR(      INDEX('calcolo base'!$D:$D, MATCH($A729, 'calcolo base'!$A:$A, 0)) = 0,
      INDEX('calcolo base'!$D:$D, MATCH($A729, 'calcolo base'!$A:$A, 0)) = ""   ),
   INDEX('calcolo base'!$K:$K, MATCH($A729, 'calcolo base'!$A:$A, 0)),
   INDEX('calcolo base'!$J:$J, MATCH($A729, 'calcolo base'!$A:$A, 0))
) / 1000</f>
        <v>#N/A</v>
      </c>
      <c r="J729" s="50" t="e">
        <f t="shared" si="139"/>
        <v>#N/A</v>
      </c>
      <c r="K729" s="50"/>
      <c r="L729" s="267" t="e">
        <f>INDEX('calcolo base'!$H:$H, MATCH($A729, 'calcolo base'!$A:$A, 0))</f>
        <v>#N/A</v>
      </c>
      <c r="M729" s="50" t="e">
        <f t="shared" si="140"/>
        <v>#N/A</v>
      </c>
      <c r="N729" s="50" t="e">
        <f t="shared" si="141"/>
        <v>#N/A</v>
      </c>
      <c r="O729" s="50" t="e">
        <f t="shared" si="142"/>
        <v>#N/A</v>
      </c>
      <c r="P729" s="50" t="e">
        <f t="shared" si="143"/>
        <v>#N/A</v>
      </c>
      <c r="Q729" s="51" t="e">
        <f t="shared" si="144"/>
        <v>#N/A</v>
      </c>
      <c r="R729" s="205" t="e">
        <f t="shared" si="145"/>
        <v>#N/A</v>
      </c>
      <c r="S729" s="279" t="e">
        <f>IF(R729="si",0,IF(E729="si",0,IF(J729&gt;K729,0,+K729-J729)))+IF('calcolo base'!P2189="SI",('Commissioni De Angeli'!K729-'Commissioni De Angeli'!J729),0)</f>
        <v>#N/A</v>
      </c>
      <c r="T729" s="117" t="e">
        <f t="shared" si="146"/>
        <v>#N/A</v>
      </c>
      <c r="U729" s="272" t="e">
        <f>IF(Q729=0,'calcolo base'!L3328,(T729+Q729))</f>
        <v>#N/A</v>
      </c>
      <c r="V729" s="119"/>
    </row>
    <row r="730" spans="2:22">
      <c r="B730" s="47"/>
      <c r="C730" s="35"/>
      <c r="D730" s="53"/>
      <c r="E730" s="53"/>
      <c r="F730" s="48"/>
      <c r="G730" s="243" t="e">
        <f>INDEX('calcolo base'!$B:$B, MATCH($A730, 'calcolo base'!$A:$A, 0))</f>
        <v>#N/A</v>
      </c>
      <c r="H730" s="54" t="e">
        <f t="shared" si="138"/>
        <v>#N/A</v>
      </c>
      <c r="I730" s="259" t="e">
        <f>IF(  OR(      INDEX('calcolo base'!$D:$D, MATCH($A730, 'calcolo base'!$A:$A, 0)) = 0,
      INDEX('calcolo base'!$D:$D, MATCH($A730, 'calcolo base'!$A:$A, 0)) = ""   ),
   INDEX('calcolo base'!$K:$K, MATCH($A730, 'calcolo base'!$A:$A, 0)),
   INDEX('calcolo base'!$J:$J, MATCH($A730, 'calcolo base'!$A:$A, 0))
) / 1000</f>
        <v>#N/A</v>
      </c>
      <c r="J730" s="50" t="e">
        <f t="shared" si="139"/>
        <v>#N/A</v>
      </c>
      <c r="K730" s="50"/>
      <c r="L730" s="267" t="e">
        <f>INDEX('calcolo base'!$H:$H, MATCH($A730, 'calcolo base'!$A:$A, 0))</f>
        <v>#N/A</v>
      </c>
      <c r="M730" s="50" t="e">
        <f t="shared" si="140"/>
        <v>#N/A</v>
      </c>
      <c r="N730" s="50" t="e">
        <f t="shared" si="141"/>
        <v>#N/A</v>
      </c>
      <c r="O730" s="50" t="e">
        <f t="shared" si="142"/>
        <v>#N/A</v>
      </c>
      <c r="P730" s="50" t="e">
        <f t="shared" si="143"/>
        <v>#N/A</v>
      </c>
      <c r="Q730" s="51" t="e">
        <f t="shared" si="144"/>
        <v>#N/A</v>
      </c>
      <c r="R730" s="205" t="e">
        <f t="shared" si="145"/>
        <v>#N/A</v>
      </c>
      <c r="S730" s="279" t="e">
        <f>IF(R730="si",0,IF(E730="si",0,IF(J730&gt;K730,0,+K730-J730)))+IF('calcolo base'!P2190="SI",('Commissioni De Angeli'!K730-'Commissioni De Angeli'!J730),0)</f>
        <v>#N/A</v>
      </c>
      <c r="T730" s="117" t="e">
        <f t="shared" si="146"/>
        <v>#N/A</v>
      </c>
      <c r="U730" s="272" t="e">
        <f>IF(Q730=0,'calcolo base'!L3329,(T730+Q730))</f>
        <v>#N/A</v>
      </c>
      <c r="V730" s="119"/>
    </row>
    <row r="731" spans="2:22">
      <c r="B731" s="47"/>
      <c r="C731" s="35"/>
      <c r="D731" s="53"/>
      <c r="E731" s="53"/>
      <c r="F731" s="48"/>
      <c r="G731" s="243" t="e">
        <f>INDEX('calcolo base'!$B:$B, MATCH($A731, 'calcolo base'!$A:$A, 0))</f>
        <v>#N/A</v>
      </c>
      <c r="H731" s="54" t="e">
        <f t="shared" si="138"/>
        <v>#N/A</v>
      </c>
      <c r="I731" s="259" t="e">
        <f>IF(  OR(      INDEX('calcolo base'!$D:$D, MATCH($A731, 'calcolo base'!$A:$A, 0)) = 0,
      INDEX('calcolo base'!$D:$D, MATCH($A731, 'calcolo base'!$A:$A, 0)) = ""   ),
   INDEX('calcolo base'!$K:$K, MATCH($A731, 'calcolo base'!$A:$A, 0)),
   INDEX('calcolo base'!$J:$J, MATCH($A731, 'calcolo base'!$A:$A, 0))
) / 1000</f>
        <v>#N/A</v>
      </c>
      <c r="J731" s="50" t="e">
        <f t="shared" si="139"/>
        <v>#N/A</v>
      </c>
      <c r="K731" s="50"/>
      <c r="L731" s="267" t="e">
        <f>INDEX('calcolo base'!$H:$H, MATCH($A731, 'calcolo base'!$A:$A, 0))</f>
        <v>#N/A</v>
      </c>
      <c r="M731" s="50" t="e">
        <f t="shared" si="140"/>
        <v>#N/A</v>
      </c>
      <c r="N731" s="50" t="e">
        <f t="shared" si="141"/>
        <v>#N/A</v>
      </c>
      <c r="O731" s="50" t="e">
        <f t="shared" si="142"/>
        <v>#N/A</v>
      </c>
      <c r="P731" s="50" t="e">
        <f t="shared" si="143"/>
        <v>#N/A</v>
      </c>
      <c r="Q731" s="51" t="e">
        <f t="shared" si="144"/>
        <v>#N/A</v>
      </c>
      <c r="R731" s="205" t="e">
        <f t="shared" si="145"/>
        <v>#N/A</v>
      </c>
      <c r="S731" s="279" t="e">
        <f>IF(R731="si",0,IF(E731="si",0,IF(J731&gt;K731,0,+K731-J731)))+IF('calcolo base'!P2191="SI",('Commissioni De Angeli'!K731-'Commissioni De Angeli'!J731),0)</f>
        <v>#N/A</v>
      </c>
      <c r="T731" s="117" t="e">
        <f t="shared" si="146"/>
        <v>#N/A</v>
      </c>
      <c r="U731" s="272" t="e">
        <f>IF(Q731=0,'calcolo base'!L3330,(T731+Q731))</f>
        <v>#N/A</v>
      </c>
      <c r="V731" s="119"/>
    </row>
    <row r="732" spans="2:22">
      <c r="B732" s="47"/>
      <c r="C732" s="35"/>
      <c r="D732" s="53"/>
      <c r="E732" s="53"/>
      <c r="F732" s="48"/>
      <c r="G732" s="243" t="e">
        <f>INDEX('calcolo base'!$B:$B, MATCH($A732, 'calcolo base'!$A:$A, 0))</f>
        <v>#N/A</v>
      </c>
      <c r="H732" s="54" t="e">
        <f t="shared" si="138"/>
        <v>#N/A</v>
      </c>
      <c r="I732" s="259" t="e">
        <f>IF(  OR(      INDEX('calcolo base'!$D:$D, MATCH($A732, 'calcolo base'!$A:$A, 0)) = 0,
      INDEX('calcolo base'!$D:$D, MATCH($A732, 'calcolo base'!$A:$A, 0)) = ""   ),
   INDEX('calcolo base'!$K:$K, MATCH($A732, 'calcolo base'!$A:$A, 0)),
   INDEX('calcolo base'!$J:$J, MATCH($A732, 'calcolo base'!$A:$A, 0))
) / 1000</f>
        <v>#N/A</v>
      </c>
      <c r="J732" s="50" t="e">
        <f t="shared" si="139"/>
        <v>#N/A</v>
      </c>
      <c r="K732" s="50"/>
      <c r="L732" s="267" t="e">
        <f>INDEX('calcolo base'!$H:$H, MATCH($A732, 'calcolo base'!$A:$A, 0))</f>
        <v>#N/A</v>
      </c>
      <c r="M732" s="50" t="e">
        <f t="shared" si="140"/>
        <v>#N/A</v>
      </c>
      <c r="N732" s="50" t="e">
        <f t="shared" si="141"/>
        <v>#N/A</v>
      </c>
      <c r="O732" s="50" t="e">
        <f t="shared" si="142"/>
        <v>#N/A</v>
      </c>
      <c r="P732" s="50" t="e">
        <f t="shared" si="143"/>
        <v>#N/A</v>
      </c>
      <c r="Q732" s="51" t="e">
        <f t="shared" si="144"/>
        <v>#N/A</v>
      </c>
      <c r="R732" s="205" t="e">
        <f t="shared" si="145"/>
        <v>#N/A</v>
      </c>
      <c r="S732" s="279" t="e">
        <f>IF(R732="si",0,IF(E732="si",0,IF(J732&gt;K732,0,+K732-J732)))+IF('calcolo base'!P2192="SI",('Commissioni De Angeli'!K732-'Commissioni De Angeli'!J732),0)</f>
        <v>#N/A</v>
      </c>
      <c r="T732" s="117" t="e">
        <f t="shared" si="146"/>
        <v>#N/A</v>
      </c>
      <c r="U732" s="272" t="e">
        <f>IF(Q732=0,'calcolo base'!L3331,(T732+Q732))</f>
        <v>#N/A</v>
      </c>
      <c r="V732" s="119"/>
    </row>
    <row r="733" spans="2:22">
      <c r="B733" s="47"/>
      <c r="C733" s="35"/>
      <c r="D733" s="53"/>
      <c r="E733" s="53"/>
      <c r="F733" s="48"/>
      <c r="G733" s="243" t="e">
        <f>INDEX('calcolo base'!$B:$B, MATCH($A733, 'calcolo base'!$A:$A, 0))</f>
        <v>#N/A</v>
      </c>
      <c r="H733" s="54" t="e">
        <f t="shared" si="138"/>
        <v>#N/A</v>
      </c>
      <c r="I733" s="259" t="e">
        <f>IF(  OR(      INDEX('calcolo base'!$D:$D, MATCH($A733, 'calcolo base'!$A:$A, 0)) = 0,
      INDEX('calcolo base'!$D:$D, MATCH($A733, 'calcolo base'!$A:$A, 0)) = ""   ),
   INDEX('calcolo base'!$K:$K, MATCH($A733, 'calcolo base'!$A:$A, 0)),
   INDEX('calcolo base'!$J:$J, MATCH($A733, 'calcolo base'!$A:$A, 0))
) / 1000</f>
        <v>#N/A</v>
      </c>
      <c r="J733" s="50" t="e">
        <f t="shared" si="139"/>
        <v>#N/A</v>
      </c>
      <c r="K733" s="50"/>
      <c r="L733" s="267" t="e">
        <f>INDEX('calcolo base'!$H:$H, MATCH($A733, 'calcolo base'!$A:$A, 0))</f>
        <v>#N/A</v>
      </c>
      <c r="M733" s="50" t="e">
        <f t="shared" si="140"/>
        <v>#N/A</v>
      </c>
      <c r="N733" s="50" t="e">
        <f t="shared" si="141"/>
        <v>#N/A</v>
      </c>
      <c r="O733" s="50" t="e">
        <f t="shared" si="142"/>
        <v>#N/A</v>
      </c>
      <c r="P733" s="50" t="e">
        <f t="shared" si="143"/>
        <v>#N/A</v>
      </c>
      <c r="Q733" s="51" t="e">
        <f t="shared" si="144"/>
        <v>#N/A</v>
      </c>
      <c r="R733" s="205" t="e">
        <f t="shared" si="145"/>
        <v>#N/A</v>
      </c>
      <c r="S733" s="279" t="e">
        <f>IF(R733="si",0,IF(E733="si",0,IF(J733&gt;K733,0,+K733-J733)))+IF('calcolo base'!P2193="SI",('Commissioni De Angeli'!K733-'Commissioni De Angeli'!J733),0)</f>
        <v>#N/A</v>
      </c>
      <c r="T733" s="117" t="e">
        <f t="shared" si="146"/>
        <v>#N/A</v>
      </c>
      <c r="U733" s="272" t="e">
        <f>IF(Q733=0,'calcolo base'!L3332,(T733+Q733))</f>
        <v>#N/A</v>
      </c>
      <c r="V733" s="119"/>
    </row>
    <row r="734" spans="2:22">
      <c r="B734" s="47"/>
      <c r="C734" s="35"/>
      <c r="D734" s="53"/>
      <c r="E734" s="53"/>
      <c r="F734" s="48"/>
      <c r="G734" s="243" t="e">
        <f>INDEX('calcolo base'!$B:$B, MATCH($A734, 'calcolo base'!$A:$A, 0))</f>
        <v>#N/A</v>
      </c>
      <c r="H734" s="54" t="e">
        <f t="shared" si="138"/>
        <v>#N/A</v>
      </c>
      <c r="I734" s="259" t="e">
        <f>IF(  OR(      INDEX('calcolo base'!$D:$D, MATCH($A734, 'calcolo base'!$A:$A, 0)) = 0,
      INDEX('calcolo base'!$D:$D, MATCH($A734, 'calcolo base'!$A:$A, 0)) = ""   ),
   INDEX('calcolo base'!$K:$K, MATCH($A734, 'calcolo base'!$A:$A, 0)),
   INDEX('calcolo base'!$J:$J, MATCH($A734, 'calcolo base'!$A:$A, 0))
) / 1000</f>
        <v>#N/A</v>
      </c>
      <c r="J734" s="50" t="e">
        <f t="shared" si="139"/>
        <v>#N/A</v>
      </c>
      <c r="K734" s="50"/>
      <c r="L734" s="267" t="e">
        <f>INDEX('calcolo base'!$H:$H, MATCH($A734, 'calcolo base'!$A:$A, 0))</f>
        <v>#N/A</v>
      </c>
      <c r="M734" s="50" t="e">
        <f t="shared" si="140"/>
        <v>#N/A</v>
      </c>
      <c r="N734" s="50" t="e">
        <f t="shared" si="141"/>
        <v>#N/A</v>
      </c>
      <c r="O734" s="50" t="e">
        <f t="shared" si="142"/>
        <v>#N/A</v>
      </c>
      <c r="P734" s="50" t="e">
        <f t="shared" si="143"/>
        <v>#N/A</v>
      </c>
      <c r="Q734" s="51" t="e">
        <f t="shared" si="144"/>
        <v>#N/A</v>
      </c>
      <c r="R734" s="205" t="e">
        <f t="shared" si="145"/>
        <v>#N/A</v>
      </c>
      <c r="S734" s="279" t="e">
        <f>IF(R734="si",0,IF(E734="si",0,IF(J734&gt;K734,0,+K734-J734)))+IF('calcolo base'!P2194="SI",('Commissioni De Angeli'!K734-'Commissioni De Angeli'!J734),0)</f>
        <v>#N/A</v>
      </c>
      <c r="T734" s="117" t="e">
        <f t="shared" si="146"/>
        <v>#N/A</v>
      </c>
      <c r="U734" s="272" t="e">
        <f>IF(Q734=0,'calcolo base'!L3333,(T734+Q734))</f>
        <v>#N/A</v>
      </c>
      <c r="V734" s="119"/>
    </row>
    <row r="735" spans="2:22">
      <c r="B735" s="47"/>
      <c r="C735" s="35"/>
      <c r="D735" s="53"/>
      <c r="E735" s="53"/>
      <c r="F735" s="48"/>
      <c r="G735" s="243" t="e">
        <f>INDEX('calcolo base'!$B:$B, MATCH($A735, 'calcolo base'!$A:$A, 0))</f>
        <v>#N/A</v>
      </c>
      <c r="H735" s="54" t="e">
        <f t="shared" si="138"/>
        <v>#N/A</v>
      </c>
      <c r="I735" s="259" t="e">
        <f>IF(  OR(      INDEX('calcolo base'!$D:$D, MATCH($A735, 'calcolo base'!$A:$A, 0)) = 0,
      INDEX('calcolo base'!$D:$D, MATCH($A735, 'calcolo base'!$A:$A, 0)) = ""   ),
   INDEX('calcolo base'!$K:$K, MATCH($A735, 'calcolo base'!$A:$A, 0)),
   INDEX('calcolo base'!$J:$J, MATCH($A735, 'calcolo base'!$A:$A, 0))
) / 1000</f>
        <v>#N/A</v>
      </c>
      <c r="J735" s="50" t="e">
        <f t="shared" si="139"/>
        <v>#N/A</v>
      </c>
      <c r="K735" s="50"/>
      <c r="L735" s="267" t="e">
        <f>INDEX('calcolo base'!$H:$H, MATCH($A735, 'calcolo base'!$A:$A, 0))</f>
        <v>#N/A</v>
      </c>
      <c r="M735" s="50" t="e">
        <f t="shared" si="140"/>
        <v>#N/A</v>
      </c>
      <c r="N735" s="50" t="e">
        <f t="shared" si="141"/>
        <v>#N/A</v>
      </c>
      <c r="O735" s="50" t="e">
        <f t="shared" si="142"/>
        <v>#N/A</v>
      </c>
      <c r="P735" s="50" t="e">
        <f t="shared" si="143"/>
        <v>#N/A</v>
      </c>
      <c r="Q735" s="51" t="e">
        <f t="shared" si="144"/>
        <v>#N/A</v>
      </c>
      <c r="R735" s="205" t="e">
        <f t="shared" si="145"/>
        <v>#N/A</v>
      </c>
      <c r="S735" s="279" t="e">
        <f>IF(R735="si",0,IF(E735="si",0,IF(J735&gt;K735,0,+K735-J735)))+IF('calcolo base'!P2195="SI",('Commissioni De Angeli'!K735-'Commissioni De Angeli'!J735),0)</f>
        <v>#N/A</v>
      </c>
      <c r="T735" s="117" t="e">
        <f t="shared" si="146"/>
        <v>#N/A</v>
      </c>
      <c r="U735" s="272" t="e">
        <f>IF(Q735=0,'calcolo base'!L3334,(T735+Q735))</f>
        <v>#N/A</v>
      </c>
      <c r="V735" s="119"/>
    </row>
    <row r="736" spans="2:22">
      <c r="B736" s="47"/>
      <c r="C736" s="35"/>
      <c r="D736" s="53"/>
      <c r="E736" s="53"/>
      <c r="F736" s="48"/>
      <c r="G736" s="243" t="e">
        <f>INDEX('calcolo base'!$B:$B, MATCH($A736, 'calcolo base'!$A:$A, 0))</f>
        <v>#N/A</v>
      </c>
      <c r="H736" s="54" t="e">
        <f t="shared" si="138"/>
        <v>#N/A</v>
      </c>
      <c r="I736" s="259" t="e">
        <f>IF(  OR(      INDEX('calcolo base'!$D:$D, MATCH($A736, 'calcolo base'!$A:$A, 0)) = 0,
      INDEX('calcolo base'!$D:$D, MATCH($A736, 'calcolo base'!$A:$A, 0)) = ""   ),
   INDEX('calcolo base'!$K:$K, MATCH($A736, 'calcolo base'!$A:$A, 0)),
   INDEX('calcolo base'!$J:$J, MATCH($A736, 'calcolo base'!$A:$A, 0))
) / 1000</f>
        <v>#N/A</v>
      </c>
      <c r="J736" s="50" t="e">
        <f t="shared" si="139"/>
        <v>#N/A</v>
      </c>
      <c r="K736" s="50"/>
      <c r="L736" s="267" t="e">
        <f>INDEX('calcolo base'!$H:$H, MATCH($A736, 'calcolo base'!$A:$A, 0))</f>
        <v>#N/A</v>
      </c>
      <c r="M736" s="50" t="e">
        <f t="shared" si="140"/>
        <v>#N/A</v>
      </c>
      <c r="N736" s="50" t="e">
        <f t="shared" si="141"/>
        <v>#N/A</v>
      </c>
      <c r="O736" s="50" t="e">
        <f t="shared" si="142"/>
        <v>#N/A</v>
      </c>
      <c r="P736" s="50" t="e">
        <f t="shared" si="143"/>
        <v>#N/A</v>
      </c>
      <c r="Q736" s="51" t="e">
        <f t="shared" si="144"/>
        <v>#N/A</v>
      </c>
      <c r="R736" s="205" t="e">
        <f t="shared" si="145"/>
        <v>#N/A</v>
      </c>
      <c r="S736" s="279" t="e">
        <f>IF(R736="si",0,IF(E736="si",0,IF(J736&gt;K736,0,+K736-J736)))+IF('calcolo base'!P2196="SI",('Commissioni De Angeli'!K736-'Commissioni De Angeli'!J736),0)</f>
        <v>#N/A</v>
      </c>
      <c r="T736" s="117" t="e">
        <f t="shared" si="146"/>
        <v>#N/A</v>
      </c>
      <c r="U736" s="272" t="e">
        <f>IF(Q736=0,'calcolo base'!L3335,(T736+Q736))</f>
        <v>#N/A</v>
      </c>
      <c r="V736" s="119"/>
    </row>
    <row r="737" spans="2:22">
      <c r="B737" s="47"/>
      <c r="C737" s="35"/>
      <c r="D737" s="53"/>
      <c r="E737" s="53"/>
      <c r="F737" s="48"/>
      <c r="G737" s="243" t="e">
        <f>INDEX('calcolo base'!$B:$B, MATCH($A737, 'calcolo base'!$A:$A, 0))</f>
        <v>#N/A</v>
      </c>
      <c r="H737" s="54" t="e">
        <f t="shared" si="138"/>
        <v>#N/A</v>
      </c>
      <c r="I737" s="259" t="e">
        <f>IF(  OR(      INDEX('calcolo base'!$D:$D, MATCH($A737, 'calcolo base'!$A:$A, 0)) = 0,
      INDEX('calcolo base'!$D:$D, MATCH($A737, 'calcolo base'!$A:$A, 0)) = ""   ),
   INDEX('calcolo base'!$K:$K, MATCH($A737, 'calcolo base'!$A:$A, 0)),
   INDEX('calcolo base'!$J:$J, MATCH($A737, 'calcolo base'!$A:$A, 0))
) / 1000</f>
        <v>#N/A</v>
      </c>
      <c r="J737" s="50" t="e">
        <f t="shared" si="139"/>
        <v>#N/A</v>
      </c>
      <c r="K737" s="50"/>
      <c r="L737" s="267" t="e">
        <f>INDEX('calcolo base'!$H:$H, MATCH($A737, 'calcolo base'!$A:$A, 0))</f>
        <v>#N/A</v>
      </c>
      <c r="M737" s="50" t="e">
        <f t="shared" si="140"/>
        <v>#N/A</v>
      </c>
      <c r="N737" s="50" t="e">
        <f t="shared" si="141"/>
        <v>#N/A</v>
      </c>
      <c r="O737" s="50" t="e">
        <f t="shared" si="142"/>
        <v>#N/A</v>
      </c>
      <c r="P737" s="50" t="e">
        <f t="shared" si="143"/>
        <v>#N/A</v>
      </c>
      <c r="Q737" s="51" t="e">
        <f t="shared" si="144"/>
        <v>#N/A</v>
      </c>
      <c r="R737" s="205" t="e">
        <f t="shared" si="145"/>
        <v>#N/A</v>
      </c>
      <c r="S737" s="279" t="e">
        <f>IF(R737="si",0,IF(E737="si",0,IF(J737&gt;K737,0,+K737-J737)))+IF('calcolo base'!P2197="SI",('Commissioni De Angeli'!K737-'Commissioni De Angeli'!J737),0)</f>
        <v>#N/A</v>
      </c>
      <c r="T737" s="117" t="e">
        <f t="shared" si="146"/>
        <v>#N/A</v>
      </c>
      <c r="U737" s="272" t="e">
        <f>IF(Q737=0,'calcolo base'!L3336,(T737+Q737))</f>
        <v>#N/A</v>
      </c>
      <c r="V737" s="119"/>
    </row>
    <row r="738" spans="2:22">
      <c r="B738" s="47"/>
      <c r="C738" s="35"/>
      <c r="D738" s="53"/>
      <c r="E738" s="53"/>
      <c r="F738" s="48"/>
      <c r="G738" s="243" t="e">
        <f>INDEX('calcolo base'!$B:$B, MATCH($A738, 'calcolo base'!$A:$A, 0))</f>
        <v>#N/A</v>
      </c>
      <c r="H738" s="54" t="e">
        <f t="shared" si="138"/>
        <v>#N/A</v>
      </c>
      <c r="I738" s="259" t="e">
        <f>IF(  OR(      INDEX('calcolo base'!$D:$D, MATCH($A738, 'calcolo base'!$A:$A, 0)) = 0,
      INDEX('calcolo base'!$D:$D, MATCH($A738, 'calcolo base'!$A:$A, 0)) = ""   ),
   INDEX('calcolo base'!$K:$K, MATCH($A738, 'calcolo base'!$A:$A, 0)),
   INDEX('calcolo base'!$J:$J, MATCH($A738, 'calcolo base'!$A:$A, 0))
) / 1000</f>
        <v>#N/A</v>
      </c>
      <c r="J738" s="50" t="e">
        <f t="shared" si="139"/>
        <v>#N/A</v>
      </c>
      <c r="K738" s="50"/>
      <c r="L738" s="267" t="e">
        <f>INDEX('calcolo base'!$H:$H, MATCH($A738, 'calcolo base'!$A:$A, 0))</f>
        <v>#N/A</v>
      </c>
      <c r="M738" s="50" t="e">
        <f t="shared" si="140"/>
        <v>#N/A</v>
      </c>
      <c r="N738" s="50" t="e">
        <f t="shared" si="141"/>
        <v>#N/A</v>
      </c>
      <c r="O738" s="50" t="e">
        <f t="shared" si="142"/>
        <v>#N/A</v>
      </c>
      <c r="P738" s="50" t="e">
        <f t="shared" si="143"/>
        <v>#N/A</v>
      </c>
      <c r="Q738" s="51" t="e">
        <f t="shared" si="144"/>
        <v>#N/A</v>
      </c>
      <c r="R738" s="205" t="e">
        <f t="shared" si="145"/>
        <v>#N/A</v>
      </c>
      <c r="S738" s="279" t="e">
        <f>IF(R738="si",0,IF(E738="si",0,IF(J738&gt;K738,0,+K738-J738)))+IF('calcolo base'!P2198="SI",('Commissioni De Angeli'!K738-'Commissioni De Angeli'!J738),0)</f>
        <v>#N/A</v>
      </c>
      <c r="T738" s="117" t="e">
        <f t="shared" si="146"/>
        <v>#N/A</v>
      </c>
      <c r="U738" s="272" t="e">
        <f>IF(Q738=0,'calcolo base'!L3337,(T738+Q738))</f>
        <v>#N/A</v>
      </c>
      <c r="V738" s="119"/>
    </row>
    <row r="739" spans="2:22">
      <c r="B739" s="47"/>
      <c r="C739" s="35"/>
      <c r="D739" s="53"/>
      <c r="E739" s="53"/>
      <c r="F739" s="48"/>
      <c r="G739" s="243" t="e">
        <f>INDEX('calcolo base'!$B:$B, MATCH($A739, 'calcolo base'!$A:$A, 0))</f>
        <v>#N/A</v>
      </c>
      <c r="H739" s="54" t="e">
        <f t="shared" si="138"/>
        <v>#N/A</v>
      </c>
      <c r="I739" s="259" t="e">
        <f>IF(  OR(      INDEX('calcolo base'!$D:$D, MATCH($A739, 'calcolo base'!$A:$A, 0)) = 0,
      INDEX('calcolo base'!$D:$D, MATCH($A739, 'calcolo base'!$A:$A, 0)) = ""   ),
   INDEX('calcolo base'!$K:$K, MATCH($A739, 'calcolo base'!$A:$A, 0)),
   INDEX('calcolo base'!$J:$J, MATCH($A739, 'calcolo base'!$A:$A, 0))
) / 1000</f>
        <v>#N/A</v>
      </c>
      <c r="J739" s="50" t="e">
        <f t="shared" si="139"/>
        <v>#N/A</v>
      </c>
      <c r="K739" s="50"/>
      <c r="L739" s="267" t="e">
        <f>INDEX('calcolo base'!$H:$H, MATCH($A739, 'calcolo base'!$A:$A, 0))</f>
        <v>#N/A</v>
      </c>
      <c r="M739" s="50" t="e">
        <f t="shared" si="140"/>
        <v>#N/A</v>
      </c>
      <c r="N739" s="50" t="e">
        <f t="shared" si="141"/>
        <v>#N/A</v>
      </c>
      <c r="O739" s="50" t="e">
        <f t="shared" si="142"/>
        <v>#N/A</v>
      </c>
      <c r="P739" s="50" t="e">
        <f t="shared" si="143"/>
        <v>#N/A</v>
      </c>
      <c r="Q739" s="51" t="e">
        <f t="shared" si="144"/>
        <v>#N/A</v>
      </c>
      <c r="R739" s="205" t="e">
        <f t="shared" si="145"/>
        <v>#N/A</v>
      </c>
      <c r="S739" s="279" t="e">
        <f>IF(R739="si",0,IF(E739="si",0,IF(J739&gt;K739,0,+K739-J739)))+IF('calcolo base'!P2199="SI",('Commissioni De Angeli'!K739-'Commissioni De Angeli'!J739),0)</f>
        <v>#N/A</v>
      </c>
      <c r="T739" s="117" t="e">
        <f t="shared" si="146"/>
        <v>#N/A</v>
      </c>
      <c r="U739" s="272" t="e">
        <f>IF(Q739=0,'calcolo base'!L3338,(T739+Q739))</f>
        <v>#N/A</v>
      </c>
      <c r="V739" s="119"/>
    </row>
    <row r="740" spans="2:22">
      <c r="B740" s="47"/>
      <c r="C740" s="35"/>
      <c r="D740" s="53"/>
      <c r="E740" s="53"/>
      <c r="F740" s="48"/>
      <c r="G740" s="243" t="e">
        <f>INDEX('calcolo base'!$B:$B, MATCH($A740, 'calcolo base'!$A:$A, 0))</f>
        <v>#N/A</v>
      </c>
      <c r="H740" s="54" t="e">
        <f t="shared" si="138"/>
        <v>#N/A</v>
      </c>
      <c r="I740" s="259" t="e">
        <f>IF(  OR(      INDEX('calcolo base'!$D:$D, MATCH($A740, 'calcolo base'!$A:$A, 0)) = 0,
      INDEX('calcolo base'!$D:$D, MATCH($A740, 'calcolo base'!$A:$A, 0)) = ""   ),
   INDEX('calcolo base'!$K:$K, MATCH($A740, 'calcolo base'!$A:$A, 0)),
   INDEX('calcolo base'!$J:$J, MATCH($A740, 'calcolo base'!$A:$A, 0))
) / 1000</f>
        <v>#N/A</v>
      </c>
      <c r="J740" s="50" t="e">
        <f t="shared" si="139"/>
        <v>#N/A</v>
      </c>
      <c r="K740" s="50"/>
      <c r="L740" s="267" t="e">
        <f>INDEX('calcolo base'!$H:$H, MATCH($A740, 'calcolo base'!$A:$A, 0))</f>
        <v>#N/A</v>
      </c>
      <c r="M740" s="50" t="e">
        <f t="shared" si="140"/>
        <v>#N/A</v>
      </c>
      <c r="N740" s="50" t="e">
        <f t="shared" si="141"/>
        <v>#N/A</v>
      </c>
      <c r="O740" s="50" t="e">
        <f t="shared" si="142"/>
        <v>#N/A</v>
      </c>
      <c r="P740" s="50" t="e">
        <f t="shared" si="143"/>
        <v>#N/A</v>
      </c>
      <c r="Q740" s="51" t="e">
        <f t="shared" si="144"/>
        <v>#N/A</v>
      </c>
      <c r="R740" s="205" t="e">
        <f t="shared" si="145"/>
        <v>#N/A</v>
      </c>
      <c r="S740" s="279" t="e">
        <f>IF(R740="si",0,IF(E740="si",0,IF(J740&gt;K740,0,+K740-J740)))+IF('calcolo base'!P2200="SI",('Commissioni De Angeli'!K740-'Commissioni De Angeli'!J740),0)</f>
        <v>#N/A</v>
      </c>
      <c r="T740" s="117" t="e">
        <f t="shared" si="146"/>
        <v>#N/A</v>
      </c>
      <c r="U740" s="272" t="e">
        <f>IF(Q740=0,'calcolo base'!L3339,(T740+Q740))</f>
        <v>#N/A</v>
      </c>
      <c r="V740" s="119"/>
    </row>
    <row r="741" spans="2:22">
      <c r="B741" s="47"/>
      <c r="C741" s="35"/>
      <c r="D741" s="53"/>
      <c r="E741" s="53"/>
      <c r="F741" s="48"/>
      <c r="G741" s="243" t="e">
        <f>INDEX('calcolo base'!$B:$B, MATCH($A741, 'calcolo base'!$A:$A, 0))</f>
        <v>#N/A</v>
      </c>
      <c r="H741" s="54" t="e">
        <f t="shared" si="138"/>
        <v>#N/A</v>
      </c>
      <c r="I741" s="259" t="e">
        <f>IF(  OR(      INDEX('calcolo base'!$D:$D, MATCH($A741, 'calcolo base'!$A:$A, 0)) = 0,
      INDEX('calcolo base'!$D:$D, MATCH($A741, 'calcolo base'!$A:$A, 0)) = ""   ),
   INDEX('calcolo base'!$K:$K, MATCH($A741, 'calcolo base'!$A:$A, 0)),
   INDEX('calcolo base'!$J:$J, MATCH($A741, 'calcolo base'!$A:$A, 0))
) / 1000</f>
        <v>#N/A</v>
      </c>
      <c r="J741" s="50" t="e">
        <f t="shared" si="139"/>
        <v>#N/A</v>
      </c>
      <c r="K741" s="50"/>
      <c r="L741" s="267" t="e">
        <f>INDEX('calcolo base'!$H:$H, MATCH($A741, 'calcolo base'!$A:$A, 0))</f>
        <v>#N/A</v>
      </c>
      <c r="M741" s="50" t="e">
        <f t="shared" si="140"/>
        <v>#N/A</v>
      </c>
      <c r="N741" s="50" t="e">
        <f t="shared" si="141"/>
        <v>#N/A</v>
      </c>
      <c r="O741" s="50" t="e">
        <f t="shared" si="142"/>
        <v>#N/A</v>
      </c>
      <c r="P741" s="50" t="e">
        <f t="shared" si="143"/>
        <v>#N/A</v>
      </c>
      <c r="Q741" s="51" t="e">
        <f t="shared" si="144"/>
        <v>#N/A</v>
      </c>
      <c r="R741" s="205" t="e">
        <f t="shared" si="145"/>
        <v>#N/A</v>
      </c>
      <c r="S741" s="279" t="e">
        <f>IF(R741="si",0,IF(E741="si",0,IF(J741&gt;K741,0,+K741-J741)))+IF('calcolo base'!P2201="SI",('Commissioni De Angeli'!K741-'Commissioni De Angeli'!J741),0)</f>
        <v>#N/A</v>
      </c>
      <c r="T741" s="117" t="e">
        <f t="shared" si="146"/>
        <v>#N/A</v>
      </c>
      <c r="U741" s="272" t="e">
        <f>IF(Q741=0,'calcolo base'!L3340,(T741+Q741))</f>
        <v>#N/A</v>
      </c>
      <c r="V741" s="119"/>
    </row>
    <row r="742" spans="2:22">
      <c r="B742" s="47"/>
      <c r="C742" s="35"/>
      <c r="D742" s="53"/>
      <c r="E742" s="53"/>
      <c r="F742" s="48"/>
      <c r="G742" s="243" t="e">
        <f>INDEX('calcolo base'!$B:$B, MATCH($A742, 'calcolo base'!$A:$A, 0))</f>
        <v>#N/A</v>
      </c>
      <c r="H742" s="54" t="e">
        <f t="shared" si="138"/>
        <v>#N/A</v>
      </c>
      <c r="I742" s="259" t="e">
        <f>IF(  OR(      INDEX('calcolo base'!$D:$D, MATCH($A742, 'calcolo base'!$A:$A, 0)) = 0,
      INDEX('calcolo base'!$D:$D, MATCH($A742, 'calcolo base'!$A:$A, 0)) = ""   ),
   INDEX('calcolo base'!$K:$K, MATCH($A742, 'calcolo base'!$A:$A, 0)),
   INDEX('calcolo base'!$J:$J, MATCH($A742, 'calcolo base'!$A:$A, 0))
) / 1000</f>
        <v>#N/A</v>
      </c>
      <c r="J742" s="50" t="e">
        <f t="shared" si="139"/>
        <v>#N/A</v>
      </c>
      <c r="K742" s="50"/>
      <c r="L742" s="267" t="e">
        <f>INDEX('calcolo base'!$H:$H, MATCH($A742, 'calcolo base'!$A:$A, 0))</f>
        <v>#N/A</v>
      </c>
      <c r="M742" s="50" t="e">
        <f t="shared" si="140"/>
        <v>#N/A</v>
      </c>
      <c r="N742" s="50" t="e">
        <f t="shared" si="141"/>
        <v>#N/A</v>
      </c>
      <c r="O742" s="50" t="e">
        <f t="shared" si="142"/>
        <v>#N/A</v>
      </c>
      <c r="P742" s="50" t="e">
        <f t="shared" si="143"/>
        <v>#N/A</v>
      </c>
      <c r="Q742" s="51" t="e">
        <f t="shared" si="144"/>
        <v>#N/A</v>
      </c>
      <c r="R742" s="205" t="e">
        <f t="shared" si="145"/>
        <v>#N/A</v>
      </c>
      <c r="S742" s="279" t="e">
        <f>IF(R742="si",0,IF(E742="si",0,IF(J742&gt;K742,0,+K742-J742)))+IF('calcolo base'!P2202="SI",('Commissioni De Angeli'!K742-'Commissioni De Angeli'!J742),0)</f>
        <v>#N/A</v>
      </c>
      <c r="T742" s="117" t="e">
        <f t="shared" si="146"/>
        <v>#N/A</v>
      </c>
      <c r="U742" s="272" t="e">
        <f>IF(Q742=0,'calcolo base'!L3341,(T742+Q742))</f>
        <v>#N/A</v>
      </c>
      <c r="V742" s="119"/>
    </row>
    <row r="743" spans="2:22">
      <c r="B743" s="47"/>
      <c r="C743" s="35"/>
      <c r="D743" s="53"/>
      <c r="E743" s="53"/>
      <c r="F743" s="48"/>
      <c r="G743" s="243" t="e">
        <f>INDEX('calcolo base'!$B:$B, MATCH($A743, 'calcolo base'!$A:$A, 0))</f>
        <v>#N/A</v>
      </c>
      <c r="H743" s="54" t="e">
        <f t="shared" si="138"/>
        <v>#N/A</v>
      </c>
      <c r="I743" s="259" t="e">
        <f>IF(  OR(      INDEX('calcolo base'!$D:$D, MATCH($A743, 'calcolo base'!$A:$A, 0)) = 0,
      INDEX('calcolo base'!$D:$D, MATCH($A743, 'calcolo base'!$A:$A, 0)) = ""   ),
   INDEX('calcolo base'!$K:$K, MATCH($A743, 'calcolo base'!$A:$A, 0)),
   INDEX('calcolo base'!$J:$J, MATCH($A743, 'calcolo base'!$A:$A, 0))
) / 1000</f>
        <v>#N/A</v>
      </c>
      <c r="J743" s="50" t="e">
        <f t="shared" si="139"/>
        <v>#N/A</v>
      </c>
      <c r="K743" s="50"/>
      <c r="L743" s="267" t="e">
        <f>INDEX('calcolo base'!$H:$H, MATCH($A743, 'calcolo base'!$A:$A, 0))</f>
        <v>#N/A</v>
      </c>
      <c r="M743" s="50" t="e">
        <f t="shared" si="140"/>
        <v>#N/A</v>
      </c>
      <c r="N743" s="50" t="e">
        <f t="shared" si="141"/>
        <v>#N/A</v>
      </c>
      <c r="O743" s="50" t="e">
        <f t="shared" si="142"/>
        <v>#N/A</v>
      </c>
      <c r="P743" s="50" t="e">
        <f t="shared" si="143"/>
        <v>#N/A</v>
      </c>
      <c r="Q743" s="51" t="e">
        <f t="shared" si="144"/>
        <v>#N/A</v>
      </c>
      <c r="R743" s="205" t="e">
        <f t="shared" si="145"/>
        <v>#N/A</v>
      </c>
      <c r="S743" s="279" t="e">
        <f>IF(R743="si",0,IF(E743="si",0,IF(J743&gt;K743,0,+K743-J743)))+IF('calcolo base'!P2203="SI",('Commissioni De Angeli'!K743-'Commissioni De Angeli'!J743),0)</f>
        <v>#N/A</v>
      </c>
      <c r="T743" s="117" t="e">
        <f t="shared" si="146"/>
        <v>#N/A</v>
      </c>
      <c r="U743" s="272" t="e">
        <f>IF(Q743=0,'calcolo base'!L3342,(T743+Q743))</f>
        <v>#N/A</v>
      </c>
      <c r="V743" s="119"/>
    </row>
    <row r="744" spans="2:22">
      <c r="B744" s="47"/>
      <c r="C744" s="35"/>
      <c r="D744" s="53"/>
      <c r="E744" s="53"/>
      <c r="F744" s="48"/>
      <c r="G744" s="243" t="e">
        <f>INDEX('calcolo base'!$B:$B, MATCH($A744, 'calcolo base'!$A:$A, 0))</f>
        <v>#N/A</v>
      </c>
      <c r="H744" s="54" t="e">
        <f t="shared" si="138"/>
        <v>#N/A</v>
      </c>
      <c r="I744" s="259" t="e">
        <f>IF(  OR(      INDEX('calcolo base'!$D:$D, MATCH($A744, 'calcolo base'!$A:$A, 0)) = 0,
      INDEX('calcolo base'!$D:$D, MATCH($A744, 'calcolo base'!$A:$A, 0)) = ""   ),
   INDEX('calcolo base'!$K:$K, MATCH($A744, 'calcolo base'!$A:$A, 0)),
   INDEX('calcolo base'!$J:$J, MATCH($A744, 'calcolo base'!$A:$A, 0))
) / 1000</f>
        <v>#N/A</v>
      </c>
      <c r="J744" s="50" t="e">
        <f t="shared" si="139"/>
        <v>#N/A</v>
      </c>
      <c r="K744" s="50"/>
      <c r="L744" s="267" t="e">
        <f>INDEX('calcolo base'!$H:$H, MATCH($A744, 'calcolo base'!$A:$A, 0))</f>
        <v>#N/A</v>
      </c>
      <c r="M744" s="50" t="e">
        <f t="shared" si="140"/>
        <v>#N/A</v>
      </c>
      <c r="N744" s="50" t="e">
        <f t="shared" si="141"/>
        <v>#N/A</v>
      </c>
      <c r="O744" s="50" t="e">
        <f t="shared" si="142"/>
        <v>#N/A</v>
      </c>
      <c r="P744" s="50" t="e">
        <f t="shared" si="143"/>
        <v>#N/A</v>
      </c>
      <c r="Q744" s="51" t="e">
        <f t="shared" si="144"/>
        <v>#N/A</v>
      </c>
      <c r="R744" s="205" t="e">
        <f t="shared" si="145"/>
        <v>#N/A</v>
      </c>
      <c r="S744" s="279" t="e">
        <f>IF(R744="si",0,IF(E744="si",0,IF(J744&gt;K744,0,+K744-J744)))+IF('calcolo base'!P2204="SI",('Commissioni De Angeli'!K744-'Commissioni De Angeli'!J744),0)</f>
        <v>#N/A</v>
      </c>
      <c r="T744" s="117" t="e">
        <f t="shared" si="146"/>
        <v>#N/A</v>
      </c>
      <c r="U744" s="272" t="e">
        <f>IF(Q744=0,'calcolo base'!L3343,(T744+Q744))</f>
        <v>#N/A</v>
      </c>
      <c r="V744" s="119"/>
    </row>
    <row r="745" spans="2:22">
      <c r="B745" s="47"/>
      <c r="C745" s="35"/>
      <c r="D745" s="53"/>
      <c r="E745" s="53"/>
      <c r="F745" s="48"/>
      <c r="G745" s="243" t="e">
        <f>INDEX('calcolo base'!$B:$B, MATCH($A745, 'calcolo base'!$A:$A, 0))</f>
        <v>#N/A</v>
      </c>
      <c r="H745" s="54" t="e">
        <f t="shared" si="138"/>
        <v>#N/A</v>
      </c>
      <c r="I745" s="259" t="e">
        <f>IF(  OR(      INDEX('calcolo base'!$D:$D, MATCH($A745, 'calcolo base'!$A:$A, 0)) = 0,
      INDEX('calcolo base'!$D:$D, MATCH($A745, 'calcolo base'!$A:$A, 0)) = ""   ),
   INDEX('calcolo base'!$K:$K, MATCH($A745, 'calcolo base'!$A:$A, 0)),
   INDEX('calcolo base'!$J:$J, MATCH($A745, 'calcolo base'!$A:$A, 0))
) / 1000</f>
        <v>#N/A</v>
      </c>
      <c r="J745" s="50" t="e">
        <f t="shared" si="139"/>
        <v>#N/A</v>
      </c>
      <c r="K745" s="50"/>
      <c r="L745" s="267" t="e">
        <f>INDEX('calcolo base'!$H:$H, MATCH($A745, 'calcolo base'!$A:$A, 0))</f>
        <v>#N/A</v>
      </c>
      <c r="M745" s="50" t="e">
        <f t="shared" si="140"/>
        <v>#N/A</v>
      </c>
      <c r="N745" s="50" t="e">
        <f t="shared" si="141"/>
        <v>#N/A</v>
      </c>
      <c r="O745" s="50" t="e">
        <f t="shared" si="142"/>
        <v>#N/A</v>
      </c>
      <c r="P745" s="50" t="e">
        <f t="shared" si="143"/>
        <v>#N/A</v>
      </c>
      <c r="Q745" s="51" t="e">
        <f t="shared" si="144"/>
        <v>#N/A</v>
      </c>
      <c r="R745" s="205" t="e">
        <f t="shared" si="145"/>
        <v>#N/A</v>
      </c>
      <c r="S745" s="279" t="e">
        <f>IF(R745="si",0,IF(E745="si",0,IF(J745&gt;K745,0,+K745-J745)))+IF('calcolo base'!P2205="SI",('Commissioni De Angeli'!K745-'Commissioni De Angeli'!J745),0)</f>
        <v>#N/A</v>
      </c>
      <c r="T745" s="117" t="e">
        <f t="shared" si="146"/>
        <v>#N/A</v>
      </c>
      <c r="U745" s="272" t="e">
        <f>IF(Q745=0,'calcolo base'!L3344,(T745+Q745))</f>
        <v>#N/A</v>
      </c>
      <c r="V745" s="119"/>
    </row>
    <row r="746" spans="2:22">
      <c r="B746" s="47"/>
      <c r="C746" s="35"/>
      <c r="D746" s="53"/>
      <c r="E746" s="53"/>
      <c r="F746" s="48"/>
      <c r="G746" s="243" t="e">
        <f>INDEX('calcolo base'!$B:$B, MATCH($A746, 'calcolo base'!$A:$A, 0))</f>
        <v>#N/A</v>
      </c>
      <c r="H746" s="54" t="e">
        <f t="shared" si="138"/>
        <v>#N/A</v>
      </c>
      <c r="I746" s="259" t="e">
        <f>IF(  OR(      INDEX('calcolo base'!$D:$D, MATCH($A746, 'calcolo base'!$A:$A, 0)) = 0,
      INDEX('calcolo base'!$D:$D, MATCH($A746, 'calcolo base'!$A:$A, 0)) = ""   ),
   INDEX('calcolo base'!$K:$K, MATCH($A746, 'calcolo base'!$A:$A, 0)),
   INDEX('calcolo base'!$J:$J, MATCH($A746, 'calcolo base'!$A:$A, 0))
) / 1000</f>
        <v>#N/A</v>
      </c>
      <c r="J746" s="50" t="e">
        <f t="shared" si="139"/>
        <v>#N/A</v>
      </c>
      <c r="K746" s="50"/>
      <c r="L746" s="267" t="e">
        <f>INDEX('calcolo base'!$H:$H, MATCH($A746, 'calcolo base'!$A:$A, 0))</f>
        <v>#N/A</v>
      </c>
      <c r="M746" s="50" t="e">
        <f t="shared" si="140"/>
        <v>#N/A</v>
      </c>
      <c r="N746" s="50" t="e">
        <f t="shared" si="141"/>
        <v>#N/A</v>
      </c>
      <c r="O746" s="50" t="e">
        <f t="shared" si="142"/>
        <v>#N/A</v>
      </c>
      <c r="P746" s="50" t="e">
        <f t="shared" si="143"/>
        <v>#N/A</v>
      </c>
      <c r="Q746" s="51" t="e">
        <f t="shared" si="144"/>
        <v>#N/A</v>
      </c>
      <c r="R746" s="205" t="e">
        <f t="shared" si="145"/>
        <v>#N/A</v>
      </c>
      <c r="S746" s="279" t="e">
        <f>IF(R746="si",0,IF(E746="si",0,IF(J746&gt;K746,0,+K746-J746)))+IF('calcolo base'!P2206="SI",('Commissioni De Angeli'!K746-'Commissioni De Angeli'!J746),0)</f>
        <v>#N/A</v>
      </c>
      <c r="T746" s="117" t="e">
        <f t="shared" si="146"/>
        <v>#N/A</v>
      </c>
      <c r="U746" s="272" t="e">
        <f>IF(Q746=0,'calcolo base'!L3345,(T746+Q746))</f>
        <v>#N/A</v>
      </c>
      <c r="V746" s="119"/>
    </row>
    <row r="747" spans="2:22">
      <c r="B747" s="47"/>
      <c r="C747" s="35"/>
      <c r="D747" s="53"/>
      <c r="E747" s="53"/>
      <c r="F747" s="48"/>
      <c r="G747" s="243" t="e">
        <f>INDEX('calcolo base'!$B:$B, MATCH($A747, 'calcolo base'!$A:$A, 0))</f>
        <v>#N/A</v>
      </c>
      <c r="H747" s="54" t="e">
        <f t="shared" si="138"/>
        <v>#N/A</v>
      </c>
      <c r="I747" s="259" t="e">
        <f>IF(  OR(      INDEX('calcolo base'!$D:$D, MATCH($A747, 'calcolo base'!$A:$A, 0)) = 0,
      INDEX('calcolo base'!$D:$D, MATCH($A747, 'calcolo base'!$A:$A, 0)) = ""   ),
   INDEX('calcolo base'!$K:$K, MATCH($A747, 'calcolo base'!$A:$A, 0)),
   INDEX('calcolo base'!$J:$J, MATCH($A747, 'calcolo base'!$A:$A, 0))
) / 1000</f>
        <v>#N/A</v>
      </c>
      <c r="J747" s="50" t="e">
        <f t="shared" si="139"/>
        <v>#N/A</v>
      </c>
      <c r="K747" s="50"/>
      <c r="L747" s="267" t="e">
        <f>INDEX('calcolo base'!$H:$H, MATCH($A747, 'calcolo base'!$A:$A, 0))</f>
        <v>#N/A</v>
      </c>
      <c r="M747" s="50" t="e">
        <f t="shared" si="140"/>
        <v>#N/A</v>
      </c>
      <c r="N747" s="50" t="e">
        <f t="shared" si="141"/>
        <v>#N/A</v>
      </c>
      <c r="O747" s="50" t="e">
        <f t="shared" si="142"/>
        <v>#N/A</v>
      </c>
      <c r="P747" s="50" t="e">
        <f t="shared" si="143"/>
        <v>#N/A</v>
      </c>
      <c r="Q747" s="51" t="e">
        <f t="shared" si="144"/>
        <v>#N/A</v>
      </c>
      <c r="R747" s="205" t="e">
        <f t="shared" si="145"/>
        <v>#N/A</v>
      </c>
      <c r="S747" s="279" t="e">
        <f>IF(R747="si",0,IF(E747="si",0,IF(J747&gt;K747,0,+K747-J747)))+IF('calcolo base'!P2207="SI",('Commissioni De Angeli'!K747-'Commissioni De Angeli'!J747),0)</f>
        <v>#N/A</v>
      </c>
      <c r="T747" s="117" t="e">
        <f t="shared" si="146"/>
        <v>#N/A</v>
      </c>
      <c r="U747" s="272" t="e">
        <f>IF(Q747=0,'calcolo base'!L3346,(T747+Q747))</f>
        <v>#N/A</v>
      </c>
      <c r="V747" s="119"/>
    </row>
    <row r="748" spans="2:22">
      <c r="B748" s="47"/>
      <c r="C748" s="35"/>
      <c r="D748" s="53"/>
      <c r="E748" s="53"/>
      <c r="F748" s="48"/>
      <c r="G748" s="243" t="e">
        <f>INDEX('calcolo base'!$B:$B, MATCH($A748, 'calcolo base'!$A:$A, 0))</f>
        <v>#N/A</v>
      </c>
      <c r="H748" s="54" t="e">
        <f t="shared" ref="H748:H811" si="147">IF(G748=0,"",+G748)</f>
        <v>#N/A</v>
      </c>
      <c r="I748" s="259" t="e">
        <f>IF(  OR(      INDEX('calcolo base'!$D:$D, MATCH($A748, 'calcolo base'!$A:$A, 0)) = 0,
      INDEX('calcolo base'!$D:$D, MATCH($A748, 'calcolo base'!$A:$A, 0)) = ""   ),
   INDEX('calcolo base'!$K:$K, MATCH($A748, 'calcolo base'!$A:$A, 0)),
   INDEX('calcolo base'!$J:$J, MATCH($A748, 'calcolo base'!$A:$A, 0))
) / 1000</f>
        <v>#N/A</v>
      </c>
      <c r="J748" s="50" t="e">
        <f t="shared" ref="J748:J811" si="148">+F748+I748</f>
        <v>#N/A</v>
      </c>
      <c r="K748" s="50"/>
      <c r="L748" s="267" t="e">
        <f>INDEX('calcolo base'!$H:$H, MATCH($A748, 'calcolo base'!$A:$A, 0))</f>
        <v>#N/A</v>
      </c>
      <c r="M748" s="50" t="e">
        <f t="shared" ref="M748:M811" si="149">IF(L748=0,0,J748*L748)</f>
        <v>#N/A</v>
      </c>
      <c r="N748" s="50" t="e">
        <f t="shared" ref="N748:N811" si="150">IF(E748="si",K748*1.5%,IF($L748&gt;=5%,IF($I748=0,0,(IF($G748="RAME",($J748)*1.5%,0)+IF($G748="rame smaltato",($K748)*1.5%,0))),0))</f>
        <v>#N/A</v>
      </c>
      <c r="O748" s="50" t="e">
        <f t="shared" ref="O748:O811" si="151">IF($I748=0,0,(IF($G748="alluminio",($J748)*3%,0)+IF($G748="alluminio smaltato",($K748)*3%,0)))</f>
        <v>#N/A</v>
      </c>
      <c r="P748" s="50" t="e">
        <f t="shared" ref="P748:P811" si="152">IF(H748="alluminio",0,IF(L748&lt;5%,F748*8%,0))</f>
        <v>#N/A</v>
      </c>
      <c r="Q748" s="51" t="e">
        <f t="shared" ref="Q748:Q811" si="153">+(N748*D748)+(O748*D748)+(P748*D748)</f>
        <v>#N/A</v>
      </c>
      <c r="R748" s="205" t="e">
        <f t="shared" ref="R748:R811" si="154">IF(H748="ALLUMINIO",0,IF(L748&lt;5%,"si",0))</f>
        <v>#N/A</v>
      </c>
      <c r="S748" s="279" t="e">
        <f>IF(R748="si",0,IF(E748="si",0,IF(J748&gt;K748,0,+K748-J748)))+IF('calcolo base'!P2208="SI",('Commissioni De Angeli'!K748-'Commissioni De Angeli'!J748),0)</f>
        <v>#N/A</v>
      </c>
      <c r="T748" s="117" t="e">
        <f t="shared" ref="T748:T811" si="155">+(S748)*D748*40%</f>
        <v>#N/A</v>
      </c>
      <c r="U748" s="272" t="e">
        <f>IF(Q748=0,'calcolo base'!L3347,(T748+Q748))</f>
        <v>#N/A</v>
      </c>
      <c r="V748" s="119"/>
    </row>
    <row r="749" spans="2:22">
      <c r="B749" s="47"/>
      <c r="C749" s="35"/>
      <c r="D749" s="53"/>
      <c r="E749" s="53"/>
      <c r="F749" s="48"/>
      <c r="G749" s="243" t="e">
        <f>INDEX('calcolo base'!$B:$B, MATCH($A749, 'calcolo base'!$A:$A, 0))</f>
        <v>#N/A</v>
      </c>
      <c r="H749" s="54" t="e">
        <f t="shared" si="147"/>
        <v>#N/A</v>
      </c>
      <c r="I749" s="259" t="e">
        <f>IF(  OR(      INDEX('calcolo base'!$D:$D, MATCH($A749, 'calcolo base'!$A:$A, 0)) = 0,
      INDEX('calcolo base'!$D:$D, MATCH($A749, 'calcolo base'!$A:$A, 0)) = ""   ),
   INDEX('calcolo base'!$K:$K, MATCH($A749, 'calcolo base'!$A:$A, 0)),
   INDEX('calcolo base'!$J:$J, MATCH($A749, 'calcolo base'!$A:$A, 0))
) / 1000</f>
        <v>#N/A</v>
      </c>
      <c r="J749" s="50" t="e">
        <f t="shared" si="148"/>
        <v>#N/A</v>
      </c>
      <c r="K749" s="50"/>
      <c r="L749" s="267" t="e">
        <f>INDEX('calcolo base'!$H:$H, MATCH($A749, 'calcolo base'!$A:$A, 0))</f>
        <v>#N/A</v>
      </c>
      <c r="M749" s="50" t="e">
        <f t="shared" si="149"/>
        <v>#N/A</v>
      </c>
      <c r="N749" s="50" t="e">
        <f t="shared" si="150"/>
        <v>#N/A</v>
      </c>
      <c r="O749" s="50" t="e">
        <f t="shared" si="151"/>
        <v>#N/A</v>
      </c>
      <c r="P749" s="50" t="e">
        <f t="shared" si="152"/>
        <v>#N/A</v>
      </c>
      <c r="Q749" s="51" t="e">
        <f t="shared" si="153"/>
        <v>#N/A</v>
      </c>
      <c r="R749" s="205" t="e">
        <f t="shared" si="154"/>
        <v>#N/A</v>
      </c>
      <c r="S749" s="279" t="e">
        <f>IF(R749="si",0,IF(E749="si",0,IF(J749&gt;K749,0,+K749-J749)))+IF('calcolo base'!P2209="SI",('Commissioni De Angeli'!K749-'Commissioni De Angeli'!J749),0)</f>
        <v>#N/A</v>
      </c>
      <c r="T749" s="117" t="e">
        <f t="shared" si="155"/>
        <v>#N/A</v>
      </c>
      <c r="U749" s="272" t="e">
        <f>IF(Q749=0,'calcolo base'!L3348,(T749+Q749))</f>
        <v>#N/A</v>
      </c>
      <c r="V749" s="119"/>
    </row>
    <row r="750" spans="2:22">
      <c r="B750" s="47"/>
      <c r="C750" s="35"/>
      <c r="D750" s="53"/>
      <c r="E750" s="53"/>
      <c r="F750" s="48"/>
      <c r="G750" s="243" t="e">
        <f>INDEX('calcolo base'!$B:$B, MATCH($A750, 'calcolo base'!$A:$A, 0))</f>
        <v>#N/A</v>
      </c>
      <c r="H750" s="54" t="e">
        <f t="shared" si="147"/>
        <v>#N/A</v>
      </c>
      <c r="I750" s="259" t="e">
        <f>IF(  OR(      INDEX('calcolo base'!$D:$D, MATCH($A750, 'calcolo base'!$A:$A, 0)) = 0,
      INDEX('calcolo base'!$D:$D, MATCH($A750, 'calcolo base'!$A:$A, 0)) = ""   ),
   INDEX('calcolo base'!$K:$K, MATCH($A750, 'calcolo base'!$A:$A, 0)),
   INDEX('calcolo base'!$J:$J, MATCH($A750, 'calcolo base'!$A:$A, 0))
) / 1000</f>
        <v>#N/A</v>
      </c>
      <c r="J750" s="50" t="e">
        <f t="shared" si="148"/>
        <v>#N/A</v>
      </c>
      <c r="K750" s="50"/>
      <c r="L750" s="267" t="e">
        <f>INDEX('calcolo base'!$H:$H, MATCH($A750, 'calcolo base'!$A:$A, 0))</f>
        <v>#N/A</v>
      </c>
      <c r="M750" s="50" t="e">
        <f t="shared" si="149"/>
        <v>#N/A</v>
      </c>
      <c r="N750" s="50" t="e">
        <f t="shared" si="150"/>
        <v>#N/A</v>
      </c>
      <c r="O750" s="50" t="e">
        <f t="shared" si="151"/>
        <v>#N/A</v>
      </c>
      <c r="P750" s="50" t="e">
        <f t="shared" si="152"/>
        <v>#N/A</v>
      </c>
      <c r="Q750" s="51" t="e">
        <f t="shared" si="153"/>
        <v>#N/A</v>
      </c>
      <c r="R750" s="205" t="e">
        <f t="shared" si="154"/>
        <v>#N/A</v>
      </c>
      <c r="S750" s="279" t="e">
        <f>IF(R750="si",0,IF(E750="si",0,IF(J750&gt;K750,0,+K750-J750)))+IF('calcolo base'!P2210="SI",('Commissioni De Angeli'!K750-'Commissioni De Angeli'!J750),0)</f>
        <v>#N/A</v>
      </c>
      <c r="T750" s="117" t="e">
        <f t="shared" si="155"/>
        <v>#N/A</v>
      </c>
      <c r="U750" s="272" t="e">
        <f>IF(Q750=0,'calcolo base'!L3349,(T750+Q750))</f>
        <v>#N/A</v>
      </c>
      <c r="V750" s="119"/>
    </row>
    <row r="751" spans="2:22">
      <c r="B751" s="47"/>
      <c r="C751" s="35"/>
      <c r="D751" s="53"/>
      <c r="E751" s="53"/>
      <c r="F751" s="48"/>
      <c r="G751" s="243" t="e">
        <f>INDEX('calcolo base'!$B:$B, MATCH($A751, 'calcolo base'!$A:$A, 0))</f>
        <v>#N/A</v>
      </c>
      <c r="H751" s="54" t="e">
        <f t="shared" si="147"/>
        <v>#N/A</v>
      </c>
      <c r="I751" s="259" t="e">
        <f>IF(  OR(      INDEX('calcolo base'!$D:$D, MATCH($A751, 'calcolo base'!$A:$A, 0)) = 0,
      INDEX('calcolo base'!$D:$D, MATCH($A751, 'calcolo base'!$A:$A, 0)) = ""   ),
   INDEX('calcolo base'!$K:$K, MATCH($A751, 'calcolo base'!$A:$A, 0)),
   INDEX('calcolo base'!$J:$J, MATCH($A751, 'calcolo base'!$A:$A, 0))
) / 1000</f>
        <v>#N/A</v>
      </c>
      <c r="J751" s="50" t="e">
        <f t="shared" si="148"/>
        <v>#N/A</v>
      </c>
      <c r="K751" s="50"/>
      <c r="L751" s="267" t="e">
        <f>INDEX('calcolo base'!$H:$H, MATCH($A751, 'calcolo base'!$A:$A, 0))</f>
        <v>#N/A</v>
      </c>
      <c r="M751" s="50" t="e">
        <f t="shared" si="149"/>
        <v>#N/A</v>
      </c>
      <c r="N751" s="50" t="e">
        <f t="shared" si="150"/>
        <v>#N/A</v>
      </c>
      <c r="O751" s="50" t="e">
        <f t="shared" si="151"/>
        <v>#N/A</v>
      </c>
      <c r="P751" s="50" t="e">
        <f t="shared" si="152"/>
        <v>#N/A</v>
      </c>
      <c r="Q751" s="51" t="e">
        <f t="shared" si="153"/>
        <v>#N/A</v>
      </c>
      <c r="R751" s="205" t="e">
        <f t="shared" si="154"/>
        <v>#N/A</v>
      </c>
      <c r="S751" s="279" t="e">
        <f>IF(R751="si",0,IF(E751="si",0,IF(J751&gt;K751,0,+K751-J751)))+IF('calcolo base'!P2211="SI",('Commissioni De Angeli'!K751-'Commissioni De Angeli'!J751),0)</f>
        <v>#N/A</v>
      </c>
      <c r="T751" s="117" t="e">
        <f t="shared" si="155"/>
        <v>#N/A</v>
      </c>
      <c r="U751" s="272" t="e">
        <f>IF(Q751=0,'calcolo base'!L3350,(T751+Q751))</f>
        <v>#N/A</v>
      </c>
      <c r="V751" s="119"/>
    </row>
    <row r="752" spans="2:22">
      <c r="B752" s="47"/>
      <c r="C752" s="35"/>
      <c r="D752" s="53"/>
      <c r="E752" s="53"/>
      <c r="F752" s="48"/>
      <c r="G752" s="243" t="e">
        <f>INDEX('calcolo base'!$B:$B, MATCH($A752, 'calcolo base'!$A:$A, 0))</f>
        <v>#N/A</v>
      </c>
      <c r="H752" s="54" t="e">
        <f t="shared" si="147"/>
        <v>#N/A</v>
      </c>
      <c r="I752" s="259" t="e">
        <f>IF(  OR(      INDEX('calcolo base'!$D:$D, MATCH($A752, 'calcolo base'!$A:$A, 0)) = 0,
      INDEX('calcolo base'!$D:$D, MATCH($A752, 'calcolo base'!$A:$A, 0)) = ""   ),
   INDEX('calcolo base'!$K:$K, MATCH($A752, 'calcolo base'!$A:$A, 0)),
   INDEX('calcolo base'!$J:$J, MATCH($A752, 'calcolo base'!$A:$A, 0))
) / 1000</f>
        <v>#N/A</v>
      </c>
      <c r="J752" s="50" t="e">
        <f t="shared" si="148"/>
        <v>#N/A</v>
      </c>
      <c r="K752" s="50"/>
      <c r="L752" s="267" t="e">
        <f>INDEX('calcolo base'!$H:$H, MATCH($A752, 'calcolo base'!$A:$A, 0))</f>
        <v>#N/A</v>
      </c>
      <c r="M752" s="50" t="e">
        <f t="shared" si="149"/>
        <v>#N/A</v>
      </c>
      <c r="N752" s="50" t="e">
        <f t="shared" si="150"/>
        <v>#N/A</v>
      </c>
      <c r="O752" s="50" t="e">
        <f t="shared" si="151"/>
        <v>#N/A</v>
      </c>
      <c r="P752" s="50" t="e">
        <f t="shared" si="152"/>
        <v>#N/A</v>
      </c>
      <c r="Q752" s="51" t="e">
        <f t="shared" si="153"/>
        <v>#N/A</v>
      </c>
      <c r="R752" s="205" t="e">
        <f t="shared" si="154"/>
        <v>#N/A</v>
      </c>
      <c r="S752" s="279" t="e">
        <f>IF(R752="si",0,IF(E752="si",0,IF(J752&gt;K752,0,+K752-J752)))+IF('calcolo base'!P2212="SI",('Commissioni De Angeli'!K752-'Commissioni De Angeli'!J752),0)</f>
        <v>#N/A</v>
      </c>
      <c r="T752" s="117" t="e">
        <f t="shared" si="155"/>
        <v>#N/A</v>
      </c>
      <c r="U752" s="272" t="e">
        <f>IF(Q752=0,'calcolo base'!L3351,(T752+Q752))</f>
        <v>#N/A</v>
      </c>
      <c r="V752" s="119"/>
    </row>
    <row r="753" spans="2:22">
      <c r="B753" s="47"/>
      <c r="C753" s="35"/>
      <c r="D753" s="53"/>
      <c r="E753" s="53"/>
      <c r="F753" s="48"/>
      <c r="G753" s="243" t="e">
        <f>INDEX('calcolo base'!$B:$B, MATCH($A753, 'calcolo base'!$A:$A, 0))</f>
        <v>#N/A</v>
      </c>
      <c r="H753" s="54" t="e">
        <f t="shared" si="147"/>
        <v>#N/A</v>
      </c>
      <c r="I753" s="259" t="e">
        <f>IF(  OR(      INDEX('calcolo base'!$D:$D, MATCH($A753, 'calcolo base'!$A:$A, 0)) = 0,
      INDEX('calcolo base'!$D:$D, MATCH($A753, 'calcolo base'!$A:$A, 0)) = ""   ),
   INDEX('calcolo base'!$K:$K, MATCH($A753, 'calcolo base'!$A:$A, 0)),
   INDEX('calcolo base'!$J:$J, MATCH($A753, 'calcolo base'!$A:$A, 0))
) / 1000</f>
        <v>#N/A</v>
      </c>
      <c r="J753" s="50" t="e">
        <f t="shared" si="148"/>
        <v>#N/A</v>
      </c>
      <c r="K753" s="50"/>
      <c r="L753" s="267" t="e">
        <f>INDEX('calcolo base'!$H:$H, MATCH($A753, 'calcolo base'!$A:$A, 0))</f>
        <v>#N/A</v>
      </c>
      <c r="M753" s="50" t="e">
        <f t="shared" si="149"/>
        <v>#N/A</v>
      </c>
      <c r="N753" s="50" t="e">
        <f t="shared" si="150"/>
        <v>#N/A</v>
      </c>
      <c r="O753" s="50" t="e">
        <f t="shared" si="151"/>
        <v>#N/A</v>
      </c>
      <c r="P753" s="50" t="e">
        <f t="shared" si="152"/>
        <v>#N/A</v>
      </c>
      <c r="Q753" s="51" t="e">
        <f t="shared" si="153"/>
        <v>#N/A</v>
      </c>
      <c r="R753" s="205" t="e">
        <f t="shared" si="154"/>
        <v>#N/A</v>
      </c>
      <c r="S753" s="279" t="e">
        <f>IF(R753="si",0,IF(E753="si",0,IF(J753&gt;K753,0,+K753-J753)))+IF('calcolo base'!P2213="SI",('Commissioni De Angeli'!K753-'Commissioni De Angeli'!J753),0)</f>
        <v>#N/A</v>
      </c>
      <c r="T753" s="117" t="e">
        <f t="shared" si="155"/>
        <v>#N/A</v>
      </c>
      <c r="U753" s="272" t="e">
        <f>IF(Q753=0,'calcolo base'!L3352,(T753+Q753))</f>
        <v>#N/A</v>
      </c>
      <c r="V753" s="119"/>
    </row>
    <row r="754" spans="2:22">
      <c r="B754" s="47"/>
      <c r="C754" s="35"/>
      <c r="D754" s="53"/>
      <c r="E754" s="53"/>
      <c r="F754" s="48"/>
      <c r="G754" s="243" t="e">
        <f>INDEX('calcolo base'!$B:$B, MATCH($A754, 'calcolo base'!$A:$A, 0))</f>
        <v>#N/A</v>
      </c>
      <c r="H754" s="54" t="e">
        <f t="shared" si="147"/>
        <v>#N/A</v>
      </c>
      <c r="I754" s="259" t="e">
        <f>IF(  OR(      INDEX('calcolo base'!$D:$D, MATCH($A754, 'calcolo base'!$A:$A, 0)) = 0,
      INDEX('calcolo base'!$D:$D, MATCH($A754, 'calcolo base'!$A:$A, 0)) = ""   ),
   INDEX('calcolo base'!$K:$K, MATCH($A754, 'calcolo base'!$A:$A, 0)),
   INDEX('calcolo base'!$J:$J, MATCH($A754, 'calcolo base'!$A:$A, 0))
) / 1000</f>
        <v>#N/A</v>
      </c>
      <c r="J754" s="50" t="e">
        <f t="shared" si="148"/>
        <v>#N/A</v>
      </c>
      <c r="K754" s="50"/>
      <c r="L754" s="267" t="e">
        <f>INDEX('calcolo base'!$H:$H, MATCH($A754, 'calcolo base'!$A:$A, 0))</f>
        <v>#N/A</v>
      </c>
      <c r="M754" s="50" t="e">
        <f t="shared" si="149"/>
        <v>#N/A</v>
      </c>
      <c r="N754" s="50" t="e">
        <f t="shared" si="150"/>
        <v>#N/A</v>
      </c>
      <c r="O754" s="50" t="e">
        <f t="shared" si="151"/>
        <v>#N/A</v>
      </c>
      <c r="P754" s="50" t="e">
        <f t="shared" si="152"/>
        <v>#N/A</v>
      </c>
      <c r="Q754" s="51" t="e">
        <f t="shared" si="153"/>
        <v>#N/A</v>
      </c>
      <c r="R754" s="205" t="e">
        <f t="shared" si="154"/>
        <v>#N/A</v>
      </c>
      <c r="S754" s="279" t="e">
        <f>IF(R754="si",0,IF(E754="si",0,IF(J754&gt;K754,0,+K754-J754)))+IF('calcolo base'!P2214="SI",('Commissioni De Angeli'!K754-'Commissioni De Angeli'!J754),0)</f>
        <v>#N/A</v>
      </c>
      <c r="T754" s="117" t="e">
        <f t="shared" si="155"/>
        <v>#N/A</v>
      </c>
      <c r="U754" s="272" t="e">
        <f>IF(Q754=0,'calcolo base'!L3353,(T754+Q754))</f>
        <v>#N/A</v>
      </c>
      <c r="V754" s="119"/>
    </row>
    <row r="755" spans="2:22">
      <c r="B755" s="47"/>
      <c r="C755" s="35"/>
      <c r="D755" s="53"/>
      <c r="E755" s="53"/>
      <c r="F755" s="48"/>
      <c r="G755" s="243" t="e">
        <f>INDEX('calcolo base'!$B:$B, MATCH($A755, 'calcolo base'!$A:$A, 0))</f>
        <v>#N/A</v>
      </c>
      <c r="H755" s="54" t="e">
        <f t="shared" si="147"/>
        <v>#N/A</v>
      </c>
      <c r="I755" s="259" t="e">
        <f>IF(  OR(      INDEX('calcolo base'!$D:$D, MATCH($A755, 'calcolo base'!$A:$A, 0)) = 0,
      INDEX('calcolo base'!$D:$D, MATCH($A755, 'calcolo base'!$A:$A, 0)) = ""   ),
   INDEX('calcolo base'!$K:$K, MATCH($A755, 'calcolo base'!$A:$A, 0)),
   INDEX('calcolo base'!$J:$J, MATCH($A755, 'calcolo base'!$A:$A, 0))
) / 1000</f>
        <v>#N/A</v>
      </c>
      <c r="J755" s="50" t="e">
        <f t="shared" si="148"/>
        <v>#N/A</v>
      </c>
      <c r="K755" s="50"/>
      <c r="L755" s="267" t="e">
        <f>INDEX('calcolo base'!$H:$H, MATCH($A755, 'calcolo base'!$A:$A, 0))</f>
        <v>#N/A</v>
      </c>
      <c r="M755" s="50" t="e">
        <f t="shared" si="149"/>
        <v>#N/A</v>
      </c>
      <c r="N755" s="50" t="e">
        <f t="shared" si="150"/>
        <v>#N/A</v>
      </c>
      <c r="O755" s="50" t="e">
        <f t="shared" si="151"/>
        <v>#N/A</v>
      </c>
      <c r="P755" s="50" t="e">
        <f t="shared" si="152"/>
        <v>#N/A</v>
      </c>
      <c r="Q755" s="51" t="e">
        <f t="shared" si="153"/>
        <v>#N/A</v>
      </c>
      <c r="R755" s="205" t="e">
        <f t="shared" si="154"/>
        <v>#N/A</v>
      </c>
      <c r="S755" s="279" t="e">
        <f>IF(R755="si",0,IF(E755="si",0,IF(J755&gt;K755,0,+K755-J755)))+IF('calcolo base'!P2215="SI",('Commissioni De Angeli'!K755-'Commissioni De Angeli'!J755),0)</f>
        <v>#N/A</v>
      </c>
      <c r="T755" s="117" t="e">
        <f t="shared" si="155"/>
        <v>#N/A</v>
      </c>
      <c r="U755" s="272" t="e">
        <f>IF(Q755=0,'calcolo base'!L3354,(T755+Q755))</f>
        <v>#N/A</v>
      </c>
      <c r="V755" s="119"/>
    </row>
    <row r="756" spans="2:22">
      <c r="B756" s="47"/>
      <c r="C756" s="35"/>
      <c r="D756" s="53"/>
      <c r="E756" s="53"/>
      <c r="F756" s="48"/>
      <c r="G756" s="243" t="e">
        <f>INDEX('calcolo base'!$B:$B, MATCH($A756, 'calcolo base'!$A:$A, 0))</f>
        <v>#N/A</v>
      </c>
      <c r="H756" s="54" t="e">
        <f t="shared" si="147"/>
        <v>#N/A</v>
      </c>
      <c r="I756" s="259" t="e">
        <f>IF(  OR(      INDEX('calcolo base'!$D:$D, MATCH($A756, 'calcolo base'!$A:$A, 0)) = 0,
      INDEX('calcolo base'!$D:$D, MATCH($A756, 'calcolo base'!$A:$A, 0)) = ""   ),
   INDEX('calcolo base'!$K:$K, MATCH($A756, 'calcolo base'!$A:$A, 0)),
   INDEX('calcolo base'!$J:$J, MATCH($A756, 'calcolo base'!$A:$A, 0))
) / 1000</f>
        <v>#N/A</v>
      </c>
      <c r="J756" s="50" t="e">
        <f t="shared" si="148"/>
        <v>#N/A</v>
      </c>
      <c r="K756" s="50"/>
      <c r="L756" s="267" t="e">
        <f>INDEX('calcolo base'!$H:$H, MATCH($A756, 'calcolo base'!$A:$A, 0))</f>
        <v>#N/A</v>
      </c>
      <c r="M756" s="50" t="e">
        <f t="shared" si="149"/>
        <v>#N/A</v>
      </c>
      <c r="N756" s="50" t="e">
        <f t="shared" si="150"/>
        <v>#N/A</v>
      </c>
      <c r="O756" s="50" t="e">
        <f t="shared" si="151"/>
        <v>#N/A</v>
      </c>
      <c r="P756" s="50" t="e">
        <f t="shared" si="152"/>
        <v>#N/A</v>
      </c>
      <c r="Q756" s="51" t="e">
        <f t="shared" si="153"/>
        <v>#N/A</v>
      </c>
      <c r="R756" s="205" t="e">
        <f t="shared" si="154"/>
        <v>#N/A</v>
      </c>
      <c r="S756" s="279" t="e">
        <f>IF(R756="si",0,IF(E756="si",0,IF(J756&gt;K756,0,+K756-J756)))+IF('calcolo base'!P2216="SI",('Commissioni De Angeli'!K756-'Commissioni De Angeli'!J756),0)</f>
        <v>#N/A</v>
      </c>
      <c r="T756" s="117" t="e">
        <f t="shared" si="155"/>
        <v>#N/A</v>
      </c>
      <c r="U756" s="272" t="e">
        <f>IF(Q756=0,'calcolo base'!L3355,(T756+Q756))</f>
        <v>#N/A</v>
      </c>
      <c r="V756" s="119"/>
    </row>
    <row r="757" spans="2:22">
      <c r="B757" s="47"/>
      <c r="C757" s="35"/>
      <c r="D757" s="53"/>
      <c r="E757" s="53"/>
      <c r="F757" s="48"/>
      <c r="G757" s="243" t="e">
        <f>INDEX('calcolo base'!$B:$B, MATCH($A757, 'calcolo base'!$A:$A, 0))</f>
        <v>#N/A</v>
      </c>
      <c r="H757" s="54" t="e">
        <f t="shared" si="147"/>
        <v>#N/A</v>
      </c>
      <c r="I757" s="259" t="e">
        <f>IF(  OR(      INDEX('calcolo base'!$D:$D, MATCH($A757, 'calcolo base'!$A:$A, 0)) = 0,
      INDEX('calcolo base'!$D:$D, MATCH($A757, 'calcolo base'!$A:$A, 0)) = ""   ),
   INDEX('calcolo base'!$K:$K, MATCH($A757, 'calcolo base'!$A:$A, 0)),
   INDEX('calcolo base'!$J:$J, MATCH($A757, 'calcolo base'!$A:$A, 0))
) / 1000</f>
        <v>#N/A</v>
      </c>
      <c r="J757" s="50" t="e">
        <f t="shared" si="148"/>
        <v>#N/A</v>
      </c>
      <c r="K757" s="50"/>
      <c r="L757" s="267" t="e">
        <f>INDEX('calcolo base'!$H:$H, MATCH($A757, 'calcolo base'!$A:$A, 0))</f>
        <v>#N/A</v>
      </c>
      <c r="M757" s="50" t="e">
        <f t="shared" si="149"/>
        <v>#N/A</v>
      </c>
      <c r="N757" s="50" t="e">
        <f t="shared" si="150"/>
        <v>#N/A</v>
      </c>
      <c r="O757" s="50" t="e">
        <f t="shared" si="151"/>
        <v>#N/A</v>
      </c>
      <c r="P757" s="50" t="e">
        <f t="shared" si="152"/>
        <v>#N/A</v>
      </c>
      <c r="Q757" s="51" t="e">
        <f t="shared" si="153"/>
        <v>#N/A</v>
      </c>
      <c r="R757" s="205" t="e">
        <f t="shared" si="154"/>
        <v>#N/A</v>
      </c>
      <c r="S757" s="279" t="e">
        <f>IF(R757="si",0,IF(E757="si",0,IF(J757&gt;K757,0,+K757-J757)))+IF('calcolo base'!P2217="SI",('Commissioni De Angeli'!K757-'Commissioni De Angeli'!J757),0)</f>
        <v>#N/A</v>
      </c>
      <c r="T757" s="117" t="e">
        <f t="shared" si="155"/>
        <v>#N/A</v>
      </c>
      <c r="U757" s="272" t="e">
        <f>IF(Q757=0,'calcolo base'!L3356,(T757+Q757))</f>
        <v>#N/A</v>
      </c>
      <c r="V757" s="119"/>
    </row>
    <row r="758" spans="2:22">
      <c r="B758" s="47"/>
      <c r="C758" s="35"/>
      <c r="D758" s="53"/>
      <c r="E758" s="53"/>
      <c r="F758" s="48"/>
      <c r="G758" s="243" t="e">
        <f>INDEX('calcolo base'!$B:$B, MATCH($A758, 'calcolo base'!$A:$A, 0))</f>
        <v>#N/A</v>
      </c>
      <c r="H758" s="54" t="e">
        <f t="shared" si="147"/>
        <v>#N/A</v>
      </c>
      <c r="I758" s="259" t="e">
        <f>IF(  OR(      INDEX('calcolo base'!$D:$D, MATCH($A758, 'calcolo base'!$A:$A, 0)) = 0,
      INDEX('calcolo base'!$D:$D, MATCH($A758, 'calcolo base'!$A:$A, 0)) = ""   ),
   INDEX('calcolo base'!$K:$K, MATCH($A758, 'calcolo base'!$A:$A, 0)),
   INDEX('calcolo base'!$J:$J, MATCH($A758, 'calcolo base'!$A:$A, 0))
) / 1000</f>
        <v>#N/A</v>
      </c>
      <c r="J758" s="50" t="e">
        <f t="shared" si="148"/>
        <v>#N/A</v>
      </c>
      <c r="K758" s="50"/>
      <c r="L758" s="267" t="e">
        <f>INDEX('calcolo base'!$H:$H, MATCH($A758, 'calcolo base'!$A:$A, 0))</f>
        <v>#N/A</v>
      </c>
      <c r="M758" s="50" t="e">
        <f t="shared" si="149"/>
        <v>#N/A</v>
      </c>
      <c r="N758" s="50" t="e">
        <f t="shared" si="150"/>
        <v>#N/A</v>
      </c>
      <c r="O758" s="50" t="e">
        <f t="shared" si="151"/>
        <v>#N/A</v>
      </c>
      <c r="P758" s="50" t="e">
        <f t="shared" si="152"/>
        <v>#N/A</v>
      </c>
      <c r="Q758" s="51" t="e">
        <f t="shared" si="153"/>
        <v>#N/A</v>
      </c>
      <c r="R758" s="205" t="e">
        <f t="shared" si="154"/>
        <v>#N/A</v>
      </c>
      <c r="S758" s="279" t="e">
        <f>IF(R758="si",0,IF(E758="si",0,IF(J758&gt;K758,0,+K758-J758)))+IF('calcolo base'!P2218="SI",('Commissioni De Angeli'!K758-'Commissioni De Angeli'!J758),0)</f>
        <v>#N/A</v>
      </c>
      <c r="T758" s="117" t="e">
        <f t="shared" si="155"/>
        <v>#N/A</v>
      </c>
      <c r="U758" s="272" t="e">
        <f>IF(Q758=0,'calcolo base'!L3357,(T758+Q758))</f>
        <v>#N/A</v>
      </c>
      <c r="V758" s="119"/>
    </row>
    <row r="759" spans="2:22">
      <c r="B759" s="47"/>
      <c r="C759" s="35"/>
      <c r="D759" s="53"/>
      <c r="E759" s="53"/>
      <c r="F759" s="48"/>
      <c r="G759" s="243" t="e">
        <f>INDEX('calcolo base'!$B:$B, MATCH($A759, 'calcolo base'!$A:$A, 0))</f>
        <v>#N/A</v>
      </c>
      <c r="H759" s="54" t="e">
        <f t="shared" si="147"/>
        <v>#N/A</v>
      </c>
      <c r="I759" s="259" t="e">
        <f>IF(  OR(      INDEX('calcolo base'!$D:$D, MATCH($A759, 'calcolo base'!$A:$A, 0)) = 0,
      INDEX('calcolo base'!$D:$D, MATCH($A759, 'calcolo base'!$A:$A, 0)) = ""   ),
   INDEX('calcolo base'!$K:$K, MATCH($A759, 'calcolo base'!$A:$A, 0)),
   INDEX('calcolo base'!$J:$J, MATCH($A759, 'calcolo base'!$A:$A, 0))
) / 1000</f>
        <v>#N/A</v>
      </c>
      <c r="J759" s="50" t="e">
        <f t="shared" si="148"/>
        <v>#N/A</v>
      </c>
      <c r="K759" s="50"/>
      <c r="L759" s="267" t="e">
        <f>INDEX('calcolo base'!$H:$H, MATCH($A759, 'calcolo base'!$A:$A, 0))</f>
        <v>#N/A</v>
      </c>
      <c r="M759" s="50" t="e">
        <f t="shared" si="149"/>
        <v>#N/A</v>
      </c>
      <c r="N759" s="50" t="e">
        <f t="shared" si="150"/>
        <v>#N/A</v>
      </c>
      <c r="O759" s="50" t="e">
        <f t="shared" si="151"/>
        <v>#N/A</v>
      </c>
      <c r="P759" s="50" t="e">
        <f t="shared" si="152"/>
        <v>#N/A</v>
      </c>
      <c r="Q759" s="51" t="e">
        <f t="shared" si="153"/>
        <v>#N/A</v>
      </c>
      <c r="R759" s="205" t="e">
        <f t="shared" si="154"/>
        <v>#N/A</v>
      </c>
      <c r="S759" s="279" t="e">
        <f>IF(R759="si",0,IF(E759="si",0,IF(J759&gt;K759,0,+K759-J759)))+IF('calcolo base'!P2219="SI",('Commissioni De Angeli'!K759-'Commissioni De Angeli'!J759),0)</f>
        <v>#N/A</v>
      </c>
      <c r="T759" s="117" t="e">
        <f t="shared" si="155"/>
        <v>#N/A</v>
      </c>
      <c r="U759" s="272" t="e">
        <f>IF(Q759=0,'calcolo base'!L3358,(T759+Q759))</f>
        <v>#N/A</v>
      </c>
      <c r="V759" s="119"/>
    </row>
    <row r="760" spans="2:22">
      <c r="B760" s="47"/>
      <c r="C760" s="35"/>
      <c r="D760" s="53"/>
      <c r="E760" s="53"/>
      <c r="F760" s="48"/>
      <c r="G760" s="243" t="e">
        <f>INDEX('calcolo base'!$B:$B, MATCH($A760, 'calcolo base'!$A:$A, 0))</f>
        <v>#N/A</v>
      </c>
      <c r="H760" s="54" t="e">
        <f t="shared" si="147"/>
        <v>#N/A</v>
      </c>
      <c r="I760" s="259" t="e">
        <f>IF(  OR(      INDEX('calcolo base'!$D:$D, MATCH($A760, 'calcolo base'!$A:$A, 0)) = 0,
      INDEX('calcolo base'!$D:$D, MATCH($A760, 'calcolo base'!$A:$A, 0)) = ""   ),
   INDEX('calcolo base'!$K:$K, MATCH($A760, 'calcolo base'!$A:$A, 0)),
   INDEX('calcolo base'!$J:$J, MATCH($A760, 'calcolo base'!$A:$A, 0))
) / 1000</f>
        <v>#N/A</v>
      </c>
      <c r="J760" s="50" t="e">
        <f t="shared" si="148"/>
        <v>#N/A</v>
      </c>
      <c r="K760" s="50"/>
      <c r="L760" s="267" t="e">
        <f>INDEX('calcolo base'!$H:$H, MATCH($A760, 'calcolo base'!$A:$A, 0))</f>
        <v>#N/A</v>
      </c>
      <c r="M760" s="50" t="e">
        <f t="shared" si="149"/>
        <v>#N/A</v>
      </c>
      <c r="N760" s="50" t="e">
        <f t="shared" si="150"/>
        <v>#N/A</v>
      </c>
      <c r="O760" s="50" t="e">
        <f t="shared" si="151"/>
        <v>#N/A</v>
      </c>
      <c r="P760" s="50" t="e">
        <f t="shared" si="152"/>
        <v>#N/A</v>
      </c>
      <c r="Q760" s="51" t="e">
        <f t="shared" si="153"/>
        <v>#N/A</v>
      </c>
      <c r="R760" s="205" t="e">
        <f t="shared" si="154"/>
        <v>#N/A</v>
      </c>
      <c r="S760" s="279" t="e">
        <f>IF(R760="si",0,IF(E760="si",0,IF(J760&gt;K760,0,+K760-J760)))+IF('calcolo base'!P2220="SI",('Commissioni De Angeli'!K760-'Commissioni De Angeli'!J760),0)</f>
        <v>#N/A</v>
      </c>
      <c r="T760" s="117" t="e">
        <f t="shared" si="155"/>
        <v>#N/A</v>
      </c>
      <c r="U760" s="272" t="e">
        <f>IF(Q760=0,'calcolo base'!L3359,(T760+Q760))</f>
        <v>#N/A</v>
      </c>
      <c r="V760" s="119"/>
    </row>
    <row r="761" spans="2:22">
      <c r="B761" s="47"/>
      <c r="C761" s="35"/>
      <c r="D761" s="53"/>
      <c r="E761" s="53"/>
      <c r="F761" s="48"/>
      <c r="G761" s="243" t="e">
        <f>INDEX('calcolo base'!$B:$B, MATCH($A761, 'calcolo base'!$A:$A, 0))</f>
        <v>#N/A</v>
      </c>
      <c r="H761" s="54" t="e">
        <f t="shared" si="147"/>
        <v>#N/A</v>
      </c>
      <c r="I761" s="259" t="e">
        <f>IF(  OR(      INDEX('calcolo base'!$D:$D, MATCH($A761, 'calcolo base'!$A:$A, 0)) = 0,
      INDEX('calcolo base'!$D:$D, MATCH($A761, 'calcolo base'!$A:$A, 0)) = ""   ),
   INDEX('calcolo base'!$K:$K, MATCH($A761, 'calcolo base'!$A:$A, 0)),
   INDEX('calcolo base'!$J:$J, MATCH($A761, 'calcolo base'!$A:$A, 0))
) / 1000</f>
        <v>#N/A</v>
      </c>
      <c r="J761" s="50" t="e">
        <f t="shared" si="148"/>
        <v>#N/A</v>
      </c>
      <c r="K761" s="50"/>
      <c r="L761" s="267" t="e">
        <f>INDEX('calcolo base'!$H:$H, MATCH($A761, 'calcolo base'!$A:$A, 0))</f>
        <v>#N/A</v>
      </c>
      <c r="M761" s="50" t="e">
        <f t="shared" si="149"/>
        <v>#N/A</v>
      </c>
      <c r="N761" s="50" t="e">
        <f t="shared" si="150"/>
        <v>#N/A</v>
      </c>
      <c r="O761" s="50" t="e">
        <f t="shared" si="151"/>
        <v>#N/A</v>
      </c>
      <c r="P761" s="50" t="e">
        <f t="shared" si="152"/>
        <v>#N/A</v>
      </c>
      <c r="Q761" s="51" t="e">
        <f t="shared" si="153"/>
        <v>#N/A</v>
      </c>
      <c r="R761" s="205" t="e">
        <f t="shared" si="154"/>
        <v>#N/A</v>
      </c>
      <c r="S761" s="279" t="e">
        <f>IF(R761="si",0,IF(E761="si",0,IF(J761&gt;K761,0,+K761-J761)))+IF('calcolo base'!P2221="SI",('Commissioni De Angeli'!K761-'Commissioni De Angeli'!J761),0)</f>
        <v>#N/A</v>
      </c>
      <c r="T761" s="117" t="e">
        <f t="shared" si="155"/>
        <v>#N/A</v>
      </c>
      <c r="U761" s="272" t="e">
        <f>IF(Q761=0,'calcolo base'!L3360,(T761+Q761))</f>
        <v>#N/A</v>
      </c>
      <c r="V761" s="119"/>
    </row>
    <row r="762" spans="2:22">
      <c r="B762" s="47"/>
      <c r="C762" s="35"/>
      <c r="D762" s="53"/>
      <c r="E762" s="53"/>
      <c r="F762" s="48"/>
      <c r="G762" s="243" t="e">
        <f>INDEX('calcolo base'!$B:$B, MATCH($A762, 'calcolo base'!$A:$A, 0))</f>
        <v>#N/A</v>
      </c>
      <c r="H762" s="54" t="e">
        <f t="shared" si="147"/>
        <v>#N/A</v>
      </c>
      <c r="I762" s="259" t="e">
        <f>IF(  OR(      INDEX('calcolo base'!$D:$D, MATCH($A762, 'calcolo base'!$A:$A, 0)) = 0,
      INDEX('calcolo base'!$D:$D, MATCH($A762, 'calcolo base'!$A:$A, 0)) = ""   ),
   INDEX('calcolo base'!$K:$K, MATCH($A762, 'calcolo base'!$A:$A, 0)),
   INDEX('calcolo base'!$J:$J, MATCH($A762, 'calcolo base'!$A:$A, 0))
) / 1000</f>
        <v>#N/A</v>
      </c>
      <c r="J762" s="50" t="e">
        <f t="shared" si="148"/>
        <v>#N/A</v>
      </c>
      <c r="K762" s="50"/>
      <c r="L762" s="267" t="e">
        <f>INDEX('calcolo base'!$H:$H, MATCH($A762, 'calcolo base'!$A:$A, 0))</f>
        <v>#N/A</v>
      </c>
      <c r="M762" s="50" t="e">
        <f t="shared" si="149"/>
        <v>#N/A</v>
      </c>
      <c r="N762" s="50" t="e">
        <f t="shared" si="150"/>
        <v>#N/A</v>
      </c>
      <c r="O762" s="50" t="e">
        <f t="shared" si="151"/>
        <v>#N/A</v>
      </c>
      <c r="P762" s="50" t="e">
        <f t="shared" si="152"/>
        <v>#N/A</v>
      </c>
      <c r="Q762" s="51" t="e">
        <f t="shared" si="153"/>
        <v>#N/A</v>
      </c>
      <c r="R762" s="205" t="e">
        <f t="shared" si="154"/>
        <v>#N/A</v>
      </c>
      <c r="S762" s="279" t="e">
        <f>IF(R762="si",0,IF(E762="si",0,IF(J762&gt;K762,0,+K762-J762)))+IF('calcolo base'!P2222="SI",('Commissioni De Angeli'!K762-'Commissioni De Angeli'!J762),0)</f>
        <v>#N/A</v>
      </c>
      <c r="T762" s="117" t="e">
        <f t="shared" si="155"/>
        <v>#N/A</v>
      </c>
      <c r="U762" s="272" t="e">
        <f>IF(Q762=0,'calcolo base'!L3361,(T762+Q762))</f>
        <v>#N/A</v>
      </c>
      <c r="V762" s="119"/>
    </row>
    <row r="763" spans="2:22">
      <c r="B763" s="47"/>
      <c r="C763" s="35"/>
      <c r="D763" s="53"/>
      <c r="E763" s="53"/>
      <c r="F763" s="48"/>
      <c r="G763" s="243" t="e">
        <f>INDEX('calcolo base'!$B:$B, MATCH($A763, 'calcolo base'!$A:$A, 0))</f>
        <v>#N/A</v>
      </c>
      <c r="H763" s="54" t="e">
        <f t="shared" si="147"/>
        <v>#N/A</v>
      </c>
      <c r="I763" s="259" t="e">
        <f>IF(  OR(      INDEX('calcolo base'!$D:$D, MATCH($A763, 'calcolo base'!$A:$A, 0)) = 0,
      INDEX('calcolo base'!$D:$D, MATCH($A763, 'calcolo base'!$A:$A, 0)) = ""   ),
   INDEX('calcolo base'!$K:$K, MATCH($A763, 'calcolo base'!$A:$A, 0)),
   INDEX('calcolo base'!$J:$J, MATCH($A763, 'calcolo base'!$A:$A, 0))
) / 1000</f>
        <v>#N/A</v>
      </c>
      <c r="J763" s="50" t="e">
        <f t="shared" si="148"/>
        <v>#N/A</v>
      </c>
      <c r="K763" s="50"/>
      <c r="L763" s="267" t="e">
        <f>INDEX('calcolo base'!$H:$H, MATCH($A763, 'calcolo base'!$A:$A, 0))</f>
        <v>#N/A</v>
      </c>
      <c r="M763" s="50" t="e">
        <f t="shared" si="149"/>
        <v>#N/A</v>
      </c>
      <c r="N763" s="50" t="e">
        <f t="shared" si="150"/>
        <v>#N/A</v>
      </c>
      <c r="O763" s="50" t="e">
        <f t="shared" si="151"/>
        <v>#N/A</v>
      </c>
      <c r="P763" s="50" t="e">
        <f t="shared" si="152"/>
        <v>#N/A</v>
      </c>
      <c r="Q763" s="51" t="e">
        <f t="shared" si="153"/>
        <v>#N/A</v>
      </c>
      <c r="R763" s="205" t="e">
        <f t="shared" si="154"/>
        <v>#N/A</v>
      </c>
      <c r="S763" s="279" t="e">
        <f>IF(R763="si",0,IF(E763="si",0,IF(J763&gt;K763,0,+K763-J763)))+IF('calcolo base'!P2223="SI",('Commissioni De Angeli'!K763-'Commissioni De Angeli'!J763),0)</f>
        <v>#N/A</v>
      </c>
      <c r="T763" s="117" t="e">
        <f t="shared" si="155"/>
        <v>#N/A</v>
      </c>
      <c r="U763" s="272" t="e">
        <f>IF(Q763=0,'calcolo base'!L3362,(T763+Q763))</f>
        <v>#N/A</v>
      </c>
      <c r="V763" s="119"/>
    </row>
    <row r="764" spans="2:22">
      <c r="B764" s="47"/>
      <c r="C764" s="35"/>
      <c r="D764" s="53"/>
      <c r="E764" s="53"/>
      <c r="F764" s="48"/>
      <c r="G764" s="243" t="e">
        <f>INDEX('calcolo base'!$B:$B, MATCH($A764, 'calcolo base'!$A:$A, 0))</f>
        <v>#N/A</v>
      </c>
      <c r="H764" s="54" t="e">
        <f t="shared" si="147"/>
        <v>#N/A</v>
      </c>
      <c r="I764" s="259" t="e">
        <f>IF(  OR(      INDEX('calcolo base'!$D:$D, MATCH($A764, 'calcolo base'!$A:$A, 0)) = 0,
      INDEX('calcolo base'!$D:$D, MATCH($A764, 'calcolo base'!$A:$A, 0)) = ""   ),
   INDEX('calcolo base'!$K:$K, MATCH($A764, 'calcolo base'!$A:$A, 0)),
   INDEX('calcolo base'!$J:$J, MATCH($A764, 'calcolo base'!$A:$A, 0))
) / 1000</f>
        <v>#N/A</v>
      </c>
      <c r="J764" s="50" t="e">
        <f t="shared" si="148"/>
        <v>#N/A</v>
      </c>
      <c r="K764" s="50"/>
      <c r="L764" s="267" t="e">
        <f>INDEX('calcolo base'!$H:$H, MATCH($A764, 'calcolo base'!$A:$A, 0))</f>
        <v>#N/A</v>
      </c>
      <c r="M764" s="50" t="e">
        <f t="shared" si="149"/>
        <v>#N/A</v>
      </c>
      <c r="N764" s="50" t="e">
        <f t="shared" si="150"/>
        <v>#N/A</v>
      </c>
      <c r="O764" s="50" t="e">
        <f t="shared" si="151"/>
        <v>#N/A</v>
      </c>
      <c r="P764" s="50" t="e">
        <f t="shared" si="152"/>
        <v>#N/A</v>
      </c>
      <c r="Q764" s="51" t="e">
        <f t="shared" si="153"/>
        <v>#N/A</v>
      </c>
      <c r="R764" s="205" t="e">
        <f t="shared" si="154"/>
        <v>#N/A</v>
      </c>
      <c r="S764" s="279" t="e">
        <f>IF(R764="si",0,IF(E764="si",0,IF(J764&gt;K764,0,+K764-J764)))+IF('calcolo base'!P2224="SI",('Commissioni De Angeli'!K764-'Commissioni De Angeli'!J764),0)</f>
        <v>#N/A</v>
      </c>
      <c r="T764" s="117" t="e">
        <f t="shared" si="155"/>
        <v>#N/A</v>
      </c>
      <c r="U764" s="272" t="e">
        <f>IF(Q764=0,'calcolo base'!L3363,(T764+Q764))</f>
        <v>#N/A</v>
      </c>
      <c r="V764" s="119"/>
    </row>
    <row r="765" spans="2:22">
      <c r="B765" s="47"/>
      <c r="C765" s="35"/>
      <c r="D765" s="53"/>
      <c r="E765" s="53"/>
      <c r="F765" s="48"/>
      <c r="G765" s="243" t="e">
        <f>INDEX('calcolo base'!$B:$B, MATCH($A765, 'calcolo base'!$A:$A, 0))</f>
        <v>#N/A</v>
      </c>
      <c r="H765" s="54" t="e">
        <f t="shared" si="147"/>
        <v>#N/A</v>
      </c>
      <c r="I765" s="259" t="e">
        <f>IF(  OR(      INDEX('calcolo base'!$D:$D, MATCH($A765, 'calcolo base'!$A:$A, 0)) = 0,
      INDEX('calcolo base'!$D:$D, MATCH($A765, 'calcolo base'!$A:$A, 0)) = ""   ),
   INDEX('calcolo base'!$K:$K, MATCH($A765, 'calcolo base'!$A:$A, 0)),
   INDEX('calcolo base'!$J:$J, MATCH($A765, 'calcolo base'!$A:$A, 0))
) / 1000</f>
        <v>#N/A</v>
      </c>
      <c r="J765" s="50" t="e">
        <f t="shared" si="148"/>
        <v>#N/A</v>
      </c>
      <c r="K765" s="50"/>
      <c r="L765" s="267" t="e">
        <f>INDEX('calcolo base'!$H:$H, MATCH($A765, 'calcolo base'!$A:$A, 0))</f>
        <v>#N/A</v>
      </c>
      <c r="M765" s="50" t="e">
        <f t="shared" si="149"/>
        <v>#N/A</v>
      </c>
      <c r="N765" s="50" t="e">
        <f t="shared" si="150"/>
        <v>#N/A</v>
      </c>
      <c r="O765" s="50" t="e">
        <f t="shared" si="151"/>
        <v>#N/A</v>
      </c>
      <c r="P765" s="50" t="e">
        <f t="shared" si="152"/>
        <v>#N/A</v>
      </c>
      <c r="Q765" s="51" t="e">
        <f t="shared" si="153"/>
        <v>#N/A</v>
      </c>
      <c r="R765" s="205" t="e">
        <f t="shared" si="154"/>
        <v>#N/A</v>
      </c>
      <c r="S765" s="279" t="e">
        <f>IF(R765="si",0,IF(E765="si",0,IF(J765&gt;K765,0,+K765-J765)))+IF('calcolo base'!P2225="SI",('Commissioni De Angeli'!K765-'Commissioni De Angeli'!J765),0)</f>
        <v>#N/A</v>
      </c>
      <c r="T765" s="117" t="e">
        <f t="shared" si="155"/>
        <v>#N/A</v>
      </c>
      <c r="U765" s="272" t="e">
        <f>IF(Q765=0,'calcolo base'!L3364,(T765+Q765))</f>
        <v>#N/A</v>
      </c>
      <c r="V765" s="119"/>
    </row>
    <row r="766" spans="2:22">
      <c r="B766" s="47"/>
      <c r="C766" s="35"/>
      <c r="D766" s="53"/>
      <c r="E766" s="53"/>
      <c r="F766" s="48"/>
      <c r="G766" s="243" t="e">
        <f>INDEX('calcolo base'!$B:$B, MATCH($A766, 'calcolo base'!$A:$A, 0))</f>
        <v>#N/A</v>
      </c>
      <c r="H766" s="54" t="e">
        <f t="shared" si="147"/>
        <v>#N/A</v>
      </c>
      <c r="I766" s="259" t="e">
        <f>IF(  OR(      INDEX('calcolo base'!$D:$D, MATCH($A766, 'calcolo base'!$A:$A, 0)) = 0,
      INDEX('calcolo base'!$D:$D, MATCH($A766, 'calcolo base'!$A:$A, 0)) = ""   ),
   INDEX('calcolo base'!$K:$K, MATCH($A766, 'calcolo base'!$A:$A, 0)),
   INDEX('calcolo base'!$J:$J, MATCH($A766, 'calcolo base'!$A:$A, 0))
) / 1000</f>
        <v>#N/A</v>
      </c>
      <c r="J766" s="50" t="e">
        <f t="shared" si="148"/>
        <v>#N/A</v>
      </c>
      <c r="K766" s="50"/>
      <c r="L766" s="267" t="e">
        <f>INDEX('calcolo base'!$H:$H, MATCH($A766, 'calcolo base'!$A:$A, 0))</f>
        <v>#N/A</v>
      </c>
      <c r="M766" s="50" t="e">
        <f t="shared" si="149"/>
        <v>#N/A</v>
      </c>
      <c r="N766" s="50" t="e">
        <f t="shared" si="150"/>
        <v>#N/A</v>
      </c>
      <c r="O766" s="50" t="e">
        <f t="shared" si="151"/>
        <v>#N/A</v>
      </c>
      <c r="P766" s="50" t="e">
        <f t="shared" si="152"/>
        <v>#N/A</v>
      </c>
      <c r="Q766" s="51" t="e">
        <f t="shared" si="153"/>
        <v>#N/A</v>
      </c>
      <c r="R766" s="205" t="e">
        <f t="shared" si="154"/>
        <v>#N/A</v>
      </c>
      <c r="S766" s="279" t="e">
        <f>IF(R766="si",0,IF(E766="si",0,IF(J766&gt;K766,0,+K766-J766)))+IF('calcolo base'!P2226="SI",('Commissioni De Angeli'!K766-'Commissioni De Angeli'!J766),0)</f>
        <v>#N/A</v>
      </c>
      <c r="T766" s="117" t="e">
        <f t="shared" si="155"/>
        <v>#N/A</v>
      </c>
      <c r="U766" s="272" t="e">
        <f>IF(Q766=0,'calcolo base'!L3365,(T766+Q766))</f>
        <v>#N/A</v>
      </c>
      <c r="V766" s="119"/>
    </row>
    <row r="767" spans="2:22">
      <c r="B767" s="47"/>
      <c r="C767" s="35"/>
      <c r="D767" s="53"/>
      <c r="E767" s="53"/>
      <c r="F767" s="48"/>
      <c r="G767" s="243" t="e">
        <f>INDEX('calcolo base'!$B:$B, MATCH($A767, 'calcolo base'!$A:$A, 0))</f>
        <v>#N/A</v>
      </c>
      <c r="H767" s="54" t="e">
        <f t="shared" si="147"/>
        <v>#N/A</v>
      </c>
      <c r="I767" s="259" t="e">
        <f>IF(  OR(      INDEX('calcolo base'!$D:$D, MATCH($A767, 'calcolo base'!$A:$A, 0)) = 0,
      INDEX('calcolo base'!$D:$D, MATCH($A767, 'calcolo base'!$A:$A, 0)) = ""   ),
   INDEX('calcolo base'!$K:$K, MATCH($A767, 'calcolo base'!$A:$A, 0)),
   INDEX('calcolo base'!$J:$J, MATCH($A767, 'calcolo base'!$A:$A, 0))
) / 1000</f>
        <v>#N/A</v>
      </c>
      <c r="J767" s="50" t="e">
        <f t="shared" si="148"/>
        <v>#N/A</v>
      </c>
      <c r="K767" s="50"/>
      <c r="L767" s="267" t="e">
        <f>INDEX('calcolo base'!$H:$H, MATCH($A767, 'calcolo base'!$A:$A, 0))</f>
        <v>#N/A</v>
      </c>
      <c r="M767" s="50" t="e">
        <f t="shared" si="149"/>
        <v>#N/A</v>
      </c>
      <c r="N767" s="50" t="e">
        <f t="shared" si="150"/>
        <v>#N/A</v>
      </c>
      <c r="O767" s="50" t="e">
        <f t="shared" si="151"/>
        <v>#N/A</v>
      </c>
      <c r="P767" s="50" t="e">
        <f t="shared" si="152"/>
        <v>#N/A</v>
      </c>
      <c r="Q767" s="51" t="e">
        <f t="shared" si="153"/>
        <v>#N/A</v>
      </c>
      <c r="R767" s="205" t="e">
        <f t="shared" si="154"/>
        <v>#N/A</v>
      </c>
      <c r="S767" s="279" t="e">
        <f>IF(R767="si",0,IF(E767="si",0,IF(J767&gt;K767,0,+K767-J767)))+IF('calcolo base'!P2227="SI",('Commissioni De Angeli'!K767-'Commissioni De Angeli'!J767),0)</f>
        <v>#N/A</v>
      </c>
      <c r="T767" s="117" t="e">
        <f t="shared" si="155"/>
        <v>#N/A</v>
      </c>
      <c r="U767" s="272" t="e">
        <f>IF(Q767=0,'calcolo base'!L3366,(T767+Q767))</f>
        <v>#N/A</v>
      </c>
      <c r="V767" s="119"/>
    </row>
    <row r="768" spans="2:22">
      <c r="B768" s="47"/>
      <c r="C768" s="35"/>
      <c r="D768" s="53"/>
      <c r="E768" s="53"/>
      <c r="F768" s="48"/>
      <c r="G768" s="243" t="e">
        <f>INDEX('calcolo base'!$B:$B, MATCH($A768, 'calcolo base'!$A:$A, 0))</f>
        <v>#N/A</v>
      </c>
      <c r="H768" s="54" t="e">
        <f t="shared" si="147"/>
        <v>#N/A</v>
      </c>
      <c r="I768" s="259" t="e">
        <f>IF(  OR(      INDEX('calcolo base'!$D:$D, MATCH($A768, 'calcolo base'!$A:$A, 0)) = 0,
      INDEX('calcolo base'!$D:$D, MATCH($A768, 'calcolo base'!$A:$A, 0)) = ""   ),
   INDEX('calcolo base'!$K:$K, MATCH($A768, 'calcolo base'!$A:$A, 0)),
   INDEX('calcolo base'!$J:$J, MATCH($A768, 'calcolo base'!$A:$A, 0))
) / 1000</f>
        <v>#N/A</v>
      </c>
      <c r="J768" s="50" t="e">
        <f t="shared" si="148"/>
        <v>#N/A</v>
      </c>
      <c r="K768" s="50"/>
      <c r="L768" s="267" t="e">
        <f>INDEX('calcolo base'!$H:$H, MATCH($A768, 'calcolo base'!$A:$A, 0))</f>
        <v>#N/A</v>
      </c>
      <c r="M768" s="50" t="e">
        <f t="shared" si="149"/>
        <v>#N/A</v>
      </c>
      <c r="N768" s="50" t="e">
        <f t="shared" si="150"/>
        <v>#N/A</v>
      </c>
      <c r="O768" s="50" t="e">
        <f t="shared" si="151"/>
        <v>#N/A</v>
      </c>
      <c r="P768" s="50" t="e">
        <f t="shared" si="152"/>
        <v>#N/A</v>
      </c>
      <c r="Q768" s="51" t="e">
        <f t="shared" si="153"/>
        <v>#N/A</v>
      </c>
      <c r="R768" s="205" t="e">
        <f t="shared" si="154"/>
        <v>#N/A</v>
      </c>
      <c r="S768" s="279" t="e">
        <f>IF(R768="si",0,IF(E768="si",0,IF(J768&gt;K768,0,+K768-J768)))+IF('calcolo base'!P2228="SI",('Commissioni De Angeli'!K768-'Commissioni De Angeli'!J768),0)</f>
        <v>#N/A</v>
      </c>
      <c r="T768" s="117" t="e">
        <f t="shared" si="155"/>
        <v>#N/A</v>
      </c>
      <c r="U768" s="272" t="e">
        <f>IF(Q768=0,'calcolo base'!L3367,(T768+Q768))</f>
        <v>#N/A</v>
      </c>
      <c r="V768" s="119"/>
    </row>
    <row r="769" spans="2:22">
      <c r="B769" s="47"/>
      <c r="C769" s="35"/>
      <c r="D769" s="53"/>
      <c r="E769" s="53"/>
      <c r="F769" s="48"/>
      <c r="G769" s="243" t="e">
        <f>INDEX('calcolo base'!$B:$B, MATCH($A769, 'calcolo base'!$A:$A, 0))</f>
        <v>#N/A</v>
      </c>
      <c r="H769" s="54" t="e">
        <f t="shared" si="147"/>
        <v>#N/A</v>
      </c>
      <c r="I769" s="259" t="e">
        <f>IF(  OR(      INDEX('calcolo base'!$D:$D, MATCH($A769, 'calcolo base'!$A:$A, 0)) = 0,
      INDEX('calcolo base'!$D:$D, MATCH($A769, 'calcolo base'!$A:$A, 0)) = ""   ),
   INDEX('calcolo base'!$K:$K, MATCH($A769, 'calcolo base'!$A:$A, 0)),
   INDEX('calcolo base'!$J:$J, MATCH($A769, 'calcolo base'!$A:$A, 0))
) / 1000</f>
        <v>#N/A</v>
      </c>
      <c r="J769" s="50" t="e">
        <f t="shared" si="148"/>
        <v>#N/A</v>
      </c>
      <c r="K769" s="50"/>
      <c r="L769" s="267" t="e">
        <f>INDEX('calcolo base'!$H:$H, MATCH($A769, 'calcolo base'!$A:$A, 0))</f>
        <v>#N/A</v>
      </c>
      <c r="M769" s="50" t="e">
        <f t="shared" si="149"/>
        <v>#N/A</v>
      </c>
      <c r="N769" s="50" t="e">
        <f t="shared" si="150"/>
        <v>#N/A</v>
      </c>
      <c r="O769" s="50" t="e">
        <f t="shared" si="151"/>
        <v>#N/A</v>
      </c>
      <c r="P769" s="50" t="e">
        <f t="shared" si="152"/>
        <v>#N/A</v>
      </c>
      <c r="Q769" s="51" t="e">
        <f t="shared" si="153"/>
        <v>#N/A</v>
      </c>
      <c r="R769" s="205" t="e">
        <f t="shared" si="154"/>
        <v>#N/A</v>
      </c>
      <c r="S769" s="279" t="e">
        <f>IF(R769="si",0,IF(E769="si",0,IF(J769&gt;K769,0,+K769-J769)))+IF('calcolo base'!P2229="SI",('Commissioni De Angeli'!K769-'Commissioni De Angeli'!J769),0)</f>
        <v>#N/A</v>
      </c>
      <c r="T769" s="117" t="e">
        <f t="shared" si="155"/>
        <v>#N/A</v>
      </c>
      <c r="U769" s="272" t="e">
        <f>IF(Q769=0,'calcolo base'!L3368,(T769+Q769))</f>
        <v>#N/A</v>
      </c>
      <c r="V769" s="119"/>
    </row>
    <row r="770" spans="2:22">
      <c r="B770" s="47"/>
      <c r="C770" s="35"/>
      <c r="D770" s="53"/>
      <c r="E770" s="53"/>
      <c r="F770" s="48"/>
      <c r="G770" s="243" t="e">
        <f>INDEX('calcolo base'!$B:$B, MATCH($A770, 'calcolo base'!$A:$A, 0))</f>
        <v>#N/A</v>
      </c>
      <c r="H770" s="54" t="e">
        <f t="shared" si="147"/>
        <v>#N/A</v>
      </c>
      <c r="I770" s="259" t="e">
        <f>IF(  OR(      INDEX('calcolo base'!$D:$D, MATCH($A770, 'calcolo base'!$A:$A, 0)) = 0,
      INDEX('calcolo base'!$D:$D, MATCH($A770, 'calcolo base'!$A:$A, 0)) = ""   ),
   INDEX('calcolo base'!$K:$K, MATCH($A770, 'calcolo base'!$A:$A, 0)),
   INDEX('calcolo base'!$J:$J, MATCH($A770, 'calcolo base'!$A:$A, 0))
) / 1000</f>
        <v>#N/A</v>
      </c>
      <c r="J770" s="50" t="e">
        <f t="shared" si="148"/>
        <v>#N/A</v>
      </c>
      <c r="K770" s="50"/>
      <c r="L770" s="267" t="e">
        <f>INDEX('calcolo base'!$H:$H, MATCH($A770, 'calcolo base'!$A:$A, 0))</f>
        <v>#N/A</v>
      </c>
      <c r="M770" s="50" t="e">
        <f t="shared" si="149"/>
        <v>#N/A</v>
      </c>
      <c r="N770" s="50" t="e">
        <f t="shared" si="150"/>
        <v>#N/A</v>
      </c>
      <c r="O770" s="50" t="e">
        <f t="shared" si="151"/>
        <v>#N/A</v>
      </c>
      <c r="P770" s="50" t="e">
        <f t="shared" si="152"/>
        <v>#N/A</v>
      </c>
      <c r="Q770" s="51" t="e">
        <f t="shared" si="153"/>
        <v>#N/A</v>
      </c>
      <c r="R770" s="205" t="e">
        <f t="shared" si="154"/>
        <v>#N/A</v>
      </c>
      <c r="S770" s="279" t="e">
        <f>IF(R770="si",0,IF(E770="si",0,IF(J770&gt;K770,0,+K770-J770)))+IF('calcolo base'!P2230="SI",('Commissioni De Angeli'!K770-'Commissioni De Angeli'!J770),0)</f>
        <v>#N/A</v>
      </c>
      <c r="T770" s="117" t="e">
        <f t="shared" si="155"/>
        <v>#N/A</v>
      </c>
      <c r="U770" s="272" t="e">
        <f>IF(Q770=0,'calcolo base'!L3369,(T770+Q770))</f>
        <v>#N/A</v>
      </c>
      <c r="V770" s="119"/>
    </row>
    <row r="771" spans="2:22">
      <c r="B771" s="47"/>
      <c r="C771" s="35"/>
      <c r="D771" s="53"/>
      <c r="E771" s="53"/>
      <c r="F771" s="48"/>
      <c r="G771" s="243" t="e">
        <f>INDEX('calcolo base'!$B:$B, MATCH($A771, 'calcolo base'!$A:$A, 0))</f>
        <v>#N/A</v>
      </c>
      <c r="H771" s="54" t="e">
        <f t="shared" si="147"/>
        <v>#N/A</v>
      </c>
      <c r="I771" s="259" t="e">
        <f>IF(  OR(      INDEX('calcolo base'!$D:$D, MATCH($A771, 'calcolo base'!$A:$A, 0)) = 0,
      INDEX('calcolo base'!$D:$D, MATCH($A771, 'calcolo base'!$A:$A, 0)) = ""   ),
   INDEX('calcolo base'!$K:$K, MATCH($A771, 'calcolo base'!$A:$A, 0)),
   INDEX('calcolo base'!$J:$J, MATCH($A771, 'calcolo base'!$A:$A, 0))
) / 1000</f>
        <v>#N/A</v>
      </c>
      <c r="J771" s="50" t="e">
        <f t="shared" si="148"/>
        <v>#N/A</v>
      </c>
      <c r="K771" s="50"/>
      <c r="L771" s="267" t="e">
        <f>INDEX('calcolo base'!$H:$H, MATCH($A771, 'calcolo base'!$A:$A, 0))</f>
        <v>#N/A</v>
      </c>
      <c r="M771" s="50" t="e">
        <f t="shared" si="149"/>
        <v>#N/A</v>
      </c>
      <c r="N771" s="50" t="e">
        <f t="shared" si="150"/>
        <v>#N/A</v>
      </c>
      <c r="O771" s="50" t="e">
        <f t="shared" si="151"/>
        <v>#N/A</v>
      </c>
      <c r="P771" s="50" t="e">
        <f t="shared" si="152"/>
        <v>#N/A</v>
      </c>
      <c r="Q771" s="51" t="e">
        <f t="shared" si="153"/>
        <v>#N/A</v>
      </c>
      <c r="R771" s="205" t="e">
        <f t="shared" si="154"/>
        <v>#N/A</v>
      </c>
      <c r="S771" s="279" t="e">
        <f>IF(R771="si",0,IF(E771="si",0,IF(J771&gt;K771,0,+K771-J771)))+IF('calcolo base'!P2231="SI",('Commissioni De Angeli'!K771-'Commissioni De Angeli'!J771),0)</f>
        <v>#N/A</v>
      </c>
      <c r="T771" s="117" t="e">
        <f t="shared" si="155"/>
        <v>#N/A</v>
      </c>
      <c r="U771" s="272" t="e">
        <f>IF(Q771=0,'calcolo base'!L3370,(T771+Q771))</f>
        <v>#N/A</v>
      </c>
      <c r="V771" s="119"/>
    </row>
    <row r="772" spans="2:22">
      <c r="B772" s="47"/>
      <c r="C772" s="35"/>
      <c r="D772" s="53"/>
      <c r="E772" s="53"/>
      <c r="F772" s="48"/>
      <c r="G772" s="243" t="e">
        <f>INDEX('calcolo base'!$B:$B, MATCH($A772, 'calcolo base'!$A:$A, 0))</f>
        <v>#N/A</v>
      </c>
      <c r="H772" s="54" t="e">
        <f t="shared" si="147"/>
        <v>#N/A</v>
      </c>
      <c r="I772" s="259" t="e">
        <f>IF(  OR(      INDEX('calcolo base'!$D:$D, MATCH($A772, 'calcolo base'!$A:$A, 0)) = 0,
      INDEX('calcolo base'!$D:$D, MATCH($A772, 'calcolo base'!$A:$A, 0)) = ""   ),
   INDEX('calcolo base'!$K:$K, MATCH($A772, 'calcolo base'!$A:$A, 0)),
   INDEX('calcolo base'!$J:$J, MATCH($A772, 'calcolo base'!$A:$A, 0))
) / 1000</f>
        <v>#N/A</v>
      </c>
      <c r="J772" s="50" t="e">
        <f t="shared" si="148"/>
        <v>#N/A</v>
      </c>
      <c r="K772" s="50"/>
      <c r="L772" s="267" t="e">
        <f>INDEX('calcolo base'!$H:$H, MATCH($A772, 'calcolo base'!$A:$A, 0))</f>
        <v>#N/A</v>
      </c>
      <c r="M772" s="50" t="e">
        <f t="shared" si="149"/>
        <v>#N/A</v>
      </c>
      <c r="N772" s="50" t="e">
        <f t="shared" si="150"/>
        <v>#N/A</v>
      </c>
      <c r="O772" s="50" t="e">
        <f t="shared" si="151"/>
        <v>#N/A</v>
      </c>
      <c r="P772" s="50" t="e">
        <f t="shared" si="152"/>
        <v>#N/A</v>
      </c>
      <c r="Q772" s="51" t="e">
        <f t="shared" si="153"/>
        <v>#N/A</v>
      </c>
      <c r="R772" s="205" t="e">
        <f t="shared" si="154"/>
        <v>#N/A</v>
      </c>
      <c r="S772" s="279" t="e">
        <f>IF(R772="si",0,IF(E772="si",0,IF(J772&gt;K772,0,+K772-J772)))+IF('calcolo base'!P2232="SI",('Commissioni De Angeli'!K772-'Commissioni De Angeli'!J772),0)</f>
        <v>#N/A</v>
      </c>
      <c r="T772" s="117" t="e">
        <f t="shared" si="155"/>
        <v>#N/A</v>
      </c>
      <c r="U772" s="272" t="e">
        <f>IF(Q772=0,'calcolo base'!L3371,(T772+Q772))</f>
        <v>#N/A</v>
      </c>
      <c r="V772" s="119"/>
    </row>
    <row r="773" spans="2:22">
      <c r="B773" s="47"/>
      <c r="C773" s="35"/>
      <c r="D773" s="53"/>
      <c r="E773" s="53"/>
      <c r="F773" s="48"/>
      <c r="G773" s="243" t="e">
        <f>INDEX('calcolo base'!$B:$B, MATCH($A773, 'calcolo base'!$A:$A, 0))</f>
        <v>#N/A</v>
      </c>
      <c r="H773" s="54" t="e">
        <f t="shared" si="147"/>
        <v>#N/A</v>
      </c>
      <c r="I773" s="259" t="e">
        <f>IF(  OR(      INDEX('calcolo base'!$D:$D, MATCH($A773, 'calcolo base'!$A:$A, 0)) = 0,
      INDEX('calcolo base'!$D:$D, MATCH($A773, 'calcolo base'!$A:$A, 0)) = ""   ),
   INDEX('calcolo base'!$K:$K, MATCH($A773, 'calcolo base'!$A:$A, 0)),
   INDEX('calcolo base'!$J:$J, MATCH($A773, 'calcolo base'!$A:$A, 0))
) / 1000</f>
        <v>#N/A</v>
      </c>
      <c r="J773" s="50" t="e">
        <f t="shared" si="148"/>
        <v>#N/A</v>
      </c>
      <c r="K773" s="50"/>
      <c r="L773" s="267" t="e">
        <f>INDEX('calcolo base'!$H:$H, MATCH($A773, 'calcolo base'!$A:$A, 0))</f>
        <v>#N/A</v>
      </c>
      <c r="M773" s="50" t="e">
        <f t="shared" si="149"/>
        <v>#N/A</v>
      </c>
      <c r="N773" s="50" t="e">
        <f t="shared" si="150"/>
        <v>#N/A</v>
      </c>
      <c r="O773" s="50" t="e">
        <f t="shared" si="151"/>
        <v>#N/A</v>
      </c>
      <c r="P773" s="50" t="e">
        <f t="shared" si="152"/>
        <v>#N/A</v>
      </c>
      <c r="Q773" s="51" t="e">
        <f t="shared" si="153"/>
        <v>#N/A</v>
      </c>
      <c r="R773" s="205" t="e">
        <f t="shared" si="154"/>
        <v>#N/A</v>
      </c>
      <c r="S773" s="279" t="e">
        <f>IF(R773="si",0,IF(E773="si",0,IF(J773&gt;K773,0,+K773-J773)))+IF('calcolo base'!P2233="SI",('Commissioni De Angeli'!K773-'Commissioni De Angeli'!J773),0)</f>
        <v>#N/A</v>
      </c>
      <c r="T773" s="117" t="e">
        <f t="shared" si="155"/>
        <v>#N/A</v>
      </c>
      <c r="U773" s="272" t="e">
        <f>IF(Q773=0,'calcolo base'!L3372,(T773+Q773))</f>
        <v>#N/A</v>
      </c>
      <c r="V773" s="119"/>
    </row>
    <row r="774" spans="2:22">
      <c r="B774" s="47"/>
      <c r="C774" s="35"/>
      <c r="D774" s="53"/>
      <c r="E774" s="53"/>
      <c r="F774" s="48"/>
      <c r="G774" s="243" t="e">
        <f>INDEX('calcolo base'!$B:$B, MATCH($A774, 'calcolo base'!$A:$A, 0))</f>
        <v>#N/A</v>
      </c>
      <c r="H774" s="54" t="e">
        <f t="shared" si="147"/>
        <v>#N/A</v>
      </c>
      <c r="I774" s="259" t="e">
        <f>IF(  OR(      INDEX('calcolo base'!$D:$D, MATCH($A774, 'calcolo base'!$A:$A, 0)) = 0,
      INDEX('calcolo base'!$D:$D, MATCH($A774, 'calcolo base'!$A:$A, 0)) = ""   ),
   INDEX('calcolo base'!$K:$K, MATCH($A774, 'calcolo base'!$A:$A, 0)),
   INDEX('calcolo base'!$J:$J, MATCH($A774, 'calcolo base'!$A:$A, 0))
) / 1000</f>
        <v>#N/A</v>
      </c>
      <c r="J774" s="50" t="e">
        <f t="shared" si="148"/>
        <v>#N/A</v>
      </c>
      <c r="K774" s="50"/>
      <c r="L774" s="267" t="e">
        <f>INDEX('calcolo base'!$H:$H, MATCH($A774, 'calcolo base'!$A:$A, 0))</f>
        <v>#N/A</v>
      </c>
      <c r="M774" s="50" t="e">
        <f t="shared" si="149"/>
        <v>#N/A</v>
      </c>
      <c r="N774" s="50" t="e">
        <f t="shared" si="150"/>
        <v>#N/A</v>
      </c>
      <c r="O774" s="50" t="e">
        <f t="shared" si="151"/>
        <v>#N/A</v>
      </c>
      <c r="P774" s="50" t="e">
        <f t="shared" si="152"/>
        <v>#N/A</v>
      </c>
      <c r="Q774" s="51" t="e">
        <f t="shared" si="153"/>
        <v>#N/A</v>
      </c>
      <c r="R774" s="205" t="e">
        <f t="shared" si="154"/>
        <v>#N/A</v>
      </c>
      <c r="S774" s="279" t="e">
        <f>IF(R774="si",0,IF(E774="si",0,IF(J774&gt;K774,0,+K774-J774)))+IF('calcolo base'!P2234="SI",('Commissioni De Angeli'!K774-'Commissioni De Angeli'!J774),0)</f>
        <v>#N/A</v>
      </c>
      <c r="T774" s="117" t="e">
        <f t="shared" si="155"/>
        <v>#N/A</v>
      </c>
      <c r="U774" s="272" t="e">
        <f>IF(Q774=0,'calcolo base'!L3373,(T774+Q774))</f>
        <v>#N/A</v>
      </c>
      <c r="V774" s="119"/>
    </row>
    <row r="775" spans="2:22">
      <c r="B775" s="47"/>
      <c r="C775" s="35"/>
      <c r="D775" s="53"/>
      <c r="E775" s="53"/>
      <c r="F775" s="48"/>
      <c r="G775" s="243" t="e">
        <f>INDEX('calcolo base'!$B:$B, MATCH($A775, 'calcolo base'!$A:$A, 0))</f>
        <v>#N/A</v>
      </c>
      <c r="H775" s="54" t="e">
        <f t="shared" si="147"/>
        <v>#N/A</v>
      </c>
      <c r="I775" s="259" t="e">
        <f>IF(  OR(      INDEX('calcolo base'!$D:$D, MATCH($A775, 'calcolo base'!$A:$A, 0)) = 0,
      INDEX('calcolo base'!$D:$D, MATCH($A775, 'calcolo base'!$A:$A, 0)) = ""   ),
   INDEX('calcolo base'!$K:$K, MATCH($A775, 'calcolo base'!$A:$A, 0)),
   INDEX('calcolo base'!$J:$J, MATCH($A775, 'calcolo base'!$A:$A, 0))
) / 1000</f>
        <v>#N/A</v>
      </c>
      <c r="J775" s="50" t="e">
        <f t="shared" si="148"/>
        <v>#N/A</v>
      </c>
      <c r="K775" s="50"/>
      <c r="L775" s="267" t="e">
        <f>INDEX('calcolo base'!$H:$H, MATCH($A775, 'calcolo base'!$A:$A, 0))</f>
        <v>#N/A</v>
      </c>
      <c r="M775" s="50" t="e">
        <f t="shared" si="149"/>
        <v>#N/A</v>
      </c>
      <c r="N775" s="50" t="e">
        <f t="shared" si="150"/>
        <v>#N/A</v>
      </c>
      <c r="O775" s="50" t="e">
        <f t="shared" si="151"/>
        <v>#N/A</v>
      </c>
      <c r="P775" s="50" t="e">
        <f t="shared" si="152"/>
        <v>#N/A</v>
      </c>
      <c r="Q775" s="51" t="e">
        <f t="shared" si="153"/>
        <v>#N/A</v>
      </c>
      <c r="R775" s="205" t="e">
        <f t="shared" si="154"/>
        <v>#N/A</v>
      </c>
      <c r="S775" s="279" t="e">
        <f>IF(R775="si",0,IF(E775="si",0,IF(J775&gt;K775,0,+K775-J775)))+IF('calcolo base'!P2235="SI",('Commissioni De Angeli'!K775-'Commissioni De Angeli'!J775),0)</f>
        <v>#N/A</v>
      </c>
      <c r="T775" s="117" t="e">
        <f t="shared" si="155"/>
        <v>#N/A</v>
      </c>
      <c r="U775" s="272" t="e">
        <f>IF(Q775=0,'calcolo base'!L3374,(T775+Q775))</f>
        <v>#N/A</v>
      </c>
      <c r="V775" s="119"/>
    </row>
    <row r="776" spans="2:22">
      <c r="B776" s="47"/>
      <c r="C776" s="35"/>
      <c r="D776" s="53"/>
      <c r="E776" s="53"/>
      <c r="F776" s="48"/>
      <c r="G776" s="243" t="e">
        <f>INDEX('calcolo base'!$B:$B, MATCH($A776, 'calcolo base'!$A:$A, 0))</f>
        <v>#N/A</v>
      </c>
      <c r="H776" s="54" t="e">
        <f t="shared" si="147"/>
        <v>#N/A</v>
      </c>
      <c r="I776" s="259" t="e">
        <f>IF(  OR(      INDEX('calcolo base'!$D:$D, MATCH($A776, 'calcolo base'!$A:$A, 0)) = 0,
      INDEX('calcolo base'!$D:$D, MATCH($A776, 'calcolo base'!$A:$A, 0)) = ""   ),
   INDEX('calcolo base'!$K:$K, MATCH($A776, 'calcolo base'!$A:$A, 0)),
   INDEX('calcolo base'!$J:$J, MATCH($A776, 'calcolo base'!$A:$A, 0))
) / 1000</f>
        <v>#N/A</v>
      </c>
      <c r="J776" s="50" t="e">
        <f t="shared" si="148"/>
        <v>#N/A</v>
      </c>
      <c r="K776" s="50"/>
      <c r="L776" s="267" t="e">
        <f>INDEX('calcolo base'!$H:$H, MATCH($A776, 'calcolo base'!$A:$A, 0))</f>
        <v>#N/A</v>
      </c>
      <c r="M776" s="50" t="e">
        <f t="shared" si="149"/>
        <v>#N/A</v>
      </c>
      <c r="N776" s="50" t="e">
        <f t="shared" si="150"/>
        <v>#N/A</v>
      </c>
      <c r="O776" s="50" t="e">
        <f t="shared" si="151"/>
        <v>#N/A</v>
      </c>
      <c r="P776" s="50" t="e">
        <f t="shared" si="152"/>
        <v>#N/A</v>
      </c>
      <c r="Q776" s="51" t="e">
        <f t="shared" si="153"/>
        <v>#N/A</v>
      </c>
      <c r="R776" s="205" t="e">
        <f t="shared" si="154"/>
        <v>#N/A</v>
      </c>
      <c r="S776" s="279" t="e">
        <f>IF(R776="si",0,IF(E776="si",0,IF(J776&gt;K776,0,+K776-J776)))+IF('calcolo base'!P2236="SI",('Commissioni De Angeli'!K776-'Commissioni De Angeli'!J776),0)</f>
        <v>#N/A</v>
      </c>
      <c r="T776" s="117" t="e">
        <f t="shared" si="155"/>
        <v>#N/A</v>
      </c>
      <c r="U776" s="272" t="e">
        <f>IF(Q776=0,'calcolo base'!L3375,(T776+Q776))</f>
        <v>#N/A</v>
      </c>
      <c r="V776" s="119"/>
    </row>
    <row r="777" spans="2:22">
      <c r="B777" s="47"/>
      <c r="C777" s="35"/>
      <c r="D777" s="53"/>
      <c r="E777" s="53"/>
      <c r="F777" s="48"/>
      <c r="G777" s="243" t="e">
        <f>INDEX('calcolo base'!$B:$B, MATCH($A777, 'calcolo base'!$A:$A, 0))</f>
        <v>#N/A</v>
      </c>
      <c r="H777" s="54" t="e">
        <f t="shared" si="147"/>
        <v>#N/A</v>
      </c>
      <c r="I777" s="259" t="e">
        <f>IF(  OR(      INDEX('calcolo base'!$D:$D, MATCH($A777, 'calcolo base'!$A:$A, 0)) = 0,
      INDEX('calcolo base'!$D:$D, MATCH($A777, 'calcolo base'!$A:$A, 0)) = ""   ),
   INDEX('calcolo base'!$K:$K, MATCH($A777, 'calcolo base'!$A:$A, 0)),
   INDEX('calcolo base'!$J:$J, MATCH($A777, 'calcolo base'!$A:$A, 0))
) / 1000</f>
        <v>#N/A</v>
      </c>
      <c r="J777" s="50" t="e">
        <f t="shared" si="148"/>
        <v>#N/A</v>
      </c>
      <c r="K777" s="50"/>
      <c r="L777" s="267" t="e">
        <f>INDEX('calcolo base'!$H:$H, MATCH($A777, 'calcolo base'!$A:$A, 0))</f>
        <v>#N/A</v>
      </c>
      <c r="M777" s="50" t="e">
        <f t="shared" si="149"/>
        <v>#N/A</v>
      </c>
      <c r="N777" s="50" t="e">
        <f t="shared" si="150"/>
        <v>#N/A</v>
      </c>
      <c r="O777" s="50" t="e">
        <f t="shared" si="151"/>
        <v>#N/A</v>
      </c>
      <c r="P777" s="50" t="e">
        <f t="shared" si="152"/>
        <v>#N/A</v>
      </c>
      <c r="Q777" s="51" t="e">
        <f t="shared" si="153"/>
        <v>#N/A</v>
      </c>
      <c r="R777" s="205" t="e">
        <f t="shared" si="154"/>
        <v>#N/A</v>
      </c>
      <c r="S777" s="279" t="e">
        <f>IF(R777="si",0,IF(E777="si",0,IF(J777&gt;K777,0,+K777-J777)))+IF('calcolo base'!P2237="SI",('Commissioni De Angeli'!K777-'Commissioni De Angeli'!J777),0)</f>
        <v>#N/A</v>
      </c>
      <c r="T777" s="117" t="e">
        <f t="shared" si="155"/>
        <v>#N/A</v>
      </c>
      <c r="U777" s="272" t="e">
        <f>IF(Q777=0,'calcolo base'!L3376,(T777+Q777))</f>
        <v>#N/A</v>
      </c>
      <c r="V777" s="119"/>
    </row>
    <row r="778" spans="2:22">
      <c r="B778" s="47"/>
      <c r="C778" s="35"/>
      <c r="D778" s="53"/>
      <c r="E778" s="53"/>
      <c r="F778" s="48"/>
      <c r="G778" s="243" t="e">
        <f>INDEX('calcolo base'!$B:$B, MATCH($A778, 'calcolo base'!$A:$A, 0))</f>
        <v>#N/A</v>
      </c>
      <c r="H778" s="54" t="e">
        <f t="shared" si="147"/>
        <v>#N/A</v>
      </c>
      <c r="I778" s="259" t="e">
        <f>IF(  OR(      INDEX('calcolo base'!$D:$D, MATCH($A778, 'calcolo base'!$A:$A, 0)) = 0,
      INDEX('calcolo base'!$D:$D, MATCH($A778, 'calcolo base'!$A:$A, 0)) = ""   ),
   INDEX('calcolo base'!$K:$K, MATCH($A778, 'calcolo base'!$A:$A, 0)),
   INDEX('calcolo base'!$J:$J, MATCH($A778, 'calcolo base'!$A:$A, 0))
) / 1000</f>
        <v>#N/A</v>
      </c>
      <c r="J778" s="50" t="e">
        <f t="shared" si="148"/>
        <v>#N/A</v>
      </c>
      <c r="K778" s="50"/>
      <c r="L778" s="267" t="e">
        <f>INDEX('calcolo base'!$H:$H, MATCH($A778, 'calcolo base'!$A:$A, 0))</f>
        <v>#N/A</v>
      </c>
      <c r="M778" s="50" t="e">
        <f t="shared" si="149"/>
        <v>#N/A</v>
      </c>
      <c r="N778" s="50" t="e">
        <f t="shared" si="150"/>
        <v>#N/A</v>
      </c>
      <c r="O778" s="50" t="e">
        <f t="shared" si="151"/>
        <v>#N/A</v>
      </c>
      <c r="P778" s="50" t="e">
        <f t="shared" si="152"/>
        <v>#N/A</v>
      </c>
      <c r="Q778" s="51" t="e">
        <f t="shared" si="153"/>
        <v>#N/A</v>
      </c>
      <c r="R778" s="205" t="e">
        <f t="shared" si="154"/>
        <v>#N/A</v>
      </c>
      <c r="S778" s="279" t="e">
        <f>IF(R778="si",0,IF(E778="si",0,IF(J778&gt;K778,0,+K778-J778)))+IF('calcolo base'!P2238="SI",('Commissioni De Angeli'!K778-'Commissioni De Angeli'!J778),0)</f>
        <v>#N/A</v>
      </c>
      <c r="T778" s="117" t="e">
        <f t="shared" si="155"/>
        <v>#N/A</v>
      </c>
      <c r="U778" s="272" t="e">
        <f>IF(Q778=0,'calcolo base'!L3377,(T778+Q778))</f>
        <v>#N/A</v>
      </c>
      <c r="V778" s="119"/>
    </row>
    <row r="779" spans="2:22">
      <c r="B779" s="47"/>
      <c r="C779" s="35"/>
      <c r="D779" s="53"/>
      <c r="E779" s="53"/>
      <c r="F779" s="48"/>
      <c r="G779" s="243" t="e">
        <f>INDEX('calcolo base'!$B:$B, MATCH($A779, 'calcolo base'!$A:$A, 0))</f>
        <v>#N/A</v>
      </c>
      <c r="H779" s="54" t="e">
        <f t="shared" si="147"/>
        <v>#N/A</v>
      </c>
      <c r="I779" s="259" t="e">
        <f>IF(  OR(      INDEX('calcolo base'!$D:$D, MATCH($A779, 'calcolo base'!$A:$A, 0)) = 0,
      INDEX('calcolo base'!$D:$D, MATCH($A779, 'calcolo base'!$A:$A, 0)) = ""   ),
   INDEX('calcolo base'!$K:$K, MATCH($A779, 'calcolo base'!$A:$A, 0)),
   INDEX('calcolo base'!$J:$J, MATCH($A779, 'calcolo base'!$A:$A, 0))
) / 1000</f>
        <v>#N/A</v>
      </c>
      <c r="J779" s="50" t="e">
        <f t="shared" si="148"/>
        <v>#N/A</v>
      </c>
      <c r="K779" s="50"/>
      <c r="L779" s="267" t="e">
        <f>INDEX('calcolo base'!$H:$H, MATCH($A779, 'calcolo base'!$A:$A, 0))</f>
        <v>#N/A</v>
      </c>
      <c r="M779" s="50" t="e">
        <f t="shared" si="149"/>
        <v>#N/A</v>
      </c>
      <c r="N779" s="50" t="e">
        <f t="shared" si="150"/>
        <v>#N/A</v>
      </c>
      <c r="O779" s="50" t="e">
        <f t="shared" si="151"/>
        <v>#N/A</v>
      </c>
      <c r="P779" s="50" t="e">
        <f t="shared" si="152"/>
        <v>#N/A</v>
      </c>
      <c r="Q779" s="51" t="e">
        <f t="shared" si="153"/>
        <v>#N/A</v>
      </c>
      <c r="R779" s="205" t="e">
        <f t="shared" si="154"/>
        <v>#N/A</v>
      </c>
      <c r="S779" s="279" t="e">
        <f>IF(R779="si",0,IF(E779="si",0,IF(J779&gt;K779,0,+K779-J779)))+IF('calcolo base'!P2239="SI",('Commissioni De Angeli'!K779-'Commissioni De Angeli'!J779),0)</f>
        <v>#N/A</v>
      </c>
      <c r="T779" s="117" t="e">
        <f t="shared" si="155"/>
        <v>#N/A</v>
      </c>
      <c r="U779" s="272" t="e">
        <f>IF(Q779=0,'calcolo base'!L3378,(T779+Q779))</f>
        <v>#N/A</v>
      </c>
      <c r="V779" s="119"/>
    </row>
    <row r="780" spans="2:22">
      <c r="B780" s="47"/>
      <c r="C780" s="35"/>
      <c r="D780" s="53"/>
      <c r="E780" s="53"/>
      <c r="F780" s="48"/>
      <c r="G780" s="243" t="e">
        <f>INDEX('calcolo base'!$B:$B, MATCH($A780, 'calcolo base'!$A:$A, 0))</f>
        <v>#N/A</v>
      </c>
      <c r="H780" s="54" t="e">
        <f t="shared" si="147"/>
        <v>#N/A</v>
      </c>
      <c r="I780" s="259" t="e">
        <f>IF(  OR(      INDEX('calcolo base'!$D:$D, MATCH($A780, 'calcolo base'!$A:$A, 0)) = 0,
      INDEX('calcolo base'!$D:$D, MATCH($A780, 'calcolo base'!$A:$A, 0)) = ""   ),
   INDEX('calcolo base'!$K:$K, MATCH($A780, 'calcolo base'!$A:$A, 0)),
   INDEX('calcolo base'!$J:$J, MATCH($A780, 'calcolo base'!$A:$A, 0))
) / 1000</f>
        <v>#N/A</v>
      </c>
      <c r="J780" s="50" t="e">
        <f t="shared" si="148"/>
        <v>#N/A</v>
      </c>
      <c r="K780" s="50"/>
      <c r="L780" s="267" t="e">
        <f>INDEX('calcolo base'!$H:$H, MATCH($A780, 'calcolo base'!$A:$A, 0))</f>
        <v>#N/A</v>
      </c>
      <c r="M780" s="50" t="e">
        <f t="shared" si="149"/>
        <v>#N/A</v>
      </c>
      <c r="N780" s="50" t="e">
        <f t="shared" si="150"/>
        <v>#N/A</v>
      </c>
      <c r="O780" s="50" t="e">
        <f t="shared" si="151"/>
        <v>#N/A</v>
      </c>
      <c r="P780" s="50" t="e">
        <f t="shared" si="152"/>
        <v>#N/A</v>
      </c>
      <c r="Q780" s="51" t="e">
        <f t="shared" si="153"/>
        <v>#N/A</v>
      </c>
      <c r="R780" s="205" t="e">
        <f t="shared" si="154"/>
        <v>#N/A</v>
      </c>
      <c r="S780" s="279" t="e">
        <f>IF(R780="si",0,IF(E780="si",0,IF(J780&gt;K780,0,+K780-J780)))+IF('calcolo base'!P2240="SI",('Commissioni De Angeli'!K780-'Commissioni De Angeli'!J780),0)</f>
        <v>#N/A</v>
      </c>
      <c r="T780" s="117" t="e">
        <f t="shared" si="155"/>
        <v>#N/A</v>
      </c>
      <c r="U780" s="272" t="e">
        <f>IF(Q780=0,'calcolo base'!L3379,(T780+Q780))</f>
        <v>#N/A</v>
      </c>
      <c r="V780" s="119"/>
    </row>
    <row r="781" spans="2:22">
      <c r="B781" s="47"/>
      <c r="C781" s="35"/>
      <c r="D781" s="53"/>
      <c r="E781" s="53"/>
      <c r="F781" s="48"/>
      <c r="G781" s="243" t="e">
        <f>INDEX('calcolo base'!$B:$B, MATCH($A781, 'calcolo base'!$A:$A, 0))</f>
        <v>#N/A</v>
      </c>
      <c r="H781" s="54" t="e">
        <f t="shared" si="147"/>
        <v>#N/A</v>
      </c>
      <c r="I781" s="259" t="e">
        <f>IF(  OR(      INDEX('calcolo base'!$D:$D, MATCH($A781, 'calcolo base'!$A:$A, 0)) = 0,
      INDEX('calcolo base'!$D:$D, MATCH($A781, 'calcolo base'!$A:$A, 0)) = ""   ),
   INDEX('calcolo base'!$K:$K, MATCH($A781, 'calcolo base'!$A:$A, 0)),
   INDEX('calcolo base'!$J:$J, MATCH($A781, 'calcolo base'!$A:$A, 0))
) / 1000</f>
        <v>#N/A</v>
      </c>
      <c r="J781" s="50" t="e">
        <f t="shared" si="148"/>
        <v>#N/A</v>
      </c>
      <c r="K781" s="50"/>
      <c r="L781" s="267" t="e">
        <f>INDEX('calcolo base'!$H:$H, MATCH($A781, 'calcolo base'!$A:$A, 0))</f>
        <v>#N/A</v>
      </c>
      <c r="M781" s="50" t="e">
        <f t="shared" si="149"/>
        <v>#N/A</v>
      </c>
      <c r="N781" s="50" t="e">
        <f t="shared" si="150"/>
        <v>#N/A</v>
      </c>
      <c r="O781" s="50" t="e">
        <f t="shared" si="151"/>
        <v>#N/A</v>
      </c>
      <c r="P781" s="50" t="e">
        <f t="shared" si="152"/>
        <v>#N/A</v>
      </c>
      <c r="Q781" s="51" t="e">
        <f t="shared" si="153"/>
        <v>#N/A</v>
      </c>
      <c r="R781" s="205" t="e">
        <f t="shared" si="154"/>
        <v>#N/A</v>
      </c>
      <c r="S781" s="279" t="e">
        <f>IF(R781="si",0,IF(E781="si",0,IF(J781&gt;K781,0,+K781-J781)))+IF('calcolo base'!P2241="SI",('Commissioni De Angeli'!K781-'Commissioni De Angeli'!J781),0)</f>
        <v>#N/A</v>
      </c>
      <c r="T781" s="117" t="e">
        <f t="shared" si="155"/>
        <v>#N/A</v>
      </c>
      <c r="U781" s="272" t="e">
        <f>IF(Q781=0,'calcolo base'!L3380,(T781+Q781))</f>
        <v>#N/A</v>
      </c>
      <c r="V781" s="119"/>
    </row>
    <row r="782" spans="2:22">
      <c r="B782" s="47"/>
      <c r="C782" s="35"/>
      <c r="D782" s="53"/>
      <c r="E782" s="53"/>
      <c r="F782" s="48"/>
      <c r="G782" s="243" t="e">
        <f>INDEX('calcolo base'!$B:$B, MATCH($A782, 'calcolo base'!$A:$A, 0))</f>
        <v>#N/A</v>
      </c>
      <c r="H782" s="54" t="e">
        <f t="shared" si="147"/>
        <v>#N/A</v>
      </c>
      <c r="I782" s="259" t="e">
        <f>IF(  OR(      INDEX('calcolo base'!$D:$D, MATCH($A782, 'calcolo base'!$A:$A, 0)) = 0,
      INDEX('calcolo base'!$D:$D, MATCH($A782, 'calcolo base'!$A:$A, 0)) = ""   ),
   INDEX('calcolo base'!$K:$K, MATCH($A782, 'calcolo base'!$A:$A, 0)),
   INDEX('calcolo base'!$J:$J, MATCH($A782, 'calcolo base'!$A:$A, 0))
) / 1000</f>
        <v>#N/A</v>
      </c>
      <c r="J782" s="50" t="e">
        <f t="shared" si="148"/>
        <v>#N/A</v>
      </c>
      <c r="K782" s="50"/>
      <c r="L782" s="267" t="e">
        <f>INDEX('calcolo base'!$H:$H, MATCH($A782, 'calcolo base'!$A:$A, 0))</f>
        <v>#N/A</v>
      </c>
      <c r="M782" s="50" t="e">
        <f t="shared" si="149"/>
        <v>#N/A</v>
      </c>
      <c r="N782" s="50" t="e">
        <f t="shared" si="150"/>
        <v>#N/A</v>
      </c>
      <c r="O782" s="50" t="e">
        <f t="shared" si="151"/>
        <v>#N/A</v>
      </c>
      <c r="P782" s="50" t="e">
        <f t="shared" si="152"/>
        <v>#N/A</v>
      </c>
      <c r="Q782" s="51" t="e">
        <f t="shared" si="153"/>
        <v>#N/A</v>
      </c>
      <c r="R782" s="205" t="e">
        <f t="shared" si="154"/>
        <v>#N/A</v>
      </c>
      <c r="S782" s="279" t="e">
        <f>IF(R782="si",0,IF(E782="si",0,IF(J782&gt;K782,0,+K782-J782)))+IF('calcolo base'!P2242="SI",('Commissioni De Angeli'!K782-'Commissioni De Angeli'!J782),0)</f>
        <v>#N/A</v>
      </c>
      <c r="T782" s="117" t="e">
        <f t="shared" si="155"/>
        <v>#N/A</v>
      </c>
      <c r="U782" s="272" t="e">
        <f>IF(Q782=0,'calcolo base'!L3381,(T782+Q782))</f>
        <v>#N/A</v>
      </c>
      <c r="V782" s="119"/>
    </row>
    <row r="783" spans="2:22">
      <c r="B783" s="47"/>
      <c r="C783" s="35"/>
      <c r="D783" s="53"/>
      <c r="E783" s="53"/>
      <c r="F783" s="48"/>
      <c r="G783" s="243" t="e">
        <f>INDEX('calcolo base'!$B:$B, MATCH($A783, 'calcolo base'!$A:$A, 0))</f>
        <v>#N/A</v>
      </c>
      <c r="H783" s="54" t="e">
        <f t="shared" si="147"/>
        <v>#N/A</v>
      </c>
      <c r="I783" s="259" t="e">
        <f>IF(  OR(      INDEX('calcolo base'!$D:$D, MATCH($A783, 'calcolo base'!$A:$A, 0)) = 0,
      INDEX('calcolo base'!$D:$D, MATCH($A783, 'calcolo base'!$A:$A, 0)) = ""   ),
   INDEX('calcolo base'!$K:$K, MATCH($A783, 'calcolo base'!$A:$A, 0)),
   INDEX('calcolo base'!$J:$J, MATCH($A783, 'calcolo base'!$A:$A, 0))
) / 1000</f>
        <v>#N/A</v>
      </c>
      <c r="J783" s="50" t="e">
        <f t="shared" si="148"/>
        <v>#N/A</v>
      </c>
      <c r="K783" s="50"/>
      <c r="L783" s="267" t="e">
        <f>INDEX('calcolo base'!$H:$H, MATCH($A783, 'calcolo base'!$A:$A, 0))</f>
        <v>#N/A</v>
      </c>
      <c r="M783" s="50" t="e">
        <f t="shared" si="149"/>
        <v>#N/A</v>
      </c>
      <c r="N783" s="50" t="e">
        <f t="shared" si="150"/>
        <v>#N/A</v>
      </c>
      <c r="O783" s="50" t="e">
        <f t="shared" si="151"/>
        <v>#N/A</v>
      </c>
      <c r="P783" s="50" t="e">
        <f t="shared" si="152"/>
        <v>#N/A</v>
      </c>
      <c r="Q783" s="51" t="e">
        <f t="shared" si="153"/>
        <v>#N/A</v>
      </c>
      <c r="R783" s="205" t="e">
        <f t="shared" si="154"/>
        <v>#N/A</v>
      </c>
      <c r="S783" s="279" t="e">
        <f>IF(R783="si",0,IF(E783="si",0,IF(J783&gt;K783,0,+K783-J783)))+IF('calcolo base'!P2243="SI",('Commissioni De Angeli'!K783-'Commissioni De Angeli'!J783),0)</f>
        <v>#N/A</v>
      </c>
      <c r="T783" s="117" t="e">
        <f t="shared" si="155"/>
        <v>#N/A</v>
      </c>
      <c r="U783" s="272" t="e">
        <f>IF(Q783=0,'calcolo base'!L3382,(T783+Q783))</f>
        <v>#N/A</v>
      </c>
      <c r="V783" s="119"/>
    </row>
    <row r="784" spans="2:22">
      <c r="B784" s="47"/>
      <c r="C784" s="35"/>
      <c r="D784" s="53"/>
      <c r="E784" s="53"/>
      <c r="F784" s="48"/>
      <c r="G784" s="243" t="e">
        <f>INDEX('calcolo base'!$B:$B, MATCH($A784, 'calcolo base'!$A:$A, 0))</f>
        <v>#N/A</v>
      </c>
      <c r="H784" s="54" t="e">
        <f t="shared" si="147"/>
        <v>#N/A</v>
      </c>
      <c r="I784" s="259" t="e">
        <f>IF(  OR(      INDEX('calcolo base'!$D:$D, MATCH($A784, 'calcolo base'!$A:$A, 0)) = 0,
      INDEX('calcolo base'!$D:$D, MATCH($A784, 'calcolo base'!$A:$A, 0)) = ""   ),
   INDEX('calcolo base'!$K:$K, MATCH($A784, 'calcolo base'!$A:$A, 0)),
   INDEX('calcolo base'!$J:$J, MATCH($A784, 'calcolo base'!$A:$A, 0))
) / 1000</f>
        <v>#N/A</v>
      </c>
      <c r="J784" s="50" t="e">
        <f t="shared" si="148"/>
        <v>#N/A</v>
      </c>
      <c r="K784" s="50"/>
      <c r="L784" s="267" t="e">
        <f>INDEX('calcolo base'!$H:$H, MATCH($A784, 'calcolo base'!$A:$A, 0))</f>
        <v>#N/A</v>
      </c>
      <c r="M784" s="50" t="e">
        <f t="shared" si="149"/>
        <v>#N/A</v>
      </c>
      <c r="N784" s="50" t="e">
        <f t="shared" si="150"/>
        <v>#N/A</v>
      </c>
      <c r="O784" s="50" t="e">
        <f t="shared" si="151"/>
        <v>#N/A</v>
      </c>
      <c r="P784" s="50" t="e">
        <f t="shared" si="152"/>
        <v>#N/A</v>
      </c>
      <c r="Q784" s="51" t="e">
        <f t="shared" si="153"/>
        <v>#N/A</v>
      </c>
      <c r="R784" s="205" t="e">
        <f t="shared" si="154"/>
        <v>#N/A</v>
      </c>
      <c r="S784" s="279" t="e">
        <f>IF(R784="si",0,IF(E784="si",0,IF(J784&gt;K784,0,+K784-J784)))+IF('calcolo base'!P2244="SI",('Commissioni De Angeli'!K784-'Commissioni De Angeli'!J784),0)</f>
        <v>#N/A</v>
      </c>
      <c r="T784" s="117" t="e">
        <f t="shared" si="155"/>
        <v>#N/A</v>
      </c>
      <c r="U784" s="272" t="e">
        <f>IF(Q784=0,'calcolo base'!L3383,(T784+Q784))</f>
        <v>#N/A</v>
      </c>
      <c r="V784" s="119"/>
    </row>
    <row r="785" spans="2:22">
      <c r="B785" s="47"/>
      <c r="C785" s="35"/>
      <c r="D785" s="53"/>
      <c r="E785" s="53"/>
      <c r="F785" s="48"/>
      <c r="G785" s="243" t="e">
        <f>INDEX('calcolo base'!$B:$B, MATCH($A785, 'calcolo base'!$A:$A, 0))</f>
        <v>#N/A</v>
      </c>
      <c r="H785" s="54" t="e">
        <f t="shared" si="147"/>
        <v>#N/A</v>
      </c>
      <c r="I785" s="259" t="e">
        <f>IF(  OR(      INDEX('calcolo base'!$D:$D, MATCH($A785, 'calcolo base'!$A:$A, 0)) = 0,
      INDEX('calcolo base'!$D:$D, MATCH($A785, 'calcolo base'!$A:$A, 0)) = ""   ),
   INDEX('calcolo base'!$K:$K, MATCH($A785, 'calcolo base'!$A:$A, 0)),
   INDEX('calcolo base'!$J:$J, MATCH($A785, 'calcolo base'!$A:$A, 0))
) / 1000</f>
        <v>#N/A</v>
      </c>
      <c r="J785" s="50" t="e">
        <f t="shared" si="148"/>
        <v>#N/A</v>
      </c>
      <c r="K785" s="50"/>
      <c r="L785" s="267" t="e">
        <f>INDEX('calcolo base'!$H:$H, MATCH($A785, 'calcolo base'!$A:$A, 0))</f>
        <v>#N/A</v>
      </c>
      <c r="M785" s="50" t="e">
        <f t="shared" si="149"/>
        <v>#N/A</v>
      </c>
      <c r="N785" s="50" t="e">
        <f t="shared" si="150"/>
        <v>#N/A</v>
      </c>
      <c r="O785" s="50" t="e">
        <f t="shared" si="151"/>
        <v>#N/A</v>
      </c>
      <c r="P785" s="50" t="e">
        <f t="shared" si="152"/>
        <v>#N/A</v>
      </c>
      <c r="Q785" s="51" t="e">
        <f t="shared" si="153"/>
        <v>#N/A</v>
      </c>
      <c r="R785" s="205" t="e">
        <f t="shared" si="154"/>
        <v>#N/A</v>
      </c>
      <c r="S785" s="279" t="e">
        <f>IF(R785="si",0,IF(E785="si",0,IF(J785&gt;K785,0,+K785-J785)))+IF('calcolo base'!P2245="SI",('Commissioni De Angeli'!K785-'Commissioni De Angeli'!J785),0)</f>
        <v>#N/A</v>
      </c>
      <c r="T785" s="117" t="e">
        <f t="shared" si="155"/>
        <v>#N/A</v>
      </c>
      <c r="U785" s="272" t="e">
        <f>IF(Q785=0,'calcolo base'!L3384,(T785+Q785))</f>
        <v>#N/A</v>
      </c>
      <c r="V785" s="119"/>
    </row>
    <row r="786" spans="2:22">
      <c r="B786" s="47"/>
      <c r="C786" s="35"/>
      <c r="D786" s="53"/>
      <c r="E786" s="53"/>
      <c r="F786" s="48"/>
      <c r="G786" s="243" t="e">
        <f>INDEX('calcolo base'!$B:$B, MATCH($A786, 'calcolo base'!$A:$A, 0))</f>
        <v>#N/A</v>
      </c>
      <c r="H786" s="54" t="e">
        <f t="shared" si="147"/>
        <v>#N/A</v>
      </c>
      <c r="I786" s="259" t="e">
        <f>IF(  OR(      INDEX('calcolo base'!$D:$D, MATCH($A786, 'calcolo base'!$A:$A, 0)) = 0,
      INDEX('calcolo base'!$D:$D, MATCH($A786, 'calcolo base'!$A:$A, 0)) = ""   ),
   INDEX('calcolo base'!$K:$K, MATCH($A786, 'calcolo base'!$A:$A, 0)),
   INDEX('calcolo base'!$J:$J, MATCH($A786, 'calcolo base'!$A:$A, 0))
) / 1000</f>
        <v>#N/A</v>
      </c>
      <c r="J786" s="50" t="e">
        <f t="shared" si="148"/>
        <v>#N/A</v>
      </c>
      <c r="K786" s="50"/>
      <c r="L786" s="267" t="e">
        <f>INDEX('calcolo base'!$H:$H, MATCH($A786, 'calcolo base'!$A:$A, 0))</f>
        <v>#N/A</v>
      </c>
      <c r="M786" s="50" t="e">
        <f t="shared" si="149"/>
        <v>#N/A</v>
      </c>
      <c r="N786" s="50" t="e">
        <f t="shared" si="150"/>
        <v>#N/A</v>
      </c>
      <c r="O786" s="50" t="e">
        <f t="shared" si="151"/>
        <v>#N/A</v>
      </c>
      <c r="P786" s="50" t="e">
        <f t="shared" si="152"/>
        <v>#N/A</v>
      </c>
      <c r="Q786" s="51" t="e">
        <f t="shared" si="153"/>
        <v>#N/A</v>
      </c>
      <c r="R786" s="205" t="e">
        <f t="shared" si="154"/>
        <v>#N/A</v>
      </c>
      <c r="S786" s="279" t="e">
        <f>IF(R786="si",0,IF(E786="si",0,IF(J786&gt;K786,0,+K786-J786)))+IF('calcolo base'!P2246="SI",('Commissioni De Angeli'!K786-'Commissioni De Angeli'!J786),0)</f>
        <v>#N/A</v>
      </c>
      <c r="T786" s="117" t="e">
        <f t="shared" si="155"/>
        <v>#N/A</v>
      </c>
      <c r="U786" s="272" t="e">
        <f>IF(Q786=0,'calcolo base'!L3385,(T786+Q786))</f>
        <v>#N/A</v>
      </c>
      <c r="V786" s="119"/>
    </row>
    <row r="787" spans="2:22">
      <c r="B787" s="47"/>
      <c r="C787" s="35"/>
      <c r="D787" s="53"/>
      <c r="E787" s="53"/>
      <c r="F787" s="48"/>
      <c r="G787" s="243" t="e">
        <f>INDEX('calcolo base'!$B:$B, MATCH($A787, 'calcolo base'!$A:$A, 0))</f>
        <v>#N/A</v>
      </c>
      <c r="H787" s="54" t="e">
        <f t="shared" si="147"/>
        <v>#N/A</v>
      </c>
      <c r="I787" s="259" t="e">
        <f>IF(  OR(      INDEX('calcolo base'!$D:$D, MATCH($A787, 'calcolo base'!$A:$A, 0)) = 0,
      INDEX('calcolo base'!$D:$D, MATCH($A787, 'calcolo base'!$A:$A, 0)) = ""   ),
   INDEX('calcolo base'!$K:$K, MATCH($A787, 'calcolo base'!$A:$A, 0)),
   INDEX('calcolo base'!$J:$J, MATCH($A787, 'calcolo base'!$A:$A, 0))
) / 1000</f>
        <v>#N/A</v>
      </c>
      <c r="J787" s="50" t="e">
        <f t="shared" si="148"/>
        <v>#N/A</v>
      </c>
      <c r="K787" s="50"/>
      <c r="L787" s="267" t="e">
        <f>INDEX('calcolo base'!$H:$H, MATCH($A787, 'calcolo base'!$A:$A, 0))</f>
        <v>#N/A</v>
      </c>
      <c r="M787" s="50" t="e">
        <f t="shared" si="149"/>
        <v>#N/A</v>
      </c>
      <c r="N787" s="50" t="e">
        <f t="shared" si="150"/>
        <v>#N/A</v>
      </c>
      <c r="O787" s="50" t="e">
        <f t="shared" si="151"/>
        <v>#N/A</v>
      </c>
      <c r="P787" s="50" t="e">
        <f t="shared" si="152"/>
        <v>#N/A</v>
      </c>
      <c r="Q787" s="51" t="e">
        <f t="shared" si="153"/>
        <v>#N/A</v>
      </c>
      <c r="R787" s="205" t="e">
        <f t="shared" si="154"/>
        <v>#N/A</v>
      </c>
      <c r="S787" s="279" t="e">
        <f>IF(R787="si",0,IF(E787="si",0,IF(J787&gt;K787,0,+K787-J787)))+IF('calcolo base'!P2247="SI",('Commissioni De Angeli'!K787-'Commissioni De Angeli'!J787),0)</f>
        <v>#N/A</v>
      </c>
      <c r="T787" s="117" t="e">
        <f t="shared" si="155"/>
        <v>#N/A</v>
      </c>
      <c r="U787" s="272" t="e">
        <f>IF(Q787=0,'calcolo base'!L3386,(T787+Q787))</f>
        <v>#N/A</v>
      </c>
      <c r="V787" s="119"/>
    </row>
    <row r="788" spans="2:22">
      <c r="B788" s="47"/>
      <c r="C788" s="35"/>
      <c r="D788" s="53"/>
      <c r="E788" s="53"/>
      <c r="F788" s="48"/>
      <c r="G788" s="243" t="e">
        <f>INDEX('calcolo base'!$B:$B, MATCH($A788, 'calcolo base'!$A:$A, 0))</f>
        <v>#N/A</v>
      </c>
      <c r="H788" s="54" t="e">
        <f t="shared" si="147"/>
        <v>#N/A</v>
      </c>
      <c r="I788" s="259" t="e">
        <f>IF(  OR(      INDEX('calcolo base'!$D:$D, MATCH($A788, 'calcolo base'!$A:$A, 0)) = 0,
      INDEX('calcolo base'!$D:$D, MATCH($A788, 'calcolo base'!$A:$A, 0)) = ""   ),
   INDEX('calcolo base'!$K:$K, MATCH($A788, 'calcolo base'!$A:$A, 0)),
   INDEX('calcolo base'!$J:$J, MATCH($A788, 'calcolo base'!$A:$A, 0))
) / 1000</f>
        <v>#N/A</v>
      </c>
      <c r="J788" s="50" t="e">
        <f t="shared" si="148"/>
        <v>#N/A</v>
      </c>
      <c r="K788" s="50"/>
      <c r="L788" s="267" t="e">
        <f>INDEX('calcolo base'!$H:$H, MATCH($A788, 'calcolo base'!$A:$A, 0))</f>
        <v>#N/A</v>
      </c>
      <c r="M788" s="50" t="e">
        <f t="shared" si="149"/>
        <v>#N/A</v>
      </c>
      <c r="N788" s="50" t="e">
        <f t="shared" si="150"/>
        <v>#N/A</v>
      </c>
      <c r="O788" s="50" t="e">
        <f t="shared" si="151"/>
        <v>#N/A</v>
      </c>
      <c r="P788" s="50" t="e">
        <f t="shared" si="152"/>
        <v>#N/A</v>
      </c>
      <c r="Q788" s="51" t="e">
        <f t="shared" si="153"/>
        <v>#N/A</v>
      </c>
      <c r="R788" s="205" t="e">
        <f t="shared" si="154"/>
        <v>#N/A</v>
      </c>
      <c r="S788" s="279" t="e">
        <f>IF(R788="si",0,IF(E788="si",0,IF(J788&gt;K788,0,+K788-J788)))+IF('calcolo base'!P2248="SI",('Commissioni De Angeli'!K788-'Commissioni De Angeli'!J788),0)</f>
        <v>#N/A</v>
      </c>
      <c r="T788" s="117" t="e">
        <f t="shared" si="155"/>
        <v>#N/A</v>
      </c>
      <c r="U788" s="272" t="e">
        <f>IF(Q788=0,'calcolo base'!L3387,(T788+Q788))</f>
        <v>#N/A</v>
      </c>
      <c r="V788" s="119"/>
    </row>
    <row r="789" spans="2:22">
      <c r="B789" s="47"/>
      <c r="C789" s="35"/>
      <c r="D789" s="53"/>
      <c r="E789" s="53"/>
      <c r="F789" s="48"/>
      <c r="G789" s="243" t="e">
        <f>INDEX('calcolo base'!$B:$B, MATCH($A789, 'calcolo base'!$A:$A, 0))</f>
        <v>#N/A</v>
      </c>
      <c r="H789" s="54" t="e">
        <f t="shared" si="147"/>
        <v>#N/A</v>
      </c>
      <c r="I789" s="259" t="e">
        <f>IF(  OR(      INDEX('calcolo base'!$D:$D, MATCH($A789, 'calcolo base'!$A:$A, 0)) = 0,
      INDEX('calcolo base'!$D:$D, MATCH($A789, 'calcolo base'!$A:$A, 0)) = ""   ),
   INDEX('calcolo base'!$K:$K, MATCH($A789, 'calcolo base'!$A:$A, 0)),
   INDEX('calcolo base'!$J:$J, MATCH($A789, 'calcolo base'!$A:$A, 0))
) / 1000</f>
        <v>#N/A</v>
      </c>
      <c r="J789" s="50" t="e">
        <f t="shared" si="148"/>
        <v>#N/A</v>
      </c>
      <c r="K789" s="50"/>
      <c r="L789" s="267" t="e">
        <f>INDEX('calcolo base'!$H:$H, MATCH($A789, 'calcolo base'!$A:$A, 0))</f>
        <v>#N/A</v>
      </c>
      <c r="M789" s="50" t="e">
        <f t="shared" si="149"/>
        <v>#N/A</v>
      </c>
      <c r="N789" s="50" t="e">
        <f t="shared" si="150"/>
        <v>#N/A</v>
      </c>
      <c r="O789" s="50" t="e">
        <f t="shared" si="151"/>
        <v>#N/A</v>
      </c>
      <c r="P789" s="50" t="e">
        <f t="shared" si="152"/>
        <v>#N/A</v>
      </c>
      <c r="Q789" s="51" t="e">
        <f t="shared" si="153"/>
        <v>#N/A</v>
      </c>
      <c r="R789" s="205" t="e">
        <f t="shared" si="154"/>
        <v>#N/A</v>
      </c>
      <c r="S789" s="279" t="e">
        <f>IF(R789="si",0,IF(E789="si",0,IF(J789&gt;K789,0,+K789-J789)))+IF('calcolo base'!P2249="SI",('Commissioni De Angeli'!K789-'Commissioni De Angeli'!J789),0)</f>
        <v>#N/A</v>
      </c>
      <c r="T789" s="117" t="e">
        <f t="shared" si="155"/>
        <v>#N/A</v>
      </c>
      <c r="U789" s="272" t="e">
        <f>IF(Q789=0,'calcolo base'!L3388,(T789+Q789))</f>
        <v>#N/A</v>
      </c>
      <c r="V789" s="119"/>
    </row>
    <row r="790" spans="2:22">
      <c r="B790" s="47"/>
      <c r="C790" s="35"/>
      <c r="D790" s="53"/>
      <c r="E790" s="53"/>
      <c r="F790" s="48"/>
      <c r="G790" s="243" t="e">
        <f>INDEX('calcolo base'!$B:$B, MATCH($A790, 'calcolo base'!$A:$A, 0))</f>
        <v>#N/A</v>
      </c>
      <c r="H790" s="54" t="e">
        <f t="shared" si="147"/>
        <v>#N/A</v>
      </c>
      <c r="I790" s="259" t="e">
        <f>IF(  OR(      INDEX('calcolo base'!$D:$D, MATCH($A790, 'calcolo base'!$A:$A, 0)) = 0,
      INDEX('calcolo base'!$D:$D, MATCH($A790, 'calcolo base'!$A:$A, 0)) = ""   ),
   INDEX('calcolo base'!$K:$K, MATCH($A790, 'calcolo base'!$A:$A, 0)),
   INDEX('calcolo base'!$J:$J, MATCH($A790, 'calcolo base'!$A:$A, 0))
) / 1000</f>
        <v>#N/A</v>
      </c>
      <c r="J790" s="50" t="e">
        <f t="shared" si="148"/>
        <v>#N/A</v>
      </c>
      <c r="K790" s="50"/>
      <c r="L790" s="267" t="e">
        <f>INDEX('calcolo base'!$H:$H, MATCH($A790, 'calcolo base'!$A:$A, 0))</f>
        <v>#N/A</v>
      </c>
      <c r="M790" s="50" t="e">
        <f t="shared" si="149"/>
        <v>#N/A</v>
      </c>
      <c r="N790" s="50" t="e">
        <f t="shared" si="150"/>
        <v>#N/A</v>
      </c>
      <c r="O790" s="50" t="e">
        <f t="shared" si="151"/>
        <v>#N/A</v>
      </c>
      <c r="P790" s="50" t="e">
        <f t="shared" si="152"/>
        <v>#N/A</v>
      </c>
      <c r="Q790" s="51" t="e">
        <f t="shared" si="153"/>
        <v>#N/A</v>
      </c>
      <c r="R790" s="205" t="e">
        <f t="shared" si="154"/>
        <v>#N/A</v>
      </c>
      <c r="S790" s="279" t="e">
        <f>IF(R790="si",0,IF(E790="si",0,IF(J790&gt;K790,0,+K790-J790)))+IF('calcolo base'!P2250="SI",('Commissioni De Angeli'!K790-'Commissioni De Angeli'!J790),0)</f>
        <v>#N/A</v>
      </c>
      <c r="T790" s="117" t="e">
        <f t="shared" si="155"/>
        <v>#N/A</v>
      </c>
      <c r="U790" s="272" t="e">
        <f>IF(Q790=0,'calcolo base'!L3389,(T790+Q790))</f>
        <v>#N/A</v>
      </c>
      <c r="V790" s="119"/>
    </row>
    <row r="791" spans="2:22">
      <c r="B791" s="47"/>
      <c r="C791" s="35"/>
      <c r="D791" s="53"/>
      <c r="E791" s="53"/>
      <c r="F791" s="48"/>
      <c r="G791" s="243" t="e">
        <f>INDEX('calcolo base'!$B:$B, MATCH($A791, 'calcolo base'!$A:$A, 0))</f>
        <v>#N/A</v>
      </c>
      <c r="H791" s="54" t="e">
        <f t="shared" si="147"/>
        <v>#N/A</v>
      </c>
      <c r="I791" s="259" t="e">
        <f>IF(  OR(      INDEX('calcolo base'!$D:$D, MATCH($A791, 'calcolo base'!$A:$A, 0)) = 0,
      INDEX('calcolo base'!$D:$D, MATCH($A791, 'calcolo base'!$A:$A, 0)) = ""   ),
   INDEX('calcolo base'!$K:$K, MATCH($A791, 'calcolo base'!$A:$A, 0)),
   INDEX('calcolo base'!$J:$J, MATCH($A791, 'calcolo base'!$A:$A, 0))
) / 1000</f>
        <v>#N/A</v>
      </c>
      <c r="J791" s="50" t="e">
        <f t="shared" si="148"/>
        <v>#N/A</v>
      </c>
      <c r="K791" s="50"/>
      <c r="L791" s="267" t="e">
        <f>INDEX('calcolo base'!$H:$H, MATCH($A791, 'calcolo base'!$A:$A, 0))</f>
        <v>#N/A</v>
      </c>
      <c r="M791" s="50" t="e">
        <f t="shared" si="149"/>
        <v>#N/A</v>
      </c>
      <c r="N791" s="50" t="e">
        <f t="shared" si="150"/>
        <v>#N/A</v>
      </c>
      <c r="O791" s="50" t="e">
        <f t="shared" si="151"/>
        <v>#N/A</v>
      </c>
      <c r="P791" s="50" t="e">
        <f t="shared" si="152"/>
        <v>#N/A</v>
      </c>
      <c r="Q791" s="51" t="e">
        <f t="shared" si="153"/>
        <v>#N/A</v>
      </c>
      <c r="R791" s="205" t="e">
        <f t="shared" si="154"/>
        <v>#N/A</v>
      </c>
      <c r="S791" s="279" t="e">
        <f>IF(R791="si",0,IF(E791="si",0,IF(J791&gt;K791,0,+K791-J791)))+IF('calcolo base'!P2251="SI",('Commissioni De Angeli'!K791-'Commissioni De Angeli'!J791),0)</f>
        <v>#N/A</v>
      </c>
      <c r="T791" s="117" t="e">
        <f t="shared" si="155"/>
        <v>#N/A</v>
      </c>
      <c r="U791" s="272" t="e">
        <f>IF(Q791=0,'calcolo base'!L3390,(T791+Q791))</f>
        <v>#N/A</v>
      </c>
      <c r="V791" s="119"/>
    </row>
    <row r="792" spans="2:22">
      <c r="B792" s="47"/>
      <c r="C792" s="35"/>
      <c r="D792" s="53"/>
      <c r="E792" s="53"/>
      <c r="F792" s="48"/>
      <c r="G792" s="243" t="e">
        <f>INDEX('calcolo base'!$B:$B, MATCH($A792, 'calcolo base'!$A:$A, 0))</f>
        <v>#N/A</v>
      </c>
      <c r="H792" s="54" t="e">
        <f t="shared" si="147"/>
        <v>#N/A</v>
      </c>
      <c r="I792" s="259" t="e">
        <f>IF(  OR(      INDEX('calcolo base'!$D:$D, MATCH($A792, 'calcolo base'!$A:$A, 0)) = 0,
      INDEX('calcolo base'!$D:$D, MATCH($A792, 'calcolo base'!$A:$A, 0)) = ""   ),
   INDEX('calcolo base'!$K:$K, MATCH($A792, 'calcolo base'!$A:$A, 0)),
   INDEX('calcolo base'!$J:$J, MATCH($A792, 'calcolo base'!$A:$A, 0))
) / 1000</f>
        <v>#N/A</v>
      </c>
      <c r="J792" s="50" t="e">
        <f t="shared" si="148"/>
        <v>#N/A</v>
      </c>
      <c r="K792" s="50"/>
      <c r="L792" s="267" t="e">
        <f>INDEX('calcolo base'!$H:$H, MATCH($A792, 'calcolo base'!$A:$A, 0))</f>
        <v>#N/A</v>
      </c>
      <c r="M792" s="50" t="e">
        <f t="shared" si="149"/>
        <v>#N/A</v>
      </c>
      <c r="N792" s="50" t="e">
        <f t="shared" si="150"/>
        <v>#N/A</v>
      </c>
      <c r="O792" s="50" t="e">
        <f t="shared" si="151"/>
        <v>#N/A</v>
      </c>
      <c r="P792" s="50" t="e">
        <f t="shared" si="152"/>
        <v>#N/A</v>
      </c>
      <c r="Q792" s="51" t="e">
        <f t="shared" si="153"/>
        <v>#N/A</v>
      </c>
      <c r="R792" s="205" t="e">
        <f t="shared" si="154"/>
        <v>#N/A</v>
      </c>
      <c r="S792" s="279" t="e">
        <f>IF(R792="si",0,IF(E792="si",0,IF(J792&gt;K792,0,+K792-J792)))+IF('calcolo base'!P2252="SI",('Commissioni De Angeli'!K792-'Commissioni De Angeli'!J792),0)</f>
        <v>#N/A</v>
      </c>
      <c r="T792" s="117" t="e">
        <f t="shared" si="155"/>
        <v>#N/A</v>
      </c>
      <c r="U792" s="272" t="e">
        <f>IF(Q792=0,'calcolo base'!L3391,(T792+Q792))</f>
        <v>#N/A</v>
      </c>
      <c r="V792" s="119"/>
    </row>
    <row r="793" spans="2:22">
      <c r="B793" s="47"/>
      <c r="C793" s="35"/>
      <c r="D793" s="53"/>
      <c r="E793" s="53"/>
      <c r="F793" s="48"/>
      <c r="G793" s="243" t="e">
        <f>INDEX('calcolo base'!$B:$B, MATCH($A793, 'calcolo base'!$A:$A, 0))</f>
        <v>#N/A</v>
      </c>
      <c r="H793" s="54" t="e">
        <f t="shared" si="147"/>
        <v>#N/A</v>
      </c>
      <c r="I793" s="259" t="e">
        <f>IF(  OR(      INDEX('calcolo base'!$D:$D, MATCH($A793, 'calcolo base'!$A:$A, 0)) = 0,
      INDEX('calcolo base'!$D:$D, MATCH($A793, 'calcolo base'!$A:$A, 0)) = ""   ),
   INDEX('calcolo base'!$K:$K, MATCH($A793, 'calcolo base'!$A:$A, 0)),
   INDEX('calcolo base'!$J:$J, MATCH($A793, 'calcolo base'!$A:$A, 0))
) / 1000</f>
        <v>#N/A</v>
      </c>
      <c r="J793" s="50" t="e">
        <f t="shared" si="148"/>
        <v>#N/A</v>
      </c>
      <c r="K793" s="50"/>
      <c r="L793" s="267" t="e">
        <f>INDEX('calcolo base'!$H:$H, MATCH($A793, 'calcolo base'!$A:$A, 0))</f>
        <v>#N/A</v>
      </c>
      <c r="M793" s="50" t="e">
        <f t="shared" si="149"/>
        <v>#N/A</v>
      </c>
      <c r="N793" s="50" t="e">
        <f t="shared" si="150"/>
        <v>#N/A</v>
      </c>
      <c r="O793" s="50" t="e">
        <f t="shared" si="151"/>
        <v>#N/A</v>
      </c>
      <c r="P793" s="50" t="e">
        <f t="shared" si="152"/>
        <v>#N/A</v>
      </c>
      <c r="Q793" s="51" t="e">
        <f t="shared" si="153"/>
        <v>#N/A</v>
      </c>
      <c r="R793" s="205" t="e">
        <f t="shared" si="154"/>
        <v>#N/A</v>
      </c>
      <c r="S793" s="279" t="e">
        <f>IF(R793="si",0,IF(E793="si",0,IF(J793&gt;K793,0,+K793-J793)))+IF('calcolo base'!P2253="SI",('Commissioni De Angeli'!K793-'Commissioni De Angeli'!J793),0)</f>
        <v>#N/A</v>
      </c>
      <c r="T793" s="117" t="e">
        <f t="shared" si="155"/>
        <v>#N/A</v>
      </c>
      <c r="U793" s="272" t="e">
        <f>IF(Q793=0,'calcolo base'!L3392,(T793+Q793))</f>
        <v>#N/A</v>
      </c>
      <c r="V793" s="119"/>
    </row>
    <row r="794" spans="2:22">
      <c r="B794" s="47"/>
      <c r="C794" s="35"/>
      <c r="D794" s="53"/>
      <c r="E794" s="53"/>
      <c r="F794" s="48"/>
      <c r="G794" s="243" t="e">
        <f>INDEX('calcolo base'!$B:$B, MATCH($A794, 'calcolo base'!$A:$A, 0))</f>
        <v>#N/A</v>
      </c>
      <c r="H794" s="54" t="e">
        <f t="shared" si="147"/>
        <v>#N/A</v>
      </c>
      <c r="I794" s="259" t="e">
        <f>IF(  OR(      INDEX('calcolo base'!$D:$D, MATCH($A794, 'calcolo base'!$A:$A, 0)) = 0,
      INDEX('calcolo base'!$D:$D, MATCH($A794, 'calcolo base'!$A:$A, 0)) = ""   ),
   INDEX('calcolo base'!$K:$K, MATCH($A794, 'calcolo base'!$A:$A, 0)),
   INDEX('calcolo base'!$J:$J, MATCH($A794, 'calcolo base'!$A:$A, 0))
) / 1000</f>
        <v>#N/A</v>
      </c>
      <c r="J794" s="50" t="e">
        <f t="shared" si="148"/>
        <v>#N/A</v>
      </c>
      <c r="K794" s="50"/>
      <c r="L794" s="267" t="e">
        <f>INDEX('calcolo base'!$H:$H, MATCH($A794, 'calcolo base'!$A:$A, 0))</f>
        <v>#N/A</v>
      </c>
      <c r="M794" s="50" t="e">
        <f t="shared" si="149"/>
        <v>#N/A</v>
      </c>
      <c r="N794" s="50" t="e">
        <f t="shared" si="150"/>
        <v>#N/A</v>
      </c>
      <c r="O794" s="50" t="e">
        <f t="shared" si="151"/>
        <v>#N/A</v>
      </c>
      <c r="P794" s="50" t="e">
        <f t="shared" si="152"/>
        <v>#N/A</v>
      </c>
      <c r="Q794" s="51" t="e">
        <f t="shared" si="153"/>
        <v>#N/A</v>
      </c>
      <c r="R794" s="205" t="e">
        <f t="shared" si="154"/>
        <v>#N/A</v>
      </c>
      <c r="S794" s="279" t="e">
        <f>IF(R794="si",0,IF(E794="si",0,IF(J794&gt;K794,0,+K794-J794)))+IF('calcolo base'!P2254="SI",('Commissioni De Angeli'!K794-'Commissioni De Angeli'!J794),0)</f>
        <v>#N/A</v>
      </c>
      <c r="T794" s="117" t="e">
        <f t="shared" si="155"/>
        <v>#N/A</v>
      </c>
      <c r="U794" s="272" t="e">
        <f>IF(Q794=0,'calcolo base'!L3393,(T794+Q794))</f>
        <v>#N/A</v>
      </c>
      <c r="V794" s="119"/>
    </row>
    <row r="795" spans="2:22">
      <c r="B795" s="47"/>
      <c r="C795" s="35"/>
      <c r="D795" s="53"/>
      <c r="E795" s="53"/>
      <c r="F795" s="48"/>
      <c r="G795" s="243" t="e">
        <f>INDEX('calcolo base'!$B:$B, MATCH($A795, 'calcolo base'!$A:$A, 0))</f>
        <v>#N/A</v>
      </c>
      <c r="H795" s="54" t="e">
        <f t="shared" si="147"/>
        <v>#N/A</v>
      </c>
      <c r="I795" s="259" t="e">
        <f>IF(  OR(      INDEX('calcolo base'!$D:$D, MATCH($A795, 'calcolo base'!$A:$A, 0)) = 0,
      INDEX('calcolo base'!$D:$D, MATCH($A795, 'calcolo base'!$A:$A, 0)) = ""   ),
   INDEX('calcolo base'!$K:$K, MATCH($A795, 'calcolo base'!$A:$A, 0)),
   INDEX('calcolo base'!$J:$J, MATCH($A795, 'calcolo base'!$A:$A, 0))
) / 1000</f>
        <v>#N/A</v>
      </c>
      <c r="J795" s="50" t="e">
        <f t="shared" si="148"/>
        <v>#N/A</v>
      </c>
      <c r="K795" s="50"/>
      <c r="L795" s="267" t="e">
        <f>INDEX('calcolo base'!$H:$H, MATCH($A795, 'calcolo base'!$A:$A, 0))</f>
        <v>#N/A</v>
      </c>
      <c r="M795" s="50" t="e">
        <f t="shared" si="149"/>
        <v>#N/A</v>
      </c>
      <c r="N795" s="50" t="e">
        <f t="shared" si="150"/>
        <v>#N/A</v>
      </c>
      <c r="O795" s="50" t="e">
        <f t="shared" si="151"/>
        <v>#N/A</v>
      </c>
      <c r="P795" s="50" t="e">
        <f t="shared" si="152"/>
        <v>#N/A</v>
      </c>
      <c r="Q795" s="51" t="e">
        <f t="shared" si="153"/>
        <v>#N/A</v>
      </c>
      <c r="R795" s="205" t="e">
        <f t="shared" si="154"/>
        <v>#N/A</v>
      </c>
      <c r="S795" s="279" t="e">
        <f>IF(R795="si",0,IF(E795="si",0,IF(J795&gt;K795,0,+K795-J795)))+IF('calcolo base'!P2255="SI",('Commissioni De Angeli'!K795-'Commissioni De Angeli'!J795),0)</f>
        <v>#N/A</v>
      </c>
      <c r="T795" s="117" t="e">
        <f t="shared" si="155"/>
        <v>#N/A</v>
      </c>
      <c r="U795" s="272" t="e">
        <f>IF(Q795=0,'calcolo base'!L3394,(T795+Q795))</f>
        <v>#N/A</v>
      </c>
      <c r="V795" s="119"/>
    </row>
    <row r="796" spans="2:22">
      <c r="B796" s="47"/>
      <c r="C796" s="35"/>
      <c r="D796" s="53"/>
      <c r="E796" s="53"/>
      <c r="F796" s="48"/>
      <c r="G796" s="243" t="e">
        <f>INDEX('calcolo base'!$B:$B, MATCH($A796, 'calcolo base'!$A:$A, 0))</f>
        <v>#N/A</v>
      </c>
      <c r="H796" s="54" t="e">
        <f t="shared" si="147"/>
        <v>#N/A</v>
      </c>
      <c r="I796" s="259" t="e">
        <f>IF(  OR(      INDEX('calcolo base'!$D:$D, MATCH($A796, 'calcolo base'!$A:$A, 0)) = 0,
      INDEX('calcolo base'!$D:$D, MATCH($A796, 'calcolo base'!$A:$A, 0)) = ""   ),
   INDEX('calcolo base'!$K:$K, MATCH($A796, 'calcolo base'!$A:$A, 0)),
   INDEX('calcolo base'!$J:$J, MATCH($A796, 'calcolo base'!$A:$A, 0))
) / 1000</f>
        <v>#N/A</v>
      </c>
      <c r="J796" s="50" t="e">
        <f t="shared" si="148"/>
        <v>#N/A</v>
      </c>
      <c r="K796" s="50"/>
      <c r="L796" s="267" t="e">
        <f>INDEX('calcolo base'!$H:$H, MATCH($A796, 'calcolo base'!$A:$A, 0))</f>
        <v>#N/A</v>
      </c>
      <c r="M796" s="50" t="e">
        <f t="shared" si="149"/>
        <v>#N/A</v>
      </c>
      <c r="N796" s="50" t="e">
        <f t="shared" si="150"/>
        <v>#N/A</v>
      </c>
      <c r="O796" s="50" t="e">
        <f t="shared" si="151"/>
        <v>#N/A</v>
      </c>
      <c r="P796" s="50" t="e">
        <f t="shared" si="152"/>
        <v>#N/A</v>
      </c>
      <c r="Q796" s="51" t="e">
        <f t="shared" si="153"/>
        <v>#N/A</v>
      </c>
      <c r="R796" s="205" t="e">
        <f t="shared" si="154"/>
        <v>#N/A</v>
      </c>
      <c r="S796" s="279" t="e">
        <f>IF(R796="si",0,IF(E796="si",0,IF(J796&gt;K796,0,+K796-J796)))+IF('calcolo base'!P2256="SI",('Commissioni De Angeli'!K796-'Commissioni De Angeli'!J796),0)</f>
        <v>#N/A</v>
      </c>
      <c r="T796" s="117" t="e">
        <f t="shared" si="155"/>
        <v>#N/A</v>
      </c>
      <c r="U796" s="272" t="e">
        <f>IF(Q796=0,'calcolo base'!L3395,(T796+Q796))</f>
        <v>#N/A</v>
      </c>
      <c r="V796" s="119"/>
    </row>
    <row r="797" spans="2:22">
      <c r="B797" s="47"/>
      <c r="C797" s="35"/>
      <c r="D797" s="53"/>
      <c r="E797" s="53"/>
      <c r="F797" s="48"/>
      <c r="G797" s="243" t="e">
        <f>INDEX('calcolo base'!$B:$B, MATCH($A797, 'calcolo base'!$A:$A, 0))</f>
        <v>#N/A</v>
      </c>
      <c r="H797" s="54" t="e">
        <f t="shared" si="147"/>
        <v>#N/A</v>
      </c>
      <c r="I797" s="259" t="e">
        <f>IF(  OR(      INDEX('calcolo base'!$D:$D, MATCH($A797, 'calcolo base'!$A:$A, 0)) = 0,
      INDEX('calcolo base'!$D:$D, MATCH($A797, 'calcolo base'!$A:$A, 0)) = ""   ),
   INDEX('calcolo base'!$K:$K, MATCH($A797, 'calcolo base'!$A:$A, 0)),
   INDEX('calcolo base'!$J:$J, MATCH($A797, 'calcolo base'!$A:$A, 0))
) / 1000</f>
        <v>#N/A</v>
      </c>
      <c r="J797" s="50" t="e">
        <f t="shared" si="148"/>
        <v>#N/A</v>
      </c>
      <c r="K797" s="50"/>
      <c r="L797" s="267" t="e">
        <f>INDEX('calcolo base'!$H:$H, MATCH($A797, 'calcolo base'!$A:$A, 0))</f>
        <v>#N/A</v>
      </c>
      <c r="M797" s="50" t="e">
        <f t="shared" si="149"/>
        <v>#N/A</v>
      </c>
      <c r="N797" s="50" t="e">
        <f t="shared" si="150"/>
        <v>#N/A</v>
      </c>
      <c r="O797" s="50" t="e">
        <f t="shared" si="151"/>
        <v>#N/A</v>
      </c>
      <c r="P797" s="50" t="e">
        <f t="shared" si="152"/>
        <v>#N/A</v>
      </c>
      <c r="Q797" s="51" t="e">
        <f t="shared" si="153"/>
        <v>#N/A</v>
      </c>
      <c r="R797" s="205" t="e">
        <f t="shared" si="154"/>
        <v>#N/A</v>
      </c>
      <c r="S797" s="279" t="e">
        <f>IF(R797="si",0,IF(E797="si",0,IF(J797&gt;K797,0,+K797-J797)))+IF('calcolo base'!P2257="SI",('Commissioni De Angeli'!K797-'Commissioni De Angeli'!J797),0)</f>
        <v>#N/A</v>
      </c>
      <c r="T797" s="117" t="e">
        <f t="shared" si="155"/>
        <v>#N/A</v>
      </c>
      <c r="U797" s="272" t="e">
        <f>IF(Q797=0,'calcolo base'!L3396,(T797+Q797))</f>
        <v>#N/A</v>
      </c>
      <c r="V797" s="119"/>
    </row>
    <row r="798" spans="2:22">
      <c r="B798" s="47"/>
      <c r="C798" s="35"/>
      <c r="D798" s="53"/>
      <c r="E798" s="53"/>
      <c r="F798" s="48"/>
      <c r="G798" s="243" t="e">
        <f>INDEX('calcolo base'!$B:$B, MATCH($A798, 'calcolo base'!$A:$A, 0))</f>
        <v>#N/A</v>
      </c>
      <c r="H798" s="54" t="e">
        <f t="shared" si="147"/>
        <v>#N/A</v>
      </c>
      <c r="I798" s="259" t="e">
        <f>IF(  OR(      INDEX('calcolo base'!$D:$D, MATCH($A798, 'calcolo base'!$A:$A, 0)) = 0,
      INDEX('calcolo base'!$D:$D, MATCH($A798, 'calcolo base'!$A:$A, 0)) = ""   ),
   INDEX('calcolo base'!$K:$K, MATCH($A798, 'calcolo base'!$A:$A, 0)),
   INDEX('calcolo base'!$J:$J, MATCH($A798, 'calcolo base'!$A:$A, 0))
) / 1000</f>
        <v>#N/A</v>
      </c>
      <c r="J798" s="50" t="e">
        <f t="shared" si="148"/>
        <v>#N/A</v>
      </c>
      <c r="K798" s="50"/>
      <c r="L798" s="267" t="e">
        <f>INDEX('calcolo base'!$H:$H, MATCH($A798, 'calcolo base'!$A:$A, 0))</f>
        <v>#N/A</v>
      </c>
      <c r="M798" s="50" t="e">
        <f t="shared" si="149"/>
        <v>#N/A</v>
      </c>
      <c r="N798" s="50" t="e">
        <f t="shared" si="150"/>
        <v>#N/A</v>
      </c>
      <c r="O798" s="50" t="e">
        <f t="shared" si="151"/>
        <v>#N/A</v>
      </c>
      <c r="P798" s="50" t="e">
        <f t="shared" si="152"/>
        <v>#N/A</v>
      </c>
      <c r="Q798" s="51" t="e">
        <f t="shared" si="153"/>
        <v>#N/A</v>
      </c>
      <c r="R798" s="205" t="e">
        <f t="shared" si="154"/>
        <v>#N/A</v>
      </c>
      <c r="S798" s="279" t="e">
        <f>IF(R798="si",0,IF(E798="si",0,IF(J798&gt;K798,0,+K798-J798)))+IF('calcolo base'!P2258="SI",('Commissioni De Angeli'!K798-'Commissioni De Angeli'!J798),0)</f>
        <v>#N/A</v>
      </c>
      <c r="T798" s="117" t="e">
        <f t="shared" si="155"/>
        <v>#N/A</v>
      </c>
      <c r="U798" s="272" t="e">
        <f>IF(Q798=0,'calcolo base'!L3397,(T798+Q798))</f>
        <v>#N/A</v>
      </c>
      <c r="V798" s="119"/>
    </row>
    <row r="799" spans="2:22">
      <c r="B799" s="47"/>
      <c r="C799" s="35"/>
      <c r="D799" s="53"/>
      <c r="E799" s="53"/>
      <c r="F799" s="48"/>
      <c r="G799" s="243" t="e">
        <f>INDEX('calcolo base'!$B:$B, MATCH($A799, 'calcolo base'!$A:$A, 0))</f>
        <v>#N/A</v>
      </c>
      <c r="H799" s="54" t="e">
        <f t="shared" si="147"/>
        <v>#N/A</v>
      </c>
      <c r="I799" s="259" t="e">
        <f>IF(  OR(      INDEX('calcolo base'!$D:$D, MATCH($A799, 'calcolo base'!$A:$A, 0)) = 0,
      INDEX('calcolo base'!$D:$D, MATCH($A799, 'calcolo base'!$A:$A, 0)) = ""   ),
   INDEX('calcolo base'!$K:$K, MATCH($A799, 'calcolo base'!$A:$A, 0)),
   INDEX('calcolo base'!$J:$J, MATCH($A799, 'calcolo base'!$A:$A, 0))
) / 1000</f>
        <v>#N/A</v>
      </c>
      <c r="J799" s="50" t="e">
        <f t="shared" si="148"/>
        <v>#N/A</v>
      </c>
      <c r="K799" s="50"/>
      <c r="L799" s="267" t="e">
        <f>INDEX('calcolo base'!$H:$H, MATCH($A799, 'calcolo base'!$A:$A, 0))</f>
        <v>#N/A</v>
      </c>
      <c r="M799" s="50" t="e">
        <f t="shared" si="149"/>
        <v>#N/A</v>
      </c>
      <c r="N799" s="50" t="e">
        <f t="shared" si="150"/>
        <v>#N/A</v>
      </c>
      <c r="O799" s="50" t="e">
        <f t="shared" si="151"/>
        <v>#N/A</v>
      </c>
      <c r="P799" s="50" t="e">
        <f t="shared" si="152"/>
        <v>#N/A</v>
      </c>
      <c r="Q799" s="51" t="e">
        <f t="shared" si="153"/>
        <v>#N/A</v>
      </c>
      <c r="R799" s="205" t="e">
        <f t="shared" si="154"/>
        <v>#N/A</v>
      </c>
      <c r="S799" s="279" t="e">
        <f>IF(R799="si",0,IF(E799="si",0,IF(J799&gt;K799,0,+K799-J799)))+IF('calcolo base'!P2259="SI",('Commissioni De Angeli'!K799-'Commissioni De Angeli'!J799),0)</f>
        <v>#N/A</v>
      </c>
      <c r="T799" s="117" t="e">
        <f t="shared" si="155"/>
        <v>#N/A</v>
      </c>
      <c r="U799" s="272" t="e">
        <f>IF(Q799=0,'calcolo base'!L3398,(T799+Q799))</f>
        <v>#N/A</v>
      </c>
      <c r="V799" s="119"/>
    </row>
    <row r="800" spans="2:22">
      <c r="B800" s="47"/>
      <c r="C800" s="35"/>
      <c r="D800" s="53"/>
      <c r="E800" s="53"/>
      <c r="F800" s="48"/>
      <c r="G800" s="243" t="e">
        <f>INDEX('calcolo base'!$B:$B, MATCH($A800, 'calcolo base'!$A:$A, 0))</f>
        <v>#N/A</v>
      </c>
      <c r="H800" s="54" t="e">
        <f t="shared" si="147"/>
        <v>#N/A</v>
      </c>
      <c r="I800" s="259" t="e">
        <f>IF(  OR(      INDEX('calcolo base'!$D:$D, MATCH($A800, 'calcolo base'!$A:$A, 0)) = 0,
      INDEX('calcolo base'!$D:$D, MATCH($A800, 'calcolo base'!$A:$A, 0)) = ""   ),
   INDEX('calcolo base'!$K:$K, MATCH($A800, 'calcolo base'!$A:$A, 0)),
   INDEX('calcolo base'!$J:$J, MATCH($A800, 'calcolo base'!$A:$A, 0))
) / 1000</f>
        <v>#N/A</v>
      </c>
      <c r="J800" s="50" t="e">
        <f t="shared" si="148"/>
        <v>#N/A</v>
      </c>
      <c r="K800" s="50"/>
      <c r="L800" s="267" t="e">
        <f>INDEX('calcolo base'!$H:$H, MATCH($A800, 'calcolo base'!$A:$A, 0))</f>
        <v>#N/A</v>
      </c>
      <c r="M800" s="50" t="e">
        <f t="shared" si="149"/>
        <v>#N/A</v>
      </c>
      <c r="N800" s="50" t="e">
        <f t="shared" si="150"/>
        <v>#N/A</v>
      </c>
      <c r="O800" s="50" t="e">
        <f t="shared" si="151"/>
        <v>#N/A</v>
      </c>
      <c r="P800" s="50" t="e">
        <f t="shared" si="152"/>
        <v>#N/A</v>
      </c>
      <c r="Q800" s="51" t="e">
        <f t="shared" si="153"/>
        <v>#N/A</v>
      </c>
      <c r="R800" s="205" t="e">
        <f t="shared" si="154"/>
        <v>#N/A</v>
      </c>
      <c r="S800" s="279" t="e">
        <f>IF(R800="si",0,IF(E800="si",0,IF(J800&gt;K800,0,+K800-J800)))+IF('calcolo base'!P2260="SI",('Commissioni De Angeli'!K800-'Commissioni De Angeli'!J800),0)</f>
        <v>#N/A</v>
      </c>
      <c r="T800" s="117" t="e">
        <f t="shared" si="155"/>
        <v>#N/A</v>
      </c>
      <c r="U800" s="272" t="e">
        <f>IF(Q800=0,'calcolo base'!L3399,(T800+Q800))</f>
        <v>#N/A</v>
      </c>
      <c r="V800" s="119"/>
    </row>
    <row r="801" spans="2:22">
      <c r="B801" s="47"/>
      <c r="C801" s="35"/>
      <c r="D801" s="53"/>
      <c r="E801" s="53"/>
      <c r="F801" s="48"/>
      <c r="G801" s="243" t="e">
        <f>INDEX('calcolo base'!$B:$B, MATCH($A801, 'calcolo base'!$A:$A, 0))</f>
        <v>#N/A</v>
      </c>
      <c r="H801" s="54" t="e">
        <f t="shared" si="147"/>
        <v>#N/A</v>
      </c>
      <c r="I801" s="259" t="e">
        <f>IF(  OR(      INDEX('calcolo base'!$D:$D, MATCH($A801, 'calcolo base'!$A:$A, 0)) = 0,
      INDEX('calcolo base'!$D:$D, MATCH($A801, 'calcolo base'!$A:$A, 0)) = ""   ),
   INDEX('calcolo base'!$K:$K, MATCH($A801, 'calcolo base'!$A:$A, 0)),
   INDEX('calcolo base'!$J:$J, MATCH($A801, 'calcolo base'!$A:$A, 0))
) / 1000</f>
        <v>#N/A</v>
      </c>
      <c r="J801" s="50" t="e">
        <f t="shared" si="148"/>
        <v>#N/A</v>
      </c>
      <c r="K801" s="50"/>
      <c r="L801" s="267" t="e">
        <f>INDEX('calcolo base'!$H:$H, MATCH($A801, 'calcolo base'!$A:$A, 0))</f>
        <v>#N/A</v>
      </c>
      <c r="M801" s="50" t="e">
        <f t="shared" si="149"/>
        <v>#N/A</v>
      </c>
      <c r="N801" s="50" t="e">
        <f t="shared" si="150"/>
        <v>#N/A</v>
      </c>
      <c r="O801" s="50" t="e">
        <f t="shared" si="151"/>
        <v>#N/A</v>
      </c>
      <c r="P801" s="50" t="e">
        <f t="shared" si="152"/>
        <v>#N/A</v>
      </c>
      <c r="Q801" s="51" t="e">
        <f t="shared" si="153"/>
        <v>#N/A</v>
      </c>
      <c r="R801" s="205" t="e">
        <f t="shared" si="154"/>
        <v>#N/A</v>
      </c>
      <c r="S801" s="279" t="e">
        <f>IF(R801="si",0,IF(E801="si",0,IF(J801&gt;K801,0,+K801-J801)))+IF('calcolo base'!P2261="SI",('Commissioni De Angeli'!K801-'Commissioni De Angeli'!J801),0)</f>
        <v>#N/A</v>
      </c>
      <c r="T801" s="117" t="e">
        <f t="shared" si="155"/>
        <v>#N/A</v>
      </c>
      <c r="U801" s="272" t="e">
        <f>IF(Q801=0,'calcolo base'!L3400,(T801+Q801))</f>
        <v>#N/A</v>
      </c>
      <c r="V801" s="119"/>
    </row>
    <row r="802" spans="2:22">
      <c r="B802" s="47"/>
      <c r="C802" s="35"/>
      <c r="D802" s="53"/>
      <c r="E802" s="53"/>
      <c r="F802" s="48"/>
      <c r="G802" s="243" t="e">
        <f>INDEX('calcolo base'!$B:$B, MATCH($A802, 'calcolo base'!$A:$A, 0))</f>
        <v>#N/A</v>
      </c>
      <c r="H802" s="54" t="e">
        <f t="shared" si="147"/>
        <v>#N/A</v>
      </c>
      <c r="I802" s="259" t="e">
        <f>IF(  OR(      INDEX('calcolo base'!$D:$D, MATCH($A802, 'calcolo base'!$A:$A, 0)) = 0,
      INDEX('calcolo base'!$D:$D, MATCH($A802, 'calcolo base'!$A:$A, 0)) = ""   ),
   INDEX('calcolo base'!$K:$K, MATCH($A802, 'calcolo base'!$A:$A, 0)),
   INDEX('calcolo base'!$J:$J, MATCH($A802, 'calcolo base'!$A:$A, 0))
) / 1000</f>
        <v>#N/A</v>
      </c>
      <c r="J802" s="50" t="e">
        <f t="shared" si="148"/>
        <v>#N/A</v>
      </c>
      <c r="K802" s="50"/>
      <c r="L802" s="267" t="e">
        <f>INDEX('calcolo base'!$H:$H, MATCH($A802, 'calcolo base'!$A:$A, 0))</f>
        <v>#N/A</v>
      </c>
      <c r="M802" s="50" t="e">
        <f t="shared" si="149"/>
        <v>#N/A</v>
      </c>
      <c r="N802" s="50" t="e">
        <f t="shared" si="150"/>
        <v>#N/A</v>
      </c>
      <c r="O802" s="50" t="e">
        <f t="shared" si="151"/>
        <v>#N/A</v>
      </c>
      <c r="P802" s="50" t="e">
        <f t="shared" si="152"/>
        <v>#N/A</v>
      </c>
      <c r="Q802" s="51" t="e">
        <f t="shared" si="153"/>
        <v>#N/A</v>
      </c>
      <c r="R802" s="205" t="e">
        <f t="shared" si="154"/>
        <v>#N/A</v>
      </c>
      <c r="S802" s="279" t="e">
        <f>IF(R802="si",0,IF(E802="si",0,IF(J802&gt;K802,0,+K802-J802)))+IF('calcolo base'!P2262="SI",('Commissioni De Angeli'!K802-'Commissioni De Angeli'!J802),0)</f>
        <v>#N/A</v>
      </c>
      <c r="T802" s="117" t="e">
        <f t="shared" si="155"/>
        <v>#N/A</v>
      </c>
      <c r="U802" s="272" t="e">
        <f>IF(Q802=0,'calcolo base'!L3401,(T802+Q802))</f>
        <v>#N/A</v>
      </c>
      <c r="V802" s="119"/>
    </row>
    <row r="803" spans="2:22">
      <c r="B803" s="47"/>
      <c r="C803" s="35"/>
      <c r="D803" s="53"/>
      <c r="E803" s="53"/>
      <c r="F803" s="48"/>
      <c r="G803" s="243" t="e">
        <f>INDEX('calcolo base'!$B:$B, MATCH($A803, 'calcolo base'!$A:$A, 0))</f>
        <v>#N/A</v>
      </c>
      <c r="H803" s="54" t="e">
        <f t="shared" si="147"/>
        <v>#N/A</v>
      </c>
      <c r="I803" s="259" t="e">
        <f>IF(  OR(      INDEX('calcolo base'!$D:$D, MATCH($A803, 'calcolo base'!$A:$A, 0)) = 0,
      INDEX('calcolo base'!$D:$D, MATCH($A803, 'calcolo base'!$A:$A, 0)) = ""   ),
   INDEX('calcolo base'!$K:$K, MATCH($A803, 'calcolo base'!$A:$A, 0)),
   INDEX('calcolo base'!$J:$J, MATCH($A803, 'calcolo base'!$A:$A, 0))
) / 1000</f>
        <v>#N/A</v>
      </c>
      <c r="J803" s="50" t="e">
        <f t="shared" si="148"/>
        <v>#N/A</v>
      </c>
      <c r="K803" s="50"/>
      <c r="L803" s="267" t="e">
        <f>INDEX('calcolo base'!$H:$H, MATCH($A803, 'calcolo base'!$A:$A, 0))</f>
        <v>#N/A</v>
      </c>
      <c r="M803" s="50" t="e">
        <f t="shared" si="149"/>
        <v>#N/A</v>
      </c>
      <c r="N803" s="50" t="e">
        <f t="shared" si="150"/>
        <v>#N/A</v>
      </c>
      <c r="O803" s="50" t="e">
        <f t="shared" si="151"/>
        <v>#N/A</v>
      </c>
      <c r="P803" s="50" t="e">
        <f t="shared" si="152"/>
        <v>#N/A</v>
      </c>
      <c r="Q803" s="51" t="e">
        <f t="shared" si="153"/>
        <v>#N/A</v>
      </c>
      <c r="R803" s="205" t="e">
        <f t="shared" si="154"/>
        <v>#N/A</v>
      </c>
      <c r="S803" s="279" t="e">
        <f>IF(R803="si",0,IF(E803="si",0,IF(J803&gt;K803,0,+K803-J803)))+IF('calcolo base'!P2263="SI",('Commissioni De Angeli'!K803-'Commissioni De Angeli'!J803),0)</f>
        <v>#N/A</v>
      </c>
      <c r="T803" s="117" t="e">
        <f t="shared" si="155"/>
        <v>#N/A</v>
      </c>
      <c r="U803" s="272" t="e">
        <f>IF(Q803=0,'calcolo base'!L3402,(T803+Q803))</f>
        <v>#N/A</v>
      </c>
      <c r="V803" s="119"/>
    </row>
    <row r="804" spans="2:22">
      <c r="B804" s="47"/>
      <c r="C804" s="35"/>
      <c r="D804" s="53"/>
      <c r="E804" s="53"/>
      <c r="F804" s="48"/>
      <c r="G804" s="243" t="e">
        <f>INDEX('calcolo base'!$B:$B, MATCH($A804, 'calcolo base'!$A:$A, 0))</f>
        <v>#N/A</v>
      </c>
      <c r="H804" s="54" t="e">
        <f t="shared" si="147"/>
        <v>#N/A</v>
      </c>
      <c r="I804" s="259" t="e">
        <f>IF(  OR(      INDEX('calcolo base'!$D:$D, MATCH($A804, 'calcolo base'!$A:$A, 0)) = 0,
      INDEX('calcolo base'!$D:$D, MATCH($A804, 'calcolo base'!$A:$A, 0)) = ""   ),
   INDEX('calcolo base'!$K:$K, MATCH($A804, 'calcolo base'!$A:$A, 0)),
   INDEX('calcolo base'!$J:$J, MATCH($A804, 'calcolo base'!$A:$A, 0))
) / 1000</f>
        <v>#N/A</v>
      </c>
      <c r="J804" s="50" t="e">
        <f t="shared" si="148"/>
        <v>#N/A</v>
      </c>
      <c r="K804" s="50"/>
      <c r="L804" s="267" t="e">
        <f>INDEX('calcolo base'!$H:$H, MATCH($A804, 'calcolo base'!$A:$A, 0))</f>
        <v>#N/A</v>
      </c>
      <c r="M804" s="50" t="e">
        <f t="shared" si="149"/>
        <v>#N/A</v>
      </c>
      <c r="N804" s="50" t="e">
        <f t="shared" si="150"/>
        <v>#N/A</v>
      </c>
      <c r="O804" s="50" t="e">
        <f t="shared" si="151"/>
        <v>#N/A</v>
      </c>
      <c r="P804" s="50" t="e">
        <f t="shared" si="152"/>
        <v>#N/A</v>
      </c>
      <c r="Q804" s="51" t="e">
        <f t="shared" si="153"/>
        <v>#N/A</v>
      </c>
      <c r="R804" s="205" t="e">
        <f t="shared" si="154"/>
        <v>#N/A</v>
      </c>
      <c r="S804" s="279" t="e">
        <f>IF(R804="si",0,IF(E804="si",0,IF(J804&gt;K804,0,+K804-J804)))+IF('calcolo base'!P2264="SI",('Commissioni De Angeli'!K804-'Commissioni De Angeli'!J804),0)</f>
        <v>#N/A</v>
      </c>
      <c r="T804" s="117" t="e">
        <f t="shared" si="155"/>
        <v>#N/A</v>
      </c>
      <c r="U804" s="272" t="e">
        <f>IF(Q804=0,'calcolo base'!L3403,(T804+Q804))</f>
        <v>#N/A</v>
      </c>
      <c r="V804" s="119"/>
    </row>
    <row r="805" spans="2:22">
      <c r="B805" s="47"/>
      <c r="C805" s="35"/>
      <c r="D805" s="53"/>
      <c r="E805" s="53"/>
      <c r="F805" s="48"/>
      <c r="G805" s="243" t="e">
        <f>INDEX('calcolo base'!$B:$B, MATCH($A805, 'calcolo base'!$A:$A, 0))</f>
        <v>#N/A</v>
      </c>
      <c r="H805" s="54" t="e">
        <f t="shared" si="147"/>
        <v>#N/A</v>
      </c>
      <c r="I805" s="259" t="e">
        <f>IF(  OR(      INDEX('calcolo base'!$D:$D, MATCH($A805, 'calcolo base'!$A:$A, 0)) = 0,
      INDEX('calcolo base'!$D:$D, MATCH($A805, 'calcolo base'!$A:$A, 0)) = ""   ),
   INDEX('calcolo base'!$K:$K, MATCH($A805, 'calcolo base'!$A:$A, 0)),
   INDEX('calcolo base'!$J:$J, MATCH($A805, 'calcolo base'!$A:$A, 0))
) / 1000</f>
        <v>#N/A</v>
      </c>
      <c r="J805" s="50" t="e">
        <f t="shared" si="148"/>
        <v>#N/A</v>
      </c>
      <c r="K805" s="50"/>
      <c r="L805" s="267" t="e">
        <f>INDEX('calcolo base'!$H:$H, MATCH($A805, 'calcolo base'!$A:$A, 0))</f>
        <v>#N/A</v>
      </c>
      <c r="M805" s="50" t="e">
        <f t="shared" si="149"/>
        <v>#N/A</v>
      </c>
      <c r="N805" s="50" t="e">
        <f t="shared" si="150"/>
        <v>#N/A</v>
      </c>
      <c r="O805" s="50" t="e">
        <f t="shared" si="151"/>
        <v>#N/A</v>
      </c>
      <c r="P805" s="50" t="e">
        <f t="shared" si="152"/>
        <v>#N/A</v>
      </c>
      <c r="Q805" s="51" t="e">
        <f t="shared" si="153"/>
        <v>#N/A</v>
      </c>
      <c r="R805" s="205" t="e">
        <f t="shared" si="154"/>
        <v>#N/A</v>
      </c>
      <c r="S805" s="279" t="e">
        <f>IF(R805="si",0,IF(E805="si",0,IF(J805&gt;K805,0,+K805-J805)))+IF('calcolo base'!P2265="SI",('Commissioni De Angeli'!K805-'Commissioni De Angeli'!J805),0)</f>
        <v>#N/A</v>
      </c>
      <c r="T805" s="117" t="e">
        <f t="shared" si="155"/>
        <v>#N/A</v>
      </c>
      <c r="U805" s="272" t="e">
        <f>IF(Q805=0,'calcolo base'!L3404,(T805+Q805))</f>
        <v>#N/A</v>
      </c>
      <c r="V805" s="119"/>
    </row>
    <row r="806" spans="2:22">
      <c r="B806" s="47"/>
      <c r="C806" s="35"/>
      <c r="D806" s="53"/>
      <c r="E806" s="53"/>
      <c r="F806" s="48"/>
      <c r="G806" s="243" t="e">
        <f>INDEX('calcolo base'!$B:$B, MATCH($A806, 'calcolo base'!$A:$A, 0))</f>
        <v>#N/A</v>
      </c>
      <c r="H806" s="54" t="e">
        <f t="shared" si="147"/>
        <v>#N/A</v>
      </c>
      <c r="I806" s="259" t="e">
        <f>IF(  OR(      INDEX('calcolo base'!$D:$D, MATCH($A806, 'calcolo base'!$A:$A, 0)) = 0,
      INDEX('calcolo base'!$D:$D, MATCH($A806, 'calcolo base'!$A:$A, 0)) = ""   ),
   INDEX('calcolo base'!$K:$K, MATCH($A806, 'calcolo base'!$A:$A, 0)),
   INDEX('calcolo base'!$J:$J, MATCH($A806, 'calcolo base'!$A:$A, 0))
) / 1000</f>
        <v>#N/A</v>
      </c>
      <c r="J806" s="50" t="e">
        <f t="shared" si="148"/>
        <v>#N/A</v>
      </c>
      <c r="K806" s="50"/>
      <c r="L806" s="267" t="e">
        <f>INDEX('calcolo base'!$H:$H, MATCH($A806, 'calcolo base'!$A:$A, 0))</f>
        <v>#N/A</v>
      </c>
      <c r="M806" s="50" t="e">
        <f t="shared" si="149"/>
        <v>#N/A</v>
      </c>
      <c r="N806" s="50" t="e">
        <f t="shared" si="150"/>
        <v>#N/A</v>
      </c>
      <c r="O806" s="50" t="e">
        <f t="shared" si="151"/>
        <v>#N/A</v>
      </c>
      <c r="P806" s="50" t="e">
        <f t="shared" si="152"/>
        <v>#N/A</v>
      </c>
      <c r="Q806" s="51" t="e">
        <f t="shared" si="153"/>
        <v>#N/A</v>
      </c>
      <c r="R806" s="205" t="e">
        <f t="shared" si="154"/>
        <v>#N/A</v>
      </c>
      <c r="S806" s="279" t="e">
        <f>IF(R806="si",0,IF(E806="si",0,IF(J806&gt;K806,0,+K806-J806)))+IF('calcolo base'!P2266="SI",('Commissioni De Angeli'!K806-'Commissioni De Angeli'!J806),0)</f>
        <v>#N/A</v>
      </c>
      <c r="T806" s="117" t="e">
        <f t="shared" si="155"/>
        <v>#N/A</v>
      </c>
      <c r="U806" s="272" t="e">
        <f>IF(Q806=0,'calcolo base'!L3405,(T806+Q806))</f>
        <v>#N/A</v>
      </c>
      <c r="V806" s="119"/>
    </row>
    <row r="807" spans="2:22">
      <c r="B807" s="47"/>
      <c r="C807" s="35"/>
      <c r="D807" s="53"/>
      <c r="E807" s="53"/>
      <c r="F807" s="48"/>
      <c r="G807" s="243" t="e">
        <f>INDEX('calcolo base'!$B:$B, MATCH($A807, 'calcolo base'!$A:$A, 0))</f>
        <v>#N/A</v>
      </c>
      <c r="H807" s="54" t="e">
        <f t="shared" si="147"/>
        <v>#N/A</v>
      </c>
      <c r="I807" s="259" t="e">
        <f>IF(  OR(      INDEX('calcolo base'!$D:$D, MATCH($A807, 'calcolo base'!$A:$A, 0)) = 0,
      INDEX('calcolo base'!$D:$D, MATCH($A807, 'calcolo base'!$A:$A, 0)) = ""   ),
   INDEX('calcolo base'!$K:$K, MATCH($A807, 'calcolo base'!$A:$A, 0)),
   INDEX('calcolo base'!$J:$J, MATCH($A807, 'calcolo base'!$A:$A, 0))
) / 1000</f>
        <v>#N/A</v>
      </c>
      <c r="J807" s="50" t="e">
        <f t="shared" si="148"/>
        <v>#N/A</v>
      </c>
      <c r="K807" s="50"/>
      <c r="L807" s="267" t="e">
        <f>INDEX('calcolo base'!$H:$H, MATCH($A807, 'calcolo base'!$A:$A, 0))</f>
        <v>#N/A</v>
      </c>
      <c r="M807" s="50" t="e">
        <f t="shared" si="149"/>
        <v>#N/A</v>
      </c>
      <c r="N807" s="50" t="e">
        <f t="shared" si="150"/>
        <v>#N/A</v>
      </c>
      <c r="O807" s="50" t="e">
        <f t="shared" si="151"/>
        <v>#N/A</v>
      </c>
      <c r="P807" s="50" t="e">
        <f t="shared" si="152"/>
        <v>#N/A</v>
      </c>
      <c r="Q807" s="51" t="e">
        <f t="shared" si="153"/>
        <v>#N/A</v>
      </c>
      <c r="R807" s="205" t="e">
        <f t="shared" si="154"/>
        <v>#N/A</v>
      </c>
      <c r="S807" s="279" t="e">
        <f>IF(R807="si",0,IF(E807="si",0,IF(J807&gt;K807,0,+K807-J807)))+IF('calcolo base'!P2267="SI",('Commissioni De Angeli'!K807-'Commissioni De Angeli'!J807),0)</f>
        <v>#N/A</v>
      </c>
      <c r="T807" s="117" t="e">
        <f t="shared" si="155"/>
        <v>#N/A</v>
      </c>
      <c r="U807" s="272" t="e">
        <f>IF(Q807=0,'calcolo base'!L3406,(T807+Q807))</f>
        <v>#N/A</v>
      </c>
      <c r="V807" s="119"/>
    </row>
    <row r="808" spans="2:22">
      <c r="B808" s="47"/>
      <c r="C808" s="35"/>
      <c r="D808" s="53"/>
      <c r="E808" s="53"/>
      <c r="F808" s="48"/>
      <c r="G808" s="243" t="e">
        <f>INDEX('calcolo base'!$B:$B, MATCH($A808, 'calcolo base'!$A:$A, 0))</f>
        <v>#N/A</v>
      </c>
      <c r="H808" s="54" t="e">
        <f t="shared" si="147"/>
        <v>#N/A</v>
      </c>
      <c r="I808" s="259" t="e">
        <f>IF(  OR(      INDEX('calcolo base'!$D:$D, MATCH($A808, 'calcolo base'!$A:$A, 0)) = 0,
      INDEX('calcolo base'!$D:$D, MATCH($A808, 'calcolo base'!$A:$A, 0)) = ""   ),
   INDEX('calcolo base'!$K:$K, MATCH($A808, 'calcolo base'!$A:$A, 0)),
   INDEX('calcolo base'!$J:$J, MATCH($A808, 'calcolo base'!$A:$A, 0))
) / 1000</f>
        <v>#N/A</v>
      </c>
      <c r="J808" s="50" t="e">
        <f t="shared" si="148"/>
        <v>#N/A</v>
      </c>
      <c r="K808" s="50"/>
      <c r="L808" s="267" t="e">
        <f>INDEX('calcolo base'!$H:$H, MATCH($A808, 'calcolo base'!$A:$A, 0))</f>
        <v>#N/A</v>
      </c>
      <c r="M808" s="50" t="e">
        <f t="shared" si="149"/>
        <v>#N/A</v>
      </c>
      <c r="N808" s="50" t="e">
        <f t="shared" si="150"/>
        <v>#N/A</v>
      </c>
      <c r="O808" s="50" t="e">
        <f t="shared" si="151"/>
        <v>#N/A</v>
      </c>
      <c r="P808" s="50" t="e">
        <f t="shared" si="152"/>
        <v>#N/A</v>
      </c>
      <c r="Q808" s="51" t="e">
        <f t="shared" si="153"/>
        <v>#N/A</v>
      </c>
      <c r="R808" s="205" t="e">
        <f t="shared" si="154"/>
        <v>#N/A</v>
      </c>
      <c r="S808" s="279" t="e">
        <f>IF(R808="si",0,IF(E808="si",0,IF(J808&gt;K808,0,+K808-J808)))+IF('calcolo base'!P2268="SI",('Commissioni De Angeli'!K808-'Commissioni De Angeli'!J808),0)</f>
        <v>#N/A</v>
      </c>
      <c r="T808" s="117" t="e">
        <f t="shared" si="155"/>
        <v>#N/A</v>
      </c>
      <c r="U808" s="272" t="e">
        <f>IF(Q808=0,'calcolo base'!L3407,(T808+Q808))</f>
        <v>#N/A</v>
      </c>
      <c r="V808" s="119"/>
    </row>
    <row r="809" spans="2:22">
      <c r="B809" s="47"/>
      <c r="C809" s="35"/>
      <c r="D809" s="53"/>
      <c r="E809" s="53"/>
      <c r="F809" s="48"/>
      <c r="G809" s="243" t="e">
        <f>INDEX('calcolo base'!$B:$B, MATCH($A809, 'calcolo base'!$A:$A, 0))</f>
        <v>#N/A</v>
      </c>
      <c r="H809" s="54" t="e">
        <f t="shared" si="147"/>
        <v>#N/A</v>
      </c>
      <c r="I809" s="259" t="e">
        <f>IF(  OR(      INDEX('calcolo base'!$D:$D, MATCH($A809, 'calcolo base'!$A:$A, 0)) = 0,
      INDEX('calcolo base'!$D:$D, MATCH($A809, 'calcolo base'!$A:$A, 0)) = ""   ),
   INDEX('calcolo base'!$K:$K, MATCH($A809, 'calcolo base'!$A:$A, 0)),
   INDEX('calcolo base'!$J:$J, MATCH($A809, 'calcolo base'!$A:$A, 0))
) / 1000</f>
        <v>#N/A</v>
      </c>
      <c r="J809" s="50" t="e">
        <f t="shared" si="148"/>
        <v>#N/A</v>
      </c>
      <c r="K809" s="50"/>
      <c r="L809" s="267" t="e">
        <f>INDEX('calcolo base'!$H:$H, MATCH($A809, 'calcolo base'!$A:$A, 0))</f>
        <v>#N/A</v>
      </c>
      <c r="M809" s="50" t="e">
        <f t="shared" si="149"/>
        <v>#N/A</v>
      </c>
      <c r="N809" s="50" t="e">
        <f t="shared" si="150"/>
        <v>#N/A</v>
      </c>
      <c r="O809" s="50" t="e">
        <f t="shared" si="151"/>
        <v>#N/A</v>
      </c>
      <c r="P809" s="50" t="e">
        <f t="shared" si="152"/>
        <v>#N/A</v>
      </c>
      <c r="Q809" s="51" t="e">
        <f t="shared" si="153"/>
        <v>#N/A</v>
      </c>
      <c r="R809" s="205" t="e">
        <f t="shared" si="154"/>
        <v>#N/A</v>
      </c>
      <c r="S809" s="279" t="e">
        <f>IF(R809="si",0,IF(E809="si",0,IF(J809&gt;K809,0,+K809-J809)))+IF('calcolo base'!P2269="SI",('Commissioni De Angeli'!K809-'Commissioni De Angeli'!J809),0)</f>
        <v>#N/A</v>
      </c>
      <c r="T809" s="117" t="e">
        <f t="shared" si="155"/>
        <v>#N/A</v>
      </c>
      <c r="U809" s="272" t="e">
        <f>IF(Q809=0,'calcolo base'!L3408,(T809+Q809))</f>
        <v>#N/A</v>
      </c>
      <c r="V809" s="119"/>
    </row>
    <row r="810" spans="2:22">
      <c r="B810" s="47"/>
      <c r="C810" s="35"/>
      <c r="D810" s="53"/>
      <c r="E810" s="53"/>
      <c r="F810" s="48"/>
      <c r="G810" s="243" t="e">
        <f>INDEX('calcolo base'!$B:$B, MATCH($A810, 'calcolo base'!$A:$A, 0))</f>
        <v>#N/A</v>
      </c>
      <c r="H810" s="54" t="e">
        <f t="shared" si="147"/>
        <v>#N/A</v>
      </c>
      <c r="I810" s="259" t="e">
        <f>IF(  OR(      INDEX('calcolo base'!$D:$D, MATCH($A810, 'calcolo base'!$A:$A, 0)) = 0,
      INDEX('calcolo base'!$D:$D, MATCH($A810, 'calcolo base'!$A:$A, 0)) = ""   ),
   INDEX('calcolo base'!$K:$K, MATCH($A810, 'calcolo base'!$A:$A, 0)),
   INDEX('calcolo base'!$J:$J, MATCH($A810, 'calcolo base'!$A:$A, 0))
) / 1000</f>
        <v>#N/A</v>
      </c>
      <c r="J810" s="50" t="e">
        <f t="shared" si="148"/>
        <v>#N/A</v>
      </c>
      <c r="K810" s="50"/>
      <c r="L810" s="267" t="e">
        <f>INDEX('calcolo base'!$H:$H, MATCH($A810, 'calcolo base'!$A:$A, 0))</f>
        <v>#N/A</v>
      </c>
      <c r="M810" s="50" t="e">
        <f t="shared" si="149"/>
        <v>#N/A</v>
      </c>
      <c r="N810" s="50" t="e">
        <f t="shared" si="150"/>
        <v>#N/A</v>
      </c>
      <c r="O810" s="50" t="e">
        <f t="shared" si="151"/>
        <v>#N/A</v>
      </c>
      <c r="P810" s="50" t="e">
        <f t="shared" si="152"/>
        <v>#N/A</v>
      </c>
      <c r="Q810" s="51" t="e">
        <f t="shared" si="153"/>
        <v>#N/A</v>
      </c>
      <c r="R810" s="205" t="e">
        <f t="shared" si="154"/>
        <v>#N/A</v>
      </c>
      <c r="S810" s="279" t="e">
        <f>IF(R810="si",0,IF(E810="si",0,IF(J810&gt;K810,0,+K810-J810)))+IF('calcolo base'!P2270="SI",('Commissioni De Angeli'!K810-'Commissioni De Angeli'!J810),0)</f>
        <v>#N/A</v>
      </c>
      <c r="T810" s="117" t="e">
        <f t="shared" si="155"/>
        <v>#N/A</v>
      </c>
      <c r="U810" s="272" t="e">
        <f>IF(Q810=0,'calcolo base'!L3409,(T810+Q810))</f>
        <v>#N/A</v>
      </c>
      <c r="V810" s="119"/>
    </row>
    <row r="811" spans="2:22">
      <c r="B811" s="47"/>
      <c r="C811" s="35"/>
      <c r="D811" s="53"/>
      <c r="E811" s="53"/>
      <c r="F811" s="48"/>
      <c r="G811" s="243" t="e">
        <f>INDEX('calcolo base'!$B:$B, MATCH($A811, 'calcolo base'!$A:$A, 0))</f>
        <v>#N/A</v>
      </c>
      <c r="H811" s="54" t="e">
        <f t="shared" si="147"/>
        <v>#N/A</v>
      </c>
      <c r="I811" s="259" t="e">
        <f>IF(  OR(      INDEX('calcolo base'!$D:$D, MATCH($A811, 'calcolo base'!$A:$A, 0)) = 0,
      INDEX('calcolo base'!$D:$D, MATCH($A811, 'calcolo base'!$A:$A, 0)) = ""   ),
   INDEX('calcolo base'!$K:$K, MATCH($A811, 'calcolo base'!$A:$A, 0)),
   INDEX('calcolo base'!$J:$J, MATCH($A811, 'calcolo base'!$A:$A, 0))
) / 1000</f>
        <v>#N/A</v>
      </c>
      <c r="J811" s="50" t="e">
        <f t="shared" si="148"/>
        <v>#N/A</v>
      </c>
      <c r="K811" s="50"/>
      <c r="L811" s="267" t="e">
        <f>INDEX('calcolo base'!$H:$H, MATCH($A811, 'calcolo base'!$A:$A, 0))</f>
        <v>#N/A</v>
      </c>
      <c r="M811" s="50" t="e">
        <f t="shared" si="149"/>
        <v>#N/A</v>
      </c>
      <c r="N811" s="50" t="e">
        <f t="shared" si="150"/>
        <v>#N/A</v>
      </c>
      <c r="O811" s="50" t="e">
        <f t="shared" si="151"/>
        <v>#N/A</v>
      </c>
      <c r="P811" s="50" t="e">
        <f t="shared" si="152"/>
        <v>#N/A</v>
      </c>
      <c r="Q811" s="51" t="e">
        <f t="shared" si="153"/>
        <v>#N/A</v>
      </c>
      <c r="R811" s="205" t="e">
        <f t="shared" si="154"/>
        <v>#N/A</v>
      </c>
      <c r="S811" s="279" t="e">
        <f>IF(R811="si",0,IF(E811="si",0,IF(J811&gt;K811,0,+K811-J811)))+IF('calcolo base'!P2271="SI",('Commissioni De Angeli'!K811-'Commissioni De Angeli'!J811),0)</f>
        <v>#N/A</v>
      </c>
      <c r="T811" s="117" t="e">
        <f t="shared" si="155"/>
        <v>#N/A</v>
      </c>
      <c r="U811" s="272" t="e">
        <f>IF(Q811=0,'calcolo base'!L3410,(T811+Q811))</f>
        <v>#N/A</v>
      </c>
      <c r="V811" s="119"/>
    </row>
    <row r="812" spans="2:22">
      <c r="B812" s="47"/>
      <c r="C812" s="35"/>
      <c r="D812" s="53"/>
      <c r="E812" s="53"/>
      <c r="F812" s="48"/>
      <c r="G812" s="243" t="e">
        <f>INDEX('calcolo base'!$B:$B, MATCH($A812, 'calcolo base'!$A:$A, 0))</f>
        <v>#N/A</v>
      </c>
      <c r="H812" s="54" t="e">
        <f t="shared" ref="H812:H875" si="156">IF(G812=0,"",+G812)</f>
        <v>#N/A</v>
      </c>
      <c r="I812" s="259" t="e">
        <f>IF(  OR(      INDEX('calcolo base'!$D:$D, MATCH($A812, 'calcolo base'!$A:$A, 0)) = 0,
      INDEX('calcolo base'!$D:$D, MATCH($A812, 'calcolo base'!$A:$A, 0)) = ""   ),
   INDEX('calcolo base'!$K:$K, MATCH($A812, 'calcolo base'!$A:$A, 0)),
   INDEX('calcolo base'!$J:$J, MATCH($A812, 'calcolo base'!$A:$A, 0))
) / 1000</f>
        <v>#N/A</v>
      </c>
      <c r="J812" s="50" t="e">
        <f t="shared" ref="J812:J875" si="157">+F812+I812</f>
        <v>#N/A</v>
      </c>
      <c r="K812" s="50"/>
      <c r="L812" s="267" t="e">
        <f>INDEX('calcolo base'!$H:$H, MATCH($A812, 'calcolo base'!$A:$A, 0))</f>
        <v>#N/A</v>
      </c>
      <c r="M812" s="50" t="e">
        <f t="shared" ref="M812:M875" si="158">IF(L812=0,0,J812*L812)</f>
        <v>#N/A</v>
      </c>
      <c r="N812" s="50" t="e">
        <f t="shared" ref="N812:N875" si="159">IF(E812="si",K812*1.5%,IF($L812&gt;=5%,IF($I812=0,0,(IF($G812="RAME",($J812)*1.5%,0)+IF($G812="rame smaltato",($K812)*1.5%,0))),0))</f>
        <v>#N/A</v>
      </c>
      <c r="O812" s="50" t="e">
        <f t="shared" ref="O812:O875" si="160">IF($I812=0,0,(IF($G812="alluminio",($J812)*3%,0)+IF($G812="alluminio smaltato",($K812)*3%,0)))</f>
        <v>#N/A</v>
      </c>
      <c r="P812" s="50" t="e">
        <f t="shared" ref="P812:P875" si="161">IF(H812="alluminio",0,IF(L812&lt;5%,F812*8%,0))</f>
        <v>#N/A</v>
      </c>
      <c r="Q812" s="51" t="e">
        <f t="shared" ref="Q812:Q875" si="162">+(N812*D812)+(O812*D812)+(P812*D812)</f>
        <v>#N/A</v>
      </c>
      <c r="R812" s="205" t="e">
        <f t="shared" ref="R812:R875" si="163">IF(H812="ALLUMINIO",0,IF(L812&lt;5%,"si",0))</f>
        <v>#N/A</v>
      </c>
      <c r="S812" s="279" t="e">
        <f>IF(R812="si",0,IF(E812="si",0,IF(J812&gt;K812,0,+K812-J812)))+IF('calcolo base'!P2272="SI",('Commissioni De Angeli'!K812-'Commissioni De Angeli'!J812),0)</f>
        <v>#N/A</v>
      </c>
      <c r="T812" s="117" t="e">
        <f t="shared" ref="T812:T875" si="164">+(S812)*D812*40%</f>
        <v>#N/A</v>
      </c>
      <c r="U812" s="272" t="e">
        <f>IF(Q812=0,'calcolo base'!L3411,(T812+Q812))</f>
        <v>#N/A</v>
      </c>
      <c r="V812" s="119"/>
    </row>
    <row r="813" spans="2:22">
      <c r="B813" s="47"/>
      <c r="C813" s="35"/>
      <c r="D813" s="53"/>
      <c r="E813" s="53"/>
      <c r="F813" s="48"/>
      <c r="G813" s="243" t="e">
        <f>INDEX('calcolo base'!$B:$B, MATCH($A813, 'calcolo base'!$A:$A, 0))</f>
        <v>#N/A</v>
      </c>
      <c r="H813" s="54" t="e">
        <f t="shared" si="156"/>
        <v>#N/A</v>
      </c>
      <c r="I813" s="259" t="e">
        <f>IF(  OR(      INDEX('calcolo base'!$D:$D, MATCH($A813, 'calcolo base'!$A:$A, 0)) = 0,
      INDEX('calcolo base'!$D:$D, MATCH($A813, 'calcolo base'!$A:$A, 0)) = ""   ),
   INDEX('calcolo base'!$K:$K, MATCH($A813, 'calcolo base'!$A:$A, 0)),
   INDEX('calcolo base'!$J:$J, MATCH($A813, 'calcolo base'!$A:$A, 0))
) / 1000</f>
        <v>#N/A</v>
      </c>
      <c r="J813" s="50" t="e">
        <f t="shared" si="157"/>
        <v>#N/A</v>
      </c>
      <c r="K813" s="50"/>
      <c r="L813" s="267" t="e">
        <f>INDEX('calcolo base'!$H:$H, MATCH($A813, 'calcolo base'!$A:$A, 0))</f>
        <v>#N/A</v>
      </c>
      <c r="M813" s="50" t="e">
        <f t="shared" si="158"/>
        <v>#N/A</v>
      </c>
      <c r="N813" s="50" t="e">
        <f t="shared" si="159"/>
        <v>#N/A</v>
      </c>
      <c r="O813" s="50" t="e">
        <f t="shared" si="160"/>
        <v>#N/A</v>
      </c>
      <c r="P813" s="50" t="e">
        <f t="shared" si="161"/>
        <v>#N/A</v>
      </c>
      <c r="Q813" s="51" t="e">
        <f t="shared" si="162"/>
        <v>#N/A</v>
      </c>
      <c r="R813" s="205" t="e">
        <f t="shared" si="163"/>
        <v>#N/A</v>
      </c>
      <c r="S813" s="279" t="e">
        <f>IF(R813="si",0,IF(E813="si",0,IF(J813&gt;K813,0,+K813-J813)))+IF('calcolo base'!P2273="SI",('Commissioni De Angeli'!K813-'Commissioni De Angeli'!J813),0)</f>
        <v>#N/A</v>
      </c>
      <c r="T813" s="117" t="e">
        <f t="shared" si="164"/>
        <v>#N/A</v>
      </c>
      <c r="U813" s="272" t="e">
        <f>IF(Q813=0,'calcolo base'!L3412,(T813+Q813))</f>
        <v>#N/A</v>
      </c>
      <c r="V813" s="119"/>
    </row>
    <row r="814" spans="2:22">
      <c r="B814" s="47"/>
      <c r="C814" s="35"/>
      <c r="D814" s="53"/>
      <c r="E814" s="53"/>
      <c r="F814" s="48"/>
      <c r="G814" s="243" t="e">
        <f>INDEX('calcolo base'!$B:$B, MATCH($A814, 'calcolo base'!$A:$A, 0))</f>
        <v>#N/A</v>
      </c>
      <c r="H814" s="54" t="e">
        <f t="shared" si="156"/>
        <v>#N/A</v>
      </c>
      <c r="I814" s="259" t="e">
        <f>IF(  OR(      INDEX('calcolo base'!$D:$D, MATCH($A814, 'calcolo base'!$A:$A, 0)) = 0,
      INDEX('calcolo base'!$D:$D, MATCH($A814, 'calcolo base'!$A:$A, 0)) = ""   ),
   INDEX('calcolo base'!$K:$K, MATCH($A814, 'calcolo base'!$A:$A, 0)),
   INDEX('calcolo base'!$J:$J, MATCH($A814, 'calcolo base'!$A:$A, 0))
) / 1000</f>
        <v>#N/A</v>
      </c>
      <c r="J814" s="50" t="e">
        <f t="shared" si="157"/>
        <v>#N/A</v>
      </c>
      <c r="K814" s="50"/>
      <c r="L814" s="267" t="e">
        <f>INDEX('calcolo base'!$H:$H, MATCH($A814, 'calcolo base'!$A:$A, 0))</f>
        <v>#N/A</v>
      </c>
      <c r="M814" s="50" t="e">
        <f t="shared" si="158"/>
        <v>#N/A</v>
      </c>
      <c r="N814" s="50" t="e">
        <f t="shared" si="159"/>
        <v>#N/A</v>
      </c>
      <c r="O814" s="50" t="e">
        <f t="shared" si="160"/>
        <v>#N/A</v>
      </c>
      <c r="P814" s="50" t="e">
        <f t="shared" si="161"/>
        <v>#N/A</v>
      </c>
      <c r="Q814" s="51" t="e">
        <f t="shared" si="162"/>
        <v>#N/A</v>
      </c>
      <c r="R814" s="205" t="e">
        <f t="shared" si="163"/>
        <v>#N/A</v>
      </c>
      <c r="S814" s="279" t="e">
        <f>IF(R814="si",0,IF(E814="si",0,IF(J814&gt;K814,0,+K814-J814)))+IF('calcolo base'!P2274="SI",('Commissioni De Angeli'!K814-'Commissioni De Angeli'!J814),0)</f>
        <v>#N/A</v>
      </c>
      <c r="T814" s="117" t="e">
        <f t="shared" si="164"/>
        <v>#N/A</v>
      </c>
      <c r="U814" s="272" t="e">
        <f>IF(Q814=0,'calcolo base'!L3413,(T814+Q814))</f>
        <v>#N/A</v>
      </c>
      <c r="V814" s="119"/>
    </row>
    <row r="815" spans="2:22">
      <c r="B815" s="47"/>
      <c r="C815" s="35"/>
      <c r="D815" s="53"/>
      <c r="E815" s="53"/>
      <c r="F815" s="48"/>
      <c r="G815" s="243" t="e">
        <f>INDEX('calcolo base'!$B:$B, MATCH($A815, 'calcolo base'!$A:$A, 0))</f>
        <v>#N/A</v>
      </c>
      <c r="H815" s="54" t="e">
        <f t="shared" si="156"/>
        <v>#N/A</v>
      </c>
      <c r="I815" s="259" t="e">
        <f>IF(  OR(      INDEX('calcolo base'!$D:$D, MATCH($A815, 'calcolo base'!$A:$A, 0)) = 0,
      INDEX('calcolo base'!$D:$D, MATCH($A815, 'calcolo base'!$A:$A, 0)) = ""   ),
   INDEX('calcolo base'!$K:$K, MATCH($A815, 'calcolo base'!$A:$A, 0)),
   INDEX('calcolo base'!$J:$J, MATCH($A815, 'calcolo base'!$A:$A, 0))
) / 1000</f>
        <v>#N/A</v>
      </c>
      <c r="J815" s="50" t="e">
        <f t="shared" si="157"/>
        <v>#N/A</v>
      </c>
      <c r="K815" s="50"/>
      <c r="L815" s="267" t="e">
        <f>INDEX('calcolo base'!$H:$H, MATCH($A815, 'calcolo base'!$A:$A, 0))</f>
        <v>#N/A</v>
      </c>
      <c r="M815" s="50" t="e">
        <f t="shared" si="158"/>
        <v>#N/A</v>
      </c>
      <c r="N815" s="50" t="e">
        <f t="shared" si="159"/>
        <v>#N/A</v>
      </c>
      <c r="O815" s="50" t="e">
        <f t="shared" si="160"/>
        <v>#N/A</v>
      </c>
      <c r="P815" s="50" t="e">
        <f t="shared" si="161"/>
        <v>#N/A</v>
      </c>
      <c r="Q815" s="51" t="e">
        <f t="shared" si="162"/>
        <v>#N/A</v>
      </c>
      <c r="R815" s="205" t="e">
        <f t="shared" si="163"/>
        <v>#N/A</v>
      </c>
      <c r="S815" s="279" t="e">
        <f>IF(R815="si",0,IF(E815="si",0,IF(J815&gt;K815,0,+K815-J815)))+IF('calcolo base'!P2275="SI",('Commissioni De Angeli'!K815-'Commissioni De Angeli'!J815),0)</f>
        <v>#N/A</v>
      </c>
      <c r="T815" s="117" t="e">
        <f t="shared" si="164"/>
        <v>#N/A</v>
      </c>
      <c r="U815" s="272" t="e">
        <f>IF(Q815=0,'calcolo base'!L3414,(T815+Q815))</f>
        <v>#N/A</v>
      </c>
      <c r="V815" s="119"/>
    </row>
    <row r="816" spans="2:22">
      <c r="B816" s="47"/>
      <c r="C816" s="35"/>
      <c r="D816" s="53"/>
      <c r="E816" s="53"/>
      <c r="F816" s="48"/>
      <c r="G816" s="243" t="e">
        <f>INDEX('calcolo base'!$B:$B, MATCH($A816, 'calcolo base'!$A:$A, 0))</f>
        <v>#N/A</v>
      </c>
      <c r="H816" s="54" t="e">
        <f t="shared" si="156"/>
        <v>#N/A</v>
      </c>
      <c r="I816" s="259" t="e">
        <f>IF(  OR(      INDEX('calcolo base'!$D:$D, MATCH($A816, 'calcolo base'!$A:$A, 0)) = 0,
      INDEX('calcolo base'!$D:$D, MATCH($A816, 'calcolo base'!$A:$A, 0)) = ""   ),
   INDEX('calcolo base'!$K:$K, MATCH($A816, 'calcolo base'!$A:$A, 0)),
   INDEX('calcolo base'!$J:$J, MATCH($A816, 'calcolo base'!$A:$A, 0))
) / 1000</f>
        <v>#N/A</v>
      </c>
      <c r="J816" s="50" t="e">
        <f t="shared" si="157"/>
        <v>#N/A</v>
      </c>
      <c r="K816" s="50"/>
      <c r="L816" s="267" t="e">
        <f>INDEX('calcolo base'!$H:$H, MATCH($A816, 'calcolo base'!$A:$A, 0))</f>
        <v>#N/A</v>
      </c>
      <c r="M816" s="50" t="e">
        <f t="shared" si="158"/>
        <v>#N/A</v>
      </c>
      <c r="N816" s="50" t="e">
        <f t="shared" si="159"/>
        <v>#N/A</v>
      </c>
      <c r="O816" s="50" t="e">
        <f t="shared" si="160"/>
        <v>#N/A</v>
      </c>
      <c r="P816" s="50" t="e">
        <f t="shared" si="161"/>
        <v>#N/A</v>
      </c>
      <c r="Q816" s="51" t="e">
        <f t="shared" si="162"/>
        <v>#N/A</v>
      </c>
      <c r="R816" s="205" t="e">
        <f t="shared" si="163"/>
        <v>#N/A</v>
      </c>
      <c r="S816" s="279" t="e">
        <f>IF(R816="si",0,IF(E816="si",0,IF(J816&gt;K816,0,+K816-J816)))+IF('calcolo base'!P2276="SI",('Commissioni De Angeli'!K816-'Commissioni De Angeli'!J816),0)</f>
        <v>#N/A</v>
      </c>
      <c r="T816" s="117" t="e">
        <f t="shared" si="164"/>
        <v>#N/A</v>
      </c>
      <c r="U816" s="272" t="e">
        <f>IF(Q816=0,'calcolo base'!L3415,(T816+Q816))</f>
        <v>#N/A</v>
      </c>
      <c r="V816" s="119"/>
    </row>
    <row r="817" spans="2:22">
      <c r="B817" s="47"/>
      <c r="C817" s="35"/>
      <c r="D817" s="53"/>
      <c r="E817" s="53"/>
      <c r="F817" s="48"/>
      <c r="G817" s="243" t="e">
        <f>INDEX('calcolo base'!$B:$B, MATCH($A817, 'calcolo base'!$A:$A, 0))</f>
        <v>#N/A</v>
      </c>
      <c r="H817" s="54" t="e">
        <f t="shared" si="156"/>
        <v>#N/A</v>
      </c>
      <c r="I817" s="259" t="e">
        <f>IF(  OR(      INDEX('calcolo base'!$D:$D, MATCH($A817, 'calcolo base'!$A:$A, 0)) = 0,
      INDEX('calcolo base'!$D:$D, MATCH($A817, 'calcolo base'!$A:$A, 0)) = ""   ),
   INDEX('calcolo base'!$K:$K, MATCH($A817, 'calcolo base'!$A:$A, 0)),
   INDEX('calcolo base'!$J:$J, MATCH($A817, 'calcolo base'!$A:$A, 0))
) / 1000</f>
        <v>#N/A</v>
      </c>
      <c r="J817" s="50" t="e">
        <f t="shared" si="157"/>
        <v>#N/A</v>
      </c>
      <c r="K817" s="50"/>
      <c r="L817" s="267" t="e">
        <f>INDEX('calcolo base'!$H:$H, MATCH($A817, 'calcolo base'!$A:$A, 0))</f>
        <v>#N/A</v>
      </c>
      <c r="M817" s="50" t="e">
        <f t="shared" si="158"/>
        <v>#N/A</v>
      </c>
      <c r="N817" s="50" t="e">
        <f t="shared" si="159"/>
        <v>#N/A</v>
      </c>
      <c r="O817" s="50" t="e">
        <f t="shared" si="160"/>
        <v>#N/A</v>
      </c>
      <c r="P817" s="50" t="e">
        <f t="shared" si="161"/>
        <v>#N/A</v>
      </c>
      <c r="Q817" s="51" t="e">
        <f t="shared" si="162"/>
        <v>#N/A</v>
      </c>
      <c r="R817" s="205" t="e">
        <f t="shared" si="163"/>
        <v>#N/A</v>
      </c>
      <c r="S817" s="279" t="e">
        <f>IF(R817="si",0,IF(E817="si",0,IF(J817&gt;K817,0,+K817-J817)))+IF('calcolo base'!P2277="SI",('Commissioni De Angeli'!K817-'Commissioni De Angeli'!J817),0)</f>
        <v>#N/A</v>
      </c>
      <c r="T817" s="117" t="e">
        <f t="shared" si="164"/>
        <v>#N/A</v>
      </c>
      <c r="U817" s="272" t="e">
        <f>IF(Q817=0,'calcolo base'!L3416,(T817+Q817))</f>
        <v>#N/A</v>
      </c>
      <c r="V817" s="119"/>
    </row>
    <row r="818" spans="2:22">
      <c r="B818" s="47"/>
      <c r="C818" s="35"/>
      <c r="D818" s="53"/>
      <c r="E818" s="53"/>
      <c r="F818" s="48"/>
      <c r="G818" s="243" t="e">
        <f>INDEX('calcolo base'!$B:$B, MATCH($A818, 'calcolo base'!$A:$A, 0))</f>
        <v>#N/A</v>
      </c>
      <c r="H818" s="54" t="e">
        <f t="shared" si="156"/>
        <v>#N/A</v>
      </c>
      <c r="I818" s="259" t="e">
        <f>IF(  OR(      INDEX('calcolo base'!$D:$D, MATCH($A818, 'calcolo base'!$A:$A, 0)) = 0,
      INDEX('calcolo base'!$D:$D, MATCH($A818, 'calcolo base'!$A:$A, 0)) = ""   ),
   INDEX('calcolo base'!$K:$K, MATCH($A818, 'calcolo base'!$A:$A, 0)),
   INDEX('calcolo base'!$J:$J, MATCH($A818, 'calcolo base'!$A:$A, 0))
) / 1000</f>
        <v>#N/A</v>
      </c>
      <c r="J818" s="50" t="e">
        <f t="shared" si="157"/>
        <v>#N/A</v>
      </c>
      <c r="K818" s="50"/>
      <c r="L818" s="267" t="e">
        <f>INDEX('calcolo base'!$H:$H, MATCH($A818, 'calcolo base'!$A:$A, 0))</f>
        <v>#N/A</v>
      </c>
      <c r="M818" s="50" t="e">
        <f t="shared" si="158"/>
        <v>#N/A</v>
      </c>
      <c r="N818" s="50" t="e">
        <f t="shared" si="159"/>
        <v>#N/A</v>
      </c>
      <c r="O818" s="50" t="e">
        <f t="shared" si="160"/>
        <v>#N/A</v>
      </c>
      <c r="P818" s="50" t="e">
        <f t="shared" si="161"/>
        <v>#N/A</v>
      </c>
      <c r="Q818" s="51" t="e">
        <f t="shared" si="162"/>
        <v>#N/A</v>
      </c>
      <c r="R818" s="205" t="e">
        <f t="shared" si="163"/>
        <v>#N/A</v>
      </c>
      <c r="S818" s="279" t="e">
        <f>IF(R818="si",0,IF(E818="si",0,IF(J818&gt;K818,0,+K818-J818)))+IF('calcolo base'!P2278="SI",('Commissioni De Angeli'!K818-'Commissioni De Angeli'!J818),0)</f>
        <v>#N/A</v>
      </c>
      <c r="T818" s="117" t="e">
        <f t="shared" si="164"/>
        <v>#N/A</v>
      </c>
      <c r="U818" s="272" t="e">
        <f>IF(Q818=0,'calcolo base'!L3417,(T818+Q818))</f>
        <v>#N/A</v>
      </c>
      <c r="V818" s="119"/>
    </row>
    <row r="819" spans="2:22">
      <c r="B819" s="47"/>
      <c r="C819" s="35"/>
      <c r="D819" s="53"/>
      <c r="E819" s="53"/>
      <c r="F819" s="48"/>
      <c r="G819" s="243" t="e">
        <f>INDEX('calcolo base'!$B:$B, MATCH($A819, 'calcolo base'!$A:$A, 0))</f>
        <v>#N/A</v>
      </c>
      <c r="H819" s="54" t="e">
        <f t="shared" si="156"/>
        <v>#N/A</v>
      </c>
      <c r="I819" s="259" t="e">
        <f>IF(  OR(      INDEX('calcolo base'!$D:$D, MATCH($A819, 'calcolo base'!$A:$A, 0)) = 0,
      INDEX('calcolo base'!$D:$D, MATCH($A819, 'calcolo base'!$A:$A, 0)) = ""   ),
   INDEX('calcolo base'!$K:$K, MATCH($A819, 'calcolo base'!$A:$A, 0)),
   INDEX('calcolo base'!$J:$J, MATCH($A819, 'calcolo base'!$A:$A, 0))
) / 1000</f>
        <v>#N/A</v>
      </c>
      <c r="J819" s="50" t="e">
        <f t="shared" si="157"/>
        <v>#N/A</v>
      </c>
      <c r="K819" s="50"/>
      <c r="L819" s="267" t="e">
        <f>INDEX('calcolo base'!$H:$H, MATCH($A819, 'calcolo base'!$A:$A, 0))</f>
        <v>#N/A</v>
      </c>
      <c r="M819" s="50" t="e">
        <f t="shared" si="158"/>
        <v>#N/A</v>
      </c>
      <c r="N819" s="50" t="e">
        <f t="shared" si="159"/>
        <v>#N/A</v>
      </c>
      <c r="O819" s="50" t="e">
        <f t="shared" si="160"/>
        <v>#N/A</v>
      </c>
      <c r="P819" s="50" t="e">
        <f t="shared" si="161"/>
        <v>#N/A</v>
      </c>
      <c r="Q819" s="51" t="e">
        <f t="shared" si="162"/>
        <v>#N/A</v>
      </c>
      <c r="R819" s="205" t="e">
        <f t="shared" si="163"/>
        <v>#N/A</v>
      </c>
      <c r="S819" s="279" t="e">
        <f>IF(R819="si",0,IF(E819="si",0,IF(J819&gt;K819,0,+K819-J819)))+IF('calcolo base'!P2279="SI",('Commissioni De Angeli'!K819-'Commissioni De Angeli'!J819),0)</f>
        <v>#N/A</v>
      </c>
      <c r="T819" s="117" t="e">
        <f t="shared" si="164"/>
        <v>#N/A</v>
      </c>
      <c r="U819" s="272" t="e">
        <f>IF(Q819=0,'calcolo base'!L3418,(T819+Q819))</f>
        <v>#N/A</v>
      </c>
      <c r="V819" s="119"/>
    </row>
    <row r="820" spans="2:22">
      <c r="B820" s="47"/>
      <c r="C820" s="35"/>
      <c r="D820" s="53"/>
      <c r="E820" s="53"/>
      <c r="F820" s="48"/>
      <c r="G820" s="243" t="e">
        <f>INDEX('calcolo base'!$B:$B, MATCH($A820, 'calcolo base'!$A:$A, 0))</f>
        <v>#N/A</v>
      </c>
      <c r="H820" s="54" t="e">
        <f t="shared" si="156"/>
        <v>#N/A</v>
      </c>
      <c r="I820" s="259" t="e">
        <f>IF(  OR(      INDEX('calcolo base'!$D:$D, MATCH($A820, 'calcolo base'!$A:$A, 0)) = 0,
      INDEX('calcolo base'!$D:$D, MATCH($A820, 'calcolo base'!$A:$A, 0)) = ""   ),
   INDEX('calcolo base'!$K:$K, MATCH($A820, 'calcolo base'!$A:$A, 0)),
   INDEX('calcolo base'!$J:$J, MATCH($A820, 'calcolo base'!$A:$A, 0))
) / 1000</f>
        <v>#N/A</v>
      </c>
      <c r="J820" s="50" t="e">
        <f t="shared" si="157"/>
        <v>#N/A</v>
      </c>
      <c r="K820" s="50"/>
      <c r="L820" s="267" t="e">
        <f>INDEX('calcolo base'!$H:$H, MATCH($A820, 'calcolo base'!$A:$A, 0))</f>
        <v>#N/A</v>
      </c>
      <c r="M820" s="50" t="e">
        <f t="shared" si="158"/>
        <v>#N/A</v>
      </c>
      <c r="N820" s="50" t="e">
        <f t="shared" si="159"/>
        <v>#N/A</v>
      </c>
      <c r="O820" s="50" t="e">
        <f t="shared" si="160"/>
        <v>#N/A</v>
      </c>
      <c r="P820" s="50" t="e">
        <f t="shared" si="161"/>
        <v>#N/A</v>
      </c>
      <c r="Q820" s="51" t="e">
        <f t="shared" si="162"/>
        <v>#N/A</v>
      </c>
      <c r="R820" s="205" t="e">
        <f t="shared" si="163"/>
        <v>#N/A</v>
      </c>
      <c r="S820" s="279" t="e">
        <f>IF(R820="si",0,IF(E820="si",0,IF(J820&gt;K820,0,+K820-J820)))+IF('calcolo base'!P2280="SI",('Commissioni De Angeli'!K820-'Commissioni De Angeli'!J820),0)</f>
        <v>#N/A</v>
      </c>
      <c r="T820" s="117" t="e">
        <f t="shared" si="164"/>
        <v>#N/A</v>
      </c>
      <c r="U820" s="272" t="e">
        <f>IF(Q820=0,'calcolo base'!L3419,(T820+Q820))</f>
        <v>#N/A</v>
      </c>
      <c r="V820" s="119"/>
    </row>
    <row r="821" spans="2:22">
      <c r="B821" s="47"/>
      <c r="C821" s="35"/>
      <c r="D821" s="53"/>
      <c r="E821" s="53"/>
      <c r="F821" s="48"/>
      <c r="G821" s="243" t="e">
        <f>INDEX('calcolo base'!$B:$B, MATCH($A821, 'calcolo base'!$A:$A, 0))</f>
        <v>#N/A</v>
      </c>
      <c r="H821" s="54" t="e">
        <f t="shared" si="156"/>
        <v>#N/A</v>
      </c>
      <c r="I821" s="259" t="e">
        <f>IF(  OR(      INDEX('calcolo base'!$D:$D, MATCH($A821, 'calcolo base'!$A:$A, 0)) = 0,
      INDEX('calcolo base'!$D:$D, MATCH($A821, 'calcolo base'!$A:$A, 0)) = ""   ),
   INDEX('calcolo base'!$K:$K, MATCH($A821, 'calcolo base'!$A:$A, 0)),
   INDEX('calcolo base'!$J:$J, MATCH($A821, 'calcolo base'!$A:$A, 0))
) / 1000</f>
        <v>#N/A</v>
      </c>
      <c r="J821" s="50" t="e">
        <f t="shared" si="157"/>
        <v>#N/A</v>
      </c>
      <c r="K821" s="50"/>
      <c r="L821" s="267" t="e">
        <f>INDEX('calcolo base'!$H:$H, MATCH($A821, 'calcolo base'!$A:$A, 0))</f>
        <v>#N/A</v>
      </c>
      <c r="M821" s="50" t="e">
        <f t="shared" si="158"/>
        <v>#N/A</v>
      </c>
      <c r="N821" s="50" t="e">
        <f t="shared" si="159"/>
        <v>#N/A</v>
      </c>
      <c r="O821" s="50" t="e">
        <f t="shared" si="160"/>
        <v>#N/A</v>
      </c>
      <c r="P821" s="50" t="e">
        <f t="shared" si="161"/>
        <v>#N/A</v>
      </c>
      <c r="Q821" s="51" t="e">
        <f t="shared" si="162"/>
        <v>#N/A</v>
      </c>
      <c r="R821" s="205" t="e">
        <f t="shared" si="163"/>
        <v>#N/A</v>
      </c>
      <c r="S821" s="279" t="e">
        <f>IF(R821="si",0,IF(E821="si",0,IF(J821&gt;K821,0,+K821-J821)))+IF('calcolo base'!P2281="SI",('Commissioni De Angeli'!K821-'Commissioni De Angeli'!J821),0)</f>
        <v>#N/A</v>
      </c>
      <c r="T821" s="117" t="e">
        <f t="shared" si="164"/>
        <v>#N/A</v>
      </c>
      <c r="U821" s="272" t="e">
        <f>IF(Q821=0,'calcolo base'!L3420,(T821+Q821))</f>
        <v>#N/A</v>
      </c>
      <c r="V821" s="119"/>
    </row>
    <row r="822" spans="2:22">
      <c r="B822" s="47"/>
      <c r="C822" s="35"/>
      <c r="D822" s="53"/>
      <c r="E822" s="53"/>
      <c r="F822" s="48"/>
      <c r="G822" s="243" t="e">
        <f>INDEX('calcolo base'!$B:$B, MATCH($A822, 'calcolo base'!$A:$A, 0))</f>
        <v>#N/A</v>
      </c>
      <c r="H822" s="54" t="e">
        <f t="shared" si="156"/>
        <v>#N/A</v>
      </c>
      <c r="I822" s="259" t="e">
        <f>IF(  OR(      INDEX('calcolo base'!$D:$D, MATCH($A822, 'calcolo base'!$A:$A, 0)) = 0,
      INDEX('calcolo base'!$D:$D, MATCH($A822, 'calcolo base'!$A:$A, 0)) = ""   ),
   INDEX('calcolo base'!$K:$K, MATCH($A822, 'calcolo base'!$A:$A, 0)),
   INDEX('calcolo base'!$J:$J, MATCH($A822, 'calcolo base'!$A:$A, 0))
) / 1000</f>
        <v>#N/A</v>
      </c>
      <c r="J822" s="50" t="e">
        <f t="shared" si="157"/>
        <v>#N/A</v>
      </c>
      <c r="K822" s="50"/>
      <c r="L822" s="267" t="e">
        <f>INDEX('calcolo base'!$H:$H, MATCH($A822, 'calcolo base'!$A:$A, 0))</f>
        <v>#N/A</v>
      </c>
      <c r="M822" s="50" t="e">
        <f t="shared" si="158"/>
        <v>#N/A</v>
      </c>
      <c r="N822" s="50" t="e">
        <f t="shared" si="159"/>
        <v>#N/A</v>
      </c>
      <c r="O822" s="50" t="e">
        <f t="shared" si="160"/>
        <v>#N/A</v>
      </c>
      <c r="P822" s="50" t="e">
        <f t="shared" si="161"/>
        <v>#N/A</v>
      </c>
      <c r="Q822" s="51" t="e">
        <f t="shared" si="162"/>
        <v>#N/A</v>
      </c>
      <c r="R822" s="205" t="e">
        <f t="shared" si="163"/>
        <v>#N/A</v>
      </c>
      <c r="S822" s="279" t="e">
        <f>IF(R822="si",0,IF(E822="si",0,IF(J822&gt;K822,0,+K822-J822)))+IF('calcolo base'!P2282="SI",('Commissioni De Angeli'!K822-'Commissioni De Angeli'!J822),0)</f>
        <v>#N/A</v>
      </c>
      <c r="T822" s="117" t="e">
        <f t="shared" si="164"/>
        <v>#N/A</v>
      </c>
      <c r="U822" s="272" t="e">
        <f>IF(Q822=0,'calcolo base'!L3421,(T822+Q822))</f>
        <v>#N/A</v>
      </c>
      <c r="V822" s="119"/>
    </row>
    <row r="823" spans="2:22">
      <c r="B823" s="47"/>
      <c r="C823" s="35"/>
      <c r="D823" s="53"/>
      <c r="E823" s="53"/>
      <c r="F823" s="48"/>
      <c r="G823" s="243" t="e">
        <f>INDEX('calcolo base'!$B:$B, MATCH($A823, 'calcolo base'!$A:$A, 0))</f>
        <v>#N/A</v>
      </c>
      <c r="H823" s="54" t="e">
        <f t="shared" si="156"/>
        <v>#N/A</v>
      </c>
      <c r="I823" s="259" t="e">
        <f>IF(  OR(      INDEX('calcolo base'!$D:$D, MATCH($A823, 'calcolo base'!$A:$A, 0)) = 0,
      INDEX('calcolo base'!$D:$D, MATCH($A823, 'calcolo base'!$A:$A, 0)) = ""   ),
   INDEX('calcolo base'!$K:$K, MATCH($A823, 'calcolo base'!$A:$A, 0)),
   INDEX('calcolo base'!$J:$J, MATCH($A823, 'calcolo base'!$A:$A, 0))
) / 1000</f>
        <v>#N/A</v>
      </c>
      <c r="J823" s="50" t="e">
        <f t="shared" si="157"/>
        <v>#N/A</v>
      </c>
      <c r="K823" s="50"/>
      <c r="L823" s="267" t="e">
        <f>INDEX('calcolo base'!$H:$H, MATCH($A823, 'calcolo base'!$A:$A, 0))</f>
        <v>#N/A</v>
      </c>
      <c r="M823" s="50" t="e">
        <f t="shared" si="158"/>
        <v>#N/A</v>
      </c>
      <c r="N823" s="50" t="e">
        <f t="shared" si="159"/>
        <v>#N/A</v>
      </c>
      <c r="O823" s="50" t="e">
        <f t="shared" si="160"/>
        <v>#N/A</v>
      </c>
      <c r="P823" s="50" t="e">
        <f t="shared" si="161"/>
        <v>#N/A</v>
      </c>
      <c r="Q823" s="51" t="e">
        <f t="shared" si="162"/>
        <v>#N/A</v>
      </c>
      <c r="R823" s="205" t="e">
        <f t="shared" si="163"/>
        <v>#N/A</v>
      </c>
      <c r="S823" s="279" t="e">
        <f>IF(R823="si",0,IF(E823="si",0,IF(J823&gt;K823,0,+K823-J823)))+IF('calcolo base'!P2283="SI",('Commissioni De Angeli'!K823-'Commissioni De Angeli'!J823),0)</f>
        <v>#N/A</v>
      </c>
      <c r="T823" s="117" t="e">
        <f t="shared" si="164"/>
        <v>#N/A</v>
      </c>
      <c r="U823" s="272" t="e">
        <f>IF(Q823=0,'calcolo base'!L3422,(T823+Q823))</f>
        <v>#N/A</v>
      </c>
      <c r="V823" s="119"/>
    </row>
    <row r="824" spans="2:22">
      <c r="B824" s="47"/>
      <c r="C824" s="35"/>
      <c r="D824" s="53"/>
      <c r="E824" s="53"/>
      <c r="F824" s="48"/>
      <c r="G824" s="243" t="e">
        <f>INDEX('calcolo base'!$B:$B, MATCH($A824, 'calcolo base'!$A:$A, 0))</f>
        <v>#N/A</v>
      </c>
      <c r="H824" s="54" t="e">
        <f t="shared" si="156"/>
        <v>#N/A</v>
      </c>
      <c r="I824" s="259" t="e">
        <f>IF(  OR(      INDEX('calcolo base'!$D:$D, MATCH($A824, 'calcolo base'!$A:$A, 0)) = 0,
      INDEX('calcolo base'!$D:$D, MATCH($A824, 'calcolo base'!$A:$A, 0)) = ""   ),
   INDEX('calcolo base'!$K:$K, MATCH($A824, 'calcolo base'!$A:$A, 0)),
   INDEX('calcolo base'!$J:$J, MATCH($A824, 'calcolo base'!$A:$A, 0))
) / 1000</f>
        <v>#N/A</v>
      </c>
      <c r="J824" s="50" t="e">
        <f t="shared" si="157"/>
        <v>#N/A</v>
      </c>
      <c r="K824" s="50"/>
      <c r="L824" s="267" t="e">
        <f>INDEX('calcolo base'!$H:$H, MATCH($A824, 'calcolo base'!$A:$A, 0))</f>
        <v>#N/A</v>
      </c>
      <c r="M824" s="50" t="e">
        <f t="shared" si="158"/>
        <v>#N/A</v>
      </c>
      <c r="N824" s="50" t="e">
        <f t="shared" si="159"/>
        <v>#N/A</v>
      </c>
      <c r="O824" s="50" t="e">
        <f t="shared" si="160"/>
        <v>#N/A</v>
      </c>
      <c r="P824" s="50" t="e">
        <f t="shared" si="161"/>
        <v>#N/A</v>
      </c>
      <c r="Q824" s="51" t="e">
        <f t="shared" si="162"/>
        <v>#N/A</v>
      </c>
      <c r="R824" s="205" t="e">
        <f t="shared" si="163"/>
        <v>#N/A</v>
      </c>
      <c r="S824" s="279" t="e">
        <f>IF(R824="si",0,IF(E824="si",0,IF(J824&gt;K824,0,+K824-J824)))+IF('calcolo base'!P2284="SI",('Commissioni De Angeli'!K824-'Commissioni De Angeli'!J824),0)</f>
        <v>#N/A</v>
      </c>
      <c r="T824" s="117" t="e">
        <f t="shared" si="164"/>
        <v>#N/A</v>
      </c>
      <c r="U824" s="272" t="e">
        <f>IF(Q824=0,'calcolo base'!L3423,(T824+Q824))</f>
        <v>#N/A</v>
      </c>
      <c r="V824" s="119"/>
    </row>
    <row r="825" spans="2:22">
      <c r="B825" s="47"/>
      <c r="C825" s="35"/>
      <c r="D825" s="53"/>
      <c r="E825" s="53"/>
      <c r="F825" s="48"/>
      <c r="G825" s="243" t="e">
        <f>INDEX('calcolo base'!$B:$B, MATCH($A825, 'calcolo base'!$A:$A, 0))</f>
        <v>#N/A</v>
      </c>
      <c r="H825" s="54" t="e">
        <f t="shared" si="156"/>
        <v>#N/A</v>
      </c>
      <c r="I825" s="259" t="e">
        <f>IF(  OR(      INDEX('calcolo base'!$D:$D, MATCH($A825, 'calcolo base'!$A:$A, 0)) = 0,
      INDEX('calcolo base'!$D:$D, MATCH($A825, 'calcolo base'!$A:$A, 0)) = ""   ),
   INDEX('calcolo base'!$K:$K, MATCH($A825, 'calcolo base'!$A:$A, 0)),
   INDEX('calcolo base'!$J:$J, MATCH($A825, 'calcolo base'!$A:$A, 0))
) / 1000</f>
        <v>#N/A</v>
      </c>
      <c r="J825" s="50" t="e">
        <f t="shared" si="157"/>
        <v>#N/A</v>
      </c>
      <c r="K825" s="50"/>
      <c r="L825" s="267" t="e">
        <f>INDEX('calcolo base'!$H:$H, MATCH($A825, 'calcolo base'!$A:$A, 0))</f>
        <v>#N/A</v>
      </c>
      <c r="M825" s="50" t="e">
        <f t="shared" si="158"/>
        <v>#N/A</v>
      </c>
      <c r="N825" s="50" t="e">
        <f t="shared" si="159"/>
        <v>#N/A</v>
      </c>
      <c r="O825" s="50" t="e">
        <f t="shared" si="160"/>
        <v>#N/A</v>
      </c>
      <c r="P825" s="50" t="e">
        <f t="shared" si="161"/>
        <v>#N/A</v>
      </c>
      <c r="Q825" s="51" t="e">
        <f t="shared" si="162"/>
        <v>#N/A</v>
      </c>
      <c r="R825" s="205" t="e">
        <f t="shared" si="163"/>
        <v>#N/A</v>
      </c>
      <c r="S825" s="279" t="e">
        <f>IF(R825="si",0,IF(E825="si",0,IF(J825&gt;K825,0,+K825-J825)))+IF('calcolo base'!P2285="SI",('Commissioni De Angeli'!K825-'Commissioni De Angeli'!J825),0)</f>
        <v>#N/A</v>
      </c>
      <c r="T825" s="117" t="e">
        <f t="shared" si="164"/>
        <v>#N/A</v>
      </c>
      <c r="U825" s="272" t="e">
        <f>IF(Q825=0,'calcolo base'!L3424,(T825+Q825))</f>
        <v>#N/A</v>
      </c>
      <c r="V825" s="119"/>
    </row>
    <row r="826" spans="2:22">
      <c r="B826" s="47"/>
      <c r="C826" s="35"/>
      <c r="D826" s="53"/>
      <c r="E826" s="53"/>
      <c r="F826" s="48"/>
      <c r="G826" s="243" t="e">
        <f>INDEX('calcolo base'!$B:$B, MATCH($A826, 'calcolo base'!$A:$A, 0))</f>
        <v>#N/A</v>
      </c>
      <c r="H826" s="54" t="e">
        <f t="shared" si="156"/>
        <v>#N/A</v>
      </c>
      <c r="I826" s="259" t="e">
        <f>IF(  OR(      INDEX('calcolo base'!$D:$D, MATCH($A826, 'calcolo base'!$A:$A, 0)) = 0,
      INDEX('calcolo base'!$D:$D, MATCH($A826, 'calcolo base'!$A:$A, 0)) = ""   ),
   INDEX('calcolo base'!$K:$K, MATCH($A826, 'calcolo base'!$A:$A, 0)),
   INDEX('calcolo base'!$J:$J, MATCH($A826, 'calcolo base'!$A:$A, 0))
) / 1000</f>
        <v>#N/A</v>
      </c>
      <c r="J826" s="50" t="e">
        <f t="shared" si="157"/>
        <v>#N/A</v>
      </c>
      <c r="K826" s="50"/>
      <c r="L826" s="267" t="e">
        <f>INDEX('calcolo base'!$H:$H, MATCH($A826, 'calcolo base'!$A:$A, 0))</f>
        <v>#N/A</v>
      </c>
      <c r="M826" s="50" t="e">
        <f t="shared" si="158"/>
        <v>#N/A</v>
      </c>
      <c r="N826" s="50" t="e">
        <f t="shared" si="159"/>
        <v>#N/A</v>
      </c>
      <c r="O826" s="50" t="e">
        <f t="shared" si="160"/>
        <v>#N/A</v>
      </c>
      <c r="P826" s="50" t="e">
        <f t="shared" si="161"/>
        <v>#N/A</v>
      </c>
      <c r="Q826" s="51" t="e">
        <f t="shared" si="162"/>
        <v>#N/A</v>
      </c>
      <c r="R826" s="205" t="e">
        <f t="shared" si="163"/>
        <v>#N/A</v>
      </c>
      <c r="S826" s="279" t="e">
        <f>IF(R826="si",0,IF(E826="si",0,IF(J826&gt;K826,0,+K826-J826)))+IF('calcolo base'!P2286="SI",('Commissioni De Angeli'!K826-'Commissioni De Angeli'!J826),0)</f>
        <v>#N/A</v>
      </c>
      <c r="T826" s="117" t="e">
        <f t="shared" si="164"/>
        <v>#N/A</v>
      </c>
      <c r="U826" s="272" t="e">
        <f>IF(Q826=0,'calcolo base'!L3425,(T826+Q826))</f>
        <v>#N/A</v>
      </c>
      <c r="V826" s="119"/>
    </row>
    <row r="827" spans="2:22">
      <c r="B827" s="47"/>
      <c r="C827" s="35"/>
      <c r="D827" s="53"/>
      <c r="E827" s="53"/>
      <c r="F827" s="48"/>
      <c r="G827" s="243" t="e">
        <f>INDEX('calcolo base'!$B:$B, MATCH($A827, 'calcolo base'!$A:$A, 0))</f>
        <v>#N/A</v>
      </c>
      <c r="H827" s="54" t="e">
        <f t="shared" si="156"/>
        <v>#N/A</v>
      </c>
      <c r="I827" s="259" t="e">
        <f>IF(  OR(      INDEX('calcolo base'!$D:$D, MATCH($A827, 'calcolo base'!$A:$A, 0)) = 0,
      INDEX('calcolo base'!$D:$D, MATCH($A827, 'calcolo base'!$A:$A, 0)) = ""   ),
   INDEX('calcolo base'!$K:$K, MATCH($A827, 'calcolo base'!$A:$A, 0)),
   INDEX('calcolo base'!$J:$J, MATCH($A827, 'calcolo base'!$A:$A, 0))
) / 1000</f>
        <v>#N/A</v>
      </c>
      <c r="J827" s="50" t="e">
        <f t="shared" si="157"/>
        <v>#N/A</v>
      </c>
      <c r="K827" s="50"/>
      <c r="L827" s="267" t="e">
        <f>INDEX('calcolo base'!$H:$H, MATCH($A827, 'calcolo base'!$A:$A, 0))</f>
        <v>#N/A</v>
      </c>
      <c r="M827" s="50" t="e">
        <f t="shared" si="158"/>
        <v>#N/A</v>
      </c>
      <c r="N827" s="50" t="e">
        <f t="shared" si="159"/>
        <v>#N/A</v>
      </c>
      <c r="O827" s="50" t="e">
        <f t="shared" si="160"/>
        <v>#N/A</v>
      </c>
      <c r="P827" s="50" t="e">
        <f t="shared" si="161"/>
        <v>#N/A</v>
      </c>
      <c r="Q827" s="51" t="e">
        <f t="shared" si="162"/>
        <v>#N/A</v>
      </c>
      <c r="R827" s="205" t="e">
        <f t="shared" si="163"/>
        <v>#N/A</v>
      </c>
      <c r="S827" s="279" t="e">
        <f>IF(R827="si",0,IF(E827="si",0,IF(J827&gt;K827,0,+K827-J827)))+IF('calcolo base'!P2287="SI",('Commissioni De Angeli'!K827-'Commissioni De Angeli'!J827),0)</f>
        <v>#N/A</v>
      </c>
      <c r="T827" s="117" t="e">
        <f t="shared" si="164"/>
        <v>#N/A</v>
      </c>
      <c r="U827" s="272" t="e">
        <f>IF(Q827=0,'calcolo base'!L3426,(T827+Q827))</f>
        <v>#N/A</v>
      </c>
      <c r="V827" s="119"/>
    </row>
    <row r="828" spans="2:22">
      <c r="B828" s="47"/>
      <c r="C828" s="35"/>
      <c r="D828" s="53"/>
      <c r="E828" s="53"/>
      <c r="F828" s="48"/>
      <c r="G828" s="243" t="e">
        <f>INDEX('calcolo base'!$B:$B, MATCH($A828, 'calcolo base'!$A:$A, 0))</f>
        <v>#N/A</v>
      </c>
      <c r="H828" s="54" t="e">
        <f t="shared" si="156"/>
        <v>#N/A</v>
      </c>
      <c r="I828" s="259" t="e">
        <f>IF(  OR(      INDEX('calcolo base'!$D:$D, MATCH($A828, 'calcolo base'!$A:$A, 0)) = 0,
      INDEX('calcolo base'!$D:$D, MATCH($A828, 'calcolo base'!$A:$A, 0)) = ""   ),
   INDEX('calcolo base'!$K:$K, MATCH($A828, 'calcolo base'!$A:$A, 0)),
   INDEX('calcolo base'!$J:$J, MATCH($A828, 'calcolo base'!$A:$A, 0))
) / 1000</f>
        <v>#N/A</v>
      </c>
      <c r="J828" s="50" t="e">
        <f t="shared" si="157"/>
        <v>#N/A</v>
      </c>
      <c r="K828" s="50"/>
      <c r="L828" s="267" t="e">
        <f>INDEX('calcolo base'!$H:$H, MATCH($A828, 'calcolo base'!$A:$A, 0))</f>
        <v>#N/A</v>
      </c>
      <c r="M828" s="50" t="e">
        <f t="shared" si="158"/>
        <v>#N/A</v>
      </c>
      <c r="N828" s="50" t="e">
        <f t="shared" si="159"/>
        <v>#N/A</v>
      </c>
      <c r="O828" s="50" t="e">
        <f t="shared" si="160"/>
        <v>#N/A</v>
      </c>
      <c r="P828" s="50" t="e">
        <f t="shared" si="161"/>
        <v>#N/A</v>
      </c>
      <c r="Q828" s="51" t="e">
        <f t="shared" si="162"/>
        <v>#N/A</v>
      </c>
      <c r="R828" s="205" t="e">
        <f t="shared" si="163"/>
        <v>#N/A</v>
      </c>
      <c r="S828" s="279" t="e">
        <f>IF(R828="si",0,IF(E828="si",0,IF(J828&gt;K828,0,+K828-J828)))+IF('calcolo base'!P2288="SI",('Commissioni De Angeli'!K828-'Commissioni De Angeli'!J828),0)</f>
        <v>#N/A</v>
      </c>
      <c r="T828" s="117" t="e">
        <f t="shared" si="164"/>
        <v>#N/A</v>
      </c>
      <c r="U828" s="272" t="e">
        <f>IF(Q828=0,'calcolo base'!L3427,(T828+Q828))</f>
        <v>#N/A</v>
      </c>
      <c r="V828" s="119"/>
    </row>
    <row r="829" spans="2:22">
      <c r="B829" s="47"/>
      <c r="C829" s="35"/>
      <c r="D829" s="53"/>
      <c r="E829" s="53"/>
      <c r="F829" s="48"/>
      <c r="G829" s="243" t="e">
        <f>INDEX('calcolo base'!$B:$B, MATCH($A829, 'calcolo base'!$A:$A, 0))</f>
        <v>#N/A</v>
      </c>
      <c r="H829" s="54" t="e">
        <f t="shared" si="156"/>
        <v>#N/A</v>
      </c>
      <c r="I829" s="259" t="e">
        <f>IF(  OR(      INDEX('calcolo base'!$D:$D, MATCH($A829, 'calcolo base'!$A:$A, 0)) = 0,
      INDEX('calcolo base'!$D:$D, MATCH($A829, 'calcolo base'!$A:$A, 0)) = ""   ),
   INDEX('calcolo base'!$K:$K, MATCH($A829, 'calcolo base'!$A:$A, 0)),
   INDEX('calcolo base'!$J:$J, MATCH($A829, 'calcolo base'!$A:$A, 0))
) / 1000</f>
        <v>#N/A</v>
      </c>
      <c r="J829" s="50" t="e">
        <f t="shared" si="157"/>
        <v>#N/A</v>
      </c>
      <c r="K829" s="50"/>
      <c r="L829" s="267" t="e">
        <f>INDEX('calcolo base'!$H:$H, MATCH($A829, 'calcolo base'!$A:$A, 0))</f>
        <v>#N/A</v>
      </c>
      <c r="M829" s="50" t="e">
        <f t="shared" si="158"/>
        <v>#N/A</v>
      </c>
      <c r="N829" s="50" t="e">
        <f t="shared" si="159"/>
        <v>#N/A</v>
      </c>
      <c r="O829" s="50" t="e">
        <f t="shared" si="160"/>
        <v>#N/A</v>
      </c>
      <c r="P829" s="50" t="e">
        <f t="shared" si="161"/>
        <v>#N/A</v>
      </c>
      <c r="Q829" s="51" t="e">
        <f t="shared" si="162"/>
        <v>#N/A</v>
      </c>
      <c r="R829" s="205" t="e">
        <f t="shared" si="163"/>
        <v>#N/A</v>
      </c>
      <c r="S829" s="279" t="e">
        <f>IF(R829="si",0,IF(E829="si",0,IF(J829&gt;K829,0,+K829-J829)))+IF('calcolo base'!P2289="SI",('Commissioni De Angeli'!K829-'Commissioni De Angeli'!J829),0)</f>
        <v>#N/A</v>
      </c>
      <c r="T829" s="117" t="e">
        <f t="shared" si="164"/>
        <v>#N/A</v>
      </c>
      <c r="U829" s="272" t="e">
        <f>IF(Q829=0,'calcolo base'!L3428,(T829+Q829))</f>
        <v>#N/A</v>
      </c>
      <c r="V829" s="119"/>
    </row>
    <row r="830" spans="2:22">
      <c r="B830" s="47"/>
      <c r="C830" s="35"/>
      <c r="D830" s="53"/>
      <c r="E830" s="53"/>
      <c r="F830" s="48"/>
      <c r="G830" s="243" t="e">
        <f>INDEX('calcolo base'!$B:$B, MATCH($A830, 'calcolo base'!$A:$A, 0))</f>
        <v>#N/A</v>
      </c>
      <c r="H830" s="54" t="e">
        <f t="shared" si="156"/>
        <v>#N/A</v>
      </c>
      <c r="I830" s="259" t="e">
        <f>IF(  OR(      INDEX('calcolo base'!$D:$D, MATCH($A830, 'calcolo base'!$A:$A, 0)) = 0,
      INDEX('calcolo base'!$D:$D, MATCH($A830, 'calcolo base'!$A:$A, 0)) = ""   ),
   INDEX('calcolo base'!$K:$K, MATCH($A830, 'calcolo base'!$A:$A, 0)),
   INDEX('calcolo base'!$J:$J, MATCH($A830, 'calcolo base'!$A:$A, 0))
) / 1000</f>
        <v>#N/A</v>
      </c>
      <c r="J830" s="50" t="e">
        <f t="shared" si="157"/>
        <v>#N/A</v>
      </c>
      <c r="K830" s="50"/>
      <c r="L830" s="267" t="e">
        <f>INDEX('calcolo base'!$H:$H, MATCH($A830, 'calcolo base'!$A:$A, 0))</f>
        <v>#N/A</v>
      </c>
      <c r="M830" s="50" t="e">
        <f t="shared" si="158"/>
        <v>#N/A</v>
      </c>
      <c r="N830" s="50" t="e">
        <f t="shared" si="159"/>
        <v>#N/A</v>
      </c>
      <c r="O830" s="50" t="e">
        <f t="shared" si="160"/>
        <v>#N/A</v>
      </c>
      <c r="P830" s="50" t="e">
        <f t="shared" si="161"/>
        <v>#N/A</v>
      </c>
      <c r="Q830" s="51" t="e">
        <f t="shared" si="162"/>
        <v>#N/A</v>
      </c>
      <c r="R830" s="205" t="e">
        <f t="shared" si="163"/>
        <v>#N/A</v>
      </c>
      <c r="S830" s="279" t="e">
        <f>IF(R830="si",0,IF(E830="si",0,IF(J830&gt;K830,0,+K830-J830)))+IF('calcolo base'!P2290="SI",('Commissioni De Angeli'!K830-'Commissioni De Angeli'!J830),0)</f>
        <v>#N/A</v>
      </c>
      <c r="T830" s="117" t="e">
        <f t="shared" si="164"/>
        <v>#N/A</v>
      </c>
      <c r="U830" s="272" t="e">
        <f>IF(Q830=0,'calcolo base'!L3429,(T830+Q830))</f>
        <v>#N/A</v>
      </c>
      <c r="V830" s="119"/>
    </row>
    <row r="831" spans="2:22">
      <c r="B831" s="47"/>
      <c r="C831" s="35"/>
      <c r="D831" s="53"/>
      <c r="E831" s="53"/>
      <c r="F831" s="48"/>
      <c r="G831" s="243" t="e">
        <f>INDEX('calcolo base'!$B:$B, MATCH($A831, 'calcolo base'!$A:$A, 0))</f>
        <v>#N/A</v>
      </c>
      <c r="H831" s="54" t="e">
        <f t="shared" si="156"/>
        <v>#N/A</v>
      </c>
      <c r="I831" s="259" t="e">
        <f>IF(  OR(      INDEX('calcolo base'!$D:$D, MATCH($A831, 'calcolo base'!$A:$A, 0)) = 0,
      INDEX('calcolo base'!$D:$D, MATCH($A831, 'calcolo base'!$A:$A, 0)) = ""   ),
   INDEX('calcolo base'!$K:$K, MATCH($A831, 'calcolo base'!$A:$A, 0)),
   INDEX('calcolo base'!$J:$J, MATCH($A831, 'calcolo base'!$A:$A, 0))
) / 1000</f>
        <v>#N/A</v>
      </c>
      <c r="J831" s="50" t="e">
        <f t="shared" si="157"/>
        <v>#N/A</v>
      </c>
      <c r="K831" s="50"/>
      <c r="L831" s="267" t="e">
        <f>INDEX('calcolo base'!$H:$H, MATCH($A831, 'calcolo base'!$A:$A, 0))</f>
        <v>#N/A</v>
      </c>
      <c r="M831" s="50" t="e">
        <f t="shared" si="158"/>
        <v>#N/A</v>
      </c>
      <c r="N831" s="50" t="e">
        <f t="shared" si="159"/>
        <v>#N/A</v>
      </c>
      <c r="O831" s="50" t="e">
        <f t="shared" si="160"/>
        <v>#N/A</v>
      </c>
      <c r="P831" s="50" t="e">
        <f t="shared" si="161"/>
        <v>#N/A</v>
      </c>
      <c r="Q831" s="51" t="e">
        <f t="shared" si="162"/>
        <v>#N/A</v>
      </c>
      <c r="R831" s="205" t="e">
        <f t="shared" si="163"/>
        <v>#N/A</v>
      </c>
      <c r="S831" s="279" t="e">
        <f>IF(R831="si",0,IF(E831="si",0,IF(J831&gt;K831,0,+K831-J831)))+IF('calcolo base'!P2291="SI",('Commissioni De Angeli'!K831-'Commissioni De Angeli'!J831),0)</f>
        <v>#N/A</v>
      </c>
      <c r="T831" s="117" t="e">
        <f t="shared" si="164"/>
        <v>#N/A</v>
      </c>
      <c r="U831" s="272" t="e">
        <f>IF(Q831=0,'calcolo base'!L3430,(T831+Q831))</f>
        <v>#N/A</v>
      </c>
      <c r="V831" s="119"/>
    </row>
    <row r="832" spans="2:22">
      <c r="B832" s="47"/>
      <c r="C832" s="35"/>
      <c r="D832" s="53"/>
      <c r="E832" s="53"/>
      <c r="F832" s="48"/>
      <c r="G832" s="243" t="e">
        <f>INDEX('calcolo base'!$B:$B, MATCH($A832, 'calcolo base'!$A:$A, 0))</f>
        <v>#N/A</v>
      </c>
      <c r="H832" s="54" t="e">
        <f t="shared" si="156"/>
        <v>#N/A</v>
      </c>
      <c r="I832" s="259" t="e">
        <f>IF(  OR(      INDEX('calcolo base'!$D:$D, MATCH($A832, 'calcolo base'!$A:$A, 0)) = 0,
      INDEX('calcolo base'!$D:$D, MATCH($A832, 'calcolo base'!$A:$A, 0)) = ""   ),
   INDEX('calcolo base'!$K:$K, MATCH($A832, 'calcolo base'!$A:$A, 0)),
   INDEX('calcolo base'!$J:$J, MATCH($A832, 'calcolo base'!$A:$A, 0))
) / 1000</f>
        <v>#N/A</v>
      </c>
      <c r="J832" s="50" t="e">
        <f t="shared" si="157"/>
        <v>#N/A</v>
      </c>
      <c r="K832" s="50"/>
      <c r="L832" s="267" t="e">
        <f>INDEX('calcolo base'!$H:$H, MATCH($A832, 'calcolo base'!$A:$A, 0))</f>
        <v>#N/A</v>
      </c>
      <c r="M832" s="50" t="e">
        <f t="shared" si="158"/>
        <v>#N/A</v>
      </c>
      <c r="N832" s="50" t="e">
        <f t="shared" si="159"/>
        <v>#N/A</v>
      </c>
      <c r="O832" s="50" t="e">
        <f t="shared" si="160"/>
        <v>#N/A</v>
      </c>
      <c r="P832" s="50" t="e">
        <f t="shared" si="161"/>
        <v>#N/A</v>
      </c>
      <c r="Q832" s="51" t="e">
        <f t="shared" si="162"/>
        <v>#N/A</v>
      </c>
      <c r="R832" s="205" t="e">
        <f t="shared" si="163"/>
        <v>#N/A</v>
      </c>
      <c r="S832" s="279" t="e">
        <f>IF(R832="si",0,IF(E832="si",0,IF(J832&gt;K832,0,+K832-J832)))+IF('calcolo base'!P2292="SI",('Commissioni De Angeli'!K832-'Commissioni De Angeli'!J832),0)</f>
        <v>#N/A</v>
      </c>
      <c r="T832" s="117" t="e">
        <f t="shared" si="164"/>
        <v>#N/A</v>
      </c>
      <c r="U832" s="272" t="e">
        <f>IF(Q832=0,'calcolo base'!L3431,(T832+Q832))</f>
        <v>#N/A</v>
      </c>
      <c r="V832" s="119"/>
    </row>
    <row r="833" spans="2:22">
      <c r="B833" s="47"/>
      <c r="C833" s="35"/>
      <c r="D833" s="53"/>
      <c r="E833" s="53"/>
      <c r="F833" s="48"/>
      <c r="G833" s="243" t="e">
        <f>INDEX('calcolo base'!$B:$B, MATCH($A833, 'calcolo base'!$A:$A, 0))</f>
        <v>#N/A</v>
      </c>
      <c r="H833" s="54" t="e">
        <f t="shared" si="156"/>
        <v>#N/A</v>
      </c>
      <c r="I833" s="259" t="e">
        <f>IF(  OR(      INDEX('calcolo base'!$D:$D, MATCH($A833, 'calcolo base'!$A:$A, 0)) = 0,
      INDEX('calcolo base'!$D:$D, MATCH($A833, 'calcolo base'!$A:$A, 0)) = ""   ),
   INDEX('calcolo base'!$K:$K, MATCH($A833, 'calcolo base'!$A:$A, 0)),
   INDEX('calcolo base'!$J:$J, MATCH($A833, 'calcolo base'!$A:$A, 0))
) / 1000</f>
        <v>#N/A</v>
      </c>
      <c r="J833" s="50" t="e">
        <f t="shared" si="157"/>
        <v>#N/A</v>
      </c>
      <c r="K833" s="50"/>
      <c r="L833" s="267" t="e">
        <f>INDEX('calcolo base'!$H:$H, MATCH($A833, 'calcolo base'!$A:$A, 0))</f>
        <v>#N/A</v>
      </c>
      <c r="M833" s="50" t="e">
        <f t="shared" si="158"/>
        <v>#N/A</v>
      </c>
      <c r="N833" s="50" t="e">
        <f t="shared" si="159"/>
        <v>#N/A</v>
      </c>
      <c r="O833" s="50" t="e">
        <f t="shared" si="160"/>
        <v>#N/A</v>
      </c>
      <c r="P833" s="50" t="e">
        <f t="shared" si="161"/>
        <v>#N/A</v>
      </c>
      <c r="Q833" s="51" t="e">
        <f t="shared" si="162"/>
        <v>#N/A</v>
      </c>
      <c r="R833" s="205" t="e">
        <f t="shared" si="163"/>
        <v>#N/A</v>
      </c>
      <c r="S833" s="279" t="e">
        <f>IF(R833="si",0,IF(E833="si",0,IF(J833&gt;K833,0,+K833-J833)))+IF('calcolo base'!P2293="SI",('Commissioni De Angeli'!K833-'Commissioni De Angeli'!J833),0)</f>
        <v>#N/A</v>
      </c>
      <c r="T833" s="117" t="e">
        <f t="shared" si="164"/>
        <v>#N/A</v>
      </c>
      <c r="U833" s="272" t="e">
        <f>IF(Q833=0,'calcolo base'!L3432,(T833+Q833))</f>
        <v>#N/A</v>
      </c>
      <c r="V833" s="119"/>
    </row>
    <row r="834" spans="2:22">
      <c r="B834" s="47"/>
      <c r="C834" s="35"/>
      <c r="D834" s="53"/>
      <c r="E834" s="53"/>
      <c r="F834" s="48"/>
      <c r="G834" s="243" t="e">
        <f>INDEX('calcolo base'!$B:$B, MATCH($A834, 'calcolo base'!$A:$A, 0))</f>
        <v>#N/A</v>
      </c>
      <c r="H834" s="54" t="e">
        <f t="shared" si="156"/>
        <v>#N/A</v>
      </c>
      <c r="I834" s="259" t="e">
        <f>IF(  OR(      INDEX('calcolo base'!$D:$D, MATCH($A834, 'calcolo base'!$A:$A, 0)) = 0,
      INDEX('calcolo base'!$D:$D, MATCH($A834, 'calcolo base'!$A:$A, 0)) = ""   ),
   INDEX('calcolo base'!$K:$K, MATCH($A834, 'calcolo base'!$A:$A, 0)),
   INDEX('calcolo base'!$J:$J, MATCH($A834, 'calcolo base'!$A:$A, 0))
) / 1000</f>
        <v>#N/A</v>
      </c>
      <c r="J834" s="50" t="e">
        <f t="shared" si="157"/>
        <v>#N/A</v>
      </c>
      <c r="K834" s="50"/>
      <c r="L834" s="267" t="e">
        <f>INDEX('calcolo base'!$H:$H, MATCH($A834, 'calcolo base'!$A:$A, 0))</f>
        <v>#N/A</v>
      </c>
      <c r="M834" s="50" t="e">
        <f t="shared" si="158"/>
        <v>#N/A</v>
      </c>
      <c r="N834" s="50" t="e">
        <f t="shared" si="159"/>
        <v>#N/A</v>
      </c>
      <c r="O834" s="50" t="e">
        <f t="shared" si="160"/>
        <v>#N/A</v>
      </c>
      <c r="P834" s="50" t="e">
        <f t="shared" si="161"/>
        <v>#N/A</v>
      </c>
      <c r="Q834" s="51" t="e">
        <f t="shared" si="162"/>
        <v>#N/A</v>
      </c>
      <c r="R834" s="205" t="e">
        <f t="shared" si="163"/>
        <v>#N/A</v>
      </c>
      <c r="S834" s="279" t="e">
        <f>IF(R834="si",0,IF(E834="si",0,IF(J834&gt;K834,0,+K834-J834)))+IF('calcolo base'!P2294="SI",('Commissioni De Angeli'!K834-'Commissioni De Angeli'!J834),0)</f>
        <v>#N/A</v>
      </c>
      <c r="T834" s="117" t="e">
        <f t="shared" si="164"/>
        <v>#N/A</v>
      </c>
      <c r="U834" s="272" t="e">
        <f>IF(Q834=0,'calcolo base'!L3433,(T834+Q834))</f>
        <v>#N/A</v>
      </c>
      <c r="V834" s="119"/>
    </row>
    <row r="835" spans="2:22">
      <c r="B835" s="47"/>
      <c r="C835" s="35"/>
      <c r="D835" s="53"/>
      <c r="E835" s="53"/>
      <c r="F835" s="48"/>
      <c r="G835" s="243" t="e">
        <f>INDEX('calcolo base'!$B:$B, MATCH($A835, 'calcolo base'!$A:$A, 0))</f>
        <v>#N/A</v>
      </c>
      <c r="H835" s="54" t="e">
        <f t="shared" si="156"/>
        <v>#N/A</v>
      </c>
      <c r="I835" s="259" t="e">
        <f>IF(  OR(      INDEX('calcolo base'!$D:$D, MATCH($A835, 'calcolo base'!$A:$A, 0)) = 0,
      INDEX('calcolo base'!$D:$D, MATCH($A835, 'calcolo base'!$A:$A, 0)) = ""   ),
   INDEX('calcolo base'!$K:$K, MATCH($A835, 'calcolo base'!$A:$A, 0)),
   INDEX('calcolo base'!$J:$J, MATCH($A835, 'calcolo base'!$A:$A, 0))
) / 1000</f>
        <v>#N/A</v>
      </c>
      <c r="J835" s="50" t="e">
        <f t="shared" si="157"/>
        <v>#N/A</v>
      </c>
      <c r="K835" s="50"/>
      <c r="L835" s="267" t="e">
        <f>INDEX('calcolo base'!$H:$H, MATCH($A835, 'calcolo base'!$A:$A, 0))</f>
        <v>#N/A</v>
      </c>
      <c r="M835" s="50" t="e">
        <f t="shared" si="158"/>
        <v>#N/A</v>
      </c>
      <c r="N835" s="50" t="e">
        <f t="shared" si="159"/>
        <v>#N/A</v>
      </c>
      <c r="O835" s="50" t="e">
        <f t="shared" si="160"/>
        <v>#N/A</v>
      </c>
      <c r="P835" s="50" t="e">
        <f t="shared" si="161"/>
        <v>#N/A</v>
      </c>
      <c r="Q835" s="51" t="e">
        <f t="shared" si="162"/>
        <v>#N/A</v>
      </c>
      <c r="R835" s="205" t="e">
        <f t="shared" si="163"/>
        <v>#N/A</v>
      </c>
      <c r="S835" s="279" t="e">
        <f>IF(R835="si",0,IF(E835="si",0,IF(J835&gt;K835,0,+K835-J835)))+IF('calcolo base'!P2295="SI",('Commissioni De Angeli'!K835-'Commissioni De Angeli'!J835),0)</f>
        <v>#N/A</v>
      </c>
      <c r="T835" s="117" t="e">
        <f t="shared" si="164"/>
        <v>#N/A</v>
      </c>
      <c r="U835" s="272" t="e">
        <f>IF(Q835=0,'calcolo base'!L3434,(T835+Q835))</f>
        <v>#N/A</v>
      </c>
      <c r="V835" s="119"/>
    </row>
    <row r="836" spans="2:22">
      <c r="B836" s="47"/>
      <c r="C836" s="35"/>
      <c r="D836" s="53"/>
      <c r="E836" s="53"/>
      <c r="F836" s="48"/>
      <c r="G836" s="243" t="e">
        <f>INDEX('calcolo base'!$B:$B, MATCH($A836, 'calcolo base'!$A:$A, 0))</f>
        <v>#N/A</v>
      </c>
      <c r="H836" s="54" t="e">
        <f t="shared" si="156"/>
        <v>#N/A</v>
      </c>
      <c r="I836" s="259" t="e">
        <f>IF(  OR(      INDEX('calcolo base'!$D:$D, MATCH($A836, 'calcolo base'!$A:$A, 0)) = 0,
      INDEX('calcolo base'!$D:$D, MATCH($A836, 'calcolo base'!$A:$A, 0)) = ""   ),
   INDEX('calcolo base'!$K:$K, MATCH($A836, 'calcolo base'!$A:$A, 0)),
   INDEX('calcolo base'!$J:$J, MATCH($A836, 'calcolo base'!$A:$A, 0))
) / 1000</f>
        <v>#N/A</v>
      </c>
      <c r="J836" s="50" t="e">
        <f t="shared" si="157"/>
        <v>#N/A</v>
      </c>
      <c r="K836" s="50"/>
      <c r="L836" s="267" t="e">
        <f>INDEX('calcolo base'!$H:$H, MATCH($A836, 'calcolo base'!$A:$A, 0))</f>
        <v>#N/A</v>
      </c>
      <c r="M836" s="50" t="e">
        <f t="shared" si="158"/>
        <v>#N/A</v>
      </c>
      <c r="N836" s="50" t="e">
        <f t="shared" si="159"/>
        <v>#N/A</v>
      </c>
      <c r="O836" s="50" t="e">
        <f t="shared" si="160"/>
        <v>#N/A</v>
      </c>
      <c r="P836" s="50" t="e">
        <f t="shared" si="161"/>
        <v>#N/A</v>
      </c>
      <c r="Q836" s="51" t="e">
        <f t="shared" si="162"/>
        <v>#N/A</v>
      </c>
      <c r="R836" s="205" t="e">
        <f t="shared" si="163"/>
        <v>#N/A</v>
      </c>
      <c r="S836" s="279" t="e">
        <f>IF(R836="si",0,IF(E836="si",0,IF(J836&gt;K836,0,+K836-J836)))+IF('calcolo base'!P2296="SI",('Commissioni De Angeli'!K836-'Commissioni De Angeli'!J836),0)</f>
        <v>#N/A</v>
      </c>
      <c r="T836" s="117" t="e">
        <f t="shared" si="164"/>
        <v>#N/A</v>
      </c>
      <c r="U836" s="272" t="e">
        <f>IF(Q836=0,'calcolo base'!L3435,(T836+Q836))</f>
        <v>#N/A</v>
      </c>
      <c r="V836" s="119"/>
    </row>
    <row r="837" spans="2:22">
      <c r="B837" s="47"/>
      <c r="C837" s="35"/>
      <c r="D837" s="53"/>
      <c r="E837" s="53"/>
      <c r="F837" s="48"/>
      <c r="G837" s="243" t="e">
        <f>INDEX('calcolo base'!$B:$B, MATCH($A837, 'calcolo base'!$A:$A, 0))</f>
        <v>#N/A</v>
      </c>
      <c r="H837" s="54" t="e">
        <f t="shared" si="156"/>
        <v>#N/A</v>
      </c>
      <c r="I837" s="259" t="e">
        <f>IF(  OR(      INDEX('calcolo base'!$D:$D, MATCH($A837, 'calcolo base'!$A:$A, 0)) = 0,
      INDEX('calcolo base'!$D:$D, MATCH($A837, 'calcolo base'!$A:$A, 0)) = ""   ),
   INDEX('calcolo base'!$K:$K, MATCH($A837, 'calcolo base'!$A:$A, 0)),
   INDEX('calcolo base'!$J:$J, MATCH($A837, 'calcolo base'!$A:$A, 0))
) / 1000</f>
        <v>#N/A</v>
      </c>
      <c r="J837" s="50" t="e">
        <f t="shared" si="157"/>
        <v>#N/A</v>
      </c>
      <c r="K837" s="50"/>
      <c r="L837" s="267" t="e">
        <f>INDEX('calcolo base'!$H:$H, MATCH($A837, 'calcolo base'!$A:$A, 0))</f>
        <v>#N/A</v>
      </c>
      <c r="M837" s="50" t="e">
        <f t="shared" si="158"/>
        <v>#N/A</v>
      </c>
      <c r="N837" s="50" t="e">
        <f t="shared" si="159"/>
        <v>#N/A</v>
      </c>
      <c r="O837" s="50" t="e">
        <f t="shared" si="160"/>
        <v>#N/A</v>
      </c>
      <c r="P837" s="50" t="e">
        <f t="shared" si="161"/>
        <v>#N/A</v>
      </c>
      <c r="Q837" s="51" t="e">
        <f t="shared" si="162"/>
        <v>#N/A</v>
      </c>
      <c r="R837" s="205" t="e">
        <f t="shared" si="163"/>
        <v>#N/A</v>
      </c>
      <c r="S837" s="279" t="e">
        <f>IF(R837="si",0,IF(E837="si",0,IF(J837&gt;K837,0,+K837-J837)))+IF('calcolo base'!P2297="SI",('Commissioni De Angeli'!K837-'Commissioni De Angeli'!J837),0)</f>
        <v>#N/A</v>
      </c>
      <c r="T837" s="117" t="e">
        <f t="shared" si="164"/>
        <v>#N/A</v>
      </c>
      <c r="U837" s="272" t="e">
        <f>IF(Q837=0,'calcolo base'!L3436,(T837+Q837))</f>
        <v>#N/A</v>
      </c>
      <c r="V837" s="119"/>
    </row>
    <row r="838" spans="2:22">
      <c r="B838" s="47"/>
      <c r="C838" s="35"/>
      <c r="D838" s="53"/>
      <c r="E838" s="53"/>
      <c r="F838" s="48"/>
      <c r="G838" s="243" t="e">
        <f>INDEX('calcolo base'!$B:$B, MATCH($A838, 'calcolo base'!$A:$A, 0))</f>
        <v>#N/A</v>
      </c>
      <c r="H838" s="54" t="e">
        <f t="shared" si="156"/>
        <v>#N/A</v>
      </c>
      <c r="I838" s="259" t="e">
        <f>IF(  OR(      INDEX('calcolo base'!$D:$D, MATCH($A838, 'calcolo base'!$A:$A, 0)) = 0,
      INDEX('calcolo base'!$D:$D, MATCH($A838, 'calcolo base'!$A:$A, 0)) = ""   ),
   INDEX('calcolo base'!$K:$K, MATCH($A838, 'calcolo base'!$A:$A, 0)),
   INDEX('calcolo base'!$J:$J, MATCH($A838, 'calcolo base'!$A:$A, 0))
) / 1000</f>
        <v>#N/A</v>
      </c>
      <c r="J838" s="50" t="e">
        <f t="shared" si="157"/>
        <v>#N/A</v>
      </c>
      <c r="K838" s="50"/>
      <c r="L838" s="267" t="e">
        <f>INDEX('calcolo base'!$H:$H, MATCH($A838, 'calcolo base'!$A:$A, 0))</f>
        <v>#N/A</v>
      </c>
      <c r="M838" s="50" t="e">
        <f t="shared" si="158"/>
        <v>#N/A</v>
      </c>
      <c r="N838" s="50" t="e">
        <f t="shared" si="159"/>
        <v>#N/A</v>
      </c>
      <c r="O838" s="50" t="e">
        <f t="shared" si="160"/>
        <v>#N/A</v>
      </c>
      <c r="P838" s="50" t="e">
        <f t="shared" si="161"/>
        <v>#N/A</v>
      </c>
      <c r="Q838" s="51" t="e">
        <f t="shared" si="162"/>
        <v>#N/A</v>
      </c>
      <c r="R838" s="205" t="e">
        <f t="shared" si="163"/>
        <v>#N/A</v>
      </c>
      <c r="S838" s="279" t="e">
        <f>IF(R838="si",0,IF(E838="si",0,IF(J838&gt;K838,0,+K838-J838)))+IF('calcolo base'!P2298="SI",('Commissioni De Angeli'!K838-'Commissioni De Angeli'!J838),0)</f>
        <v>#N/A</v>
      </c>
      <c r="T838" s="117" t="e">
        <f t="shared" si="164"/>
        <v>#N/A</v>
      </c>
      <c r="U838" s="272" t="e">
        <f>IF(Q838=0,'calcolo base'!L3437,(T838+Q838))</f>
        <v>#N/A</v>
      </c>
      <c r="V838" s="119"/>
    </row>
    <row r="839" spans="2:22">
      <c r="B839" s="47"/>
      <c r="C839" s="35"/>
      <c r="D839" s="53"/>
      <c r="E839" s="53"/>
      <c r="F839" s="48"/>
      <c r="G839" s="243" t="e">
        <f>INDEX('calcolo base'!$B:$B, MATCH($A839, 'calcolo base'!$A:$A, 0))</f>
        <v>#N/A</v>
      </c>
      <c r="H839" s="54" t="e">
        <f t="shared" si="156"/>
        <v>#N/A</v>
      </c>
      <c r="I839" s="259" t="e">
        <f>IF(  OR(      INDEX('calcolo base'!$D:$D, MATCH($A839, 'calcolo base'!$A:$A, 0)) = 0,
      INDEX('calcolo base'!$D:$D, MATCH($A839, 'calcolo base'!$A:$A, 0)) = ""   ),
   INDEX('calcolo base'!$K:$K, MATCH($A839, 'calcolo base'!$A:$A, 0)),
   INDEX('calcolo base'!$J:$J, MATCH($A839, 'calcolo base'!$A:$A, 0))
) / 1000</f>
        <v>#N/A</v>
      </c>
      <c r="J839" s="50" t="e">
        <f t="shared" si="157"/>
        <v>#N/A</v>
      </c>
      <c r="K839" s="50"/>
      <c r="L839" s="267" t="e">
        <f>INDEX('calcolo base'!$H:$H, MATCH($A839, 'calcolo base'!$A:$A, 0))</f>
        <v>#N/A</v>
      </c>
      <c r="M839" s="50" t="e">
        <f t="shared" si="158"/>
        <v>#N/A</v>
      </c>
      <c r="N839" s="50" t="e">
        <f t="shared" si="159"/>
        <v>#N/A</v>
      </c>
      <c r="O839" s="50" t="e">
        <f t="shared" si="160"/>
        <v>#N/A</v>
      </c>
      <c r="P839" s="50" t="e">
        <f t="shared" si="161"/>
        <v>#N/A</v>
      </c>
      <c r="Q839" s="51" t="e">
        <f t="shared" si="162"/>
        <v>#N/A</v>
      </c>
      <c r="R839" s="205" t="e">
        <f t="shared" si="163"/>
        <v>#N/A</v>
      </c>
      <c r="S839" s="279" t="e">
        <f>IF(R839="si",0,IF(E839="si",0,IF(J839&gt;K839,0,+K839-J839)))+IF('calcolo base'!P2299="SI",('Commissioni De Angeli'!K839-'Commissioni De Angeli'!J839),0)</f>
        <v>#N/A</v>
      </c>
      <c r="T839" s="117" t="e">
        <f t="shared" si="164"/>
        <v>#N/A</v>
      </c>
      <c r="U839" s="272" t="e">
        <f>IF(Q839=0,'calcolo base'!L3438,(T839+Q839))</f>
        <v>#N/A</v>
      </c>
      <c r="V839" s="119"/>
    </row>
    <row r="840" spans="2:22">
      <c r="B840" s="47"/>
      <c r="C840" s="35"/>
      <c r="D840" s="53"/>
      <c r="E840" s="53"/>
      <c r="F840" s="48"/>
      <c r="G840" s="243" t="e">
        <f>INDEX('calcolo base'!$B:$B, MATCH($A840, 'calcolo base'!$A:$A, 0))</f>
        <v>#N/A</v>
      </c>
      <c r="H840" s="54" t="e">
        <f t="shared" si="156"/>
        <v>#N/A</v>
      </c>
      <c r="I840" s="259" t="e">
        <f>IF(  OR(      INDEX('calcolo base'!$D:$D, MATCH($A840, 'calcolo base'!$A:$A, 0)) = 0,
      INDEX('calcolo base'!$D:$D, MATCH($A840, 'calcolo base'!$A:$A, 0)) = ""   ),
   INDEX('calcolo base'!$K:$K, MATCH($A840, 'calcolo base'!$A:$A, 0)),
   INDEX('calcolo base'!$J:$J, MATCH($A840, 'calcolo base'!$A:$A, 0))
) / 1000</f>
        <v>#N/A</v>
      </c>
      <c r="J840" s="50" t="e">
        <f t="shared" si="157"/>
        <v>#N/A</v>
      </c>
      <c r="K840" s="50"/>
      <c r="L840" s="267" t="e">
        <f>INDEX('calcolo base'!$H:$H, MATCH($A840, 'calcolo base'!$A:$A, 0))</f>
        <v>#N/A</v>
      </c>
      <c r="M840" s="50" t="e">
        <f t="shared" si="158"/>
        <v>#N/A</v>
      </c>
      <c r="N840" s="50" t="e">
        <f t="shared" si="159"/>
        <v>#N/A</v>
      </c>
      <c r="O840" s="50" t="e">
        <f t="shared" si="160"/>
        <v>#N/A</v>
      </c>
      <c r="P840" s="50" t="e">
        <f t="shared" si="161"/>
        <v>#N/A</v>
      </c>
      <c r="Q840" s="51" t="e">
        <f t="shared" si="162"/>
        <v>#N/A</v>
      </c>
      <c r="R840" s="205" t="e">
        <f t="shared" si="163"/>
        <v>#N/A</v>
      </c>
      <c r="S840" s="279" t="e">
        <f>IF(R840="si",0,IF(E840="si",0,IF(J840&gt;K840,0,+K840-J840)))+IF('calcolo base'!P2300="SI",('Commissioni De Angeli'!K840-'Commissioni De Angeli'!J840),0)</f>
        <v>#N/A</v>
      </c>
      <c r="T840" s="117" t="e">
        <f t="shared" si="164"/>
        <v>#N/A</v>
      </c>
      <c r="U840" s="272" t="e">
        <f>IF(Q840=0,'calcolo base'!L3439,(T840+Q840))</f>
        <v>#N/A</v>
      </c>
      <c r="V840" s="119"/>
    </row>
    <row r="841" spans="2:22">
      <c r="B841" s="47"/>
      <c r="C841" s="35"/>
      <c r="D841" s="53"/>
      <c r="E841" s="53"/>
      <c r="F841" s="48"/>
      <c r="G841" s="243" t="e">
        <f>INDEX('calcolo base'!$B:$B, MATCH($A841, 'calcolo base'!$A:$A, 0))</f>
        <v>#N/A</v>
      </c>
      <c r="H841" s="54" t="e">
        <f t="shared" si="156"/>
        <v>#N/A</v>
      </c>
      <c r="I841" s="259" t="e">
        <f>IF(  OR(      INDEX('calcolo base'!$D:$D, MATCH($A841, 'calcolo base'!$A:$A, 0)) = 0,
      INDEX('calcolo base'!$D:$D, MATCH($A841, 'calcolo base'!$A:$A, 0)) = ""   ),
   INDEX('calcolo base'!$K:$K, MATCH($A841, 'calcolo base'!$A:$A, 0)),
   INDEX('calcolo base'!$J:$J, MATCH($A841, 'calcolo base'!$A:$A, 0))
) / 1000</f>
        <v>#N/A</v>
      </c>
      <c r="J841" s="50" t="e">
        <f t="shared" si="157"/>
        <v>#N/A</v>
      </c>
      <c r="K841" s="50"/>
      <c r="L841" s="267" t="e">
        <f>INDEX('calcolo base'!$H:$H, MATCH($A841, 'calcolo base'!$A:$A, 0))</f>
        <v>#N/A</v>
      </c>
      <c r="M841" s="50" t="e">
        <f t="shared" si="158"/>
        <v>#N/A</v>
      </c>
      <c r="N841" s="50" t="e">
        <f t="shared" si="159"/>
        <v>#N/A</v>
      </c>
      <c r="O841" s="50" t="e">
        <f t="shared" si="160"/>
        <v>#N/A</v>
      </c>
      <c r="P841" s="50" t="e">
        <f t="shared" si="161"/>
        <v>#N/A</v>
      </c>
      <c r="Q841" s="51" t="e">
        <f t="shared" si="162"/>
        <v>#N/A</v>
      </c>
      <c r="R841" s="205" t="e">
        <f t="shared" si="163"/>
        <v>#N/A</v>
      </c>
      <c r="S841" s="279" t="e">
        <f>IF(R841="si",0,IF(E841="si",0,IF(J841&gt;K841,0,+K841-J841)))+IF('calcolo base'!P2301="SI",('Commissioni De Angeli'!K841-'Commissioni De Angeli'!J841),0)</f>
        <v>#N/A</v>
      </c>
      <c r="T841" s="117" t="e">
        <f t="shared" si="164"/>
        <v>#N/A</v>
      </c>
      <c r="U841" s="272" t="e">
        <f>IF(Q841=0,'calcolo base'!L3440,(T841+Q841))</f>
        <v>#N/A</v>
      </c>
      <c r="V841" s="119"/>
    </row>
    <row r="842" spans="2:22">
      <c r="B842" s="47"/>
      <c r="C842" s="35"/>
      <c r="D842" s="53"/>
      <c r="E842" s="53"/>
      <c r="F842" s="48"/>
      <c r="G842" s="243" t="e">
        <f>INDEX('calcolo base'!$B:$B, MATCH($A842, 'calcolo base'!$A:$A, 0))</f>
        <v>#N/A</v>
      </c>
      <c r="H842" s="54" t="e">
        <f t="shared" si="156"/>
        <v>#N/A</v>
      </c>
      <c r="I842" s="259" t="e">
        <f>IF(  OR(      INDEX('calcolo base'!$D:$D, MATCH($A842, 'calcolo base'!$A:$A, 0)) = 0,
      INDEX('calcolo base'!$D:$D, MATCH($A842, 'calcolo base'!$A:$A, 0)) = ""   ),
   INDEX('calcolo base'!$K:$K, MATCH($A842, 'calcolo base'!$A:$A, 0)),
   INDEX('calcolo base'!$J:$J, MATCH($A842, 'calcolo base'!$A:$A, 0))
) / 1000</f>
        <v>#N/A</v>
      </c>
      <c r="J842" s="50" t="e">
        <f t="shared" si="157"/>
        <v>#N/A</v>
      </c>
      <c r="K842" s="50"/>
      <c r="L842" s="267" t="e">
        <f>INDEX('calcolo base'!$H:$H, MATCH($A842, 'calcolo base'!$A:$A, 0))</f>
        <v>#N/A</v>
      </c>
      <c r="M842" s="50" t="e">
        <f t="shared" si="158"/>
        <v>#N/A</v>
      </c>
      <c r="N842" s="50" t="e">
        <f t="shared" si="159"/>
        <v>#N/A</v>
      </c>
      <c r="O842" s="50" t="e">
        <f t="shared" si="160"/>
        <v>#N/A</v>
      </c>
      <c r="P842" s="50" t="e">
        <f t="shared" si="161"/>
        <v>#N/A</v>
      </c>
      <c r="Q842" s="51" t="e">
        <f t="shared" si="162"/>
        <v>#N/A</v>
      </c>
      <c r="R842" s="205" t="e">
        <f t="shared" si="163"/>
        <v>#N/A</v>
      </c>
      <c r="S842" s="279" t="e">
        <f>IF(R842="si",0,IF(E842="si",0,IF(J842&gt;K842,0,+K842-J842)))+IF('calcolo base'!P2302="SI",('Commissioni De Angeli'!K842-'Commissioni De Angeli'!J842),0)</f>
        <v>#N/A</v>
      </c>
      <c r="T842" s="117" t="e">
        <f t="shared" si="164"/>
        <v>#N/A</v>
      </c>
      <c r="U842" s="272" t="e">
        <f>IF(Q842=0,'calcolo base'!L3441,(T842+Q842))</f>
        <v>#N/A</v>
      </c>
      <c r="V842" s="119"/>
    </row>
    <row r="843" spans="2:22">
      <c r="B843" s="47"/>
      <c r="C843" s="35"/>
      <c r="D843" s="53"/>
      <c r="E843" s="53"/>
      <c r="F843" s="48"/>
      <c r="G843" s="243" t="e">
        <f>INDEX('calcolo base'!$B:$B, MATCH($A843, 'calcolo base'!$A:$A, 0))</f>
        <v>#N/A</v>
      </c>
      <c r="H843" s="54" t="e">
        <f t="shared" si="156"/>
        <v>#N/A</v>
      </c>
      <c r="I843" s="259" t="e">
        <f>IF(  OR(      INDEX('calcolo base'!$D:$D, MATCH($A843, 'calcolo base'!$A:$A, 0)) = 0,
      INDEX('calcolo base'!$D:$D, MATCH($A843, 'calcolo base'!$A:$A, 0)) = ""   ),
   INDEX('calcolo base'!$K:$K, MATCH($A843, 'calcolo base'!$A:$A, 0)),
   INDEX('calcolo base'!$J:$J, MATCH($A843, 'calcolo base'!$A:$A, 0))
) / 1000</f>
        <v>#N/A</v>
      </c>
      <c r="J843" s="50" t="e">
        <f t="shared" si="157"/>
        <v>#N/A</v>
      </c>
      <c r="K843" s="50"/>
      <c r="L843" s="267" t="e">
        <f>INDEX('calcolo base'!$H:$H, MATCH($A843, 'calcolo base'!$A:$A, 0))</f>
        <v>#N/A</v>
      </c>
      <c r="M843" s="50" t="e">
        <f t="shared" si="158"/>
        <v>#N/A</v>
      </c>
      <c r="N843" s="50" t="e">
        <f t="shared" si="159"/>
        <v>#N/A</v>
      </c>
      <c r="O843" s="50" t="e">
        <f t="shared" si="160"/>
        <v>#N/A</v>
      </c>
      <c r="P843" s="50" t="e">
        <f t="shared" si="161"/>
        <v>#N/A</v>
      </c>
      <c r="Q843" s="51" t="e">
        <f t="shared" si="162"/>
        <v>#N/A</v>
      </c>
      <c r="R843" s="205" t="e">
        <f t="shared" si="163"/>
        <v>#N/A</v>
      </c>
      <c r="S843" s="279" t="e">
        <f>IF(R843="si",0,IF(E843="si",0,IF(J843&gt;K843,0,+K843-J843)))+IF('calcolo base'!P2303="SI",('Commissioni De Angeli'!K843-'Commissioni De Angeli'!J843),0)</f>
        <v>#N/A</v>
      </c>
      <c r="T843" s="117" t="e">
        <f t="shared" si="164"/>
        <v>#N/A</v>
      </c>
      <c r="U843" s="272" t="e">
        <f>IF(Q843=0,'calcolo base'!L3442,(T843+Q843))</f>
        <v>#N/A</v>
      </c>
      <c r="V843" s="119"/>
    </row>
    <row r="844" spans="2:22">
      <c r="B844" s="47"/>
      <c r="C844" s="35"/>
      <c r="D844" s="53"/>
      <c r="E844" s="53"/>
      <c r="F844" s="48"/>
      <c r="G844" s="243" t="e">
        <f>INDEX('calcolo base'!$B:$B, MATCH($A844, 'calcolo base'!$A:$A, 0))</f>
        <v>#N/A</v>
      </c>
      <c r="H844" s="54" t="e">
        <f t="shared" si="156"/>
        <v>#N/A</v>
      </c>
      <c r="I844" s="259" t="e">
        <f>IF(  OR(      INDEX('calcolo base'!$D:$D, MATCH($A844, 'calcolo base'!$A:$A, 0)) = 0,
      INDEX('calcolo base'!$D:$D, MATCH($A844, 'calcolo base'!$A:$A, 0)) = ""   ),
   INDEX('calcolo base'!$K:$K, MATCH($A844, 'calcolo base'!$A:$A, 0)),
   INDEX('calcolo base'!$J:$J, MATCH($A844, 'calcolo base'!$A:$A, 0))
) / 1000</f>
        <v>#N/A</v>
      </c>
      <c r="J844" s="50" t="e">
        <f t="shared" si="157"/>
        <v>#N/A</v>
      </c>
      <c r="K844" s="50"/>
      <c r="L844" s="267" t="e">
        <f>INDEX('calcolo base'!$H:$H, MATCH($A844, 'calcolo base'!$A:$A, 0))</f>
        <v>#N/A</v>
      </c>
      <c r="M844" s="50" t="e">
        <f t="shared" si="158"/>
        <v>#N/A</v>
      </c>
      <c r="N844" s="50" t="e">
        <f t="shared" si="159"/>
        <v>#N/A</v>
      </c>
      <c r="O844" s="50" t="e">
        <f t="shared" si="160"/>
        <v>#N/A</v>
      </c>
      <c r="P844" s="50" t="e">
        <f t="shared" si="161"/>
        <v>#N/A</v>
      </c>
      <c r="Q844" s="51" t="e">
        <f t="shared" si="162"/>
        <v>#N/A</v>
      </c>
      <c r="R844" s="205" t="e">
        <f t="shared" si="163"/>
        <v>#N/A</v>
      </c>
      <c r="S844" s="279" t="e">
        <f>IF(R844="si",0,IF(E844="si",0,IF(J844&gt;K844,0,+K844-J844)))+IF('calcolo base'!P2304="SI",('Commissioni De Angeli'!K844-'Commissioni De Angeli'!J844),0)</f>
        <v>#N/A</v>
      </c>
      <c r="T844" s="117" t="e">
        <f t="shared" si="164"/>
        <v>#N/A</v>
      </c>
      <c r="U844" s="272" t="e">
        <f>IF(Q844=0,'calcolo base'!L3443,(T844+Q844))</f>
        <v>#N/A</v>
      </c>
      <c r="V844" s="119"/>
    </row>
    <row r="845" spans="2:22">
      <c r="B845" s="47"/>
      <c r="C845" s="35"/>
      <c r="D845" s="53"/>
      <c r="E845" s="53"/>
      <c r="F845" s="48"/>
      <c r="G845" s="243" t="e">
        <f>INDEX('calcolo base'!$B:$B, MATCH($A845, 'calcolo base'!$A:$A, 0))</f>
        <v>#N/A</v>
      </c>
      <c r="H845" s="54" t="e">
        <f t="shared" si="156"/>
        <v>#N/A</v>
      </c>
      <c r="I845" s="259" t="e">
        <f>IF(  OR(      INDEX('calcolo base'!$D:$D, MATCH($A845, 'calcolo base'!$A:$A, 0)) = 0,
      INDEX('calcolo base'!$D:$D, MATCH($A845, 'calcolo base'!$A:$A, 0)) = ""   ),
   INDEX('calcolo base'!$K:$K, MATCH($A845, 'calcolo base'!$A:$A, 0)),
   INDEX('calcolo base'!$J:$J, MATCH($A845, 'calcolo base'!$A:$A, 0))
) / 1000</f>
        <v>#N/A</v>
      </c>
      <c r="J845" s="50" t="e">
        <f t="shared" si="157"/>
        <v>#N/A</v>
      </c>
      <c r="K845" s="50"/>
      <c r="L845" s="267" t="e">
        <f>INDEX('calcolo base'!$H:$H, MATCH($A845, 'calcolo base'!$A:$A, 0))</f>
        <v>#N/A</v>
      </c>
      <c r="M845" s="50" t="e">
        <f t="shared" si="158"/>
        <v>#N/A</v>
      </c>
      <c r="N845" s="50" t="e">
        <f t="shared" si="159"/>
        <v>#N/A</v>
      </c>
      <c r="O845" s="50" t="e">
        <f t="shared" si="160"/>
        <v>#N/A</v>
      </c>
      <c r="P845" s="50" t="e">
        <f t="shared" si="161"/>
        <v>#N/A</v>
      </c>
      <c r="Q845" s="51" t="e">
        <f t="shared" si="162"/>
        <v>#N/A</v>
      </c>
      <c r="R845" s="205" t="e">
        <f t="shared" si="163"/>
        <v>#N/A</v>
      </c>
      <c r="S845" s="279" t="e">
        <f>IF(R845="si",0,IF(E845="si",0,IF(J845&gt;K845,0,+K845-J845)))+IF('calcolo base'!P2305="SI",('Commissioni De Angeli'!K845-'Commissioni De Angeli'!J845),0)</f>
        <v>#N/A</v>
      </c>
      <c r="T845" s="117" t="e">
        <f t="shared" si="164"/>
        <v>#N/A</v>
      </c>
      <c r="U845" s="272" t="e">
        <f>IF(Q845=0,'calcolo base'!L3444,(T845+Q845))</f>
        <v>#N/A</v>
      </c>
      <c r="V845" s="119"/>
    </row>
    <row r="846" spans="2:22">
      <c r="B846" s="47"/>
      <c r="C846" s="35"/>
      <c r="D846" s="53"/>
      <c r="E846" s="53"/>
      <c r="F846" s="48"/>
      <c r="G846" s="243" t="e">
        <f>INDEX('calcolo base'!$B:$B, MATCH($A846, 'calcolo base'!$A:$A, 0))</f>
        <v>#N/A</v>
      </c>
      <c r="H846" s="54" t="e">
        <f t="shared" si="156"/>
        <v>#N/A</v>
      </c>
      <c r="I846" s="259" t="e">
        <f>IF(  OR(      INDEX('calcolo base'!$D:$D, MATCH($A846, 'calcolo base'!$A:$A, 0)) = 0,
      INDEX('calcolo base'!$D:$D, MATCH($A846, 'calcolo base'!$A:$A, 0)) = ""   ),
   INDEX('calcolo base'!$K:$K, MATCH($A846, 'calcolo base'!$A:$A, 0)),
   INDEX('calcolo base'!$J:$J, MATCH($A846, 'calcolo base'!$A:$A, 0))
) / 1000</f>
        <v>#N/A</v>
      </c>
      <c r="J846" s="50" t="e">
        <f t="shared" si="157"/>
        <v>#N/A</v>
      </c>
      <c r="K846" s="50"/>
      <c r="L846" s="267" t="e">
        <f>INDEX('calcolo base'!$H:$H, MATCH($A846, 'calcolo base'!$A:$A, 0))</f>
        <v>#N/A</v>
      </c>
      <c r="M846" s="50" t="e">
        <f t="shared" si="158"/>
        <v>#N/A</v>
      </c>
      <c r="N846" s="50" t="e">
        <f t="shared" si="159"/>
        <v>#N/A</v>
      </c>
      <c r="O846" s="50" t="e">
        <f t="shared" si="160"/>
        <v>#N/A</v>
      </c>
      <c r="P846" s="50" t="e">
        <f t="shared" si="161"/>
        <v>#N/A</v>
      </c>
      <c r="Q846" s="51" t="e">
        <f t="shared" si="162"/>
        <v>#N/A</v>
      </c>
      <c r="R846" s="205" t="e">
        <f t="shared" si="163"/>
        <v>#N/A</v>
      </c>
      <c r="S846" s="279" t="e">
        <f>IF(R846="si",0,IF(E846="si",0,IF(J846&gt;K846,0,+K846-J846)))+IF('calcolo base'!P2306="SI",('Commissioni De Angeli'!K846-'Commissioni De Angeli'!J846),0)</f>
        <v>#N/A</v>
      </c>
      <c r="T846" s="117" t="e">
        <f t="shared" si="164"/>
        <v>#N/A</v>
      </c>
      <c r="U846" s="272" t="e">
        <f>IF(Q846=0,'calcolo base'!L3445,(T846+Q846))</f>
        <v>#N/A</v>
      </c>
      <c r="V846" s="119"/>
    </row>
    <row r="847" spans="2:22">
      <c r="B847" s="47"/>
      <c r="C847" s="35"/>
      <c r="D847" s="53"/>
      <c r="E847" s="53"/>
      <c r="F847" s="48"/>
      <c r="G847" s="243" t="e">
        <f>INDEX('calcolo base'!$B:$B, MATCH($A847, 'calcolo base'!$A:$A, 0))</f>
        <v>#N/A</v>
      </c>
      <c r="H847" s="54" t="e">
        <f t="shared" si="156"/>
        <v>#N/A</v>
      </c>
      <c r="I847" s="259" t="e">
        <f>IF(  OR(      INDEX('calcolo base'!$D:$D, MATCH($A847, 'calcolo base'!$A:$A, 0)) = 0,
      INDEX('calcolo base'!$D:$D, MATCH($A847, 'calcolo base'!$A:$A, 0)) = ""   ),
   INDEX('calcolo base'!$K:$K, MATCH($A847, 'calcolo base'!$A:$A, 0)),
   INDEX('calcolo base'!$J:$J, MATCH($A847, 'calcolo base'!$A:$A, 0))
) / 1000</f>
        <v>#N/A</v>
      </c>
      <c r="J847" s="50" t="e">
        <f t="shared" si="157"/>
        <v>#N/A</v>
      </c>
      <c r="K847" s="50"/>
      <c r="L847" s="267" t="e">
        <f>INDEX('calcolo base'!$H:$H, MATCH($A847, 'calcolo base'!$A:$A, 0))</f>
        <v>#N/A</v>
      </c>
      <c r="M847" s="50" t="e">
        <f t="shared" si="158"/>
        <v>#N/A</v>
      </c>
      <c r="N847" s="50" t="e">
        <f t="shared" si="159"/>
        <v>#N/A</v>
      </c>
      <c r="O847" s="50" t="e">
        <f t="shared" si="160"/>
        <v>#N/A</v>
      </c>
      <c r="P847" s="50" t="e">
        <f t="shared" si="161"/>
        <v>#N/A</v>
      </c>
      <c r="Q847" s="51" t="e">
        <f t="shared" si="162"/>
        <v>#N/A</v>
      </c>
      <c r="R847" s="205" t="e">
        <f t="shared" si="163"/>
        <v>#N/A</v>
      </c>
      <c r="S847" s="279" t="e">
        <f>IF(R847="si",0,IF(E847="si",0,IF(J847&gt;K847,0,+K847-J847)))+IF('calcolo base'!P2307="SI",('Commissioni De Angeli'!K847-'Commissioni De Angeli'!J847),0)</f>
        <v>#N/A</v>
      </c>
      <c r="T847" s="117" t="e">
        <f t="shared" si="164"/>
        <v>#N/A</v>
      </c>
      <c r="U847" s="272" t="e">
        <f>IF(Q847=0,'calcolo base'!L3446,(T847+Q847))</f>
        <v>#N/A</v>
      </c>
      <c r="V847" s="119"/>
    </row>
    <row r="848" spans="2:22">
      <c r="B848" s="47"/>
      <c r="C848" s="35"/>
      <c r="D848" s="53"/>
      <c r="E848" s="53"/>
      <c r="F848" s="48"/>
      <c r="G848" s="243" t="e">
        <f>INDEX('calcolo base'!$B:$B, MATCH($A848, 'calcolo base'!$A:$A, 0))</f>
        <v>#N/A</v>
      </c>
      <c r="H848" s="54" t="e">
        <f t="shared" si="156"/>
        <v>#N/A</v>
      </c>
      <c r="I848" s="259" t="e">
        <f>IF(  OR(      INDEX('calcolo base'!$D:$D, MATCH($A848, 'calcolo base'!$A:$A, 0)) = 0,
      INDEX('calcolo base'!$D:$D, MATCH($A848, 'calcolo base'!$A:$A, 0)) = ""   ),
   INDEX('calcolo base'!$K:$K, MATCH($A848, 'calcolo base'!$A:$A, 0)),
   INDEX('calcolo base'!$J:$J, MATCH($A848, 'calcolo base'!$A:$A, 0))
) / 1000</f>
        <v>#N/A</v>
      </c>
      <c r="J848" s="50" t="e">
        <f t="shared" si="157"/>
        <v>#N/A</v>
      </c>
      <c r="K848" s="50"/>
      <c r="L848" s="267" t="e">
        <f>INDEX('calcolo base'!$H:$H, MATCH($A848, 'calcolo base'!$A:$A, 0))</f>
        <v>#N/A</v>
      </c>
      <c r="M848" s="50" t="e">
        <f t="shared" si="158"/>
        <v>#N/A</v>
      </c>
      <c r="N848" s="50" t="e">
        <f t="shared" si="159"/>
        <v>#N/A</v>
      </c>
      <c r="O848" s="50" t="e">
        <f t="shared" si="160"/>
        <v>#N/A</v>
      </c>
      <c r="P848" s="50" t="e">
        <f t="shared" si="161"/>
        <v>#N/A</v>
      </c>
      <c r="Q848" s="51" t="e">
        <f t="shared" si="162"/>
        <v>#N/A</v>
      </c>
      <c r="R848" s="205" t="e">
        <f t="shared" si="163"/>
        <v>#N/A</v>
      </c>
      <c r="S848" s="279" t="e">
        <f>IF(R848="si",0,IF(E848="si",0,IF(J848&gt;K848,0,+K848-J848)))+IF('calcolo base'!P2308="SI",('Commissioni De Angeli'!K848-'Commissioni De Angeli'!J848),0)</f>
        <v>#N/A</v>
      </c>
      <c r="T848" s="117" t="e">
        <f t="shared" si="164"/>
        <v>#N/A</v>
      </c>
      <c r="U848" s="272" t="e">
        <f>IF(Q848=0,'calcolo base'!L3447,(T848+Q848))</f>
        <v>#N/A</v>
      </c>
      <c r="V848" s="119"/>
    </row>
    <row r="849" spans="2:22">
      <c r="B849" s="47"/>
      <c r="C849" s="35"/>
      <c r="D849" s="53"/>
      <c r="E849" s="53"/>
      <c r="F849" s="48"/>
      <c r="G849" s="243" t="e">
        <f>INDEX('calcolo base'!$B:$B, MATCH($A849, 'calcolo base'!$A:$A, 0))</f>
        <v>#N/A</v>
      </c>
      <c r="H849" s="54" t="e">
        <f t="shared" si="156"/>
        <v>#N/A</v>
      </c>
      <c r="I849" s="259" t="e">
        <f>IF(  OR(      INDEX('calcolo base'!$D:$D, MATCH($A849, 'calcolo base'!$A:$A, 0)) = 0,
      INDEX('calcolo base'!$D:$D, MATCH($A849, 'calcolo base'!$A:$A, 0)) = ""   ),
   INDEX('calcolo base'!$K:$K, MATCH($A849, 'calcolo base'!$A:$A, 0)),
   INDEX('calcolo base'!$J:$J, MATCH($A849, 'calcolo base'!$A:$A, 0))
) / 1000</f>
        <v>#N/A</v>
      </c>
      <c r="J849" s="50" t="e">
        <f t="shared" si="157"/>
        <v>#N/A</v>
      </c>
      <c r="K849" s="50"/>
      <c r="L849" s="267" t="e">
        <f>INDEX('calcolo base'!$H:$H, MATCH($A849, 'calcolo base'!$A:$A, 0))</f>
        <v>#N/A</v>
      </c>
      <c r="M849" s="50" t="e">
        <f t="shared" si="158"/>
        <v>#N/A</v>
      </c>
      <c r="N849" s="50" t="e">
        <f t="shared" si="159"/>
        <v>#N/A</v>
      </c>
      <c r="O849" s="50" t="e">
        <f t="shared" si="160"/>
        <v>#N/A</v>
      </c>
      <c r="P849" s="50" t="e">
        <f t="shared" si="161"/>
        <v>#N/A</v>
      </c>
      <c r="Q849" s="51" t="e">
        <f t="shared" si="162"/>
        <v>#N/A</v>
      </c>
      <c r="R849" s="205" t="e">
        <f t="shared" si="163"/>
        <v>#N/A</v>
      </c>
      <c r="S849" s="279" t="e">
        <f>IF(R849="si",0,IF(E849="si",0,IF(J849&gt;K849,0,+K849-J849)))+IF('calcolo base'!P2309="SI",('Commissioni De Angeli'!K849-'Commissioni De Angeli'!J849),0)</f>
        <v>#N/A</v>
      </c>
      <c r="T849" s="117" t="e">
        <f t="shared" si="164"/>
        <v>#N/A</v>
      </c>
      <c r="U849" s="272" t="e">
        <f>IF(Q849=0,'calcolo base'!L3448,(T849+Q849))</f>
        <v>#N/A</v>
      </c>
      <c r="V849" s="119"/>
    </row>
    <row r="850" spans="2:22">
      <c r="B850" s="47"/>
      <c r="C850" s="35"/>
      <c r="D850" s="53"/>
      <c r="E850" s="53"/>
      <c r="F850" s="48"/>
      <c r="G850" s="243" t="e">
        <f>INDEX('calcolo base'!$B:$B, MATCH($A850, 'calcolo base'!$A:$A, 0))</f>
        <v>#N/A</v>
      </c>
      <c r="H850" s="54" t="e">
        <f t="shared" si="156"/>
        <v>#N/A</v>
      </c>
      <c r="I850" s="259" t="e">
        <f>IF(  OR(      INDEX('calcolo base'!$D:$D, MATCH($A850, 'calcolo base'!$A:$A, 0)) = 0,
      INDEX('calcolo base'!$D:$D, MATCH($A850, 'calcolo base'!$A:$A, 0)) = ""   ),
   INDEX('calcolo base'!$K:$K, MATCH($A850, 'calcolo base'!$A:$A, 0)),
   INDEX('calcolo base'!$J:$J, MATCH($A850, 'calcolo base'!$A:$A, 0))
) / 1000</f>
        <v>#N/A</v>
      </c>
      <c r="J850" s="50" t="e">
        <f t="shared" si="157"/>
        <v>#N/A</v>
      </c>
      <c r="K850" s="50"/>
      <c r="L850" s="267" t="e">
        <f>INDEX('calcolo base'!$H:$H, MATCH($A850, 'calcolo base'!$A:$A, 0))</f>
        <v>#N/A</v>
      </c>
      <c r="M850" s="50" t="e">
        <f t="shared" si="158"/>
        <v>#N/A</v>
      </c>
      <c r="N850" s="50" t="e">
        <f t="shared" si="159"/>
        <v>#N/A</v>
      </c>
      <c r="O850" s="50" t="e">
        <f t="shared" si="160"/>
        <v>#N/A</v>
      </c>
      <c r="P850" s="50" t="e">
        <f t="shared" si="161"/>
        <v>#N/A</v>
      </c>
      <c r="Q850" s="51" t="e">
        <f t="shared" si="162"/>
        <v>#N/A</v>
      </c>
      <c r="R850" s="205" t="e">
        <f t="shared" si="163"/>
        <v>#N/A</v>
      </c>
      <c r="S850" s="279" t="e">
        <f>IF(R850="si",0,IF(E850="si",0,IF(J850&gt;K850,0,+K850-J850)))+IF('calcolo base'!P2310="SI",('Commissioni De Angeli'!K850-'Commissioni De Angeli'!J850),0)</f>
        <v>#N/A</v>
      </c>
      <c r="T850" s="117" t="e">
        <f t="shared" si="164"/>
        <v>#N/A</v>
      </c>
      <c r="U850" s="272" t="e">
        <f>IF(Q850=0,'calcolo base'!L3449,(T850+Q850))</f>
        <v>#N/A</v>
      </c>
      <c r="V850" s="119"/>
    </row>
    <row r="851" spans="2:22">
      <c r="B851" s="47"/>
      <c r="C851" s="35"/>
      <c r="D851" s="53"/>
      <c r="E851" s="53"/>
      <c r="F851" s="48"/>
      <c r="G851" s="243" t="e">
        <f>INDEX('calcolo base'!$B:$B, MATCH($A851, 'calcolo base'!$A:$A, 0))</f>
        <v>#N/A</v>
      </c>
      <c r="H851" s="54" t="e">
        <f t="shared" si="156"/>
        <v>#N/A</v>
      </c>
      <c r="I851" s="259" t="e">
        <f>IF(  OR(      INDEX('calcolo base'!$D:$D, MATCH($A851, 'calcolo base'!$A:$A, 0)) = 0,
      INDEX('calcolo base'!$D:$D, MATCH($A851, 'calcolo base'!$A:$A, 0)) = ""   ),
   INDEX('calcolo base'!$K:$K, MATCH($A851, 'calcolo base'!$A:$A, 0)),
   INDEX('calcolo base'!$J:$J, MATCH($A851, 'calcolo base'!$A:$A, 0))
) / 1000</f>
        <v>#N/A</v>
      </c>
      <c r="J851" s="50" t="e">
        <f t="shared" si="157"/>
        <v>#N/A</v>
      </c>
      <c r="K851" s="50"/>
      <c r="L851" s="267" t="e">
        <f>INDEX('calcolo base'!$H:$H, MATCH($A851, 'calcolo base'!$A:$A, 0))</f>
        <v>#N/A</v>
      </c>
      <c r="M851" s="50" t="e">
        <f t="shared" si="158"/>
        <v>#N/A</v>
      </c>
      <c r="N851" s="50" t="e">
        <f t="shared" si="159"/>
        <v>#N/A</v>
      </c>
      <c r="O851" s="50" t="e">
        <f t="shared" si="160"/>
        <v>#N/A</v>
      </c>
      <c r="P851" s="50" t="e">
        <f t="shared" si="161"/>
        <v>#N/A</v>
      </c>
      <c r="Q851" s="51" t="e">
        <f t="shared" si="162"/>
        <v>#N/A</v>
      </c>
      <c r="R851" s="205" t="e">
        <f t="shared" si="163"/>
        <v>#N/A</v>
      </c>
      <c r="S851" s="279" t="e">
        <f>IF(R851="si",0,IF(E851="si",0,IF(J851&gt;K851,0,+K851-J851)))+IF('calcolo base'!P2311="SI",('Commissioni De Angeli'!K851-'Commissioni De Angeli'!J851),0)</f>
        <v>#N/A</v>
      </c>
      <c r="T851" s="117" t="e">
        <f t="shared" si="164"/>
        <v>#N/A</v>
      </c>
      <c r="U851" s="272" t="e">
        <f>IF(Q851=0,'calcolo base'!L3450,(T851+Q851))</f>
        <v>#N/A</v>
      </c>
      <c r="V851" s="119"/>
    </row>
    <row r="852" spans="2:22">
      <c r="B852" s="47"/>
      <c r="C852" s="35"/>
      <c r="D852" s="53"/>
      <c r="E852" s="53"/>
      <c r="F852" s="48"/>
      <c r="G852" s="243" t="e">
        <f>INDEX('calcolo base'!$B:$B, MATCH($A852, 'calcolo base'!$A:$A, 0))</f>
        <v>#N/A</v>
      </c>
      <c r="H852" s="54" t="e">
        <f t="shared" si="156"/>
        <v>#N/A</v>
      </c>
      <c r="I852" s="259" t="e">
        <f>IF(  OR(      INDEX('calcolo base'!$D:$D, MATCH($A852, 'calcolo base'!$A:$A, 0)) = 0,
      INDEX('calcolo base'!$D:$D, MATCH($A852, 'calcolo base'!$A:$A, 0)) = ""   ),
   INDEX('calcolo base'!$K:$K, MATCH($A852, 'calcolo base'!$A:$A, 0)),
   INDEX('calcolo base'!$J:$J, MATCH($A852, 'calcolo base'!$A:$A, 0))
) / 1000</f>
        <v>#N/A</v>
      </c>
      <c r="J852" s="50" t="e">
        <f t="shared" si="157"/>
        <v>#N/A</v>
      </c>
      <c r="K852" s="50"/>
      <c r="L852" s="267" t="e">
        <f>INDEX('calcolo base'!$H:$H, MATCH($A852, 'calcolo base'!$A:$A, 0))</f>
        <v>#N/A</v>
      </c>
      <c r="M852" s="50" t="e">
        <f t="shared" si="158"/>
        <v>#N/A</v>
      </c>
      <c r="N852" s="50" t="e">
        <f t="shared" si="159"/>
        <v>#N/A</v>
      </c>
      <c r="O852" s="50" t="e">
        <f t="shared" si="160"/>
        <v>#N/A</v>
      </c>
      <c r="P852" s="50" t="e">
        <f t="shared" si="161"/>
        <v>#N/A</v>
      </c>
      <c r="Q852" s="51" t="e">
        <f t="shared" si="162"/>
        <v>#N/A</v>
      </c>
      <c r="R852" s="205" t="e">
        <f t="shared" si="163"/>
        <v>#N/A</v>
      </c>
      <c r="S852" s="279" t="e">
        <f>IF(R852="si",0,IF(E852="si",0,IF(J852&gt;K852,0,+K852-J852)))+IF('calcolo base'!P2312="SI",('Commissioni De Angeli'!K852-'Commissioni De Angeli'!J852),0)</f>
        <v>#N/A</v>
      </c>
      <c r="T852" s="117" t="e">
        <f t="shared" si="164"/>
        <v>#N/A</v>
      </c>
      <c r="U852" s="272" t="e">
        <f>IF(Q852=0,'calcolo base'!L3451,(T852+Q852))</f>
        <v>#N/A</v>
      </c>
      <c r="V852" s="119"/>
    </row>
    <row r="853" spans="2:22">
      <c r="B853" s="47"/>
      <c r="C853" s="35"/>
      <c r="D853" s="53"/>
      <c r="E853" s="53"/>
      <c r="F853" s="48"/>
      <c r="G853" s="243" t="e">
        <f>INDEX('calcolo base'!$B:$B, MATCH($A853, 'calcolo base'!$A:$A, 0))</f>
        <v>#N/A</v>
      </c>
      <c r="H853" s="54" t="e">
        <f t="shared" si="156"/>
        <v>#N/A</v>
      </c>
      <c r="I853" s="259" t="e">
        <f>IF(  OR(      INDEX('calcolo base'!$D:$D, MATCH($A853, 'calcolo base'!$A:$A, 0)) = 0,
      INDEX('calcolo base'!$D:$D, MATCH($A853, 'calcolo base'!$A:$A, 0)) = ""   ),
   INDEX('calcolo base'!$K:$K, MATCH($A853, 'calcolo base'!$A:$A, 0)),
   INDEX('calcolo base'!$J:$J, MATCH($A853, 'calcolo base'!$A:$A, 0))
) / 1000</f>
        <v>#N/A</v>
      </c>
      <c r="J853" s="50" t="e">
        <f t="shared" si="157"/>
        <v>#N/A</v>
      </c>
      <c r="K853" s="50"/>
      <c r="L853" s="267" t="e">
        <f>INDEX('calcolo base'!$H:$H, MATCH($A853, 'calcolo base'!$A:$A, 0))</f>
        <v>#N/A</v>
      </c>
      <c r="M853" s="50" t="e">
        <f t="shared" si="158"/>
        <v>#N/A</v>
      </c>
      <c r="N853" s="50" t="e">
        <f t="shared" si="159"/>
        <v>#N/A</v>
      </c>
      <c r="O853" s="50" t="e">
        <f t="shared" si="160"/>
        <v>#N/A</v>
      </c>
      <c r="P853" s="50" t="e">
        <f t="shared" si="161"/>
        <v>#N/A</v>
      </c>
      <c r="Q853" s="51" t="e">
        <f t="shared" si="162"/>
        <v>#N/A</v>
      </c>
      <c r="R853" s="205" t="e">
        <f t="shared" si="163"/>
        <v>#N/A</v>
      </c>
      <c r="S853" s="279" t="e">
        <f>IF(R853="si",0,IF(E853="si",0,IF(J853&gt;K853,0,+K853-J853)))+IF('calcolo base'!P2313="SI",('Commissioni De Angeli'!K853-'Commissioni De Angeli'!J853),0)</f>
        <v>#N/A</v>
      </c>
      <c r="T853" s="117" t="e">
        <f t="shared" si="164"/>
        <v>#N/A</v>
      </c>
      <c r="U853" s="272" t="e">
        <f>IF(Q853=0,'calcolo base'!L3452,(T853+Q853))</f>
        <v>#N/A</v>
      </c>
      <c r="V853" s="119"/>
    </row>
    <row r="854" spans="2:22">
      <c r="B854" s="47"/>
      <c r="C854" s="35"/>
      <c r="D854" s="53"/>
      <c r="E854" s="53"/>
      <c r="F854" s="48"/>
      <c r="G854" s="243" t="e">
        <f>INDEX('calcolo base'!$B:$B, MATCH($A854, 'calcolo base'!$A:$A, 0))</f>
        <v>#N/A</v>
      </c>
      <c r="H854" s="54" t="e">
        <f t="shared" si="156"/>
        <v>#N/A</v>
      </c>
      <c r="I854" s="259" t="e">
        <f>IF(  OR(      INDEX('calcolo base'!$D:$D, MATCH($A854, 'calcolo base'!$A:$A, 0)) = 0,
      INDEX('calcolo base'!$D:$D, MATCH($A854, 'calcolo base'!$A:$A, 0)) = ""   ),
   INDEX('calcolo base'!$K:$K, MATCH($A854, 'calcolo base'!$A:$A, 0)),
   INDEX('calcolo base'!$J:$J, MATCH($A854, 'calcolo base'!$A:$A, 0))
) / 1000</f>
        <v>#N/A</v>
      </c>
      <c r="J854" s="50" t="e">
        <f t="shared" si="157"/>
        <v>#N/A</v>
      </c>
      <c r="K854" s="50"/>
      <c r="L854" s="267" t="e">
        <f>INDEX('calcolo base'!$H:$H, MATCH($A854, 'calcolo base'!$A:$A, 0))</f>
        <v>#N/A</v>
      </c>
      <c r="M854" s="50" t="e">
        <f t="shared" si="158"/>
        <v>#N/A</v>
      </c>
      <c r="N854" s="50" t="e">
        <f t="shared" si="159"/>
        <v>#N/A</v>
      </c>
      <c r="O854" s="50" t="e">
        <f t="shared" si="160"/>
        <v>#N/A</v>
      </c>
      <c r="P854" s="50" t="e">
        <f t="shared" si="161"/>
        <v>#N/A</v>
      </c>
      <c r="Q854" s="51" t="e">
        <f t="shared" si="162"/>
        <v>#N/A</v>
      </c>
      <c r="R854" s="205" t="e">
        <f t="shared" si="163"/>
        <v>#N/A</v>
      </c>
      <c r="S854" s="279" t="e">
        <f>IF(R854="si",0,IF(E854="si",0,IF(J854&gt;K854,0,+K854-J854)))+IF('calcolo base'!P2314="SI",('Commissioni De Angeli'!K854-'Commissioni De Angeli'!J854),0)</f>
        <v>#N/A</v>
      </c>
      <c r="T854" s="117" t="e">
        <f t="shared" si="164"/>
        <v>#N/A</v>
      </c>
      <c r="U854" s="272" t="e">
        <f>IF(Q854=0,'calcolo base'!L3453,(T854+Q854))</f>
        <v>#N/A</v>
      </c>
      <c r="V854" s="119"/>
    </row>
    <row r="855" spans="2:22">
      <c r="B855" s="47"/>
      <c r="C855" s="35"/>
      <c r="D855" s="53"/>
      <c r="E855" s="53"/>
      <c r="F855" s="48"/>
      <c r="G855" s="243" t="e">
        <f>INDEX('calcolo base'!$B:$B, MATCH($A855, 'calcolo base'!$A:$A, 0))</f>
        <v>#N/A</v>
      </c>
      <c r="H855" s="54" t="e">
        <f t="shared" si="156"/>
        <v>#N/A</v>
      </c>
      <c r="I855" s="259" t="e">
        <f>IF(  OR(      INDEX('calcolo base'!$D:$D, MATCH($A855, 'calcolo base'!$A:$A, 0)) = 0,
      INDEX('calcolo base'!$D:$D, MATCH($A855, 'calcolo base'!$A:$A, 0)) = ""   ),
   INDEX('calcolo base'!$K:$K, MATCH($A855, 'calcolo base'!$A:$A, 0)),
   INDEX('calcolo base'!$J:$J, MATCH($A855, 'calcolo base'!$A:$A, 0))
) / 1000</f>
        <v>#N/A</v>
      </c>
      <c r="J855" s="50" t="e">
        <f t="shared" si="157"/>
        <v>#N/A</v>
      </c>
      <c r="K855" s="50"/>
      <c r="L855" s="267" t="e">
        <f>INDEX('calcolo base'!$H:$H, MATCH($A855, 'calcolo base'!$A:$A, 0))</f>
        <v>#N/A</v>
      </c>
      <c r="M855" s="50" t="e">
        <f t="shared" si="158"/>
        <v>#N/A</v>
      </c>
      <c r="N855" s="50" t="e">
        <f t="shared" si="159"/>
        <v>#N/A</v>
      </c>
      <c r="O855" s="50" t="e">
        <f t="shared" si="160"/>
        <v>#N/A</v>
      </c>
      <c r="P855" s="50" t="e">
        <f t="shared" si="161"/>
        <v>#N/A</v>
      </c>
      <c r="Q855" s="51" t="e">
        <f t="shared" si="162"/>
        <v>#N/A</v>
      </c>
      <c r="R855" s="205" t="e">
        <f t="shared" si="163"/>
        <v>#N/A</v>
      </c>
      <c r="S855" s="279" t="e">
        <f>IF(R855="si",0,IF(E855="si",0,IF(J855&gt;K855,0,+K855-J855)))+IF('calcolo base'!P2315="SI",('Commissioni De Angeli'!K855-'Commissioni De Angeli'!J855),0)</f>
        <v>#N/A</v>
      </c>
      <c r="T855" s="117" t="e">
        <f t="shared" si="164"/>
        <v>#N/A</v>
      </c>
      <c r="U855" s="272" t="e">
        <f>IF(Q855=0,'calcolo base'!L3454,(T855+Q855))</f>
        <v>#N/A</v>
      </c>
      <c r="V855" s="119"/>
    </row>
    <row r="856" spans="2:22">
      <c r="B856" s="47"/>
      <c r="C856" s="35"/>
      <c r="D856" s="53"/>
      <c r="E856" s="53"/>
      <c r="F856" s="48"/>
      <c r="G856" s="243" t="e">
        <f>INDEX('calcolo base'!$B:$B, MATCH($A856, 'calcolo base'!$A:$A, 0))</f>
        <v>#N/A</v>
      </c>
      <c r="H856" s="54" t="e">
        <f t="shared" si="156"/>
        <v>#N/A</v>
      </c>
      <c r="I856" s="259" t="e">
        <f>IF(  OR(      INDEX('calcolo base'!$D:$D, MATCH($A856, 'calcolo base'!$A:$A, 0)) = 0,
      INDEX('calcolo base'!$D:$D, MATCH($A856, 'calcolo base'!$A:$A, 0)) = ""   ),
   INDEX('calcolo base'!$K:$K, MATCH($A856, 'calcolo base'!$A:$A, 0)),
   INDEX('calcolo base'!$J:$J, MATCH($A856, 'calcolo base'!$A:$A, 0))
) / 1000</f>
        <v>#N/A</v>
      </c>
      <c r="J856" s="50" t="e">
        <f t="shared" si="157"/>
        <v>#N/A</v>
      </c>
      <c r="K856" s="50"/>
      <c r="L856" s="267" t="e">
        <f>INDEX('calcolo base'!$H:$H, MATCH($A856, 'calcolo base'!$A:$A, 0))</f>
        <v>#N/A</v>
      </c>
      <c r="M856" s="50" t="e">
        <f t="shared" si="158"/>
        <v>#N/A</v>
      </c>
      <c r="N856" s="50" t="e">
        <f t="shared" si="159"/>
        <v>#N/A</v>
      </c>
      <c r="O856" s="50" t="e">
        <f t="shared" si="160"/>
        <v>#N/A</v>
      </c>
      <c r="P856" s="50" t="e">
        <f t="shared" si="161"/>
        <v>#N/A</v>
      </c>
      <c r="Q856" s="51" t="e">
        <f t="shared" si="162"/>
        <v>#N/A</v>
      </c>
      <c r="R856" s="205" t="e">
        <f t="shared" si="163"/>
        <v>#N/A</v>
      </c>
      <c r="S856" s="279" t="e">
        <f>IF(R856="si",0,IF(E856="si",0,IF(J856&gt;K856,0,+K856-J856)))+IF('calcolo base'!P2316="SI",('Commissioni De Angeli'!K856-'Commissioni De Angeli'!J856),0)</f>
        <v>#N/A</v>
      </c>
      <c r="T856" s="117" t="e">
        <f t="shared" si="164"/>
        <v>#N/A</v>
      </c>
      <c r="U856" s="272" t="e">
        <f>IF(Q856=0,'calcolo base'!L3455,(T856+Q856))</f>
        <v>#N/A</v>
      </c>
      <c r="V856" s="119"/>
    </row>
    <row r="857" spans="2:22">
      <c r="B857" s="47"/>
      <c r="C857" s="35"/>
      <c r="D857" s="53"/>
      <c r="E857" s="53"/>
      <c r="F857" s="48"/>
      <c r="G857" s="243" t="e">
        <f>INDEX('calcolo base'!$B:$B, MATCH($A857, 'calcolo base'!$A:$A, 0))</f>
        <v>#N/A</v>
      </c>
      <c r="H857" s="54" t="e">
        <f t="shared" si="156"/>
        <v>#N/A</v>
      </c>
      <c r="I857" s="259" t="e">
        <f>IF(  OR(      INDEX('calcolo base'!$D:$D, MATCH($A857, 'calcolo base'!$A:$A, 0)) = 0,
      INDEX('calcolo base'!$D:$D, MATCH($A857, 'calcolo base'!$A:$A, 0)) = ""   ),
   INDEX('calcolo base'!$K:$K, MATCH($A857, 'calcolo base'!$A:$A, 0)),
   INDEX('calcolo base'!$J:$J, MATCH($A857, 'calcolo base'!$A:$A, 0))
) / 1000</f>
        <v>#N/A</v>
      </c>
      <c r="J857" s="50" t="e">
        <f t="shared" si="157"/>
        <v>#N/A</v>
      </c>
      <c r="K857" s="50"/>
      <c r="L857" s="267" t="e">
        <f>INDEX('calcolo base'!$H:$H, MATCH($A857, 'calcolo base'!$A:$A, 0))</f>
        <v>#N/A</v>
      </c>
      <c r="M857" s="50" t="e">
        <f t="shared" si="158"/>
        <v>#N/A</v>
      </c>
      <c r="N857" s="50" t="e">
        <f t="shared" si="159"/>
        <v>#N/A</v>
      </c>
      <c r="O857" s="50" t="e">
        <f t="shared" si="160"/>
        <v>#N/A</v>
      </c>
      <c r="P857" s="50" t="e">
        <f t="shared" si="161"/>
        <v>#N/A</v>
      </c>
      <c r="Q857" s="51" t="e">
        <f t="shared" si="162"/>
        <v>#N/A</v>
      </c>
      <c r="R857" s="205" t="e">
        <f t="shared" si="163"/>
        <v>#N/A</v>
      </c>
      <c r="S857" s="279" t="e">
        <f>IF(R857="si",0,IF(E857="si",0,IF(J857&gt;K857,0,+K857-J857)))+IF('calcolo base'!P2317="SI",('Commissioni De Angeli'!K857-'Commissioni De Angeli'!J857),0)</f>
        <v>#N/A</v>
      </c>
      <c r="T857" s="117" t="e">
        <f t="shared" si="164"/>
        <v>#N/A</v>
      </c>
      <c r="U857" s="272" t="e">
        <f>IF(Q857=0,'calcolo base'!L3456,(T857+Q857))</f>
        <v>#N/A</v>
      </c>
      <c r="V857" s="119"/>
    </row>
    <row r="858" spans="2:22">
      <c r="B858" s="47"/>
      <c r="C858" s="35"/>
      <c r="D858" s="53"/>
      <c r="E858" s="53"/>
      <c r="F858" s="48"/>
      <c r="G858" s="243" t="e">
        <f>INDEX('calcolo base'!$B:$B, MATCH($A858, 'calcolo base'!$A:$A, 0))</f>
        <v>#N/A</v>
      </c>
      <c r="H858" s="54" t="e">
        <f t="shared" si="156"/>
        <v>#N/A</v>
      </c>
      <c r="I858" s="259" t="e">
        <f>IF(  OR(      INDEX('calcolo base'!$D:$D, MATCH($A858, 'calcolo base'!$A:$A, 0)) = 0,
      INDEX('calcolo base'!$D:$D, MATCH($A858, 'calcolo base'!$A:$A, 0)) = ""   ),
   INDEX('calcolo base'!$K:$K, MATCH($A858, 'calcolo base'!$A:$A, 0)),
   INDEX('calcolo base'!$J:$J, MATCH($A858, 'calcolo base'!$A:$A, 0))
) / 1000</f>
        <v>#N/A</v>
      </c>
      <c r="J858" s="50" t="e">
        <f t="shared" si="157"/>
        <v>#N/A</v>
      </c>
      <c r="K858" s="50"/>
      <c r="L858" s="267" t="e">
        <f>INDEX('calcolo base'!$H:$H, MATCH($A858, 'calcolo base'!$A:$A, 0))</f>
        <v>#N/A</v>
      </c>
      <c r="M858" s="50" t="e">
        <f t="shared" si="158"/>
        <v>#N/A</v>
      </c>
      <c r="N858" s="50" t="e">
        <f t="shared" si="159"/>
        <v>#N/A</v>
      </c>
      <c r="O858" s="50" t="e">
        <f t="shared" si="160"/>
        <v>#N/A</v>
      </c>
      <c r="P858" s="50" t="e">
        <f t="shared" si="161"/>
        <v>#N/A</v>
      </c>
      <c r="Q858" s="51" t="e">
        <f t="shared" si="162"/>
        <v>#N/A</v>
      </c>
      <c r="R858" s="205" t="e">
        <f t="shared" si="163"/>
        <v>#N/A</v>
      </c>
      <c r="S858" s="279" t="e">
        <f>IF(R858="si",0,IF(E858="si",0,IF(J858&gt;K858,0,+K858-J858)))+IF('calcolo base'!P2318="SI",('Commissioni De Angeli'!K858-'Commissioni De Angeli'!J858),0)</f>
        <v>#N/A</v>
      </c>
      <c r="T858" s="117" t="e">
        <f t="shared" si="164"/>
        <v>#N/A</v>
      </c>
      <c r="U858" s="272" t="e">
        <f>IF(Q858=0,'calcolo base'!L3457,(T858+Q858))</f>
        <v>#N/A</v>
      </c>
      <c r="V858" s="119"/>
    </row>
    <row r="859" spans="2:22">
      <c r="B859" s="47"/>
      <c r="C859" s="35"/>
      <c r="D859" s="53"/>
      <c r="E859" s="53"/>
      <c r="F859" s="48"/>
      <c r="G859" s="243" t="e">
        <f>INDEX('calcolo base'!$B:$B, MATCH($A859, 'calcolo base'!$A:$A, 0))</f>
        <v>#N/A</v>
      </c>
      <c r="H859" s="54" t="e">
        <f t="shared" si="156"/>
        <v>#N/A</v>
      </c>
      <c r="I859" s="259" t="e">
        <f>IF(  OR(      INDEX('calcolo base'!$D:$D, MATCH($A859, 'calcolo base'!$A:$A, 0)) = 0,
      INDEX('calcolo base'!$D:$D, MATCH($A859, 'calcolo base'!$A:$A, 0)) = ""   ),
   INDEX('calcolo base'!$K:$K, MATCH($A859, 'calcolo base'!$A:$A, 0)),
   INDEX('calcolo base'!$J:$J, MATCH($A859, 'calcolo base'!$A:$A, 0))
) / 1000</f>
        <v>#N/A</v>
      </c>
      <c r="J859" s="50" t="e">
        <f t="shared" si="157"/>
        <v>#N/A</v>
      </c>
      <c r="K859" s="50"/>
      <c r="L859" s="267" t="e">
        <f>INDEX('calcolo base'!$H:$H, MATCH($A859, 'calcolo base'!$A:$A, 0))</f>
        <v>#N/A</v>
      </c>
      <c r="M859" s="50" t="e">
        <f t="shared" si="158"/>
        <v>#N/A</v>
      </c>
      <c r="N859" s="50" t="e">
        <f t="shared" si="159"/>
        <v>#N/A</v>
      </c>
      <c r="O859" s="50" t="e">
        <f t="shared" si="160"/>
        <v>#N/A</v>
      </c>
      <c r="P859" s="50" t="e">
        <f t="shared" si="161"/>
        <v>#N/A</v>
      </c>
      <c r="Q859" s="51" t="e">
        <f t="shared" si="162"/>
        <v>#N/A</v>
      </c>
      <c r="R859" s="205" t="e">
        <f t="shared" si="163"/>
        <v>#N/A</v>
      </c>
      <c r="S859" s="279" t="e">
        <f>IF(R859="si",0,IF(E859="si",0,IF(J859&gt;K859,0,+K859-J859)))+IF('calcolo base'!P2319="SI",('Commissioni De Angeli'!K859-'Commissioni De Angeli'!J859),0)</f>
        <v>#N/A</v>
      </c>
      <c r="T859" s="117" t="e">
        <f t="shared" si="164"/>
        <v>#N/A</v>
      </c>
      <c r="U859" s="272" t="e">
        <f>IF(Q859=0,'calcolo base'!L3458,(T859+Q859))</f>
        <v>#N/A</v>
      </c>
      <c r="V859" s="119"/>
    </row>
    <row r="860" spans="2:22">
      <c r="B860" s="47"/>
      <c r="C860" s="35"/>
      <c r="D860" s="53"/>
      <c r="E860" s="53"/>
      <c r="F860" s="48"/>
      <c r="G860" s="243" t="e">
        <f>INDEX('calcolo base'!$B:$B, MATCH($A860, 'calcolo base'!$A:$A, 0))</f>
        <v>#N/A</v>
      </c>
      <c r="H860" s="54" t="e">
        <f t="shared" si="156"/>
        <v>#N/A</v>
      </c>
      <c r="I860" s="259" t="e">
        <f>IF(  OR(      INDEX('calcolo base'!$D:$D, MATCH($A860, 'calcolo base'!$A:$A, 0)) = 0,
      INDEX('calcolo base'!$D:$D, MATCH($A860, 'calcolo base'!$A:$A, 0)) = ""   ),
   INDEX('calcolo base'!$K:$K, MATCH($A860, 'calcolo base'!$A:$A, 0)),
   INDEX('calcolo base'!$J:$J, MATCH($A860, 'calcolo base'!$A:$A, 0))
) / 1000</f>
        <v>#N/A</v>
      </c>
      <c r="J860" s="50" t="e">
        <f t="shared" si="157"/>
        <v>#N/A</v>
      </c>
      <c r="K860" s="50"/>
      <c r="L860" s="267" t="e">
        <f>INDEX('calcolo base'!$H:$H, MATCH($A860, 'calcolo base'!$A:$A, 0))</f>
        <v>#N/A</v>
      </c>
      <c r="M860" s="50" t="e">
        <f t="shared" si="158"/>
        <v>#N/A</v>
      </c>
      <c r="N860" s="50" t="e">
        <f t="shared" si="159"/>
        <v>#N/A</v>
      </c>
      <c r="O860" s="50" t="e">
        <f t="shared" si="160"/>
        <v>#N/A</v>
      </c>
      <c r="P860" s="50" t="e">
        <f t="shared" si="161"/>
        <v>#N/A</v>
      </c>
      <c r="Q860" s="51" t="e">
        <f t="shared" si="162"/>
        <v>#N/A</v>
      </c>
      <c r="R860" s="205" t="e">
        <f t="shared" si="163"/>
        <v>#N/A</v>
      </c>
      <c r="S860" s="279" t="e">
        <f>IF(R860="si",0,IF(E860="si",0,IF(J860&gt;K860,0,+K860-J860)))+IF('calcolo base'!P2320="SI",('Commissioni De Angeli'!K860-'Commissioni De Angeli'!J860),0)</f>
        <v>#N/A</v>
      </c>
      <c r="T860" s="117" t="e">
        <f t="shared" si="164"/>
        <v>#N/A</v>
      </c>
      <c r="U860" s="272" t="e">
        <f>IF(Q860=0,'calcolo base'!L3459,(T860+Q860))</f>
        <v>#N/A</v>
      </c>
      <c r="V860" s="119"/>
    </row>
    <row r="861" spans="2:22">
      <c r="B861" s="47"/>
      <c r="C861" s="35"/>
      <c r="D861" s="53"/>
      <c r="E861" s="53"/>
      <c r="F861" s="48"/>
      <c r="G861" s="243" t="e">
        <f>INDEX('calcolo base'!$B:$B, MATCH($A861, 'calcolo base'!$A:$A, 0))</f>
        <v>#N/A</v>
      </c>
      <c r="H861" s="54" t="e">
        <f t="shared" si="156"/>
        <v>#N/A</v>
      </c>
      <c r="I861" s="259" t="e">
        <f>IF(  OR(      INDEX('calcolo base'!$D:$D, MATCH($A861, 'calcolo base'!$A:$A, 0)) = 0,
      INDEX('calcolo base'!$D:$D, MATCH($A861, 'calcolo base'!$A:$A, 0)) = ""   ),
   INDEX('calcolo base'!$K:$K, MATCH($A861, 'calcolo base'!$A:$A, 0)),
   INDEX('calcolo base'!$J:$J, MATCH($A861, 'calcolo base'!$A:$A, 0))
) / 1000</f>
        <v>#N/A</v>
      </c>
      <c r="J861" s="50" t="e">
        <f t="shared" si="157"/>
        <v>#N/A</v>
      </c>
      <c r="K861" s="50"/>
      <c r="L861" s="267" t="e">
        <f>INDEX('calcolo base'!$H:$H, MATCH($A861, 'calcolo base'!$A:$A, 0))</f>
        <v>#N/A</v>
      </c>
      <c r="M861" s="50" t="e">
        <f t="shared" si="158"/>
        <v>#N/A</v>
      </c>
      <c r="N861" s="50" t="e">
        <f t="shared" si="159"/>
        <v>#N/A</v>
      </c>
      <c r="O861" s="50" t="e">
        <f t="shared" si="160"/>
        <v>#N/A</v>
      </c>
      <c r="P861" s="50" t="e">
        <f t="shared" si="161"/>
        <v>#N/A</v>
      </c>
      <c r="Q861" s="51" t="e">
        <f t="shared" si="162"/>
        <v>#N/A</v>
      </c>
      <c r="R861" s="205" t="e">
        <f t="shared" si="163"/>
        <v>#N/A</v>
      </c>
      <c r="S861" s="279" t="e">
        <f>IF(R861="si",0,IF(E861="si",0,IF(J861&gt;K861,0,+K861-J861)))+IF('calcolo base'!P2321="SI",('Commissioni De Angeli'!K861-'Commissioni De Angeli'!J861),0)</f>
        <v>#N/A</v>
      </c>
      <c r="T861" s="117" t="e">
        <f t="shared" si="164"/>
        <v>#N/A</v>
      </c>
      <c r="U861" s="272" t="e">
        <f>IF(Q861=0,'calcolo base'!L3460,(T861+Q861))</f>
        <v>#N/A</v>
      </c>
      <c r="V861" s="119"/>
    </row>
    <row r="862" spans="2:22">
      <c r="B862" s="47"/>
      <c r="C862" s="35"/>
      <c r="D862" s="53"/>
      <c r="E862" s="53"/>
      <c r="F862" s="48"/>
      <c r="G862" s="243" t="e">
        <f>INDEX('calcolo base'!$B:$B, MATCH($A862, 'calcolo base'!$A:$A, 0))</f>
        <v>#N/A</v>
      </c>
      <c r="H862" s="54" t="e">
        <f t="shared" si="156"/>
        <v>#N/A</v>
      </c>
      <c r="I862" s="259" t="e">
        <f>IF(  OR(      INDEX('calcolo base'!$D:$D, MATCH($A862, 'calcolo base'!$A:$A, 0)) = 0,
      INDEX('calcolo base'!$D:$D, MATCH($A862, 'calcolo base'!$A:$A, 0)) = ""   ),
   INDEX('calcolo base'!$K:$K, MATCH($A862, 'calcolo base'!$A:$A, 0)),
   INDEX('calcolo base'!$J:$J, MATCH($A862, 'calcolo base'!$A:$A, 0))
) / 1000</f>
        <v>#N/A</v>
      </c>
      <c r="J862" s="50" t="e">
        <f t="shared" si="157"/>
        <v>#N/A</v>
      </c>
      <c r="K862" s="50"/>
      <c r="L862" s="267" t="e">
        <f>INDEX('calcolo base'!$H:$H, MATCH($A862, 'calcolo base'!$A:$A, 0))</f>
        <v>#N/A</v>
      </c>
      <c r="M862" s="50" t="e">
        <f t="shared" si="158"/>
        <v>#N/A</v>
      </c>
      <c r="N862" s="50" t="e">
        <f t="shared" si="159"/>
        <v>#N/A</v>
      </c>
      <c r="O862" s="50" t="e">
        <f t="shared" si="160"/>
        <v>#N/A</v>
      </c>
      <c r="P862" s="50" t="e">
        <f t="shared" si="161"/>
        <v>#N/A</v>
      </c>
      <c r="Q862" s="51" t="e">
        <f t="shared" si="162"/>
        <v>#N/A</v>
      </c>
      <c r="R862" s="205" t="e">
        <f t="shared" si="163"/>
        <v>#N/A</v>
      </c>
      <c r="S862" s="279" t="e">
        <f>IF(R862="si",0,IF(E862="si",0,IF(J862&gt;K862,0,+K862-J862)))+IF('calcolo base'!P2322="SI",('Commissioni De Angeli'!K862-'Commissioni De Angeli'!J862),0)</f>
        <v>#N/A</v>
      </c>
      <c r="T862" s="117" t="e">
        <f t="shared" si="164"/>
        <v>#N/A</v>
      </c>
      <c r="U862" s="272" t="e">
        <f>IF(Q862=0,'calcolo base'!L3461,(T862+Q862))</f>
        <v>#N/A</v>
      </c>
      <c r="V862" s="119"/>
    </row>
    <row r="863" spans="2:22">
      <c r="B863" s="47"/>
      <c r="C863" s="35"/>
      <c r="D863" s="53"/>
      <c r="E863" s="53"/>
      <c r="F863" s="48"/>
      <c r="G863" s="243" t="e">
        <f>INDEX('calcolo base'!$B:$B, MATCH($A863, 'calcolo base'!$A:$A, 0))</f>
        <v>#N/A</v>
      </c>
      <c r="H863" s="54" t="e">
        <f t="shared" si="156"/>
        <v>#N/A</v>
      </c>
      <c r="I863" s="259" t="e">
        <f>IF(  OR(      INDEX('calcolo base'!$D:$D, MATCH($A863, 'calcolo base'!$A:$A, 0)) = 0,
      INDEX('calcolo base'!$D:$D, MATCH($A863, 'calcolo base'!$A:$A, 0)) = ""   ),
   INDEX('calcolo base'!$K:$K, MATCH($A863, 'calcolo base'!$A:$A, 0)),
   INDEX('calcolo base'!$J:$J, MATCH($A863, 'calcolo base'!$A:$A, 0))
) / 1000</f>
        <v>#N/A</v>
      </c>
      <c r="J863" s="50" t="e">
        <f t="shared" si="157"/>
        <v>#N/A</v>
      </c>
      <c r="K863" s="50"/>
      <c r="L863" s="267" t="e">
        <f>INDEX('calcolo base'!$H:$H, MATCH($A863, 'calcolo base'!$A:$A, 0))</f>
        <v>#N/A</v>
      </c>
      <c r="M863" s="50" t="e">
        <f t="shared" si="158"/>
        <v>#N/A</v>
      </c>
      <c r="N863" s="50" t="e">
        <f t="shared" si="159"/>
        <v>#N/A</v>
      </c>
      <c r="O863" s="50" t="e">
        <f t="shared" si="160"/>
        <v>#N/A</v>
      </c>
      <c r="P863" s="50" t="e">
        <f t="shared" si="161"/>
        <v>#N/A</v>
      </c>
      <c r="Q863" s="51" t="e">
        <f t="shared" si="162"/>
        <v>#N/A</v>
      </c>
      <c r="R863" s="205" t="e">
        <f t="shared" si="163"/>
        <v>#N/A</v>
      </c>
      <c r="S863" s="279" t="e">
        <f>IF(R863="si",0,IF(E863="si",0,IF(J863&gt;K863,0,+K863-J863)))+IF('calcolo base'!P2323="SI",('Commissioni De Angeli'!K863-'Commissioni De Angeli'!J863),0)</f>
        <v>#N/A</v>
      </c>
      <c r="T863" s="117" t="e">
        <f t="shared" si="164"/>
        <v>#N/A</v>
      </c>
      <c r="U863" s="272" t="e">
        <f>IF(Q863=0,'calcolo base'!L3462,(T863+Q863))</f>
        <v>#N/A</v>
      </c>
      <c r="V863" s="119"/>
    </row>
    <row r="864" spans="2:22">
      <c r="B864" s="47"/>
      <c r="C864" s="35"/>
      <c r="D864" s="53"/>
      <c r="E864" s="53"/>
      <c r="F864" s="48"/>
      <c r="G864" s="243" t="e">
        <f>INDEX('calcolo base'!$B:$B, MATCH($A864, 'calcolo base'!$A:$A, 0))</f>
        <v>#N/A</v>
      </c>
      <c r="H864" s="54" t="e">
        <f t="shared" si="156"/>
        <v>#N/A</v>
      </c>
      <c r="I864" s="259" t="e">
        <f>IF(  OR(      INDEX('calcolo base'!$D:$D, MATCH($A864, 'calcolo base'!$A:$A, 0)) = 0,
      INDEX('calcolo base'!$D:$D, MATCH($A864, 'calcolo base'!$A:$A, 0)) = ""   ),
   INDEX('calcolo base'!$K:$K, MATCH($A864, 'calcolo base'!$A:$A, 0)),
   INDEX('calcolo base'!$J:$J, MATCH($A864, 'calcolo base'!$A:$A, 0))
) / 1000</f>
        <v>#N/A</v>
      </c>
      <c r="J864" s="50" t="e">
        <f t="shared" si="157"/>
        <v>#N/A</v>
      </c>
      <c r="K864" s="50"/>
      <c r="L864" s="267" t="e">
        <f>INDEX('calcolo base'!$H:$H, MATCH($A864, 'calcolo base'!$A:$A, 0))</f>
        <v>#N/A</v>
      </c>
      <c r="M864" s="50" t="e">
        <f t="shared" si="158"/>
        <v>#N/A</v>
      </c>
      <c r="N864" s="50" t="e">
        <f t="shared" si="159"/>
        <v>#N/A</v>
      </c>
      <c r="O864" s="50" t="e">
        <f t="shared" si="160"/>
        <v>#N/A</v>
      </c>
      <c r="P864" s="50" t="e">
        <f t="shared" si="161"/>
        <v>#N/A</v>
      </c>
      <c r="Q864" s="51" t="e">
        <f t="shared" si="162"/>
        <v>#N/A</v>
      </c>
      <c r="R864" s="205" t="e">
        <f t="shared" si="163"/>
        <v>#N/A</v>
      </c>
      <c r="S864" s="279" t="e">
        <f>IF(R864="si",0,IF(E864="si",0,IF(J864&gt;K864,0,+K864-J864)))+IF('calcolo base'!P2324="SI",('Commissioni De Angeli'!K864-'Commissioni De Angeli'!J864),0)</f>
        <v>#N/A</v>
      </c>
      <c r="T864" s="117" t="e">
        <f t="shared" si="164"/>
        <v>#N/A</v>
      </c>
      <c r="U864" s="272" t="e">
        <f>IF(Q864=0,'calcolo base'!L3463,(T864+Q864))</f>
        <v>#N/A</v>
      </c>
      <c r="V864" s="119"/>
    </row>
    <row r="865" spans="2:22">
      <c r="B865" s="47"/>
      <c r="C865" s="35"/>
      <c r="D865" s="53"/>
      <c r="E865" s="53"/>
      <c r="F865" s="48"/>
      <c r="G865" s="243" t="e">
        <f>INDEX('calcolo base'!$B:$B, MATCH($A865, 'calcolo base'!$A:$A, 0))</f>
        <v>#N/A</v>
      </c>
      <c r="H865" s="54" t="e">
        <f t="shared" si="156"/>
        <v>#N/A</v>
      </c>
      <c r="I865" s="259" t="e">
        <f>IF(  OR(      INDEX('calcolo base'!$D:$D, MATCH($A865, 'calcolo base'!$A:$A, 0)) = 0,
      INDEX('calcolo base'!$D:$D, MATCH($A865, 'calcolo base'!$A:$A, 0)) = ""   ),
   INDEX('calcolo base'!$K:$K, MATCH($A865, 'calcolo base'!$A:$A, 0)),
   INDEX('calcolo base'!$J:$J, MATCH($A865, 'calcolo base'!$A:$A, 0))
) / 1000</f>
        <v>#N/A</v>
      </c>
      <c r="J865" s="50" t="e">
        <f t="shared" si="157"/>
        <v>#N/A</v>
      </c>
      <c r="K865" s="50"/>
      <c r="L865" s="267" t="e">
        <f>INDEX('calcolo base'!$H:$H, MATCH($A865, 'calcolo base'!$A:$A, 0))</f>
        <v>#N/A</v>
      </c>
      <c r="M865" s="50" t="e">
        <f t="shared" si="158"/>
        <v>#N/A</v>
      </c>
      <c r="N865" s="50" t="e">
        <f t="shared" si="159"/>
        <v>#N/A</v>
      </c>
      <c r="O865" s="50" t="e">
        <f t="shared" si="160"/>
        <v>#N/A</v>
      </c>
      <c r="P865" s="50" t="e">
        <f t="shared" si="161"/>
        <v>#N/A</v>
      </c>
      <c r="Q865" s="51" t="e">
        <f t="shared" si="162"/>
        <v>#N/A</v>
      </c>
      <c r="R865" s="205" t="e">
        <f t="shared" si="163"/>
        <v>#N/A</v>
      </c>
      <c r="S865" s="279" t="e">
        <f>IF(R865="si",0,IF(E865="si",0,IF(J865&gt;K865,0,+K865-J865)))+IF('calcolo base'!P2325="SI",('Commissioni De Angeli'!K865-'Commissioni De Angeli'!J865),0)</f>
        <v>#N/A</v>
      </c>
      <c r="T865" s="117" t="e">
        <f t="shared" si="164"/>
        <v>#N/A</v>
      </c>
      <c r="U865" s="272" t="e">
        <f>IF(Q865=0,'calcolo base'!L3464,(T865+Q865))</f>
        <v>#N/A</v>
      </c>
      <c r="V865" s="119"/>
    </row>
    <row r="866" spans="2:22">
      <c r="B866" s="47"/>
      <c r="C866" s="35"/>
      <c r="D866" s="53"/>
      <c r="E866" s="53"/>
      <c r="F866" s="48"/>
      <c r="G866" s="243" t="e">
        <f>INDEX('calcolo base'!$B:$B, MATCH($A866, 'calcolo base'!$A:$A, 0))</f>
        <v>#N/A</v>
      </c>
      <c r="H866" s="54" t="e">
        <f t="shared" si="156"/>
        <v>#N/A</v>
      </c>
      <c r="I866" s="259" t="e">
        <f>IF(  OR(      INDEX('calcolo base'!$D:$D, MATCH($A866, 'calcolo base'!$A:$A, 0)) = 0,
      INDEX('calcolo base'!$D:$D, MATCH($A866, 'calcolo base'!$A:$A, 0)) = ""   ),
   INDEX('calcolo base'!$K:$K, MATCH($A866, 'calcolo base'!$A:$A, 0)),
   INDEX('calcolo base'!$J:$J, MATCH($A866, 'calcolo base'!$A:$A, 0))
) / 1000</f>
        <v>#N/A</v>
      </c>
      <c r="J866" s="50" t="e">
        <f t="shared" si="157"/>
        <v>#N/A</v>
      </c>
      <c r="K866" s="50"/>
      <c r="L866" s="267" t="e">
        <f>INDEX('calcolo base'!$H:$H, MATCH($A866, 'calcolo base'!$A:$A, 0))</f>
        <v>#N/A</v>
      </c>
      <c r="M866" s="50" t="e">
        <f t="shared" si="158"/>
        <v>#N/A</v>
      </c>
      <c r="N866" s="50" t="e">
        <f t="shared" si="159"/>
        <v>#N/A</v>
      </c>
      <c r="O866" s="50" t="e">
        <f t="shared" si="160"/>
        <v>#N/A</v>
      </c>
      <c r="P866" s="50" t="e">
        <f t="shared" si="161"/>
        <v>#N/A</v>
      </c>
      <c r="Q866" s="51" t="e">
        <f t="shared" si="162"/>
        <v>#N/A</v>
      </c>
      <c r="R866" s="205" t="e">
        <f t="shared" si="163"/>
        <v>#N/A</v>
      </c>
      <c r="S866" s="279" t="e">
        <f>IF(R866="si",0,IF(E866="si",0,IF(J866&gt;K866,0,+K866-J866)))+IF('calcolo base'!P2326="SI",('Commissioni De Angeli'!K866-'Commissioni De Angeli'!J866),0)</f>
        <v>#N/A</v>
      </c>
      <c r="T866" s="117" t="e">
        <f t="shared" si="164"/>
        <v>#N/A</v>
      </c>
      <c r="U866" s="272" t="e">
        <f>IF(Q866=0,'calcolo base'!L3465,(T866+Q866))</f>
        <v>#N/A</v>
      </c>
      <c r="V866" s="119"/>
    </row>
    <row r="867" spans="2:22">
      <c r="B867" s="47"/>
      <c r="C867" s="35"/>
      <c r="D867" s="53"/>
      <c r="E867" s="53"/>
      <c r="F867" s="48"/>
      <c r="G867" s="243" t="e">
        <f>INDEX('calcolo base'!$B:$B, MATCH($A867, 'calcolo base'!$A:$A, 0))</f>
        <v>#N/A</v>
      </c>
      <c r="H867" s="54" t="e">
        <f t="shared" si="156"/>
        <v>#N/A</v>
      </c>
      <c r="I867" s="259" t="e">
        <f>IF(  OR(      INDEX('calcolo base'!$D:$D, MATCH($A867, 'calcolo base'!$A:$A, 0)) = 0,
      INDEX('calcolo base'!$D:$D, MATCH($A867, 'calcolo base'!$A:$A, 0)) = ""   ),
   INDEX('calcolo base'!$K:$K, MATCH($A867, 'calcolo base'!$A:$A, 0)),
   INDEX('calcolo base'!$J:$J, MATCH($A867, 'calcolo base'!$A:$A, 0))
) / 1000</f>
        <v>#N/A</v>
      </c>
      <c r="J867" s="50" t="e">
        <f t="shared" si="157"/>
        <v>#N/A</v>
      </c>
      <c r="K867" s="50"/>
      <c r="L867" s="267" t="e">
        <f>INDEX('calcolo base'!$H:$H, MATCH($A867, 'calcolo base'!$A:$A, 0))</f>
        <v>#N/A</v>
      </c>
      <c r="M867" s="50" t="e">
        <f t="shared" si="158"/>
        <v>#N/A</v>
      </c>
      <c r="N867" s="50" t="e">
        <f t="shared" si="159"/>
        <v>#N/A</v>
      </c>
      <c r="O867" s="50" t="e">
        <f t="shared" si="160"/>
        <v>#N/A</v>
      </c>
      <c r="P867" s="50" t="e">
        <f t="shared" si="161"/>
        <v>#N/A</v>
      </c>
      <c r="Q867" s="51" t="e">
        <f t="shared" si="162"/>
        <v>#N/A</v>
      </c>
      <c r="R867" s="205" t="e">
        <f t="shared" si="163"/>
        <v>#N/A</v>
      </c>
      <c r="S867" s="279" t="e">
        <f>IF(R867="si",0,IF(E867="si",0,IF(J867&gt;K867,0,+K867-J867)))+IF('calcolo base'!P2327="SI",('Commissioni De Angeli'!K867-'Commissioni De Angeli'!J867),0)</f>
        <v>#N/A</v>
      </c>
      <c r="T867" s="117" t="e">
        <f t="shared" si="164"/>
        <v>#N/A</v>
      </c>
      <c r="U867" s="272" t="e">
        <f>IF(Q867=0,'calcolo base'!L3466,(T867+Q867))</f>
        <v>#N/A</v>
      </c>
      <c r="V867" s="119"/>
    </row>
    <row r="868" spans="2:22">
      <c r="B868" s="47"/>
      <c r="C868" s="35"/>
      <c r="D868" s="53"/>
      <c r="E868" s="53"/>
      <c r="F868" s="48"/>
      <c r="G868" s="243" t="e">
        <f>INDEX('calcolo base'!$B:$B, MATCH($A868, 'calcolo base'!$A:$A, 0))</f>
        <v>#N/A</v>
      </c>
      <c r="H868" s="54" t="e">
        <f t="shared" si="156"/>
        <v>#N/A</v>
      </c>
      <c r="I868" s="259" t="e">
        <f>IF(  OR(      INDEX('calcolo base'!$D:$D, MATCH($A868, 'calcolo base'!$A:$A, 0)) = 0,
      INDEX('calcolo base'!$D:$D, MATCH($A868, 'calcolo base'!$A:$A, 0)) = ""   ),
   INDEX('calcolo base'!$K:$K, MATCH($A868, 'calcolo base'!$A:$A, 0)),
   INDEX('calcolo base'!$J:$J, MATCH($A868, 'calcolo base'!$A:$A, 0))
) / 1000</f>
        <v>#N/A</v>
      </c>
      <c r="J868" s="50" t="e">
        <f t="shared" si="157"/>
        <v>#N/A</v>
      </c>
      <c r="K868" s="50"/>
      <c r="L868" s="267" t="e">
        <f>INDEX('calcolo base'!$H:$H, MATCH($A868, 'calcolo base'!$A:$A, 0))</f>
        <v>#N/A</v>
      </c>
      <c r="M868" s="50" t="e">
        <f t="shared" si="158"/>
        <v>#N/A</v>
      </c>
      <c r="N868" s="50" t="e">
        <f t="shared" si="159"/>
        <v>#N/A</v>
      </c>
      <c r="O868" s="50" t="e">
        <f t="shared" si="160"/>
        <v>#N/A</v>
      </c>
      <c r="P868" s="50" t="e">
        <f t="shared" si="161"/>
        <v>#N/A</v>
      </c>
      <c r="Q868" s="51" t="e">
        <f t="shared" si="162"/>
        <v>#N/A</v>
      </c>
      <c r="R868" s="205" t="e">
        <f t="shared" si="163"/>
        <v>#N/A</v>
      </c>
      <c r="S868" s="279" t="e">
        <f>IF(R868="si",0,IF(E868="si",0,IF(J868&gt;K868,0,+K868-J868)))+IF('calcolo base'!P2328="SI",('Commissioni De Angeli'!K868-'Commissioni De Angeli'!J868),0)</f>
        <v>#N/A</v>
      </c>
      <c r="T868" s="117" t="e">
        <f t="shared" si="164"/>
        <v>#N/A</v>
      </c>
      <c r="U868" s="272" t="e">
        <f>IF(Q868=0,'calcolo base'!L3467,(T868+Q868))</f>
        <v>#N/A</v>
      </c>
      <c r="V868" s="119"/>
    </row>
    <row r="869" spans="2:22">
      <c r="B869" s="47"/>
      <c r="C869" s="35"/>
      <c r="D869" s="53"/>
      <c r="E869" s="53"/>
      <c r="F869" s="48"/>
      <c r="G869" s="243" t="e">
        <f>INDEX('calcolo base'!$B:$B, MATCH($A869, 'calcolo base'!$A:$A, 0))</f>
        <v>#N/A</v>
      </c>
      <c r="H869" s="54" t="e">
        <f t="shared" si="156"/>
        <v>#N/A</v>
      </c>
      <c r="I869" s="259" t="e">
        <f>IF(  OR(      INDEX('calcolo base'!$D:$D, MATCH($A869, 'calcolo base'!$A:$A, 0)) = 0,
      INDEX('calcolo base'!$D:$D, MATCH($A869, 'calcolo base'!$A:$A, 0)) = ""   ),
   INDEX('calcolo base'!$K:$K, MATCH($A869, 'calcolo base'!$A:$A, 0)),
   INDEX('calcolo base'!$J:$J, MATCH($A869, 'calcolo base'!$A:$A, 0))
) / 1000</f>
        <v>#N/A</v>
      </c>
      <c r="J869" s="50" t="e">
        <f t="shared" si="157"/>
        <v>#N/A</v>
      </c>
      <c r="K869" s="50"/>
      <c r="L869" s="267" t="e">
        <f>INDEX('calcolo base'!$H:$H, MATCH($A869, 'calcolo base'!$A:$A, 0))</f>
        <v>#N/A</v>
      </c>
      <c r="M869" s="50" t="e">
        <f t="shared" si="158"/>
        <v>#N/A</v>
      </c>
      <c r="N869" s="50" t="e">
        <f t="shared" si="159"/>
        <v>#N/A</v>
      </c>
      <c r="O869" s="50" t="e">
        <f t="shared" si="160"/>
        <v>#N/A</v>
      </c>
      <c r="P869" s="50" t="e">
        <f t="shared" si="161"/>
        <v>#N/A</v>
      </c>
      <c r="Q869" s="51" t="e">
        <f t="shared" si="162"/>
        <v>#N/A</v>
      </c>
      <c r="R869" s="205" t="e">
        <f t="shared" si="163"/>
        <v>#N/A</v>
      </c>
      <c r="S869" s="279" t="e">
        <f>IF(R869="si",0,IF(E869="si",0,IF(J869&gt;K869,0,+K869-J869)))+IF('calcolo base'!P2329="SI",('Commissioni De Angeli'!K869-'Commissioni De Angeli'!J869),0)</f>
        <v>#N/A</v>
      </c>
      <c r="T869" s="117" t="e">
        <f t="shared" si="164"/>
        <v>#N/A</v>
      </c>
      <c r="U869" s="272" t="e">
        <f>IF(Q869=0,'calcolo base'!L3468,(T869+Q869))</f>
        <v>#N/A</v>
      </c>
      <c r="V869" s="119"/>
    </row>
    <row r="870" spans="2:22">
      <c r="B870" s="47"/>
      <c r="C870" s="35"/>
      <c r="D870" s="53"/>
      <c r="E870" s="53"/>
      <c r="F870" s="48"/>
      <c r="G870" s="243" t="e">
        <f>INDEX('calcolo base'!$B:$B, MATCH($A870, 'calcolo base'!$A:$A, 0))</f>
        <v>#N/A</v>
      </c>
      <c r="H870" s="54" t="e">
        <f t="shared" si="156"/>
        <v>#N/A</v>
      </c>
      <c r="I870" s="259" t="e">
        <f>IF(  OR(      INDEX('calcolo base'!$D:$D, MATCH($A870, 'calcolo base'!$A:$A, 0)) = 0,
      INDEX('calcolo base'!$D:$D, MATCH($A870, 'calcolo base'!$A:$A, 0)) = ""   ),
   INDEX('calcolo base'!$K:$K, MATCH($A870, 'calcolo base'!$A:$A, 0)),
   INDEX('calcolo base'!$J:$J, MATCH($A870, 'calcolo base'!$A:$A, 0))
) / 1000</f>
        <v>#N/A</v>
      </c>
      <c r="J870" s="50" t="e">
        <f t="shared" si="157"/>
        <v>#N/A</v>
      </c>
      <c r="K870" s="50"/>
      <c r="L870" s="267" t="e">
        <f>INDEX('calcolo base'!$H:$H, MATCH($A870, 'calcolo base'!$A:$A, 0))</f>
        <v>#N/A</v>
      </c>
      <c r="M870" s="50" t="e">
        <f t="shared" si="158"/>
        <v>#N/A</v>
      </c>
      <c r="N870" s="50" t="e">
        <f t="shared" si="159"/>
        <v>#N/A</v>
      </c>
      <c r="O870" s="50" t="e">
        <f t="shared" si="160"/>
        <v>#N/A</v>
      </c>
      <c r="P870" s="50" t="e">
        <f t="shared" si="161"/>
        <v>#N/A</v>
      </c>
      <c r="Q870" s="51" t="e">
        <f t="shared" si="162"/>
        <v>#N/A</v>
      </c>
      <c r="R870" s="205" t="e">
        <f t="shared" si="163"/>
        <v>#N/A</v>
      </c>
      <c r="S870" s="279" t="e">
        <f>IF(R870="si",0,IF(E870="si",0,IF(J870&gt;K870,0,+K870-J870)))+IF('calcolo base'!P2330="SI",('Commissioni De Angeli'!K870-'Commissioni De Angeli'!J870),0)</f>
        <v>#N/A</v>
      </c>
      <c r="T870" s="117" t="e">
        <f t="shared" si="164"/>
        <v>#N/A</v>
      </c>
      <c r="U870" s="272" t="e">
        <f>IF(Q870=0,'calcolo base'!L3469,(T870+Q870))</f>
        <v>#N/A</v>
      </c>
      <c r="V870" s="119"/>
    </row>
    <row r="871" spans="2:22">
      <c r="B871" s="47"/>
      <c r="C871" s="35"/>
      <c r="D871" s="53"/>
      <c r="E871" s="53"/>
      <c r="F871" s="48"/>
      <c r="G871" s="243" t="e">
        <f>INDEX('calcolo base'!$B:$B, MATCH($A871, 'calcolo base'!$A:$A, 0))</f>
        <v>#N/A</v>
      </c>
      <c r="H871" s="54" t="e">
        <f t="shared" si="156"/>
        <v>#N/A</v>
      </c>
      <c r="I871" s="259" t="e">
        <f>IF(  OR(      INDEX('calcolo base'!$D:$D, MATCH($A871, 'calcolo base'!$A:$A, 0)) = 0,
      INDEX('calcolo base'!$D:$D, MATCH($A871, 'calcolo base'!$A:$A, 0)) = ""   ),
   INDEX('calcolo base'!$K:$K, MATCH($A871, 'calcolo base'!$A:$A, 0)),
   INDEX('calcolo base'!$J:$J, MATCH($A871, 'calcolo base'!$A:$A, 0))
) / 1000</f>
        <v>#N/A</v>
      </c>
      <c r="J871" s="50" t="e">
        <f t="shared" si="157"/>
        <v>#N/A</v>
      </c>
      <c r="K871" s="50"/>
      <c r="L871" s="267" t="e">
        <f>INDEX('calcolo base'!$H:$H, MATCH($A871, 'calcolo base'!$A:$A, 0))</f>
        <v>#N/A</v>
      </c>
      <c r="M871" s="50" t="e">
        <f t="shared" si="158"/>
        <v>#N/A</v>
      </c>
      <c r="N871" s="50" t="e">
        <f t="shared" si="159"/>
        <v>#N/A</v>
      </c>
      <c r="O871" s="50" t="e">
        <f t="shared" si="160"/>
        <v>#N/A</v>
      </c>
      <c r="P871" s="50" t="e">
        <f t="shared" si="161"/>
        <v>#N/A</v>
      </c>
      <c r="Q871" s="51" t="e">
        <f t="shared" si="162"/>
        <v>#N/A</v>
      </c>
      <c r="R871" s="205" t="e">
        <f t="shared" si="163"/>
        <v>#N/A</v>
      </c>
      <c r="S871" s="279" t="e">
        <f>IF(R871="si",0,IF(E871="si",0,IF(J871&gt;K871,0,+K871-J871)))+IF('calcolo base'!P2331="SI",('Commissioni De Angeli'!K871-'Commissioni De Angeli'!J871),0)</f>
        <v>#N/A</v>
      </c>
      <c r="T871" s="117" t="e">
        <f t="shared" si="164"/>
        <v>#N/A</v>
      </c>
      <c r="U871" s="272" t="e">
        <f>IF(Q871=0,'calcolo base'!L3470,(T871+Q871))</f>
        <v>#N/A</v>
      </c>
      <c r="V871" s="119"/>
    </row>
    <row r="872" spans="2:22">
      <c r="B872" s="47"/>
      <c r="C872" s="35"/>
      <c r="D872" s="53"/>
      <c r="E872" s="53"/>
      <c r="F872" s="48"/>
      <c r="G872" s="243" t="e">
        <f>INDEX('calcolo base'!$B:$B, MATCH($A872, 'calcolo base'!$A:$A, 0))</f>
        <v>#N/A</v>
      </c>
      <c r="H872" s="54" t="e">
        <f t="shared" si="156"/>
        <v>#N/A</v>
      </c>
      <c r="I872" s="259" t="e">
        <f>IF(  OR(      INDEX('calcolo base'!$D:$D, MATCH($A872, 'calcolo base'!$A:$A, 0)) = 0,
      INDEX('calcolo base'!$D:$D, MATCH($A872, 'calcolo base'!$A:$A, 0)) = ""   ),
   INDEX('calcolo base'!$K:$K, MATCH($A872, 'calcolo base'!$A:$A, 0)),
   INDEX('calcolo base'!$J:$J, MATCH($A872, 'calcolo base'!$A:$A, 0))
) / 1000</f>
        <v>#N/A</v>
      </c>
      <c r="J872" s="50" t="e">
        <f t="shared" si="157"/>
        <v>#N/A</v>
      </c>
      <c r="K872" s="50"/>
      <c r="L872" s="267" t="e">
        <f>INDEX('calcolo base'!$H:$H, MATCH($A872, 'calcolo base'!$A:$A, 0))</f>
        <v>#N/A</v>
      </c>
      <c r="M872" s="50" t="e">
        <f t="shared" si="158"/>
        <v>#N/A</v>
      </c>
      <c r="N872" s="50" t="e">
        <f t="shared" si="159"/>
        <v>#N/A</v>
      </c>
      <c r="O872" s="50" t="e">
        <f t="shared" si="160"/>
        <v>#N/A</v>
      </c>
      <c r="P872" s="50" t="e">
        <f t="shared" si="161"/>
        <v>#N/A</v>
      </c>
      <c r="Q872" s="51" t="e">
        <f t="shared" si="162"/>
        <v>#N/A</v>
      </c>
      <c r="R872" s="205" t="e">
        <f t="shared" si="163"/>
        <v>#N/A</v>
      </c>
      <c r="S872" s="279" t="e">
        <f>IF(R872="si",0,IF(E872="si",0,IF(J872&gt;K872,0,+K872-J872)))+IF('calcolo base'!P2332="SI",('Commissioni De Angeli'!K872-'Commissioni De Angeli'!J872),0)</f>
        <v>#N/A</v>
      </c>
      <c r="T872" s="117" t="e">
        <f t="shared" si="164"/>
        <v>#N/A</v>
      </c>
      <c r="U872" s="272" t="e">
        <f>IF(Q872=0,'calcolo base'!L3471,(T872+Q872))</f>
        <v>#N/A</v>
      </c>
      <c r="V872" s="119"/>
    </row>
    <row r="873" spans="2:22">
      <c r="B873" s="47"/>
      <c r="C873" s="35"/>
      <c r="D873" s="53"/>
      <c r="E873" s="53"/>
      <c r="F873" s="48"/>
      <c r="G873" s="243" t="e">
        <f>INDEX('calcolo base'!$B:$B, MATCH($A873, 'calcolo base'!$A:$A, 0))</f>
        <v>#N/A</v>
      </c>
      <c r="H873" s="54" t="e">
        <f t="shared" si="156"/>
        <v>#N/A</v>
      </c>
      <c r="I873" s="259" t="e">
        <f>IF(  OR(      INDEX('calcolo base'!$D:$D, MATCH($A873, 'calcolo base'!$A:$A, 0)) = 0,
      INDEX('calcolo base'!$D:$D, MATCH($A873, 'calcolo base'!$A:$A, 0)) = ""   ),
   INDEX('calcolo base'!$K:$K, MATCH($A873, 'calcolo base'!$A:$A, 0)),
   INDEX('calcolo base'!$J:$J, MATCH($A873, 'calcolo base'!$A:$A, 0))
) / 1000</f>
        <v>#N/A</v>
      </c>
      <c r="J873" s="50" t="e">
        <f t="shared" si="157"/>
        <v>#N/A</v>
      </c>
      <c r="K873" s="50"/>
      <c r="L873" s="267" t="e">
        <f>INDEX('calcolo base'!$H:$H, MATCH($A873, 'calcolo base'!$A:$A, 0))</f>
        <v>#N/A</v>
      </c>
      <c r="M873" s="50" t="e">
        <f t="shared" si="158"/>
        <v>#N/A</v>
      </c>
      <c r="N873" s="50" t="e">
        <f t="shared" si="159"/>
        <v>#N/A</v>
      </c>
      <c r="O873" s="50" t="e">
        <f t="shared" si="160"/>
        <v>#N/A</v>
      </c>
      <c r="P873" s="50" t="e">
        <f t="shared" si="161"/>
        <v>#N/A</v>
      </c>
      <c r="Q873" s="51" t="e">
        <f t="shared" si="162"/>
        <v>#N/A</v>
      </c>
      <c r="R873" s="205" t="e">
        <f t="shared" si="163"/>
        <v>#N/A</v>
      </c>
      <c r="S873" s="279" t="e">
        <f>IF(R873="si",0,IF(E873="si",0,IF(J873&gt;K873,0,+K873-J873)))+IF('calcolo base'!P2333="SI",('Commissioni De Angeli'!K873-'Commissioni De Angeli'!J873),0)</f>
        <v>#N/A</v>
      </c>
      <c r="T873" s="117" t="e">
        <f t="shared" si="164"/>
        <v>#N/A</v>
      </c>
      <c r="U873" s="272" t="e">
        <f>IF(Q873=0,'calcolo base'!L3472,(T873+Q873))</f>
        <v>#N/A</v>
      </c>
      <c r="V873" s="119"/>
    </row>
    <row r="874" spans="2:22">
      <c r="B874" s="47"/>
      <c r="C874" s="35"/>
      <c r="D874" s="53"/>
      <c r="E874" s="53"/>
      <c r="F874" s="48"/>
      <c r="G874" s="243" t="e">
        <f>INDEX('calcolo base'!$B:$B, MATCH($A874, 'calcolo base'!$A:$A, 0))</f>
        <v>#N/A</v>
      </c>
      <c r="H874" s="54" t="e">
        <f t="shared" si="156"/>
        <v>#N/A</v>
      </c>
      <c r="I874" s="259" t="e">
        <f>IF(  OR(      INDEX('calcolo base'!$D:$D, MATCH($A874, 'calcolo base'!$A:$A, 0)) = 0,
      INDEX('calcolo base'!$D:$D, MATCH($A874, 'calcolo base'!$A:$A, 0)) = ""   ),
   INDEX('calcolo base'!$K:$K, MATCH($A874, 'calcolo base'!$A:$A, 0)),
   INDEX('calcolo base'!$J:$J, MATCH($A874, 'calcolo base'!$A:$A, 0))
) / 1000</f>
        <v>#N/A</v>
      </c>
      <c r="J874" s="50" t="e">
        <f t="shared" si="157"/>
        <v>#N/A</v>
      </c>
      <c r="K874" s="50"/>
      <c r="L874" s="267" t="e">
        <f>INDEX('calcolo base'!$H:$H, MATCH($A874, 'calcolo base'!$A:$A, 0))</f>
        <v>#N/A</v>
      </c>
      <c r="M874" s="50" t="e">
        <f t="shared" si="158"/>
        <v>#N/A</v>
      </c>
      <c r="N874" s="50" t="e">
        <f t="shared" si="159"/>
        <v>#N/A</v>
      </c>
      <c r="O874" s="50" t="e">
        <f t="shared" si="160"/>
        <v>#N/A</v>
      </c>
      <c r="P874" s="50" t="e">
        <f t="shared" si="161"/>
        <v>#N/A</v>
      </c>
      <c r="Q874" s="51" t="e">
        <f t="shared" si="162"/>
        <v>#N/A</v>
      </c>
      <c r="R874" s="205" t="e">
        <f t="shared" si="163"/>
        <v>#N/A</v>
      </c>
      <c r="S874" s="279" t="e">
        <f>IF(R874="si",0,IF(E874="si",0,IF(J874&gt;K874,0,+K874-J874)))+IF('calcolo base'!P2334="SI",('Commissioni De Angeli'!K874-'Commissioni De Angeli'!J874),0)</f>
        <v>#N/A</v>
      </c>
      <c r="T874" s="117" t="e">
        <f t="shared" si="164"/>
        <v>#N/A</v>
      </c>
      <c r="U874" s="272" t="e">
        <f>IF(Q874=0,'calcolo base'!L3473,(T874+Q874))</f>
        <v>#N/A</v>
      </c>
      <c r="V874" s="119"/>
    </row>
    <row r="875" spans="2:22">
      <c r="B875" s="47"/>
      <c r="C875" s="35"/>
      <c r="D875" s="53"/>
      <c r="E875" s="53"/>
      <c r="F875" s="48"/>
      <c r="G875" s="243" t="e">
        <f>INDEX('calcolo base'!$B:$B, MATCH($A875, 'calcolo base'!$A:$A, 0))</f>
        <v>#N/A</v>
      </c>
      <c r="H875" s="54" t="e">
        <f t="shared" si="156"/>
        <v>#N/A</v>
      </c>
      <c r="I875" s="259" t="e">
        <f>IF(  OR(      INDEX('calcolo base'!$D:$D, MATCH($A875, 'calcolo base'!$A:$A, 0)) = 0,
      INDEX('calcolo base'!$D:$D, MATCH($A875, 'calcolo base'!$A:$A, 0)) = ""   ),
   INDEX('calcolo base'!$K:$K, MATCH($A875, 'calcolo base'!$A:$A, 0)),
   INDEX('calcolo base'!$J:$J, MATCH($A875, 'calcolo base'!$A:$A, 0))
) / 1000</f>
        <v>#N/A</v>
      </c>
      <c r="J875" s="50" t="e">
        <f t="shared" si="157"/>
        <v>#N/A</v>
      </c>
      <c r="K875" s="50"/>
      <c r="L875" s="267" t="e">
        <f>INDEX('calcolo base'!$H:$H, MATCH($A875, 'calcolo base'!$A:$A, 0))</f>
        <v>#N/A</v>
      </c>
      <c r="M875" s="50" t="e">
        <f t="shared" si="158"/>
        <v>#N/A</v>
      </c>
      <c r="N875" s="50" t="e">
        <f t="shared" si="159"/>
        <v>#N/A</v>
      </c>
      <c r="O875" s="50" t="e">
        <f t="shared" si="160"/>
        <v>#N/A</v>
      </c>
      <c r="P875" s="50" t="e">
        <f t="shared" si="161"/>
        <v>#N/A</v>
      </c>
      <c r="Q875" s="51" t="e">
        <f t="shared" si="162"/>
        <v>#N/A</v>
      </c>
      <c r="R875" s="205" t="e">
        <f t="shared" si="163"/>
        <v>#N/A</v>
      </c>
      <c r="S875" s="279" t="e">
        <f>IF(R875="si",0,IF(E875="si",0,IF(J875&gt;K875,0,+K875-J875)))+IF('calcolo base'!P2335="SI",('Commissioni De Angeli'!K875-'Commissioni De Angeli'!J875),0)</f>
        <v>#N/A</v>
      </c>
      <c r="T875" s="117" t="e">
        <f t="shared" si="164"/>
        <v>#N/A</v>
      </c>
      <c r="U875" s="272" t="e">
        <f>IF(Q875=0,'calcolo base'!L3474,(T875+Q875))</f>
        <v>#N/A</v>
      </c>
      <c r="V875" s="119"/>
    </row>
    <row r="876" spans="2:22">
      <c r="B876" s="47"/>
      <c r="C876" s="35"/>
      <c r="D876" s="53"/>
      <c r="E876" s="53"/>
      <c r="F876" s="48"/>
      <c r="G876" s="243" t="e">
        <f>INDEX('calcolo base'!$B:$B, MATCH($A876, 'calcolo base'!$A:$A, 0))</f>
        <v>#N/A</v>
      </c>
      <c r="H876" s="54" t="e">
        <f t="shared" ref="H876:H939" si="165">IF(G876=0,"",+G876)</f>
        <v>#N/A</v>
      </c>
      <c r="I876" s="259" t="e">
        <f>IF(  OR(      INDEX('calcolo base'!$D:$D, MATCH($A876, 'calcolo base'!$A:$A, 0)) = 0,
      INDEX('calcolo base'!$D:$D, MATCH($A876, 'calcolo base'!$A:$A, 0)) = ""   ),
   INDEX('calcolo base'!$K:$K, MATCH($A876, 'calcolo base'!$A:$A, 0)),
   INDEX('calcolo base'!$J:$J, MATCH($A876, 'calcolo base'!$A:$A, 0))
) / 1000</f>
        <v>#N/A</v>
      </c>
      <c r="J876" s="50" t="e">
        <f t="shared" ref="J876:J939" si="166">+F876+I876</f>
        <v>#N/A</v>
      </c>
      <c r="K876" s="50"/>
      <c r="L876" s="267" t="e">
        <f>INDEX('calcolo base'!$H:$H, MATCH($A876, 'calcolo base'!$A:$A, 0))</f>
        <v>#N/A</v>
      </c>
      <c r="M876" s="50" t="e">
        <f t="shared" ref="M876:M939" si="167">IF(L876=0,0,J876*L876)</f>
        <v>#N/A</v>
      </c>
      <c r="N876" s="50" t="e">
        <f t="shared" ref="N876:N939" si="168">IF(E876="si",K876*1.5%,IF($L876&gt;=5%,IF($I876=0,0,(IF($G876="RAME",($J876)*1.5%,0)+IF($G876="rame smaltato",($K876)*1.5%,0))),0))</f>
        <v>#N/A</v>
      </c>
      <c r="O876" s="50" t="e">
        <f t="shared" ref="O876:O939" si="169">IF($I876=0,0,(IF($G876="alluminio",($J876)*3%,0)+IF($G876="alluminio smaltato",($K876)*3%,0)))</f>
        <v>#N/A</v>
      </c>
      <c r="P876" s="50" t="e">
        <f t="shared" ref="P876:P939" si="170">IF(H876="alluminio",0,IF(L876&lt;5%,F876*8%,0))</f>
        <v>#N/A</v>
      </c>
      <c r="Q876" s="51" t="e">
        <f t="shared" ref="Q876:Q939" si="171">+(N876*D876)+(O876*D876)+(P876*D876)</f>
        <v>#N/A</v>
      </c>
      <c r="R876" s="205" t="e">
        <f t="shared" ref="R876:R939" si="172">IF(H876="ALLUMINIO",0,IF(L876&lt;5%,"si",0))</f>
        <v>#N/A</v>
      </c>
      <c r="S876" s="279" t="e">
        <f>IF(R876="si",0,IF(E876="si",0,IF(J876&gt;K876,0,+K876-J876)))+IF('calcolo base'!P2336="SI",('Commissioni De Angeli'!K876-'Commissioni De Angeli'!J876),0)</f>
        <v>#N/A</v>
      </c>
      <c r="T876" s="117" t="e">
        <f t="shared" ref="T876:T939" si="173">+(S876)*D876*40%</f>
        <v>#N/A</v>
      </c>
      <c r="U876" s="272" t="e">
        <f>IF(Q876=0,'calcolo base'!L3475,(T876+Q876))</f>
        <v>#N/A</v>
      </c>
      <c r="V876" s="119"/>
    </row>
    <row r="877" spans="2:22">
      <c r="B877" s="47"/>
      <c r="C877" s="35"/>
      <c r="D877" s="53"/>
      <c r="E877" s="53"/>
      <c r="F877" s="48"/>
      <c r="G877" s="243" t="e">
        <f>INDEX('calcolo base'!$B:$B, MATCH($A877, 'calcolo base'!$A:$A, 0))</f>
        <v>#N/A</v>
      </c>
      <c r="H877" s="54" t="e">
        <f t="shared" si="165"/>
        <v>#N/A</v>
      </c>
      <c r="I877" s="259" t="e">
        <f>IF(  OR(      INDEX('calcolo base'!$D:$D, MATCH($A877, 'calcolo base'!$A:$A, 0)) = 0,
      INDEX('calcolo base'!$D:$D, MATCH($A877, 'calcolo base'!$A:$A, 0)) = ""   ),
   INDEX('calcolo base'!$K:$K, MATCH($A877, 'calcolo base'!$A:$A, 0)),
   INDEX('calcolo base'!$J:$J, MATCH($A877, 'calcolo base'!$A:$A, 0))
) / 1000</f>
        <v>#N/A</v>
      </c>
      <c r="J877" s="50" t="e">
        <f t="shared" si="166"/>
        <v>#N/A</v>
      </c>
      <c r="K877" s="50"/>
      <c r="L877" s="267" t="e">
        <f>INDEX('calcolo base'!$H:$H, MATCH($A877, 'calcolo base'!$A:$A, 0))</f>
        <v>#N/A</v>
      </c>
      <c r="M877" s="50" t="e">
        <f t="shared" si="167"/>
        <v>#N/A</v>
      </c>
      <c r="N877" s="50" t="e">
        <f t="shared" si="168"/>
        <v>#N/A</v>
      </c>
      <c r="O877" s="50" t="e">
        <f t="shared" si="169"/>
        <v>#N/A</v>
      </c>
      <c r="P877" s="50" t="e">
        <f t="shared" si="170"/>
        <v>#N/A</v>
      </c>
      <c r="Q877" s="51" t="e">
        <f t="shared" si="171"/>
        <v>#N/A</v>
      </c>
      <c r="R877" s="205" t="e">
        <f t="shared" si="172"/>
        <v>#N/A</v>
      </c>
      <c r="S877" s="279" t="e">
        <f>IF(R877="si",0,IF(E877="si",0,IF(J877&gt;K877,0,+K877-J877)))+IF('calcolo base'!P2337="SI",('Commissioni De Angeli'!K877-'Commissioni De Angeli'!J877),0)</f>
        <v>#N/A</v>
      </c>
      <c r="T877" s="117" t="e">
        <f t="shared" si="173"/>
        <v>#N/A</v>
      </c>
      <c r="U877" s="272" t="e">
        <f>IF(Q877=0,'calcolo base'!L3476,(T877+Q877))</f>
        <v>#N/A</v>
      </c>
      <c r="V877" s="119"/>
    </row>
    <row r="878" spans="2:22">
      <c r="B878" s="47"/>
      <c r="C878" s="35"/>
      <c r="D878" s="53"/>
      <c r="E878" s="53"/>
      <c r="F878" s="48"/>
      <c r="G878" s="243" t="e">
        <f>INDEX('calcolo base'!$B:$B, MATCH($A878, 'calcolo base'!$A:$A, 0))</f>
        <v>#N/A</v>
      </c>
      <c r="H878" s="54" t="e">
        <f t="shared" si="165"/>
        <v>#N/A</v>
      </c>
      <c r="I878" s="259" t="e">
        <f>IF(  OR(      INDEX('calcolo base'!$D:$D, MATCH($A878, 'calcolo base'!$A:$A, 0)) = 0,
      INDEX('calcolo base'!$D:$D, MATCH($A878, 'calcolo base'!$A:$A, 0)) = ""   ),
   INDEX('calcolo base'!$K:$K, MATCH($A878, 'calcolo base'!$A:$A, 0)),
   INDEX('calcolo base'!$J:$J, MATCH($A878, 'calcolo base'!$A:$A, 0))
) / 1000</f>
        <v>#N/A</v>
      </c>
      <c r="J878" s="50" t="e">
        <f t="shared" si="166"/>
        <v>#N/A</v>
      </c>
      <c r="K878" s="50"/>
      <c r="L878" s="267" t="e">
        <f>INDEX('calcolo base'!$H:$H, MATCH($A878, 'calcolo base'!$A:$A, 0))</f>
        <v>#N/A</v>
      </c>
      <c r="M878" s="50" t="e">
        <f t="shared" si="167"/>
        <v>#N/A</v>
      </c>
      <c r="N878" s="50" t="e">
        <f t="shared" si="168"/>
        <v>#N/A</v>
      </c>
      <c r="O878" s="50" t="e">
        <f t="shared" si="169"/>
        <v>#N/A</v>
      </c>
      <c r="P878" s="50" t="e">
        <f t="shared" si="170"/>
        <v>#N/A</v>
      </c>
      <c r="Q878" s="51" t="e">
        <f t="shared" si="171"/>
        <v>#N/A</v>
      </c>
      <c r="R878" s="205" t="e">
        <f t="shared" si="172"/>
        <v>#N/A</v>
      </c>
      <c r="S878" s="279" t="e">
        <f>IF(R878="si",0,IF(E878="si",0,IF(J878&gt;K878,0,+K878-J878)))+IF('calcolo base'!P2338="SI",('Commissioni De Angeli'!K878-'Commissioni De Angeli'!J878),0)</f>
        <v>#N/A</v>
      </c>
      <c r="T878" s="117" t="e">
        <f t="shared" si="173"/>
        <v>#N/A</v>
      </c>
      <c r="U878" s="272" t="e">
        <f>IF(Q878=0,'calcolo base'!L3477,(T878+Q878))</f>
        <v>#N/A</v>
      </c>
      <c r="V878" s="119"/>
    </row>
    <row r="879" spans="2:22">
      <c r="B879" s="47"/>
      <c r="C879" s="35"/>
      <c r="D879" s="53"/>
      <c r="E879" s="53"/>
      <c r="F879" s="48"/>
      <c r="G879" s="243" t="e">
        <f>INDEX('calcolo base'!$B:$B, MATCH($A879, 'calcolo base'!$A:$A, 0))</f>
        <v>#N/A</v>
      </c>
      <c r="H879" s="54" t="e">
        <f t="shared" si="165"/>
        <v>#N/A</v>
      </c>
      <c r="I879" s="259" t="e">
        <f>IF(  OR(      INDEX('calcolo base'!$D:$D, MATCH($A879, 'calcolo base'!$A:$A, 0)) = 0,
      INDEX('calcolo base'!$D:$D, MATCH($A879, 'calcolo base'!$A:$A, 0)) = ""   ),
   INDEX('calcolo base'!$K:$K, MATCH($A879, 'calcolo base'!$A:$A, 0)),
   INDEX('calcolo base'!$J:$J, MATCH($A879, 'calcolo base'!$A:$A, 0))
) / 1000</f>
        <v>#N/A</v>
      </c>
      <c r="J879" s="50" t="e">
        <f t="shared" si="166"/>
        <v>#N/A</v>
      </c>
      <c r="K879" s="50"/>
      <c r="L879" s="267" t="e">
        <f>INDEX('calcolo base'!$H:$H, MATCH($A879, 'calcolo base'!$A:$A, 0))</f>
        <v>#N/A</v>
      </c>
      <c r="M879" s="50" t="e">
        <f t="shared" si="167"/>
        <v>#N/A</v>
      </c>
      <c r="N879" s="50" t="e">
        <f t="shared" si="168"/>
        <v>#N/A</v>
      </c>
      <c r="O879" s="50" t="e">
        <f t="shared" si="169"/>
        <v>#N/A</v>
      </c>
      <c r="P879" s="50" t="e">
        <f t="shared" si="170"/>
        <v>#N/A</v>
      </c>
      <c r="Q879" s="51" t="e">
        <f t="shared" si="171"/>
        <v>#N/A</v>
      </c>
      <c r="R879" s="205" t="e">
        <f t="shared" si="172"/>
        <v>#N/A</v>
      </c>
      <c r="S879" s="279" t="e">
        <f>IF(R879="si",0,IF(E879="si",0,IF(J879&gt;K879,0,+K879-J879)))+IF('calcolo base'!P2339="SI",('Commissioni De Angeli'!K879-'Commissioni De Angeli'!J879),0)</f>
        <v>#N/A</v>
      </c>
      <c r="T879" s="117" t="e">
        <f t="shared" si="173"/>
        <v>#N/A</v>
      </c>
      <c r="U879" s="272" t="e">
        <f>IF(Q879=0,'calcolo base'!L3478,(T879+Q879))</f>
        <v>#N/A</v>
      </c>
      <c r="V879" s="119"/>
    </row>
    <row r="880" spans="2:22">
      <c r="B880" s="47"/>
      <c r="C880" s="35"/>
      <c r="D880" s="53"/>
      <c r="E880" s="53"/>
      <c r="F880" s="48"/>
      <c r="G880" s="243" t="e">
        <f>INDEX('calcolo base'!$B:$B, MATCH($A880, 'calcolo base'!$A:$A, 0))</f>
        <v>#N/A</v>
      </c>
      <c r="H880" s="54" t="e">
        <f t="shared" si="165"/>
        <v>#N/A</v>
      </c>
      <c r="I880" s="259" t="e">
        <f>IF(  OR(      INDEX('calcolo base'!$D:$D, MATCH($A880, 'calcolo base'!$A:$A, 0)) = 0,
      INDEX('calcolo base'!$D:$D, MATCH($A880, 'calcolo base'!$A:$A, 0)) = ""   ),
   INDEX('calcolo base'!$K:$K, MATCH($A880, 'calcolo base'!$A:$A, 0)),
   INDEX('calcolo base'!$J:$J, MATCH($A880, 'calcolo base'!$A:$A, 0))
) / 1000</f>
        <v>#N/A</v>
      </c>
      <c r="J880" s="50" t="e">
        <f t="shared" si="166"/>
        <v>#N/A</v>
      </c>
      <c r="K880" s="50"/>
      <c r="L880" s="267" t="e">
        <f>INDEX('calcolo base'!$H:$H, MATCH($A880, 'calcolo base'!$A:$A, 0))</f>
        <v>#N/A</v>
      </c>
      <c r="M880" s="50" t="e">
        <f t="shared" si="167"/>
        <v>#N/A</v>
      </c>
      <c r="N880" s="50" t="e">
        <f t="shared" si="168"/>
        <v>#N/A</v>
      </c>
      <c r="O880" s="50" t="e">
        <f t="shared" si="169"/>
        <v>#N/A</v>
      </c>
      <c r="P880" s="50" t="e">
        <f t="shared" si="170"/>
        <v>#N/A</v>
      </c>
      <c r="Q880" s="51" t="e">
        <f t="shared" si="171"/>
        <v>#N/A</v>
      </c>
      <c r="R880" s="205" t="e">
        <f t="shared" si="172"/>
        <v>#N/A</v>
      </c>
      <c r="S880" s="279" t="e">
        <f>IF(R880="si",0,IF(E880="si",0,IF(J880&gt;K880,0,+K880-J880)))+IF('calcolo base'!P2340="SI",('Commissioni De Angeli'!K880-'Commissioni De Angeli'!J880),0)</f>
        <v>#N/A</v>
      </c>
      <c r="T880" s="117" t="e">
        <f t="shared" si="173"/>
        <v>#N/A</v>
      </c>
      <c r="U880" s="272" t="e">
        <f>IF(Q880=0,'calcolo base'!L3479,(T880+Q880))</f>
        <v>#N/A</v>
      </c>
      <c r="V880" s="119"/>
    </row>
    <row r="881" spans="2:22">
      <c r="B881" s="47"/>
      <c r="C881" s="35"/>
      <c r="D881" s="53"/>
      <c r="E881" s="53"/>
      <c r="F881" s="48"/>
      <c r="G881" s="243" t="e">
        <f>INDEX('calcolo base'!$B:$B, MATCH($A881, 'calcolo base'!$A:$A, 0))</f>
        <v>#N/A</v>
      </c>
      <c r="H881" s="54" t="e">
        <f t="shared" si="165"/>
        <v>#N/A</v>
      </c>
      <c r="I881" s="259" t="e">
        <f>IF(  OR(      INDEX('calcolo base'!$D:$D, MATCH($A881, 'calcolo base'!$A:$A, 0)) = 0,
      INDEX('calcolo base'!$D:$D, MATCH($A881, 'calcolo base'!$A:$A, 0)) = ""   ),
   INDEX('calcolo base'!$K:$K, MATCH($A881, 'calcolo base'!$A:$A, 0)),
   INDEX('calcolo base'!$J:$J, MATCH($A881, 'calcolo base'!$A:$A, 0))
) / 1000</f>
        <v>#N/A</v>
      </c>
      <c r="J881" s="50" t="e">
        <f t="shared" si="166"/>
        <v>#N/A</v>
      </c>
      <c r="K881" s="50"/>
      <c r="L881" s="267" t="e">
        <f>INDEX('calcolo base'!$H:$H, MATCH($A881, 'calcolo base'!$A:$A, 0))</f>
        <v>#N/A</v>
      </c>
      <c r="M881" s="50" t="e">
        <f t="shared" si="167"/>
        <v>#N/A</v>
      </c>
      <c r="N881" s="50" t="e">
        <f t="shared" si="168"/>
        <v>#N/A</v>
      </c>
      <c r="O881" s="50" t="e">
        <f t="shared" si="169"/>
        <v>#N/A</v>
      </c>
      <c r="P881" s="50" t="e">
        <f t="shared" si="170"/>
        <v>#N/A</v>
      </c>
      <c r="Q881" s="51" t="e">
        <f t="shared" si="171"/>
        <v>#N/A</v>
      </c>
      <c r="R881" s="205" t="e">
        <f t="shared" si="172"/>
        <v>#N/A</v>
      </c>
      <c r="S881" s="279" t="e">
        <f>IF(R881="si",0,IF(E881="si",0,IF(J881&gt;K881,0,+K881-J881)))+IF('calcolo base'!P2341="SI",('Commissioni De Angeli'!K881-'Commissioni De Angeli'!J881),0)</f>
        <v>#N/A</v>
      </c>
      <c r="T881" s="117" t="e">
        <f t="shared" si="173"/>
        <v>#N/A</v>
      </c>
      <c r="U881" s="272" t="e">
        <f>IF(Q881=0,'calcolo base'!L3480,(T881+Q881))</f>
        <v>#N/A</v>
      </c>
      <c r="V881" s="119"/>
    </row>
    <row r="882" spans="2:22">
      <c r="B882" s="47"/>
      <c r="C882" s="35"/>
      <c r="D882" s="53"/>
      <c r="E882" s="53"/>
      <c r="F882" s="48"/>
      <c r="G882" s="243" t="e">
        <f>INDEX('calcolo base'!$B:$B, MATCH($A882, 'calcolo base'!$A:$A, 0))</f>
        <v>#N/A</v>
      </c>
      <c r="H882" s="54" t="e">
        <f t="shared" si="165"/>
        <v>#N/A</v>
      </c>
      <c r="I882" s="259" t="e">
        <f>IF(  OR(      INDEX('calcolo base'!$D:$D, MATCH($A882, 'calcolo base'!$A:$A, 0)) = 0,
      INDEX('calcolo base'!$D:$D, MATCH($A882, 'calcolo base'!$A:$A, 0)) = ""   ),
   INDEX('calcolo base'!$K:$K, MATCH($A882, 'calcolo base'!$A:$A, 0)),
   INDEX('calcolo base'!$J:$J, MATCH($A882, 'calcolo base'!$A:$A, 0))
) / 1000</f>
        <v>#N/A</v>
      </c>
      <c r="J882" s="50" t="e">
        <f t="shared" si="166"/>
        <v>#N/A</v>
      </c>
      <c r="K882" s="50"/>
      <c r="L882" s="267" t="e">
        <f>INDEX('calcolo base'!$H:$H, MATCH($A882, 'calcolo base'!$A:$A, 0))</f>
        <v>#N/A</v>
      </c>
      <c r="M882" s="50" t="e">
        <f t="shared" si="167"/>
        <v>#N/A</v>
      </c>
      <c r="N882" s="50" t="e">
        <f t="shared" si="168"/>
        <v>#N/A</v>
      </c>
      <c r="O882" s="50" t="e">
        <f t="shared" si="169"/>
        <v>#N/A</v>
      </c>
      <c r="P882" s="50" t="e">
        <f t="shared" si="170"/>
        <v>#N/A</v>
      </c>
      <c r="Q882" s="51" t="e">
        <f t="shared" si="171"/>
        <v>#N/A</v>
      </c>
      <c r="R882" s="205" t="e">
        <f t="shared" si="172"/>
        <v>#N/A</v>
      </c>
      <c r="S882" s="279" t="e">
        <f>IF(R882="si",0,IF(E882="si",0,IF(J882&gt;K882,0,+K882-J882)))+IF('calcolo base'!P2342="SI",('Commissioni De Angeli'!K882-'Commissioni De Angeli'!J882),0)</f>
        <v>#N/A</v>
      </c>
      <c r="T882" s="117" t="e">
        <f t="shared" si="173"/>
        <v>#N/A</v>
      </c>
      <c r="U882" s="272" t="e">
        <f>IF(Q882=0,'calcolo base'!L3481,(T882+Q882))</f>
        <v>#N/A</v>
      </c>
      <c r="V882" s="119"/>
    </row>
    <row r="883" spans="2:22">
      <c r="B883" s="47"/>
      <c r="C883" s="35"/>
      <c r="D883" s="53"/>
      <c r="E883" s="53"/>
      <c r="F883" s="48"/>
      <c r="G883" s="243" t="e">
        <f>INDEX('calcolo base'!$B:$B, MATCH($A883, 'calcolo base'!$A:$A, 0))</f>
        <v>#N/A</v>
      </c>
      <c r="H883" s="54" t="e">
        <f t="shared" si="165"/>
        <v>#N/A</v>
      </c>
      <c r="I883" s="259" t="e">
        <f>IF(  OR(      INDEX('calcolo base'!$D:$D, MATCH($A883, 'calcolo base'!$A:$A, 0)) = 0,
      INDEX('calcolo base'!$D:$D, MATCH($A883, 'calcolo base'!$A:$A, 0)) = ""   ),
   INDEX('calcolo base'!$K:$K, MATCH($A883, 'calcolo base'!$A:$A, 0)),
   INDEX('calcolo base'!$J:$J, MATCH($A883, 'calcolo base'!$A:$A, 0))
) / 1000</f>
        <v>#N/A</v>
      </c>
      <c r="J883" s="50" t="e">
        <f t="shared" si="166"/>
        <v>#N/A</v>
      </c>
      <c r="K883" s="50"/>
      <c r="L883" s="267" t="e">
        <f>INDEX('calcolo base'!$H:$H, MATCH($A883, 'calcolo base'!$A:$A, 0))</f>
        <v>#N/A</v>
      </c>
      <c r="M883" s="50" t="e">
        <f t="shared" si="167"/>
        <v>#N/A</v>
      </c>
      <c r="N883" s="50" t="e">
        <f t="shared" si="168"/>
        <v>#N/A</v>
      </c>
      <c r="O883" s="50" t="e">
        <f t="shared" si="169"/>
        <v>#N/A</v>
      </c>
      <c r="P883" s="50" t="e">
        <f t="shared" si="170"/>
        <v>#N/A</v>
      </c>
      <c r="Q883" s="51" t="e">
        <f t="shared" si="171"/>
        <v>#N/A</v>
      </c>
      <c r="R883" s="205" t="e">
        <f t="shared" si="172"/>
        <v>#N/A</v>
      </c>
      <c r="S883" s="279" t="e">
        <f>IF(R883="si",0,IF(E883="si",0,IF(J883&gt;K883,0,+K883-J883)))+IF('calcolo base'!P2343="SI",('Commissioni De Angeli'!K883-'Commissioni De Angeli'!J883),0)</f>
        <v>#N/A</v>
      </c>
      <c r="T883" s="117" t="e">
        <f t="shared" si="173"/>
        <v>#N/A</v>
      </c>
      <c r="U883" s="272" t="e">
        <f>IF(Q883=0,'calcolo base'!L3482,(T883+Q883))</f>
        <v>#N/A</v>
      </c>
      <c r="V883" s="119"/>
    </row>
    <row r="884" spans="2:22">
      <c r="B884" s="47"/>
      <c r="C884" s="35"/>
      <c r="D884" s="53"/>
      <c r="E884" s="53"/>
      <c r="F884" s="48"/>
      <c r="G884" s="243" t="e">
        <f>INDEX('calcolo base'!$B:$B, MATCH($A884, 'calcolo base'!$A:$A, 0))</f>
        <v>#N/A</v>
      </c>
      <c r="H884" s="54" t="e">
        <f t="shared" si="165"/>
        <v>#N/A</v>
      </c>
      <c r="I884" s="259" t="e">
        <f>IF(  OR(      INDEX('calcolo base'!$D:$D, MATCH($A884, 'calcolo base'!$A:$A, 0)) = 0,
      INDEX('calcolo base'!$D:$D, MATCH($A884, 'calcolo base'!$A:$A, 0)) = ""   ),
   INDEX('calcolo base'!$K:$K, MATCH($A884, 'calcolo base'!$A:$A, 0)),
   INDEX('calcolo base'!$J:$J, MATCH($A884, 'calcolo base'!$A:$A, 0))
) / 1000</f>
        <v>#N/A</v>
      </c>
      <c r="J884" s="50" t="e">
        <f t="shared" si="166"/>
        <v>#N/A</v>
      </c>
      <c r="K884" s="50"/>
      <c r="L884" s="267" t="e">
        <f>INDEX('calcolo base'!$H:$H, MATCH($A884, 'calcolo base'!$A:$A, 0))</f>
        <v>#N/A</v>
      </c>
      <c r="M884" s="50" t="e">
        <f t="shared" si="167"/>
        <v>#N/A</v>
      </c>
      <c r="N884" s="50" t="e">
        <f t="shared" si="168"/>
        <v>#N/A</v>
      </c>
      <c r="O884" s="50" t="e">
        <f t="shared" si="169"/>
        <v>#N/A</v>
      </c>
      <c r="P884" s="50" t="e">
        <f t="shared" si="170"/>
        <v>#N/A</v>
      </c>
      <c r="Q884" s="51" t="e">
        <f t="shared" si="171"/>
        <v>#N/A</v>
      </c>
      <c r="R884" s="205" t="e">
        <f t="shared" si="172"/>
        <v>#N/A</v>
      </c>
      <c r="S884" s="279" t="e">
        <f>IF(R884="si",0,IF(E884="si",0,IF(J884&gt;K884,0,+K884-J884)))+IF('calcolo base'!P2344="SI",('Commissioni De Angeli'!K884-'Commissioni De Angeli'!J884),0)</f>
        <v>#N/A</v>
      </c>
      <c r="T884" s="117" t="e">
        <f t="shared" si="173"/>
        <v>#N/A</v>
      </c>
      <c r="U884" s="272" t="e">
        <f>IF(Q884=0,'calcolo base'!L3483,(T884+Q884))</f>
        <v>#N/A</v>
      </c>
      <c r="V884" s="119"/>
    </row>
    <row r="885" spans="2:22">
      <c r="B885" s="47"/>
      <c r="C885" s="35"/>
      <c r="D885" s="53"/>
      <c r="E885" s="53"/>
      <c r="F885" s="48"/>
      <c r="G885" s="243" t="e">
        <f>INDEX('calcolo base'!$B:$B, MATCH($A885, 'calcolo base'!$A:$A, 0))</f>
        <v>#N/A</v>
      </c>
      <c r="H885" s="54" t="e">
        <f t="shared" si="165"/>
        <v>#N/A</v>
      </c>
      <c r="I885" s="259" t="e">
        <f>IF(  OR(      INDEX('calcolo base'!$D:$D, MATCH($A885, 'calcolo base'!$A:$A, 0)) = 0,
      INDEX('calcolo base'!$D:$D, MATCH($A885, 'calcolo base'!$A:$A, 0)) = ""   ),
   INDEX('calcolo base'!$K:$K, MATCH($A885, 'calcolo base'!$A:$A, 0)),
   INDEX('calcolo base'!$J:$J, MATCH($A885, 'calcolo base'!$A:$A, 0))
) / 1000</f>
        <v>#N/A</v>
      </c>
      <c r="J885" s="50" t="e">
        <f t="shared" si="166"/>
        <v>#N/A</v>
      </c>
      <c r="K885" s="50"/>
      <c r="L885" s="267" t="e">
        <f>INDEX('calcolo base'!$H:$H, MATCH($A885, 'calcolo base'!$A:$A, 0))</f>
        <v>#N/A</v>
      </c>
      <c r="M885" s="50" t="e">
        <f t="shared" si="167"/>
        <v>#N/A</v>
      </c>
      <c r="N885" s="50" t="e">
        <f t="shared" si="168"/>
        <v>#N/A</v>
      </c>
      <c r="O885" s="50" t="e">
        <f t="shared" si="169"/>
        <v>#N/A</v>
      </c>
      <c r="P885" s="50" t="e">
        <f t="shared" si="170"/>
        <v>#N/A</v>
      </c>
      <c r="Q885" s="51" t="e">
        <f t="shared" si="171"/>
        <v>#N/A</v>
      </c>
      <c r="R885" s="205" t="e">
        <f t="shared" si="172"/>
        <v>#N/A</v>
      </c>
      <c r="S885" s="279" t="e">
        <f>IF(R885="si",0,IF(E885="si",0,IF(J885&gt;K885,0,+K885-J885)))+IF('calcolo base'!P2345="SI",('Commissioni De Angeli'!K885-'Commissioni De Angeli'!J885),0)</f>
        <v>#N/A</v>
      </c>
      <c r="T885" s="117" t="e">
        <f t="shared" si="173"/>
        <v>#N/A</v>
      </c>
      <c r="U885" s="272" t="e">
        <f>IF(Q885=0,'calcolo base'!L3484,(T885+Q885))</f>
        <v>#N/A</v>
      </c>
      <c r="V885" s="119"/>
    </row>
    <row r="886" spans="2:22">
      <c r="B886" s="47"/>
      <c r="C886" s="35"/>
      <c r="D886" s="53"/>
      <c r="E886" s="53"/>
      <c r="F886" s="48"/>
      <c r="G886" s="243" t="e">
        <f>INDEX('calcolo base'!$B:$B, MATCH($A886, 'calcolo base'!$A:$A, 0))</f>
        <v>#N/A</v>
      </c>
      <c r="H886" s="54" t="e">
        <f t="shared" si="165"/>
        <v>#N/A</v>
      </c>
      <c r="I886" s="259" t="e">
        <f>IF(  OR(      INDEX('calcolo base'!$D:$D, MATCH($A886, 'calcolo base'!$A:$A, 0)) = 0,
      INDEX('calcolo base'!$D:$D, MATCH($A886, 'calcolo base'!$A:$A, 0)) = ""   ),
   INDEX('calcolo base'!$K:$K, MATCH($A886, 'calcolo base'!$A:$A, 0)),
   INDEX('calcolo base'!$J:$J, MATCH($A886, 'calcolo base'!$A:$A, 0))
) / 1000</f>
        <v>#N/A</v>
      </c>
      <c r="J886" s="50" t="e">
        <f t="shared" si="166"/>
        <v>#N/A</v>
      </c>
      <c r="K886" s="50"/>
      <c r="L886" s="267" t="e">
        <f>INDEX('calcolo base'!$H:$H, MATCH($A886, 'calcolo base'!$A:$A, 0))</f>
        <v>#N/A</v>
      </c>
      <c r="M886" s="50" t="e">
        <f t="shared" si="167"/>
        <v>#N/A</v>
      </c>
      <c r="N886" s="50" t="e">
        <f t="shared" si="168"/>
        <v>#N/A</v>
      </c>
      <c r="O886" s="50" t="e">
        <f t="shared" si="169"/>
        <v>#N/A</v>
      </c>
      <c r="P886" s="50" t="e">
        <f t="shared" si="170"/>
        <v>#N/A</v>
      </c>
      <c r="Q886" s="51" t="e">
        <f t="shared" si="171"/>
        <v>#N/A</v>
      </c>
      <c r="R886" s="205" t="e">
        <f t="shared" si="172"/>
        <v>#N/A</v>
      </c>
      <c r="S886" s="279" t="e">
        <f>IF(R886="si",0,IF(E886="si",0,IF(J886&gt;K886,0,+K886-J886)))+IF('calcolo base'!P2346="SI",('Commissioni De Angeli'!K886-'Commissioni De Angeli'!J886),0)</f>
        <v>#N/A</v>
      </c>
      <c r="T886" s="117" t="e">
        <f t="shared" si="173"/>
        <v>#N/A</v>
      </c>
      <c r="U886" s="272" t="e">
        <f>IF(Q886=0,'calcolo base'!L3485,(T886+Q886))</f>
        <v>#N/A</v>
      </c>
      <c r="V886" s="119"/>
    </row>
    <row r="887" spans="2:22">
      <c r="B887" s="47"/>
      <c r="C887" s="35"/>
      <c r="D887" s="53"/>
      <c r="E887" s="53"/>
      <c r="F887" s="48"/>
      <c r="G887" s="243" t="e">
        <f>INDEX('calcolo base'!$B:$B, MATCH($A887, 'calcolo base'!$A:$A, 0))</f>
        <v>#N/A</v>
      </c>
      <c r="H887" s="54" t="e">
        <f t="shared" si="165"/>
        <v>#N/A</v>
      </c>
      <c r="I887" s="259" t="e">
        <f>IF(  OR(      INDEX('calcolo base'!$D:$D, MATCH($A887, 'calcolo base'!$A:$A, 0)) = 0,
      INDEX('calcolo base'!$D:$D, MATCH($A887, 'calcolo base'!$A:$A, 0)) = ""   ),
   INDEX('calcolo base'!$K:$K, MATCH($A887, 'calcolo base'!$A:$A, 0)),
   INDEX('calcolo base'!$J:$J, MATCH($A887, 'calcolo base'!$A:$A, 0))
) / 1000</f>
        <v>#N/A</v>
      </c>
      <c r="J887" s="50" t="e">
        <f t="shared" si="166"/>
        <v>#N/A</v>
      </c>
      <c r="K887" s="50"/>
      <c r="L887" s="267" t="e">
        <f>INDEX('calcolo base'!$H:$H, MATCH($A887, 'calcolo base'!$A:$A, 0))</f>
        <v>#N/A</v>
      </c>
      <c r="M887" s="50" t="e">
        <f t="shared" si="167"/>
        <v>#N/A</v>
      </c>
      <c r="N887" s="50" t="e">
        <f t="shared" si="168"/>
        <v>#N/A</v>
      </c>
      <c r="O887" s="50" t="e">
        <f t="shared" si="169"/>
        <v>#N/A</v>
      </c>
      <c r="P887" s="50" t="e">
        <f t="shared" si="170"/>
        <v>#N/A</v>
      </c>
      <c r="Q887" s="51" t="e">
        <f t="shared" si="171"/>
        <v>#N/A</v>
      </c>
      <c r="R887" s="205" t="e">
        <f t="shared" si="172"/>
        <v>#N/A</v>
      </c>
      <c r="S887" s="279" t="e">
        <f>IF(R887="si",0,IF(E887="si",0,IF(J887&gt;K887,0,+K887-J887)))+IF('calcolo base'!P2347="SI",('Commissioni De Angeli'!K887-'Commissioni De Angeli'!J887),0)</f>
        <v>#N/A</v>
      </c>
      <c r="T887" s="117" t="e">
        <f t="shared" si="173"/>
        <v>#N/A</v>
      </c>
      <c r="U887" s="272" t="e">
        <f>IF(Q887=0,'calcolo base'!L3486,(T887+Q887))</f>
        <v>#N/A</v>
      </c>
      <c r="V887" s="119"/>
    </row>
    <row r="888" spans="2:22">
      <c r="B888" s="47"/>
      <c r="C888" s="35"/>
      <c r="D888" s="53"/>
      <c r="E888" s="53"/>
      <c r="F888" s="48"/>
      <c r="G888" s="243" t="e">
        <f>INDEX('calcolo base'!$B:$B, MATCH($A888, 'calcolo base'!$A:$A, 0))</f>
        <v>#N/A</v>
      </c>
      <c r="H888" s="54" t="e">
        <f t="shared" si="165"/>
        <v>#N/A</v>
      </c>
      <c r="I888" s="259" t="e">
        <f>IF(  OR(      INDEX('calcolo base'!$D:$D, MATCH($A888, 'calcolo base'!$A:$A, 0)) = 0,
      INDEX('calcolo base'!$D:$D, MATCH($A888, 'calcolo base'!$A:$A, 0)) = ""   ),
   INDEX('calcolo base'!$K:$K, MATCH($A888, 'calcolo base'!$A:$A, 0)),
   INDEX('calcolo base'!$J:$J, MATCH($A888, 'calcolo base'!$A:$A, 0))
) / 1000</f>
        <v>#N/A</v>
      </c>
      <c r="J888" s="50" t="e">
        <f t="shared" si="166"/>
        <v>#N/A</v>
      </c>
      <c r="K888" s="50"/>
      <c r="L888" s="267" t="e">
        <f>INDEX('calcolo base'!$H:$H, MATCH($A888, 'calcolo base'!$A:$A, 0))</f>
        <v>#N/A</v>
      </c>
      <c r="M888" s="50" t="e">
        <f t="shared" si="167"/>
        <v>#N/A</v>
      </c>
      <c r="N888" s="50" t="e">
        <f t="shared" si="168"/>
        <v>#N/A</v>
      </c>
      <c r="O888" s="50" t="e">
        <f t="shared" si="169"/>
        <v>#N/A</v>
      </c>
      <c r="P888" s="50" t="e">
        <f t="shared" si="170"/>
        <v>#N/A</v>
      </c>
      <c r="Q888" s="51" t="e">
        <f t="shared" si="171"/>
        <v>#N/A</v>
      </c>
      <c r="R888" s="205" t="e">
        <f t="shared" si="172"/>
        <v>#N/A</v>
      </c>
      <c r="S888" s="279" t="e">
        <f>IF(R888="si",0,IF(E888="si",0,IF(J888&gt;K888,0,+K888-J888)))+IF('calcolo base'!P2348="SI",('Commissioni De Angeli'!K888-'Commissioni De Angeli'!J888),0)</f>
        <v>#N/A</v>
      </c>
      <c r="T888" s="117" t="e">
        <f t="shared" si="173"/>
        <v>#N/A</v>
      </c>
      <c r="U888" s="272" t="e">
        <f>IF(Q888=0,'calcolo base'!L3487,(T888+Q888))</f>
        <v>#N/A</v>
      </c>
      <c r="V888" s="119"/>
    </row>
    <row r="889" spans="2:22">
      <c r="B889" s="47"/>
      <c r="C889" s="35"/>
      <c r="D889" s="53"/>
      <c r="E889" s="53"/>
      <c r="F889" s="48"/>
      <c r="G889" s="243" t="e">
        <f>INDEX('calcolo base'!$B:$B, MATCH($A889, 'calcolo base'!$A:$A, 0))</f>
        <v>#N/A</v>
      </c>
      <c r="H889" s="54" t="e">
        <f t="shared" si="165"/>
        <v>#N/A</v>
      </c>
      <c r="I889" s="259" t="e">
        <f>IF(  OR(      INDEX('calcolo base'!$D:$D, MATCH($A889, 'calcolo base'!$A:$A, 0)) = 0,
      INDEX('calcolo base'!$D:$D, MATCH($A889, 'calcolo base'!$A:$A, 0)) = ""   ),
   INDEX('calcolo base'!$K:$K, MATCH($A889, 'calcolo base'!$A:$A, 0)),
   INDEX('calcolo base'!$J:$J, MATCH($A889, 'calcolo base'!$A:$A, 0))
) / 1000</f>
        <v>#N/A</v>
      </c>
      <c r="J889" s="50" t="e">
        <f t="shared" si="166"/>
        <v>#N/A</v>
      </c>
      <c r="K889" s="50"/>
      <c r="L889" s="267" t="e">
        <f>INDEX('calcolo base'!$H:$H, MATCH($A889, 'calcolo base'!$A:$A, 0))</f>
        <v>#N/A</v>
      </c>
      <c r="M889" s="50" t="e">
        <f t="shared" si="167"/>
        <v>#N/A</v>
      </c>
      <c r="N889" s="50" t="e">
        <f t="shared" si="168"/>
        <v>#N/A</v>
      </c>
      <c r="O889" s="50" t="e">
        <f t="shared" si="169"/>
        <v>#N/A</v>
      </c>
      <c r="P889" s="50" t="e">
        <f t="shared" si="170"/>
        <v>#N/A</v>
      </c>
      <c r="Q889" s="51" t="e">
        <f t="shared" si="171"/>
        <v>#N/A</v>
      </c>
      <c r="R889" s="205" t="e">
        <f t="shared" si="172"/>
        <v>#N/A</v>
      </c>
      <c r="S889" s="279" t="e">
        <f>IF(R889="si",0,IF(E889="si",0,IF(J889&gt;K889,0,+K889-J889)))+IF('calcolo base'!P2349="SI",('Commissioni De Angeli'!K889-'Commissioni De Angeli'!J889),0)</f>
        <v>#N/A</v>
      </c>
      <c r="T889" s="117" t="e">
        <f t="shared" si="173"/>
        <v>#N/A</v>
      </c>
      <c r="U889" s="272" t="e">
        <f>IF(Q889=0,'calcolo base'!L3488,(T889+Q889))</f>
        <v>#N/A</v>
      </c>
      <c r="V889" s="119"/>
    </row>
    <row r="890" spans="2:22">
      <c r="B890" s="47"/>
      <c r="C890" s="35"/>
      <c r="D890" s="53"/>
      <c r="E890" s="53"/>
      <c r="F890" s="48"/>
      <c r="G890" s="243" t="e">
        <f>INDEX('calcolo base'!$B:$B, MATCH($A890, 'calcolo base'!$A:$A, 0))</f>
        <v>#N/A</v>
      </c>
      <c r="H890" s="54" t="e">
        <f t="shared" si="165"/>
        <v>#N/A</v>
      </c>
      <c r="I890" s="259" t="e">
        <f>IF(  OR(      INDEX('calcolo base'!$D:$D, MATCH($A890, 'calcolo base'!$A:$A, 0)) = 0,
      INDEX('calcolo base'!$D:$D, MATCH($A890, 'calcolo base'!$A:$A, 0)) = ""   ),
   INDEX('calcolo base'!$K:$K, MATCH($A890, 'calcolo base'!$A:$A, 0)),
   INDEX('calcolo base'!$J:$J, MATCH($A890, 'calcolo base'!$A:$A, 0))
) / 1000</f>
        <v>#N/A</v>
      </c>
      <c r="J890" s="50" t="e">
        <f t="shared" si="166"/>
        <v>#N/A</v>
      </c>
      <c r="K890" s="50"/>
      <c r="L890" s="267" t="e">
        <f>INDEX('calcolo base'!$H:$H, MATCH($A890, 'calcolo base'!$A:$A, 0))</f>
        <v>#N/A</v>
      </c>
      <c r="M890" s="50" t="e">
        <f t="shared" si="167"/>
        <v>#N/A</v>
      </c>
      <c r="N890" s="50" t="e">
        <f t="shared" si="168"/>
        <v>#N/A</v>
      </c>
      <c r="O890" s="50" t="e">
        <f t="shared" si="169"/>
        <v>#N/A</v>
      </c>
      <c r="P890" s="50" t="e">
        <f t="shared" si="170"/>
        <v>#N/A</v>
      </c>
      <c r="Q890" s="51" t="e">
        <f t="shared" si="171"/>
        <v>#N/A</v>
      </c>
      <c r="R890" s="205" t="e">
        <f t="shared" si="172"/>
        <v>#N/A</v>
      </c>
      <c r="S890" s="279" t="e">
        <f>IF(R890="si",0,IF(E890="si",0,IF(J890&gt;K890,0,+K890-J890)))+IF('calcolo base'!P2350="SI",('Commissioni De Angeli'!K890-'Commissioni De Angeli'!J890),0)</f>
        <v>#N/A</v>
      </c>
      <c r="T890" s="117" t="e">
        <f t="shared" si="173"/>
        <v>#N/A</v>
      </c>
      <c r="U890" s="272" t="e">
        <f>IF(Q890=0,'calcolo base'!L3489,(T890+Q890))</f>
        <v>#N/A</v>
      </c>
      <c r="V890" s="119"/>
    </row>
    <row r="891" spans="2:22">
      <c r="B891" s="47"/>
      <c r="C891" s="35"/>
      <c r="D891" s="53"/>
      <c r="E891" s="53"/>
      <c r="F891" s="48"/>
      <c r="G891" s="243" t="e">
        <f>INDEX('calcolo base'!$B:$B, MATCH($A891, 'calcolo base'!$A:$A, 0))</f>
        <v>#N/A</v>
      </c>
      <c r="H891" s="54" t="e">
        <f t="shared" si="165"/>
        <v>#N/A</v>
      </c>
      <c r="I891" s="259" t="e">
        <f>IF(  OR(      INDEX('calcolo base'!$D:$D, MATCH($A891, 'calcolo base'!$A:$A, 0)) = 0,
      INDEX('calcolo base'!$D:$D, MATCH($A891, 'calcolo base'!$A:$A, 0)) = ""   ),
   INDEX('calcolo base'!$K:$K, MATCH($A891, 'calcolo base'!$A:$A, 0)),
   INDEX('calcolo base'!$J:$J, MATCH($A891, 'calcolo base'!$A:$A, 0))
) / 1000</f>
        <v>#N/A</v>
      </c>
      <c r="J891" s="50" t="e">
        <f t="shared" si="166"/>
        <v>#N/A</v>
      </c>
      <c r="K891" s="50"/>
      <c r="L891" s="267" t="e">
        <f>INDEX('calcolo base'!$H:$H, MATCH($A891, 'calcolo base'!$A:$A, 0))</f>
        <v>#N/A</v>
      </c>
      <c r="M891" s="50" t="e">
        <f t="shared" si="167"/>
        <v>#N/A</v>
      </c>
      <c r="N891" s="50" t="e">
        <f t="shared" si="168"/>
        <v>#N/A</v>
      </c>
      <c r="O891" s="50" t="e">
        <f t="shared" si="169"/>
        <v>#N/A</v>
      </c>
      <c r="P891" s="50" t="e">
        <f t="shared" si="170"/>
        <v>#N/A</v>
      </c>
      <c r="Q891" s="51" t="e">
        <f t="shared" si="171"/>
        <v>#N/A</v>
      </c>
      <c r="R891" s="205" t="e">
        <f t="shared" si="172"/>
        <v>#N/A</v>
      </c>
      <c r="S891" s="279" t="e">
        <f>IF(R891="si",0,IF(E891="si",0,IF(J891&gt;K891,0,+K891-J891)))+IF('calcolo base'!P2351="SI",('Commissioni De Angeli'!K891-'Commissioni De Angeli'!J891),0)</f>
        <v>#N/A</v>
      </c>
      <c r="T891" s="117" t="e">
        <f t="shared" si="173"/>
        <v>#N/A</v>
      </c>
      <c r="U891" s="272" t="e">
        <f>IF(Q891=0,'calcolo base'!L3490,(T891+Q891))</f>
        <v>#N/A</v>
      </c>
      <c r="V891" s="119"/>
    </row>
    <row r="892" spans="2:22">
      <c r="B892" s="47"/>
      <c r="C892" s="35"/>
      <c r="D892" s="53"/>
      <c r="E892" s="53"/>
      <c r="F892" s="48"/>
      <c r="G892" s="243" t="e">
        <f>INDEX('calcolo base'!$B:$B, MATCH($A892, 'calcolo base'!$A:$A, 0))</f>
        <v>#N/A</v>
      </c>
      <c r="H892" s="54" t="e">
        <f t="shared" si="165"/>
        <v>#N/A</v>
      </c>
      <c r="I892" s="259" t="e">
        <f>IF(  OR(      INDEX('calcolo base'!$D:$D, MATCH($A892, 'calcolo base'!$A:$A, 0)) = 0,
      INDEX('calcolo base'!$D:$D, MATCH($A892, 'calcolo base'!$A:$A, 0)) = ""   ),
   INDEX('calcolo base'!$K:$K, MATCH($A892, 'calcolo base'!$A:$A, 0)),
   INDEX('calcolo base'!$J:$J, MATCH($A892, 'calcolo base'!$A:$A, 0))
) / 1000</f>
        <v>#N/A</v>
      </c>
      <c r="J892" s="50" t="e">
        <f t="shared" si="166"/>
        <v>#N/A</v>
      </c>
      <c r="K892" s="50"/>
      <c r="L892" s="267" t="e">
        <f>INDEX('calcolo base'!$H:$H, MATCH($A892, 'calcolo base'!$A:$A, 0))</f>
        <v>#N/A</v>
      </c>
      <c r="M892" s="50" t="e">
        <f t="shared" si="167"/>
        <v>#N/A</v>
      </c>
      <c r="N892" s="50" t="e">
        <f t="shared" si="168"/>
        <v>#N/A</v>
      </c>
      <c r="O892" s="50" t="e">
        <f t="shared" si="169"/>
        <v>#N/A</v>
      </c>
      <c r="P892" s="50" t="e">
        <f t="shared" si="170"/>
        <v>#N/A</v>
      </c>
      <c r="Q892" s="51" t="e">
        <f t="shared" si="171"/>
        <v>#N/A</v>
      </c>
      <c r="R892" s="205" t="e">
        <f t="shared" si="172"/>
        <v>#N/A</v>
      </c>
      <c r="S892" s="279" t="e">
        <f>IF(R892="si",0,IF(E892="si",0,IF(J892&gt;K892,0,+K892-J892)))+IF('calcolo base'!P2352="SI",('Commissioni De Angeli'!K892-'Commissioni De Angeli'!J892),0)</f>
        <v>#N/A</v>
      </c>
      <c r="T892" s="117" t="e">
        <f t="shared" si="173"/>
        <v>#N/A</v>
      </c>
      <c r="U892" s="272" t="e">
        <f>IF(Q892=0,'calcolo base'!L3491,(T892+Q892))</f>
        <v>#N/A</v>
      </c>
      <c r="V892" s="119"/>
    </row>
    <row r="893" spans="2:22">
      <c r="B893" s="47"/>
      <c r="C893" s="35"/>
      <c r="D893" s="53"/>
      <c r="E893" s="53"/>
      <c r="F893" s="48"/>
      <c r="G893" s="243" t="e">
        <f>INDEX('calcolo base'!$B:$B, MATCH($A893, 'calcolo base'!$A:$A, 0))</f>
        <v>#N/A</v>
      </c>
      <c r="H893" s="54" t="e">
        <f t="shared" si="165"/>
        <v>#N/A</v>
      </c>
      <c r="I893" s="259" t="e">
        <f>IF(  OR(      INDEX('calcolo base'!$D:$D, MATCH($A893, 'calcolo base'!$A:$A, 0)) = 0,
      INDEX('calcolo base'!$D:$D, MATCH($A893, 'calcolo base'!$A:$A, 0)) = ""   ),
   INDEX('calcolo base'!$K:$K, MATCH($A893, 'calcolo base'!$A:$A, 0)),
   INDEX('calcolo base'!$J:$J, MATCH($A893, 'calcolo base'!$A:$A, 0))
) / 1000</f>
        <v>#N/A</v>
      </c>
      <c r="J893" s="50" t="e">
        <f t="shared" si="166"/>
        <v>#N/A</v>
      </c>
      <c r="K893" s="50"/>
      <c r="L893" s="267" t="e">
        <f>INDEX('calcolo base'!$H:$H, MATCH($A893, 'calcolo base'!$A:$A, 0))</f>
        <v>#N/A</v>
      </c>
      <c r="M893" s="50" t="e">
        <f t="shared" si="167"/>
        <v>#N/A</v>
      </c>
      <c r="N893" s="50" t="e">
        <f t="shared" si="168"/>
        <v>#N/A</v>
      </c>
      <c r="O893" s="50" t="e">
        <f t="shared" si="169"/>
        <v>#N/A</v>
      </c>
      <c r="P893" s="50" t="e">
        <f t="shared" si="170"/>
        <v>#N/A</v>
      </c>
      <c r="Q893" s="51" t="e">
        <f t="shared" si="171"/>
        <v>#N/A</v>
      </c>
      <c r="R893" s="205" t="e">
        <f t="shared" si="172"/>
        <v>#N/A</v>
      </c>
      <c r="S893" s="279" t="e">
        <f>IF(R893="si",0,IF(E893="si",0,IF(J893&gt;K893,0,+K893-J893)))+IF('calcolo base'!P2353="SI",('Commissioni De Angeli'!K893-'Commissioni De Angeli'!J893),0)</f>
        <v>#N/A</v>
      </c>
      <c r="T893" s="117" t="e">
        <f t="shared" si="173"/>
        <v>#N/A</v>
      </c>
      <c r="U893" s="272" t="e">
        <f>IF(Q893=0,'calcolo base'!L3492,(T893+Q893))</f>
        <v>#N/A</v>
      </c>
      <c r="V893" s="119"/>
    </row>
    <row r="894" spans="2:22">
      <c r="B894" s="47"/>
      <c r="C894" s="35"/>
      <c r="D894" s="53"/>
      <c r="E894" s="53"/>
      <c r="F894" s="48"/>
      <c r="G894" s="243" t="e">
        <f>INDEX('calcolo base'!$B:$B, MATCH($A894, 'calcolo base'!$A:$A, 0))</f>
        <v>#N/A</v>
      </c>
      <c r="H894" s="54" t="e">
        <f t="shared" si="165"/>
        <v>#N/A</v>
      </c>
      <c r="I894" s="259" t="e">
        <f>IF(  OR(      INDEX('calcolo base'!$D:$D, MATCH($A894, 'calcolo base'!$A:$A, 0)) = 0,
      INDEX('calcolo base'!$D:$D, MATCH($A894, 'calcolo base'!$A:$A, 0)) = ""   ),
   INDEX('calcolo base'!$K:$K, MATCH($A894, 'calcolo base'!$A:$A, 0)),
   INDEX('calcolo base'!$J:$J, MATCH($A894, 'calcolo base'!$A:$A, 0))
) / 1000</f>
        <v>#N/A</v>
      </c>
      <c r="J894" s="50" t="e">
        <f t="shared" si="166"/>
        <v>#N/A</v>
      </c>
      <c r="K894" s="50"/>
      <c r="L894" s="267" t="e">
        <f>INDEX('calcolo base'!$H:$H, MATCH($A894, 'calcolo base'!$A:$A, 0))</f>
        <v>#N/A</v>
      </c>
      <c r="M894" s="50" t="e">
        <f t="shared" si="167"/>
        <v>#N/A</v>
      </c>
      <c r="N894" s="50" t="e">
        <f t="shared" si="168"/>
        <v>#N/A</v>
      </c>
      <c r="O894" s="50" t="e">
        <f t="shared" si="169"/>
        <v>#N/A</v>
      </c>
      <c r="P894" s="50" t="e">
        <f t="shared" si="170"/>
        <v>#N/A</v>
      </c>
      <c r="Q894" s="51" t="e">
        <f t="shared" si="171"/>
        <v>#N/A</v>
      </c>
      <c r="R894" s="205" t="e">
        <f t="shared" si="172"/>
        <v>#N/A</v>
      </c>
      <c r="S894" s="279" t="e">
        <f>IF(R894="si",0,IF(E894="si",0,IF(J894&gt;K894,0,+K894-J894)))+IF('calcolo base'!P2354="SI",('Commissioni De Angeli'!K894-'Commissioni De Angeli'!J894),0)</f>
        <v>#N/A</v>
      </c>
      <c r="T894" s="117" t="e">
        <f t="shared" si="173"/>
        <v>#N/A</v>
      </c>
      <c r="U894" s="272" t="e">
        <f>IF(Q894=0,'calcolo base'!L3493,(T894+Q894))</f>
        <v>#N/A</v>
      </c>
      <c r="V894" s="119"/>
    </row>
    <row r="895" spans="2:22">
      <c r="B895" s="47"/>
      <c r="C895" s="35"/>
      <c r="D895" s="53"/>
      <c r="E895" s="53"/>
      <c r="F895" s="48"/>
      <c r="G895" s="243" t="e">
        <f>INDEX('calcolo base'!$B:$B, MATCH($A895, 'calcolo base'!$A:$A, 0))</f>
        <v>#N/A</v>
      </c>
      <c r="H895" s="54" t="e">
        <f t="shared" si="165"/>
        <v>#N/A</v>
      </c>
      <c r="I895" s="259" t="e">
        <f>IF(  OR(      INDEX('calcolo base'!$D:$D, MATCH($A895, 'calcolo base'!$A:$A, 0)) = 0,
      INDEX('calcolo base'!$D:$D, MATCH($A895, 'calcolo base'!$A:$A, 0)) = ""   ),
   INDEX('calcolo base'!$K:$K, MATCH($A895, 'calcolo base'!$A:$A, 0)),
   INDEX('calcolo base'!$J:$J, MATCH($A895, 'calcolo base'!$A:$A, 0))
) / 1000</f>
        <v>#N/A</v>
      </c>
      <c r="J895" s="50" t="e">
        <f t="shared" si="166"/>
        <v>#N/A</v>
      </c>
      <c r="K895" s="50"/>
      <c r="L895" s="267" t="e">
        <f>INDEX('calcolo base'!$H:$H, MATCH($A895, 'calcolo base'!$A:$A, 0))</f>
        <v>#N/A</v>
      </c>
      <c r="M895" s="50" t="e">
        <f t="shared" si="167"/>
        <v>#N/A</v>
      </c>
      <c r="N895" s="50" t="e">
        <f t="shared" si="168"/>
        <v>#N/A</v>
      </c>
      <c r="O895" s="50" t="e">
        <f t="shared" si="169"/>
        <v>#N/A</v>
      </c>
      <c r="P895" s="50" t="e">
        <f t="shared" si="170"/>
        <v>#N/A</v>
      </c>
      <c r="Q895" s="51" t="e">
        <f t="shared" si="171"/>
        <v>#N/A</v>
      </c>
      <c r="R895" s="205" t="e">
        <f t="shared" si="172"/>
        <v>#N/A</v>
      </c>
      <c r="S895" s="279" t="e">
        <f>IF(R895="si",0,IF(E895="si",0,IF(J895&gt;K895,0,+K895-J895)))+IF('calcolo base'!P2355="SI",('Commissioni De Angeli'!K895-'Commissioni De Angeli'!J895),0)</f>
        <v>#N/A</v>
      </c>
      <c r="T895" s="117" t="e">
        <f t="shared" si="173"/>
        <v>#N/A</v>
      </c>
      <c r="U895" s="272" t="e">
        <f>IF(Q895=0,'calcolo base'!L3494,(T895+Q895))</f>
        <v>#N/A</v>
      </c>
      <c r="V895" s="119"/>
    </row>
    <row r="896" spans="2:22">
      <c r="B896" s="47"/>
      <c r="C896" s="35"/>
      <c r="D896" s="53"/>
      <c r="E896" s="53"/>
      <c r="F896" s="48"/>
      <c r="G896" s="243" t="e">
        <f>INDEX('calcolo base'!$B:$B, MATCH($A896, 'calcolo base'!$A:$A, 0))</f>
        <v>#N/A</v>
      </c>
      <c r="H896" s="54" t="e">
        <f t="shared" si="165"/>
        <v>#N/A</v>
      </c>
      <c r="I896" s="259" t="e">
        <f>IF(  OR(      INDEX('calcolo base'!$D:$D, MATCH($A896, 'calcolo base'!$A:$A, 0)) = 0,
      INDEX('calcolo base'!$D:$D, MATCH($A896, 'calcolo base'!$A:$A, 0)) = ""   ),
   INDEX('calcolo base'!$K:$K, MATCH($A896, 'calcolo base'!$A:$A, 0)),
   INDEX('calcolo base'!$J:$J, MATCH($A896, 'calcolo base'!$A:$A, 0))
) / 1000</f>
        <v>#N/A</v>
      </c>
      <c r="J896" s="50" t="e">
        <f t="shared" si="166"/>
        <v>#N/A</v>
      </c>
      <c r="K896" s="50"/>
      <c r="L896" s="267" t="e">
        <f>INDEX('calcolo base'!$H:$H, MATCH($A896, 'calcolo base'!$A:$A, 0))</f>
        <v>#N/A</v>
      </c>
      <c r="M896" s="50" t="e">
        <f t="shared" si="167"/>
        <v>#N/A</v>
      </c>
      <c r="N896" s="50" t="e">
        <f t="shared" si="168"/>
        <v>#N/A</v>
      </c>
      <c r="O896" s="50" t="e">
        <f t="shared" si="169"/>
        <v>#N/A</v>
      </c>
      <c r="P896" s="50" t="e">
        <f t="shared" si="170"/>
        <v>#N/A</v>
      </c>
      <c r="Q896" s="51" t="e">
        <f t="shared" si="171"/>
        <v>#N/A</v>
      </c>
      <c r="R896" s="205" t="e">
        <f t="shared" si="172"/>
        <v>#N/A</v>
      </c>
      <c r="S896" s="279" t="e">
        <f>IF(R896="si",0,IF(E896="si",0,IF(J896&gt;K896,0,+K896-J896)))+IF('calcolo base'!P2356="SI",('Commissioni De Angeli'!K896-'Commissioni De Angeli'!J896),0)</f>
        <v>#N/A</v>
      </c>
      <c r="T896" s="117" t="e">
        <f t="shared" si="173"/>
        <v>#N/A</v>
      </c>
      <c r="U896" s="272" t="e">
        <f>IF(Q896=0,'calcolo base'!L3495,(T896+Q896))</f>
        <v>#N/A</v>
      </c>
      <c r="V896" s="119"/>
    </row>
    <row r="897" spans="2:22">
      <c r="B897" s="47"/>
      <c r="C897" s="35"/>
      <c r="D897" s="53"/>
      <c r="E897" s="53"/>
      <c r="F897" s="48"/>
      <c r="G897" s="243" t="e">
        <f>INDEX('calcolo base'!$B:$B, MATCH($A897, 'calcolo base'!$A:$A, 0))</f>
        <v>#N/A</v>
      </c>
      <c r="H897" s="54" t="e">
        <f t="shared" si="165"/>
        <v>#N/A</v>
      </c>
      <c r="I897" s="259" t="e">
        <f>IF(  OR(      INDEX('calcolo base'!$D:$D, MATCH($A897, 'calcolo base'!$A:$A, 0)) = 0,
      INDEX('calcolo base'!$D:$D, MATCH($A897, 'calcolo base'!$A:$A, 0)) = ""   ),
   INDEX('calcolo base'!$K:$K, MATCH($A897, 'calcolo base'!$A:$A, 0)),
   INDEX('calcolo base'!$J:$J, MATCH($A897, 'calcolo base'!$A:$A, 0))
) / 1000</f>
        <v>#N/A</v>
      </c>
      <c r="J897" s="50" t="e">
        <f t="shared" si="166"/>
        <v>#N/A</v>
      </c>
      <c r="K897" s="50"/>
      <c r="L897" s="267" t="e">
        <f>INDEX('calcolo base'!$H:$H, MATCH($A897, 'calcolo base'!$A:$A, 0))</f>
        <v>#N/A</v>
      </c>
      <c r="M897" s="50" t="e">
        <f t="shared" si="167"/>
        <v>#N/A</v>
      </c>
      <c r="N897" s="50" t="e">
        <f t="shared" si="168"/>
        <v>#N/A</v>
      </c>
      <c r="O897" s="50" t="e">
        <f t="shared" si="169"/>
        <v>#N/A</v>
      </c>
      <c r="P897" s="50" t="e">
        <f t="shared" si="170"/>
        <v>#N/A</v>
      </c>
      <c r="Q897" s="51" t="e">
        <f t="shared" si="171"/>
        <v>#N/A</v>
      </c>
      <c r="R897" s="205" t="e">
        <f t="shared" si="172"/>
        <v>#N/A</v>
      </c>
      <c r="S897" s="279" t="e">
        <f>IF(R897="si",0,IF(E897="si",0,IF(J897&gt;K897,0,+K897-J897)))+IF('calcolo base'!P2357="SI",('Commissioni De Angeli'!K897-'Commissioni De Angeli'!J897),0)</f>
        <v>#N/A</v>
      </c>
      <c r="T897" s="117" t="e">
        <f t="shared" si="173"/>
        <v>#N/A</v>
      </c>
      <c r="U897" s="272" t="e">
        <f>IF(Q897=0,'calcolo base'!L3496,(T897+Q897))</f>
        <v>#N/A</v>
      </c>
      <c r="V897" s="119"/>
    </row>
    <row r="898" spans="2:22">
      <c r="B898" s="47"/>
      <c r="C898" s="35"/>
      <c r="D898" s="53"/>
      <c r="E898" s="53"/>
      <c r="F898" s="48"/>
      <c r="G898" s="243" t="e">
        <f>INDEX('calcolo base'!$B:$B, MATCH($A898, 'calcolo base'!$A:$A, 0))</f>
        <v>#N/A</v>
      </c>
      <c r="H898" s="54" t="e">
        <f t="shared" si="165"/>
        <v>#N/A</v>
      </c>
      <c r="I898" s="259" t="e">
        <f>IF(  OR(      INDEX('calcolo base'!$D:$D, MATCH($A898, 'calcolo base'!$A:$A, 0)) = 0,
      INDEX('calcolo base'!$D:$D, MATCH($A898, 'calcolo base'!$A:$A, 0)) = ""   ),
   INDEX('calcolo base'!$K:$K, MATCH($A898, 'calcolo base'!$A:$A, 0)),
   INDEX('calcolo base'!$J:$J, MATCH($A898, 'calcolo base'!$A:$A, 0))
) / 1000</f>
        <v>#N/A</v>
      </c>
      <c r="J898" s="50" t="e">
        <f t="shared" si="166"/>
        <v>#N/A</v>
      </c>
      <c r="K898" s="50"/>
      <c r="L898" s="267" t="e">
        <f>INDEX('calcolo base'!$H:$H, MATCH($A898, 'calcolo base'!$A:$A, 0))</f>
        <v>#N/A</v>
      </c>
      <c r="M898" s="50" t="e">
        <f t="shared" si="167"/>
        <v>#N/A</v>
      </c>
      <c r="N898" s="50" t="e">
        <f t="shared" si="168"/>
        <v>#N/A</v>
      </c>
      <c r="O898" s="50" t="e">
        <f t="shared" si="169"/>
        <v>#N/A</v>
      </c>
      <c r="P898" s="50" t="e">
        <f t="shared" si="170"/>
        <v>#N/A</v>
      </c>
      <c r="Q898" s="51" t="e">
        <f t="shared" si="171"/>
        <v>#N/A</v>
      </c>
      <c r="R898" s="205" t="e">
        <f t="shared" si="172"/>
        <v>#N/A</v>
      </c>
      <c r="S898" s="279" t="e">
        <f>IF(R898="si",0,IF(E898="si",0,IF(J898&gt;K898,0,+K898-J898)))+IF('calcolo base'!P2358="SI",('Commissioni De Angeli'!K898-'Commissioni De Angeli'!J898),0)</f>
        <v>#N/A</v>
      </c>
      <c r="T898" s="117" t="e">
        <f t="shared" si="173"/>
        <v>#N/A</v>
      </c>
      <c r="U898" s="272" t="e">
        <f>IF(Q898=0,'calcolo base'!L3497,(T898+Q898))</f>
        <v>#N/A</v>
      </c>
      <c r="V898" s="119"/>
    </row>
    <row r="899" spans="2:22">
      <c r="B899" s="47"/>
      <c r="C899" s="35"/>
      <c r="D899" s="53"/>
      <c r="E899" s="53"/>
      <c r="F899" s="48"/>
      <c r="G899" s="243" t="e">
        <f>INDEX('calcolo base'!$B:$B, MATCH($A899, 'calcolo base'!$A:$A, 0))</f>
        <v>#N/A</v>
      </c>
      <c r="H899" s="54" t="e">
        <f t="shared" si="165"/>
        <v>#N/A</v>
      </c>
      <c r="I899" s="259" t="e">
        <f>IF(  OR(      INDEX('calcolo base'!$D:$D, MATCH($A899, 'calcolo base'!$A:$A, 0)) = 0,
      INDEX('calcolo base'!$D:$D, MATCH($A899, 'calcolo base'!$A:$A, 0)) = ""   ),
   INDEX('calcolo base'!$K:$K, MATCH($A899, 'calcolo base'!$A:$A, 0)),
   INDEX('calcolo base'!$J:$J, MATCH($A899, 'calcolo base'!$A:$A, 0))
) / 1000</f>
        <v>#N/A</v>
      </c>
      <c r="J899" s="50" t="e">
        <f t="shared" si="166"/>
        <v>#N/A</v>
      </c>
      <c r="K899" s="50"/>
      <c r="L899" s="267" t="e">
        <f>INDEX('calcolo base'!$H:$H, MATCH($A899, 'calcolo base'!$A:$A, 0))</f>
        <v>#N/A</v>
      </c>
      <c r="M899" s="50" t="e">
        <f t="shared" si="167"/>
        <v>#N/A</v>
      </c>
      <c r="N899" s="50" t="e">
        <f t="shared" si="168"/>
        <v>#N/A</v>
      </c>
      <c r="O899" s="50" t="e">
        <f t="shared" si="169"/>
        <v>#N/A</v>
      </c>
      <c r="P899" s="50" t="e">
        <f t="shared" si="170"/>
        <v>#N/A</v>
      </c>
      <c r="Q899" s="51" t="e">
        <f t="shared" si="171"/>
        <v>#N/A</v>
      </c>
      <c r="R899" s="205" t="e">
        <f t="shared" si="172"/>
        <v>#N/A</v>
      </c>
      <c r="S899" s="279" t="e">
        <f>IF(R899="si",0,IF(E899="si",0,IF(J899&gt;K899,0,+K899-J899)))+IF('calcolo base'!P2359="SI",('Commissioni De Angeli'!K899-'Commissioni De Angeli'!J899),0)</f>
        <v>#N/A</v>
      </c>
      <c r="T899" s="117" t="e">
        <f t="shared" si="173"/>
        <v>#N/A</v>
      </c>
      <c r="U899" s="272" t="e">
        <f>IF(Q899=0,'calcolo base'!L3498,(T899+Q899))</f>
        <v>#N/A</v>
      </c>
      <c r="V899" s="119"/>
    </row>
    <row r="900" spans="2:22">
      <c r="B900" s="47"/>
      <c r="C900" s="35"/>
      <c r="D900" s="53"/>
      <c r="E900" s="53"/>
      <c r="F900" s="48"/>
      <c r="G900" s="243" t="e">
        <f>INDEX('calcolo base'!$B:$B, MATCH($A900, 'calcolo base'!$A:$A, 0))</f>
        <v>#N/A</v>
      </c>
      <c r="H900" s="54" t="e">
        <f t="shared" si="165"/>
        <v>#N/A</v>
      </c>
      <c r="I900" s="259" t="e">
        <f>IF(  OR(      INDEX('calcolo base'!$D:$D, MATCH($A900, 'calcolo base'!$A:$A, 0)) = 0,
      INDEX('calcolo base'!$D:$D, MATCH($A900, 'calcolo base'!$A:$A, 0)) = ""   ),
   INDEX('calcolo base'!$K:$K, MATCH($A900, 'calcolo base'!$A:$A, 0)),
   INDEX('calcolo base'!$J:$J, MATCH($A900, 'calcolo base'!$A:$A, 0))
) / 1000</f>
        <v>#N/A</v>
      </c>
      <c r="J900" s="50" t="e">
        <f t="shared" si="166"/>
        <v>#N/A</v>
      </c>
      <c r="K900" s="50"/>
      <c r="L900" s="267" t="e">
        <f>INDEX('calcolo base'!$H:$H, MATCH($A900, 'calcolo base'!$A:$A, 0))</f>
        <v>#N/A</v>
      </c>
      <c r="M900" s="50" t="e">
        <f t="shared" si="167"/>
        <v>#N/A</v>
      </c>
      <c r="N900" s="50" t="e">
        <f t="shared" si="168"/>
        <v>#N/A</v>
      </c>
      <c r="O900" s="50" t="e">
        <f t="shared" si="169"/>
        <v>#N/A</v>
      </c>
      <c r="P900" s="50" t="e">
        <f t="shared" si="170"/>
        <v>#N/A</v>
      </c>
      <c r="Q900" s="51" t="e">
        <f t="shared" si="171"/>
        <v>#N/A</v>
      </c>
      <c r="R900" s="205" t="e">
        <f t="shared" si="172"/>
        <v>#N/A</v>
      </c>
      <c r="S900" s="279" t="e">
        <f>IF(R900="si",0,IF(E900="si",0,IF(J900&gt;K900,0,+K900-J900)))+IF('calcolo base'!P2360="SI",('Commissioni De Angeli'!K900-'Commissioni De Angeli'!J900),0)</f>
        <v>#N/A</v>
      </c>
      <c r="T900" s="117" t="e">
        <f t="shared" si="173"/>
        <v>#N/A</v>
      </c>
      <c r="U900" s="272" t="e">
        <f>IF(Q900=0,'calcolo base'!L3499,(T900+Q900))</f>
        <v>#N/A</v>
      </c>
      <c r="V900" s="119"/>
    </row>
    <row r="901" spans="2:22">
      <c r="B901" s="47"/>
      <c r="C901" s="35"/>
      <c r="D901" s="53"/>
      <c r="E901" s="53"/>
      <c r="F901" s="48"/>
      <c r="G901" s="243" t="e">
        <f>INDEX('calcolo base'!$B:$B, MATCH($A901, 'calcolo base'!$A:$A, 0))</f>
        <v>#N/A</v>
      </c>
      <c r="H901" s="54" t="e">
        <f t="shared" si="165"/>
        <v>#N/A</v>
      </c>
      <c r="I901" s="259" t="e">
        <f>IF(  OR(      INDEX('calcolo base'!$D:$D, MATCH($A901, 'calcolo base'!$A:$A, 0)) = 0,
      INDEX('calcolo base'!$D:$D, MATCH($A901, 'calcolo base'!$A:$A, 0)) = ""   ),
   INDEX('calcolo base'!$K:$K, MATCH($A901, 'calcolo base'!$A:$A, 0)),
   INDEX('calcolo base'!$J:$J, MATCH($A901, 'calcolo base'!$A:$A, 0))
) / 1000</f>
        <v>#N/A</v>
      </c>
      <c r="J901" s="50" t="e">
        <f t="shared" si="166"/>
        <v>#N/A</v>
      </c>
      <c r="K901" s="50"/>
      <c r="L901" s="267" t="e">
        <f>INDEX('calcolo base'!$H:$H, MATCH($A901, 'calcolo base'!$A:$A, 0))</f>
        <v>#N/A</v>
      </c>
      <c r="M901" s="50" t="e">
        <f t="shared" si="167"/>
        <v>#N/A</v>
      </c>
      <c r="N901" s="50" t="e">
        <f t="shared" si="168"/>
        <v>#N/A</v>
      </c>
      <c r="O901" s="50" t="e">
        <f t="shared" si="169"/>
        <v>#N/A</v>
      </c>
      <c r="P901" s="50" t="e">
        <f t="shared" si="170"/>
        <v>#N/A</v>
      </c>
      <c r="Q901" s="51" t="e">
        <f t="shared" si="171"/>
        <v>#N/A</v>
      </c>
      <c r="R901" s="205" t="e">
        <f t="shared" si="172"/>
        <v>#N/A</v>
      </c>
      <c r="S901" s="279" t="e">
        <f>IF(R901="si",0,IF(E901="si",0,IF(J901&gt;K901,0,+K901-J901)))+IF('calcolo base'!P2361="SI",('Commissioni De Angeli'!K901-'Commissioni De Angeli'!J901),0)</f>
        <v>#N/A</v>
      </c>
      <c r="T901" s="117" t="e">
        <f t="shared" si="173"/>
        <v>#N/A</v>
      </c>
      <c r="U901" s="272" t="e">
        <f>IF(Q901=0,'calcolo base'!L3500,(T901+Q901))</f>
        <v>#N/A</v>
      </c>
      <c r="V901" s="119"/>
    </row>
    <row r="902" spans="2:22">
      <c r="B902" s="47"/>
      <c r="C902" s="35"/>
      <c r="D902" s="53"/>
      <c r="E902" s="53"/>
      <c r="F902" s="48"/>
      <c r="G902" s="243" t="e">
        <f>INDEX('calcolo base'!$B:$B, MATCH($A902, 'calcolo base'!$A:$A, 0))</f>
        <v>#N/A</v>
      </c>
      <c r="H902" s="54" t="e">
        <f t="shared" si="165"/>
        <v>#N/A</v>
      </c>
      <c r="I902" s="259" t="e">
        <f>IF(  OR(      INDEX('calcolo base'!$D:$D, MATCH($A902, 'calcolo base'!$A:$A, 0)) = 0,
      INDEX('calcolo base'!$D:$D, MATCH($A902, 'calcolo base'!$A:$A, 0)) = ""   ),
   INDEX('calcolo base'!$K:$K, MATCH($A902, 'calcolo base'!$A:$A, 0)),
   INDEX('calcolo base'!$J:$J, MATCH($A902, 'calcolo base'!$A:$A, 0))
) / 1000</f>
        <v>#N/A</v>
      </c>
      <c r="J902" s="50" t="e">
        <f t="shared" si="166"/>
        <v>#N/A</v>
      </c>
      <c r="K902" s="50"/>
      <c r="L902" s="267" t="e">
        <f>INDEX('calcolo base'!$H:$H, MATCH($A902, 'calcolo base'!$A:$A, 0))</f>
        <v>#N/A</v>
      </c>
      <c r="M902" s="50" t="e">
        <f t="shared" si="167"/>
        <v>#N/A</v>
      </c>
      <c r="N902" s="50" t="e">
        <f t="shared" si="168"/>
        <v>#N/A</v>
      </c>
      <c r="O902" s="50" t="e">
        <f t="shared" si="169"/>
        <v>#N/A</v>
      </c>
      <c r="P902" s="50" t="e">
        <f t="shared" si="170"/>
        <v>#N/A</v>
      </c>
      <c r="Q902" s="51" t="e">
        <f t="shared" si="171"/>
        <v>#N/A</v>
      </c>
      <c r="R902" s="205" t="e">
        <f t="shared" si="172"/>
        <v>#N/A</v>
      </c>
      <c r="S902" s="279" t="e">
        <f>IF(R902="si",0,IF(E902="si",0,IF(J902&gt;K902,0,+K902-J902)))+IF('calcolo base'!P2362="SI",('Commissioni De Angeli'!K902-'Commissioni De Angeli'!J902),0)</f>
        <v>#N/A</v>
      </c>
      <c r="T902" s="117" t="e">
        <f t="shared" si="173"/>
        <v>#N/A</v>
      </c>
      <c r="U902" s="272" t="e">
        <f>IF(Q902=0,'calcolo base'!L3501,(T902+Q902))</f>
        <v>#N/A</v>
      </c>
      <c r="V902" s="119"/>
    </row>
    <row r="903" spans="2:22">
      <c r="B903" s="47"/>
      <c r="C903" s="35"/>
      <c r="D903" s="53"/>
      <c r="E903" s="53"/>
      <c r="F903" s="48"/>
      <c r="G903" s="243" t="e">
        <f>INDEX('calcolo base'!$B:$B, MATCH($A903, 'calcolo base'!$A:$A, 0))</f>
        <v>#N/A</v>
      </c>
      <c r="H903" s="54" t="e">
        <f t="shared" si="165"/>
        <v>#N/A</v>
      </c>
      <c r="I903" s="259" t="e">
        <f>IF(  OR(      INDEX('calcolo base'!$D:$D, MATCH($A903, 'calcolo base'!$A:$A, 0)) = 0,
      INDEX('calcolo base'!$D:$D, MATCH($A903, 'calcolo base'!$A:$A, 0)) = ""   ),
   INDEX('calcolo base'!$K:$K, MATCH($A903, 'calcolo base'!$A:$A, 0)),
   INDEX('calcolo base'!$J:$J, MATCH($A903, 'calcolo base'!$A:$A, 0))
) / 1000</f>
        <v>#N/A</v>
      </c>
      <c r="J903" s="50" t="e">
        <f t="shared" si="166"/>
        <v>#N/A</v>
      </c>
      <c r="K903" s="50"/>
      <c r="L903" s="267" t="e">
        <f>INDEX('calcolo base'!$H:$H, MATCH($A903, 'calcolo base'!$A:$A, 0))</f>
        <v>#N/A</v>
      </c>
      <c r="M903" s="50" t="e">
        <f t="shared" si="167"/>
        <v>#N/A</v>
      </c>
      <c r="N903" s="50" t="e">
        <f t="shared" si="168"/>
        <v>#N/A</v>
      </c>
      <c r="O903" s="50" t="e">
        <f t="shared" si="169"/>
        <v>#N/A</v>
      </c>
      <c r="P903" s="50" t="e">
        <f t="shared" si="170"/>
        <v>#N/A</v>
      </c>
      <c r="Q903" s="51" t="e">
        <f t="shared" si="171"/>
        <v>#N/A</v>
      </c>
      <c r="R903" s="205" t="e">
        <f t="shared" si="172"/>
        <v>#N/A</v>
      </c>
      <c r="S903" s="279" t="e">
        <f>IF(R903="si",0,IF(E903="si",0,IF(J903&gt;K903,0,+K903-J903)))+IF('calcolo base'!P2363="SI",('Commissioni De Angeli'!K903-'Commissioni De Angeli'!J903),0)</f>
        <v>#N/A</v>
      </c>
      <c r="T903" s="117" t="e">
        <f t="shared" si="173"/>
        <v>#N/A</v>
      </c>
      <c r="U903" s="272" t="e">
        <f>IF(Q903=0,'calcolo base'!L3502,(T903+Q903))</f>
        <v>#N/A</v>
      </c>
      <c r="V903" s="119"/>
    </row>
    <row r="904" spans="2:22">
      <c r="B904" s="47"/>
      <c r="C904" s="35"/>
      <c r="D904" s="53"/>
      <c r="E904" s="53"/>
      <c r="F904" s="48"/>
      <c r="G904" s="243" t="e">
        <f>INDEX('calcolo base'!$B:$B, MATCH($A904, 'calcolo base'!$A:$A, 0))</f>
        <v>#N/A</v>
      </c>
      <c r="H904" s="54" t="e">
        <f t="shared" si="165"/>
        <v>#N/A</v>
      </c>
      <c r="I904" s="259" t="e">
        <f>IF(  OR(      INDEX('calcolo base'!$D:$D, MATCH($A904, 'calcolo base'!$A:$A, 0)) = 0,
      INDEX('calcolo base'!$D:$D, MATCH($A904, 'calcolo base'!$A:$A, 0)) = ""   ),
   INDEX('calcolo base'!$K:$K, MATCH($A904, 'calcolo base'!$A:$A, 0)),
   INDEX('calcolo base'!$J:$J, MATCH($A904, 'calcolo base'!$A:$A, 0))
) / 1000</f>
        <v>#N/A</v>
      </c>
      <c r="J904" s="50" t="e">
        <f t="shared" si="166"/>
        <v>#N/A</v>
      </c>
      <c r="K904" s="50"/>
      <c r="L904" s="267" t="e">
        <f>INDEX('calcolo base'!$H:$H, MATCH($A904, 'calcolo base'!$A:$A, 0))</f>
        <v>#N/A</v>
      </c>
      <c r="M904" s="50" t="e">
        <f t="shared" si="167"/>
        <v>#N/A</v>
      </c>
      <c r="N904" s="50" t="e">
        <f t="shared" si="168"/>
        <v>#N/A</v>
      </c>
      <c r="O904" s="50" t="e">
        <f t="shared" si="169"/>
        <v>#N/A</v>
      </c>
      <c r="P904" s="50" t="e">
        <f t="shared" si="170"/>
        <v>#N/A</v>
      </c>
      <c r="Q904" s="51" t="e">
        <f t="shared" si="171"/>
        <v>#N/A</v>
      </c>
      <c r="R904" s="205" t="e">
        <f t="shared" si="172"/>
        <v>#N/A</v>
      </c>
      <c r="S904" s="279" t="e">
        <f>IF(R904="si",0,IF(E904="si",0,IF(J904&gt;K904,0,+K904-J904)))+IF('calcolo base'!P2364="SI",('Commissioni De Angeli'!K904-'Commissioni De Angeli'!J904),0)</f>
        <v>#N/A</v>
      </c>
      <c r="T904" s="117" t="e">
        <f t="shared" si="173"/>
        <v>#N/A</v>
      </c>
      <c r="U904" s="272" t="e">
        <f>IF(Q904=0,'calcolo base'!L3503,(T904+Q904))</f>
        <v>#N/A</v>
      </c>
      <c r="V904" s="119"/>
    </row>
    <row r="905" spans="2:22">
      <c r="B905" s="47"/>
      <c r="C905" s="35"/>
      <c r="D905" s="53"/>
      <c r="E905" s="53"/>
      <c r="F905" s="48"/>
      <c r="G905" s="243" t="e">
        <f>INDEX('calcolo base'!$B:$B, MATCH($A905, 'calcolo base'!$A:$A, 0))</f>
        <v>#N/A</v>
      </c>
      <c r="H905" s="54" t="e">
        <f t="shared" si="165"/>
        <v>#N/A</v>
      </c>
      <c r="I905" s="259" t="e">
        <f>IF(  OR(      INDEX('calcolo base'!$D:$D, MATCH($A905, 'calcolo base'!$A:$A, 0)) = 0,
      INDEX('calcolo base'!$D:$D, MATCH($A905, 'calcolo base'!$A:$A, 0)) = ""   ),
   INDEX('calcolo base'!$K:$K, MATCH($A905, 'calcolo base'!$A:$A, 0)),
   INDEX('calcolo base'!$J:$J, MATCH($A905, 'calcolo base'!$A:$A, 0))
) / 1000</f>
        <v>#N/A</v>
      </c>
      <c r="J905" s="50" t="e">
        <f t="shared" si="166"/>
        <v>#N/A</v>
      </c>
      <c r="K905" s="50"/>
      <c r="L905" s="267" t="e">
        <f>INDEX('calcolo base'!$H:$H, MATCH($A905, 'calcolo base'!$A:$A, 0))</f>
        <v>#N/A</v>
      </c>
      <c r="M905" s="50" t="e">
        <f t="shared" si="167"/>
        <v>#N/A</v>
      </c>
      <c r="N905" s="50" t="e">
        <f t="shared" si="168"/>
        <v>#N/A</v>
      </c>
      <c r="O905" s="50" t="e">
        <f t="shared" si="169"/>
        <v>#N/A</v>
      </c>
      <c r="P905" s="50" t="e">
        <f t="shared" si="170"/>
        <v>#N/A</v>
      </c>
      <c r="Q905" s="51" t="e">
        <f t="shared" si="171"/>
        <v>#N/A</v>
      </c>
      <c r="R905" s="205" t="e">
        <f t="shared" si="172"/>
        <v>#N/A</v>
      </c>
      <c r="S905" s="279" t="e">
        <f>IF(R905="si",0,IF(E905="si",0,IF(J905&gt;K905,0,+K905-J905)))+IF('calcolo base'!P2365="SI",('Commissioni De Angeli'!K905-'Commissioni De Angeli'!J905),0)</f>
        <v>#N/A</v>
      </c>
      <c r="T905" s="117" t="e">
        <f t="shared" si="173"/>
        <v>#N/A</v>
      </c>
      <c r="U905" s="272" t="e">
        <f>IF(Q905=0,'calcolo base'!L3504,(T905+Q905))</f>
        <v>#N/A</v>
      </c>
      <c r="V905" s="119"/>
    </row>
    <row r="906" spans="2:22">
      <c r="B906" s="47"/>
      <c r="C906" s="35"/>
      <c r="D906" s="53"/>
      <c r="E906" s="53"/>
      <c r="F906" s="48"/>
      <c r="G906" s="243" t="e">
        <f>INDEX('calcolo base'!$B:$B, MATCH($A906, 'calcolo base'!$A:$A, 0))</f>
        <v>#N/A</v>
      </c>
      <c r="H906" s="54" t="e">
        <f t="shared" si="165"/>
        <v>#N/A</v>
      </c>
      <c r="I906" s="259" t="e">
        <f>IF(  OR(      INDEX('calcolo base'!$D:$D, MATCH($A906, 'calcolo base'!$A:$A, 0)) = 0,
      INDEX('calcolo base'!$D:$D, MATCH($A906, 'calcolo base'!$A:$A, 0)) = ""   ),
   INDEX('calcolo base'!$K:$K, MATCH($A906, 'calcolo base'!$A:$A, 0)),
   INDEX('calcolo base'!$J:$J, MATCH($A906, 'calcolo base'!$A:$A, 0))
) / 1000</f>
        <v>#N/A</v>
      </c>
      <c r="J906" s="50" t="e">
        <f t="shared" si="166"/>
        <v>#N/A</v>
      </c>
      <c r="K906" s="50"/>
      <c r="L906" s="267" t="e">
        <f>INDEX('calcolo base'!$H:$H, MATCH($A906, 'calcolo base'!$A:$A, 0))</f>
        <v>#N/A</v>
      </c>
      <c r="M906" s="50" t="e">
        <f t="shared" si="167"/>
        <v>#N/A</v>
      </c>
      <c r="N906" s="50" t="e">
        <f t="shared" si="168"/>
        <v>#N/A</v>
      </c>
      <c r="O906" s="50" t="e">
        <f t="shared" si="169"/>
        <v>#N/A</v>
      </c>
      <c r="P906" s="50" t="e">
        <f t="shared" si="170"/>
        <v>#N/A</v>
      </c>
      <c r="Q906" s="51" t="e">
        <f t="shared" si="171"/>
        <v>#N/A</v>
      </c>
      <c r="R906" s="205" t="e">
        <f t="shared" si="172"/>
        <v>#N/A</v>
      </c>
      <c r="S906" s="279" t="e">
        <f>IF(R906="si",0,IF(E906="si",0,IF(J906&gt;K906,0,+K906-J906)))+IF('calcolo base'!P2366="SI",('Commissioni De Angeli'!K906-'Commissioni De Angeli'!J906),0)</f>
        <v>#N/A</v>
      </c>
      <c r="T906" s="117" t="e">
        <f t="shared" si="173"/>
        <v>#N/A</v>
      </c>
      <c r="U906" s="272" t="e">
        <f>IF(Q906=0,'calcolo base'!L3505,(T906+Q906))</f>
        <v>#N/A</v>
      </c>
      <c r="V906" s="119"/>
    </row>
    <row r="907" spans="2:22">
      <c r="B907" s="47"/>
      <c r="C907" s="35"/>
      <c r="D907" s="53"/>
      <c r="E907" s="53"/>
      <c r="F907" s="48"/>
      <c r="G907" s="243" t="e">
        <f>INDEX('calcolo base'!$B:$B, MATCH($A907, 'calcolo base'!$A:$A, 0))</f>
        <v>#N/A</v>
      </c>
      <c r="H907" s="54" t="e">
        <f t="shared" si="165"/>
        <v>#N/A</v>
      </c>
      <c r="I907" s="259" t="e">
        <f>IF(  OR(      INDEX('calcolo base'!$D:$D, MATCH($A907, 'calcolo base'!$A:$A, 0)) = 0,
      INDEX('calcolo base'!$D:$D, MATCH($A907, 'calcolo base'!$A:$A, 0)) = ""   ),
   INDEX('calcolo base'!$K:$K, MATCH($A907, 'calcolo base'!$A:$A, 0)),
   INDEX('calcolo base'!$J:$J, MATCH($A907, 'calcolo base'!$A:$A, 0))
) / 1000</f>
        <v>#N/A</v>
      </c>
      <c r="J907" s="50" t="e">
        <f t="shared" si="166"/>
        <v>#N/A</v>
      </c>
      <c r="K907" s="50"/>
      <c r="L907" s="267" t="e">
        <f>INDEX('calcolo base'!$H:$H, MATCH($A907, 'calcolo base'!$A:$A, 0))</f>
        <v>#N/A</v>
      </c>
      <c r="M907" s="50" t="e">
        <f t="shared" si="167"/>
        <v>#N/A</v>
      </c>
      <c r="N907" s="50" t="e">
        <f t="shared" si="168"/>
        <v>#N/A</v>
      </c>
      <c r="O907" s="50" t="e">
        <f t="shared" si="169"/>
        <v>#N/A</v>
      </c>
      <c r="P907" s="50" t="e">
        <f t="shared" si="170"/>
        <v>#N/A</v>
      </c>
      <c r="Q907" s="51" t="e">
        <f t="shared" si="171"/>
        <v>#N/A</v>
      </c>
      <c r="R907" s="205" t="e">
        <f t="shared" si="172"/>
        <v>#N/A</v>
      </c>
      <c r="S907" s="279" t="e">
        <f>IF(R907="si",0,IF(E907="si",0,IF(J907&gt;K907,0,+K907-J907)))+IF('calcolo base'!P2367="SI",('Commissioni De Angeli'!K907-'Commissioni De Angeli'!J907),0)</f>
        <v>#N/A</v>
      </c>
      <c r="T907" s="117" t="e">
        <f t="shared" si="173"/>
        <v>#N/A</v>
      </c>
      <c r="U907" s="272" t="e">
        <f>IF(Q907=0,'calcolo base'!L3506,(T907+Q907))</f>
        <v>#N/A</v>
      </c>
      <c r="V907" s="119"/>
    </row>
    <row r="908" spans="2:22">
      <c r="B908" s="47"/>
      <c r="C908" s="35"/>
      <c r="D908" s="53"/>
      <c r="E908" s="53"/>
      <c r="F908" s="48"/>
      <c r="G908" s="243" t="e">
        <f>INDEX('calcolo base'!$B:$B, MATCH($A908, 'calcolo base'!$A:$A, 0))</f>
        <v>#N/A</v>
      </c>
      <c r="H908" s="54" t="e">
        <f t="shared" si="165"/>
        <v>#N/A</v>
      </c>
      <c r="I908" s="259" t="e">
        <f>IF(  OR(      INDEX('calcolo base'!$D:$D, MATCH($A908, 'calcolo base'!$A:$A, 0)) = 0,
      INDEX('calcolo base'!$D:$D, MATCH($A908, 'calcolo base'!$A:$A, 0)) = ""   ),
   INDEX('calcolo base'!$K:$K, MATCH($A908, 'calcolo base'!$A:$A, 0)),
   INDEX('calcolo base'!$J:$J, MATCH($A908, 'calcolo base'!$A:$A, 0))
) / 1000</f>
        <v>#N/A</v>
      </c>
      <c r="J908" s="50" t="e">
        <f t="shared" si="166"/>
        <v>#N/A</v>
      </c>
      <c r="K908" s="50"/>
      <c r="L908" s="267" t="e">
        <f>INDEX('calcolo base'!$H:$H, MATCH($A908, 'calcolo base'!$A:$A, 0))</f>
        <v>#N/A</v>
      </c>
      <c r="M908" s="50" t="e">
        <f t="shared" si="167"/>
        <v>#N/A</v>
      </c>
      <c r="N908" s="50" t="e">
        <f t="shared" si="168"/>
        <v>#N/A</v>
      </c>
      <c r="O908" s="50" t="e">
        <f t="shared" si="169"/>
        <v>#N/A</v>
      </c>
      <c r="P908" s="50" t="e">
        <f t="shared" si="170"/>
        <v>#N/A</v>
      </c>
      <c r="Q908" s="51" t="e">
        <f t="shared" si="171"/>
        <v>#N/A</v>
      </c>
      <c r="R908" s="205" t="e">
        <f t="shared" si="172"/>
        <v>#N/A</v>
      </c>
      <c r="S908" s="279" t="e">
        <f>IF(R908="si",0,IF(E908="si",0,IF(J908&gt;K908,0,+K908-J908)))+IF('calcolo base'!P2368="SI",('Commissioni De Angeli'!K908-'Commissioni De Angeli'!J908),0)</f>
        <v>#N/A</v>
      </c>
      <c r="T908" s="117" t="e">
        <f t="shared" si="173"/>
        <v>#N/A</v>
      </c>
      <c r="U908" s="272" t="e">
        <f>IF(Q908=0,'calcolo base'!L3507,(T908+Q908))</f>
        <v>#N/A</v>
      </c>
      <c r="V908" s="119"/>
    </row>
    <row r="909" spans="2:22">
      <c r="B909" s="47"/>
      <c r="C909" s="35"/>
      <c r="D909" s="53"/>
      <c r="E909" s="53"/>
      <c r="F909" s="48"/>
      <c r="G909" s="243" t="e">
        <f>INDEX('calcolo base'!$B:$B, MATCH($A909, 'calcolo base'!$A:$A, 0))</f>
        <v>#N/A</v>
      </c>
      <c r="H909" s="54" t="e">
        <f t="shared" si="165"/>
        <v>#N/A</v>
      </c>
      <c r="I909" s="259" t="e">
        <f>IF(  OR(      INDEX('calcolo base'!$D:$D, MATCH($A909, 'calcolo base'!$A:$A, 0)) = 0,
      INDEX('calcolo base'!$D:$D, MATCH($A909, 'calcolo base'!$A:$A, 0)) = ""   ),
   INDEX('calcolo base'!$K:$K, MATCH($A909, 'calcolo base'!$A:$A, 0)),
   INDEX('calcolo base'!$J:$J, MATCH($A909, 'calcolo base'!$A:$A, 0))
) / 1000</f>
        <v>#N/A</v>
      </c>
      <c r="J909" s="50" t="e">
        <f t="shared" si="166"/>
        <v>#N/A</v>
      </c>
      <c r="K909" s="50"/>
      <c r="L909" s="267" t="e">
        <f>INDEX('calcolo base'!$H:$H, MATCH($A909, 'calcolo base'!$A:$A, 0))</f>
        <v>#N/A</v>
      </c>
      <c r="M909" s="50" t="e">
        <f t="shared" si="167"/>
        <v>#N/A</v>
      </c>
      <c r="N909" s="50" t="e">
        <f t="shared" si="168"/>
        <v>#N/A</v>
      </c>
      <c r="O909" s="50" t="e">
        <f t="shared" si="169"/>
        <v>#N/A</v>
      </c>
      <c r="P909" s="50" t="e">
        <f t="shared" si="170"/>
        <v>#N/A</v>
      </c>
      <c r="Q909" s="51" t="e">
        <f t="shared" si="171"/>
        <v>#N/A</v>
      </c>
      <c r="R909" s="205" t="e">
        <f t="shared" si="172"/>
        <v>#N/A</v>
      </c>
      <c r="S909" s="279" t="e">
        <f>IF(R909="si",0,IF(E909="si",0,IF(J909&gt;K909,0,+K909-J909)))+IF('calcolo base'!P2369="SI",('Commissioni De Angeli'!K909-'Commissioni De Angeli'!J909),0)</f>
        <v>#N/A</v>
      </c>
      <c r="T909" s="117" t="e">
        <f t="shared" si="173"/>
        <v>#N/A</v>
      </c>
      <c r="U909" s="272" t="e">
        <f>IF(Q909=0,'calcolo base'!L3508,(T909+Q909))</f>
        <v>#N/A</v>
      </c>
      <c r="V909" s="119"/>
    </row>
    <row r="910" spans="2:22">
      <c r="B910" s="47"/>
      <c r="C910" s="35"/>
      <c r="D910" s="53"/>
      <c r="E910" s="53"/>
      <c r="F910" s="48"/>
      <c r="G910" s="243" t="e">
        <f>INDEX('calcolo base'!$B:$B, MATCH($A910, 'calcolo base'!$A:$A, 0))</f>
        <v>#N/A</v>
      </c>
      <c r="H910" s="54" t="e">
        <f t="shared" si="165"/>
        <v>#N/A</v>
      </c>
      <c r="I910" s="259" t="e">
        <f>IF(  OR(      INDEX('calcolo base'!$D:$D, MATCH($A910, 'calcolo base'!$A:$A, 0)) = 0,
      INDEX('calcolo base'!$D:$D, MATCH($A910, 'calcolo base'!$A:$A, 0)) = ""   ),
   INDEX('calcolo base'!$K:$K, MATCH($A910, 'calcolo base'!$A:$A, 0)),
   INDEX('calcolo base'!$J:$J, MATCH($A910, 'calcolo base'!$A:$A, 0))
) / 1000</f>
        <v>#N/A</v>
      </c>
      <c r="J910" s="50" t="e">
        <f t="shared" si="166"/>
        <v>#N/A</v>
      </c>
      <c r="K910" s="50"/>
      <c r="L910" s="267" t="e">
        <f>INDEX('calcolo base'!$H:$H, MATCH($A910, 'calcolo base'!$A:$A, 0))</f>
        <v>#N/A</v>
      </c>
      <c r="M910" s="50" t="e">
        <f t="shared" si="167"/>
        <v>#N/A</v>
      </c>
      <c r="N910" s="50" t="e">
        <f t="shared" si="168"/>
        <v>#N/A</v>
      </c>
      <c r="O910" s="50" t="e">
        <f t="shared" si="169"/>
        <v>#N/A</v>
      </c>
      <c r="P910" s="50" t="e">
        <f t="shared" si="170"/>
        <v>#N/A</v>
      </c>
      <c r="Q910" s="51" t="e">
        <f t="shared" si="171"/>
        <v>#N/A</v>
      </c>
      <c r="R910" s="205" t="e">
        <f t="shared" si="172"/>
        <v>#N/A</v>
      </c>
      <c r="S910" s="279" t="e">
        <f>IF(R910="si",0,IF(E910="si",0,IF(J910&gt;K910,0,+K910-J910)))+IF('calcolo base'!P2370="SI",('Commissioni De Angeli'!K910-'Commissioni De Angeli'!J910),0)</f>
        <v>#N/A</v>
      </c>
      <c r="T910" s="117" t="e">
        <f t="shared" si="173"/>
        <v>#N/A</v>
      </c>
      <c r="U910" s="272" t="e">
        <f>IF(Q910=0,'calcolo base'!L3509,(T910+Q910))</f>
        <v>#N/A</v>
      </c>
      <c r="V910" s="119"/>
    </row>
    <row r="911" spans="2:22">
      <c r="B911" s="47"/>
      <c r="C911" s="35"/>
      <c r="D911" s="53"/>
      <c r="E911" s="53"/>
      <c r="F911" s="48"/>
      <c r="G911" s="243" t="e">
        <f>INDEX('calcolo base'!$B:$B, MATCH($A911, 'calcolo base'!$A:$A, 0))</f>
        <v>#N/A</v>
      </c>
      <c r="H911" s="54" t="e">
        <f t="shared" si="165"/>
        <v>#N/A</v>
      </c>
      <c r="I911" s="259" t="e">
        <f>IF(  OR(      INDEX('calcolo base'!$D:$D, MATCH($A911, 'calcolo base'!$A:$A, 0)) = 0,
      INDEX('calcolo base'!$D:$D, MATCH($A911, 'calcolo base'!$A:$A, 0)) = ""   ),
   INDEX('calcolo base'!$K:$K, MATCH($A911, 'calcolo base'!$A:$A, 0)),
   INDEX('calcolo base'!$J:$J, MATCH($A911, 'calcolo base'!$A:$A, 0))
) / 1000</f>
        <v>#N/A</v>
      </c>
      <c r="J911" s="50" t="e">
        <f t="shared" si="166"/>
        <v>#N/A</v>
      </c>
      <c r="K911" s="50"/>
      <c r="L911" s="267" t="e">
        <f>INDEX('calcolo base'!$H:$H, MATCH($A911, 'calcolo base'!$A:$A, 0))</f>
        <v>#N/A</v>
      </c>
      <c r="M911" s="50" t="e">
        <f t="shared" si="167"/>
        <v>#N/A</v>
      </c>
      <c r="N911" s="50" t="e">
        <f t="shared" si="168"/>
        <v>#N/A</v>
      </c>
      <c r="O911" s="50" t="e">
        <f t="shared" si="169"/>
        <v>#N/A</v>
      </c>
      <c r="P911" s="50" t="e">
        <f t="shared" si="170"/>
        <v>#N/A</v>
      </c>
      <c r="Q911" s="51" t="e">
        <f t="shared" si="171"/>
        <v>#N/A</v>
      </c>
      <c r="R911" s="205" t="e">
        <f t="shared" si="172"/>
        <v>#N/A</v>
      </c>
      <c r="S911" s="279" t="e">
        <f>IF(R911="si",0,IF(E911="si",0,IF(J911&gt;K911,0,+K911-J911)))+IF('calcolo base'!P2371="SI",('Commissioni De Angeli'!K911-'Commissioni De Angeli'!J911),0)</f>
        <v>#N/A</v>
      </c>
      <c r="T911" s="117" t="e">
        <f t="shared" si="173"/>
        <v>#N/A</v>
      </c>
      <c r="U911" s="272" t="e">
        <f>IF(Q911=0,'calcolo base'!L3510,(T911+Q911))</f>
        <v>#N/A</v>
      </c>
      <c r="V911" s="119"/>
    </row>
    <row r="912" spans="2:22">
      <c r="B912" s="47"/>
      <c r="C912" s="35"/>
      <c r="D912" s="53"/>
      <c r="E912" s="53"/>
      <c r="F912" s="48"/>
      <c r="G912" s="243" t="e">
        <f>INDEX('calcolo base'!$B:$B, MATCH($A912, 'calcolo base'!$A:$A, 0))</f>
        <v>#N/A</v>
      </c>
      <c r="H912" s="54" t="e">
        <f t="shared" si="165"/>
        <v>#N/A</v>
      </c>
      <c r="I912" s="259" t="e">
        <f>IF(  OR(      INDEX('calcolo base'!$D:$D, MATCH($A912, 'calcolo base'!$A:$A, 0)) = 0,
      INDEX('calcolo base'!$D:$D, MATCH($A912, 'calcolo base'!$A:$A, 0)) = ""   ),
   INDEX('calcolo base'!$K:$K, MATCH($A912, 'calcolo base'!$A:$A, 0)),
   INDEX('calcolo base'!$J:$J, MATCH($A912, 'calcolo base'!$A:$A, 0))
) / 1000</f>
        <v>#N/A</v>
      </c>
      <c r="J912" s="50" t="e">
        <f t="shared" si="166"/>
        <v>#N/A</v>
      </c>
      <c r="K912" s="50"/>
      <c r="L912" s="267" t="e">
        <f>INDEX('calcolo base'!$H:$H, MATCH($A912, 'calcolo base'!$A:$A, 0))</f>
        <v>#N/A</v>
      </c>
      <c r="M912" s="50" t="e">
        <f t="shared" si="167"/>
        <v>#N/A</v>
      </c>
      <c r="N912" s="50" t="e">
        <f t="shared" si="168"/>
        <v>#N/A</v>
      </c>
      <c r="O912" s="50" t="e">
        <f t="shared" si="169"/>
        <v>#N/A</v>
      </c>
      <c r="P912" s="50" t="e">
        <f t="shared" si="170"/>
        <v>#N/A</v>
      </c>
      <c r="Q912" s="51" t="e">
        <f t="shared" si="171"/>
        <v>#N/A</v>
      </c>
      <c r="R912" s="205" t="e">
        <f t="shared" si="172"/>
        <v>#N/A</v>
      </c>
      <c r="S912" s="279" t="e">
        <f>IF(R912="si",0,IF(E912="si",0,IF(J912&gt;K912,0,+K912-J912)))+IF('calcolo base'!P2372="SI",('Commissioni De Angeli'!K912-'Commissioni De Angeli'!J912),0)</f>
        <v>#N/A</v>
      </c>
      <c r="T912" s="117" t="e">
        <f t="shared" si="173"/>
        <v>#N/A</v>
      </c>
      <c r="U912" s="272" t="e">
        <f>IF(Q912=0,'calcolo base'!L3511,(T912+Q912))</f>
        <v>#N/A</v>
      </c>
      <c r="V912" s="119"/>
    </row>
    <row r="913" spans="2:22">
      <c r="B913" s="47"/>
      <c r="C913" s="35"/>
      <c r="D913" s="53"/>
      <c r="E913" s="53"/>
      <c r="F913" s="48"/>
      <c r="G913" s="243" t="e">
        <f>INDEX('calcolo base'!$B:$B, MATCH($A913, 'calcolo base'!$A:$A, 0))</f>
        <v>#N/A</v>
      </c>
      <c r="H913" s="54" t="e">
        <f t="shared" si="165"/>
        <v>#N/A</v>
      </c>
      <c r="I913" s="259" t="e">
        <f>IF(  OR(      INDEX('calcolo base'!$D:$D, MATCH($A913, 'calcolo base'!$A:$A, 0)) = 0,
      INDEX('calcolo base'!$D:$D, MATCH($A913, 'calcolo base'!$A:$A, 0)) = ""   ),
   INDEX('calcolo base'!$K:$K, MATCH($A913, 'calcolo base'!$A:$A, 0)),
   INDEX('calcolo base'!$J:$J, MATCH($A913, 'calcolo base'!$A:$A, 0))
) / 1000</f>
        <v>#N/A</v>
      </c>
      <c r="J913" s="50" t="e">
        <f t="shared" si="166"/>
        <v>#N/A</v>
      </c>
      <c r="K913" s="50"/>
      <c r="L913" s="267" t="e">
        <f>INDEX('calcolo base'!$H:$H, MATCH($A913, 'calcolo base'!$A:$A, 0))</f>
        <v>#N/A</v>
      </c>
      <c r="M913" s="50" t="e">
        <f t="shared" si="167"/>
        <v>#N/A</v>
      </c>
      <c r="N913" s="50" t="e">
        <f t="shared" si="168"/>
        <v>#N/A</v>
      </c>
      <c r="O913" s="50" t="e">
        <f t="shared" si="169"/>
        <v>#N/A</v>
      </c>
      <c r="P913" s="50" t="e">
        <f t="shared" si="170"/>
        <v>#N/A</v>
      </c>
      <c r="Q913" s="51" t="e">
        <f t="shared" si="171"/>
        <v>#N/A</v>
      </c>
      <c r="R913" s="205" t="e">
        <f t="shared" si="172"/>
        <v>#N/A</v>
      </c>
      <c r="S913" s="279" t="e">
        <f>IF(R913="si",0,IF(E913="si",0,IF(J913&gt;K913,0,+K913-J913)))+IF('calcolo base'!P2373="SI",('Commissioni De Angeli'!K913-'Commissioni De Angeli'!J913),0)</f>
        <v>#N/A</v>
      </c>
      <c r="T913" s="117" t="e">
        <f t="shared" si="173"/>
        <v>#N/A</v>
      </c>
      <c r="U913" s="272" t="e">
        <f>IF(Q913=0,'calcolo base'!L3512,(T913+Q913))</f>
        <v>#N/A</v>
      </c>
      <c r="V913" s="119"/>
    </row>
    <row r="914" spans="2:22">
      <c r="B914" s="47"/>
      <c r="C914" s="35"/>
      <c r="D914" s="53"/>
      <c r="E914" s="53"/>
      <c r="F914" s="48"/>
      <c r="G914" s="243" t="e">
        <f>INDEX('calcolo base'!$B:$B, MATCH($A914, 'calcolo base'!$A:$A, 0))</f>
        <v>#N/A</v>
      </c>
      <c r="H914" s="54" t="e">
        <f t="shared" si="165"/>
        <v>#N/A</v>
      </c>
      <c r="I914" s="259" t="e">
        <f>IF(  OR(      INDEX('calcolo base'!$D:$D, MATCH($A914, 'calcolo base'!$A:$A, 0)) = 0,
      INDEX('calcolo base'!$D:$D, MATCH($A914, 'calcolo base'!$A:$A, 0)) = ""   ),
   INDEX('calcolo base'!$K:$K, MATCH($A914, 'calcolo base'!$A:$A, 0)),
   INDEX('calcolo base'!$J:$J, MATCH($A914, 'calcolo base'!$A:$A, 0))
) / 1000</f>
        <v>#N/A</v>
      </c>
      <c r="J914" s="50" t="e">
        <f t="shared" si="166"/>
        <v>#N/A</v>
      </c>
      <c r="K914" s="50"/>
      <c r="L914" s="267" t="e">
        <f>INDEX('calcolo base'!$H:$H, MATCH($A914, 'calcolo base'!$A:$A, 0))</f>
        <v>#N/A</v>
      </c>
      <c r="M914" s="50" t="e">
        <f t="shared" si="167"/>
        <v>#N/A</v>
      </c>
      <c r="N914" s="50" t="e">
        <f t="shared" si="168"/>
        <v>#N/A</v>
      </c>
      <c r="O914" s="50" t="e">
        <f t="shared" si="169"/>
        <v>#N/A</v>
      </c>
      <c r="P914" s="50" t="e">
        <f t="shared" si="170"/>
        <v>#N/A</v>
      </c>
      <c r="Q914" s="51" t="e">
        <f t="shared" si="171"/>
        <v>#N/A</v>
      </c>
      <c r="R914" s="205" t="e">
        <f t="shared" si="172"/>
        <v>#N/A</v>
      </c>
      <c r="S914" s="279" t="e">
        <f>IF(R914="si",0,IF(E914="si",0,IF(J914&gt;K914,0,+K914-J914)))+IF('calcolo base'!P2374="SI",('Commissioni De Angeli'!K914-'Commissioni De Angeli'!J914),0)</f>
        <v>#N/A</v>
      </c>
      <c r="T914" s="117" t="e">
        <f t="shared" si="173"/>
        <v>#N/A</v>
      </c>
      <c r="U914" s="272" t="e">
        <f>IF(Q914=0,'calcolo base'!L3513,(T914+Q914))</f>
        <v>#N/A</v>
      </c>
      <c r="V914" s="119"/>
    </row>
    <row r="915" spans="2:22">
      <c r="B915" s="47"/>
      <c r="C915" s="35"/>
      <c r="D915" s="53"/>
      <c r="E915" s="53"/>
      <c r="F915" s="48"/>
      <c r="G915" s="243" t="e">
        <f>INDEX('calcolo base'!$B:$B, MATCH($A915, 'calcolo base'!$A:$A, 0))</f>
        <v>#N/A</v>
      </c>
      <c r="H915" s="54" t="e">
        <f t="shared" si="165"/>
        <v>#N/A</v>
      </c>
      <c r="I915" s="259" t="e">
        <f>IF(  OR(      INDEX('calcolo base'!$D:$D, MATCH($A915, 'calcolo base'!$A:$A, 0)) = 0,
      INDEX('calcolo base'!$D:$D, MATCH($A915, 'calcolo base'!$A:$A, 0)) = ""   ),
   INDEX('calcolo base'!$K:$K, MATCH($A915, 'calcolo base'!$A:$A, 0)),
   INDEX('calcolo base'!$J:$J, MATCH($A915, 'calcolo base'!$A:$A, 0))
) / 1000</f>
        <v>#N/A</v>
      </c>
      <c r="J915" s="50" t="e">
        <f t="shared" si="166"/>
        <v>#N/A</v>
      </c>
      <c r="K915" s="50"/>
      <c r="L915" s="267" t="e">
        <f>INDEX('calcolo base'!$H:$H, MATCH($A915, 'calcolo base'!$A:$A, 0))</f>
        <v>#N/A</v>
      </c>
      <c r="M915" s="50" t="e">
        <f t="shared" si="167"/>
        <v>#N/A</v>
      </c>
      <c r="N915" s="50" t="e">
        <f t="shared" si="168"/>
        <v>#N/A</v>
      </c>
      <c r="O915" s="50" t="e">
        <f t="shared" si="169"/>
        <v>#N/A</v>
      </c>
      <c r="P915" s="50" t="e">
        <f t="shared" si="170"/>
        <v>#N/A</v>
      </c>
      <c r="Q915" s="51" t="e">
        <f t="shared" si="171"/>
        <v>#N/A</v>
      </c>
      <c r="R915" s="205" t="e">
        <f t="shared" si="172"/>
        <v>#N/A</v>
      </c>
      <c r="S915" s="279" t="e">
        <f>IF(R915="si",0,IF(E915="si",0,IF(J915&gt;K915,0,+K915-J915)))+IF('calcolo base'!P2375="SI",('Commissioni De Angeli'!K915-'Commissioni De Angeli'!J915),0)</f>
        <v>#N/A</v>
      </c>
      <c r="T915" s="117" t="e">
        <f t="shared" si="173"/>
        <v>#N/A</v>
      </c>
      <c r="U915" s="272" t="e">
        <f>IF(Q915=0,'calcolo base'!L3514,(T915+Q915))</f>
        <v>#N/A</v>
      </c>
      <c r="V915" s="119"/>
    </row>
    <row r="916" spans="2:22">
      <c r="B916" s="47"/>
      <c r="C916" s="35"/>
      <c r="D916" s="53"/>
      <c r="E916" s="53"/>
      <c r="F916" s="48"/>
      <c r="G916" s="243" t="e">
        <f>INDEX('calcolo base'!$B:$B, MATCH($A916, 'calcolo base'!$A:$A, 0))</f>
        <v>#N/A</v>
      </c>
      <c r="H916" s="54" t="e">
        <f t="shared" si="165"/>
        <v>#N/A</v>
      </c>
      <c r="I916" s="259" t="e">
        <f>IF(  OR(      INDEX('calcolo base'!$D:$D, MATCH($A916, 'calcolo base'!$A:$A, 0)) = 0,
      INDEX('calcolo base'!$D:$D, MATCH($A916, 'calcolo base'!$A:$A, 0)) = ""   ),
   INDEX('calcolo base'!$K:$K, MATCH($A916, 'calcolo base'!$A:$A, 0)),
   INDEX('calcolo base'!$J:$J, MATCH($A916, 'calcolo base'!$A:$A, 0))
) / 1000</f>
        <v>#N/A</v>
      </c>
      <c r="J916" s="50" t="e">
        <f t="shared" si="166"/>
        <v>#N/A</v>
      </c>
      <c r="K916" s="50"/>
      <c r="L916" s="267" t="e">
        <f>INDEX('calcolo base'!$H:$H, MATCH($A916, 'calcolo base'!$A:$A, 0))</f>
        <v>#N/A</v>
      </c>
      <c r="M916" s="50" t="e">
        <f t="shared" si="167"/>
        <v>#N/A</v>
      </c>
      <c r="N916" s="50" t="e">
        <f t="shared" si="168"/>
        <v>#N/A</v>
      </c>
      <c r="O916" s="50" t="e">
        <f t="shared" si="169"/>
        <v>#N/A</v>
      </c>
      <c r="P916" s="50" t="e">
        <f t="shared" si="170"/>
        <v>#N/A</v>
      </c>
      <c r="Q916" s="51" t="e">
        <f t="shared" si="171"/>
        <v>#N/A</v>
      </c>
      <c r="R916" s="205" t="e">
        <f t="shared" si="172"/>
        <v>#N/A</v>
      </c>
      <c r="S916" s="279" t="e">
        <f>IF(R916="si",0,IF(E916="si",0,IF(J916&gt;K916,0,+K916-J916)))+IF('calcolo base'!P2376="SI",('Commissioni De Angeli'!K916-'Commissioni De Angeli'!J916),0)</f>
        <v>#N/A</v>
      </c>
      <c r="T916" s="117" t="e">
        <f t="shared" si="173"/>
        <v>#N/A</v>
      </c>
      <c r="U916" s="272" t="e">
        <f>IF(Q916=0,'calcolo base'!L3515,(T916+Q916))</f>
        <v>#N/A</v>
      </c>
      <c r="V916" s="119"/>
    </row>
    <row r="917" spans="2:22">
      <c r="B917" s="47"/>
      <c r="C917" s="35"/>
      <c r="D917" s="53"/>
      <c r="E917" s="53"/>
      <c r="F917" s="48"/>
      <c r="G917" s="243" t="e">
        <f>INDEX('calcolo base'!$B:$B, MATCH($A917, 'calcolo base'!$A:$A, 0))</f>
        <v>#N/A</v>
      </c>
      <c r="H917" s="54" t="e">
        <f t="shared" si="165"/>
        <v>#N/A</v>
      </c>
      <c r="I917" s="259" t="e">
        <f>IF(  OR(      INDEX('calcolo base'!$D:$D, MATCH($A917, 'calcolo base'!$A:$A, 0)) = 0,
      INDEX('calcolo base'!$D:$D, MATCH($A917, 'calcolo base'!$A:$A, 0)) = ""   ),
   INDEX('calcolo base'!$K:$K, MATCH($A917, 'calcolo base'!$A:$A, 0)),
   INDEX('calcolo base'!$J:$J, MATCH($A917, 'calcolo base'!$A:$A, 0))
) / 1000</f>
        <v>#N/A</v>
      </c>
      <c r="J917" s="50" t="e">
        <f t="shared" si="166"/>
        <v>#N/A</v>
      </c>
      <c r="K917" s="50"/>
      <c r="L917" s="267" t="e">
        <f>INDEX('calcolo base'!$H:$H, MATCH($A917, 'calcolo base'!$A:$A, 0))</f>
        <v>#N/A</v>
      </c>
      <c r="M917" s="50" t="e">
        <f t="shared" si="167"/>
        <v>#N/A</v>
      </c>
      <c r="N917" s="50" t="e">
        <f t="shared" si="168"/>
        <v>#N/A</v>
      </c>
      <c r="O917" s="50" t="e">
        <f t="shared" si="169"/>
        <v>#N/A</v>
      </c>
      <c r="P917" s="50" t="e">
        <f t="shared" si="170"/>
        <v>#N/A</v>
      </c>
      <c r="Q917" s="51" t="e">
        <f t="shared" si="171"/>
        <v>#N/A</v>
      </c>
      <c r="R917" s="205" t="e">
        <f t="shared" si="172"/>
        <v>#N/A</v>
      </c>
      <c r="S917" s="279" t="e">
        <f>IF(R917="si",0,IF(E917="si",0,IF(J917&gt;K917,0,+K917-J917)))+IF('calcolo base'!P2377="SI",('Commissioni De Angeli'!K917-'Commissioni De Angeli'!J917),0)</f>
        <v>#N/A</v>
      </c>
      <c r="T917" s="117" t="e">
        <f t="shared" si="173"/>
        <v>#N/A</v>
      </c>
      <c r="U917" s="272" t="e">
        <f>IF(Q917=0,'calcolo base'!L3516,(T917+Q917))</f>
        <v>#N/A</v>
      </c>
      <c r="V917" s="119"/>
    </row>
    <row r="918" spans="2:22">
      <c r="B918" s="47"/>
      <c r="C918" s="35"/>
      <c r="D918" s="53"/>
      <c r="E918" s="53"/>
      <c r="F918" s="48"/>
      <c r="G918" s="243" t="e">
        <f>INDEX('calcolo base'!$B:$B, MATCH($A918, 'calcolo base'!$A:$A, 0))</f>
        <v>#N/A</v>
      </c>
      <c r="H918" s="54" t="e">
        <f t="shared" si="165"/>
        <v>#N/A</v>
      </c>
      <c r="I918" s="259" t="e">
        <f>IF(  OR(      INDEX('calcolo base'!$D:$D, MATCH($A918, 'calcolo base'!$A:$A, 0)) = 0,
      INDEX('calcolo base'!$D:$D, MATCH($A918, 'calcolo base'!$A:$A, 0)) = ""   ),
   INDEX('calcolo base'!$K:$K, MATCH($A918, 'calcolo base'!$A:$A, 0)),
   INDEX('calcolo base'!$J:$J, MATCH($A918, 'calcolo base'!$A:$A, 0))
) / 1000</f>
        <v>#N/A</v>
      </c>
      <c r="J918" s="50" t="e">
        <f t="shared" si="166"/>
        <v>#N/A</v>
      </c>
      <c r="K918" s="50"/>
      <c r="L918" s="267" t="e">
        <f>INDEX('calcolo base'!$H:$H, MATCH($A918, 'calcolo base'!$A:$A, 0))</f>
        <v>#N/A</v>
      </c>
      <c r="M918" s="50" t="e">
        <f t="shared" si="167"/>
        <v>#N/A</v>
      </c>
      <c r="N918" s="50" t="e">
        <f t="shared" si="168"/>
        <v>#N/A</v>
      </c>
      <c r="O918" s="50" t="e">
        <f t="shared" si="169"/>
        <v>#N/A</v>
      </c>
      <c r="P918" s="50" t="e">
        <f t="shared" si="170"/>
        <v>#N/A</v>
      </c>
      <c r="Q918" s="51" t="e">
        <f t="shared" si="171"/>
        <v>#N/A</v>
      </c>
      <c r="R918" s="205" t="e">
        <f t="shared" si="172"/>
        <v>#N/A</v>
      </c>
      <c r="S918" s="279" t="e">
        <f>IF(R918="si",0,IF(E918="si",0,IF(J918&gt;K918,0,+K918-J918)))+IF('calcolo base'!P2378="SI",('Commissioni De Angeli'!K918-'Commissioni De Angeli'!J918),0)</f>
        <v>#N/A</v>
      </c>
      <c r="T918" s="117" t="e">
        <f t="shared" si="173"/>
        <v>#N/A</v>
      </c>
      <c r="U918" s="272" t="e">
        <f>IF(Q918=0,'calcolo base'!L3517,(T918+Q918))</f>
        <v>#N/A</v>
      </c>
      <c r="V918" s="119"/>
    </row>
    <row r="919" spans="2:22">
      <c r="B919" s="47"/>
      <c r="C919" s="35"/>
      <c r="D919" s="53"/>
      <c r="E919" s="53"/>
      <c r="F919" s="48"/>
      <c r="G919" s="243" t="e">
        <f>INDEX('calcolo base'!$B:$B, MATCH($A919, 'calcolo base'!$A:$A, 0))</f>
        <v>#N/A</v>
      </c>
      <c r="H919" s="54" t="e">
        <f t="shared" si="165"/>
        <v>#N/A</v>
      </c>
      <c r="I919" s="259" t="e">
        <f>IF(  OR(      INDEX('calcolo base'!$D:$D, MATCH($A919, 'calcolo base'!$A:$A, 0)) = 0,
      INDEX('calcolo base'!$D:$D, MATCH($A919, 'calcolo base'!$A:$A, 0)) = ""   ),
   INDEX('calcolo base'!$K:$K, MATCH($A919, 'calcolo base'!$A:$A, 0)),
   INDEX('calcolo base'!$J:$J, MATCH($A919, 'calcolo base'!$A:$A, 0))
) / 1000</f>
        <v>#N/A</v>
      </c>
      <c r="J919" s="50" t="e">
        <f t="shared" si="166"/>
        <v>#N/A</v>
      </c>
      <c r="K919" s="50"/>
      <c r="L919" s="267" t="e">
        <f>INDEX('calcolo base'!$H:$H, MATCH($A919, 'calcolo base'!$A:$A, 0))</f>
        <v>#N/A</v>
      </c>
      <c r="M919" s="50" t="e">
        <f t="shared" si="167"/>
        <v>#N/A</v>
      </c>
      <c r="N919" s="50" t="e">
        <f t="shared" si="168"/>
        <v>#N/A</v>
      </c>
      <c r="O919" s="50" t="e">
        <f t="shared" si="169"/>
        <v>#N/A</v>
      </c>
      <c r="P919" s="50" t="e">
        <f t="shared" si="170"/>
        <v>#N/A</v>
      </c>
      <c r="Q919" s="51" t="e">
        <f t="shared" si="171"/>
        <v>#N/A</v>
      </c>
      <c r="R919" s="205" t="e">
        <f t="shared" si="172"/>
        <v>#N/A</v>
      </c>
      <c r="S919" s="279" t="e">
        <f>IF(R919="si",0,IF(E919="si",0,IF(J919&gt;K919,0,+K919-J919)))+IF('calcolo base'!P2379="SI",('Commissioni De Angeli'!K919-'Commissioni De Angeli'!J919),0)</f>
        <v>#N/A</v>
      </c>
      <c r="T919" s="117" t="e">
        <f t="shared" si="173"/>
        <v>#N/A</v>
      </c>
      <c r="U919" s="272" t="e">
        <f>IF(Q919=0,'calcolo base'!L3518,(T919+Q919))</f>
        <v>#N/A</v>
      </c>
      <c r="V919" s="119"/>
    </row>
    <row r="920" spans="2:22">
      <c r="B920" s="47"/>
      <c r="C920" s="35"/>
      <c r="D920" s="53"/>
      <c r="E920" s="53"/>
      <c r="F920" s="48"/>
      <c r="G920" s="243" t="e">
        <f>INDEX('calcolo base'!$B:$B, MATCH($A920, 'calcolo base'!$A:$A, 0))</f>
        <v>#N/A</v>
      </c>
      <c r="H920" s="54" t="e">
        <f t="shared" si="165"/>
        <v>#N/A</v>
      </c>
      <c r="I920" s="259" t="e">
        <f>IF(  OR(      INDEX('calcolo base'!$D:$D, MATCH($A920, 'calcolo base'!$A:$A, 0)) = 0,
      INDEX('calcolo base'!$D:$D, MATCH($A920, 'calcolo base'!$A:$A, 0)) = ""   ),
   INDEX('calcolo base'!$K:$K, MATCH($A920, 'calcolo base'!$A:$A, 0)),
   INDEX('calcolo base'!$J:$J, MATCH($A920, 'calcolo base'!$A:$A, 0))
) / 1000</f>
        <v>#N/A</v>
      </c>
      <c r="J920" s="50" t="e">
        <f t="shared" si="166"/>
        <v>#N/A</v>
      </c>
      <c r="K920" s="50"/>
      <c r="L920" s="267" t="e">
        <f>INDEX('calcolo base'!$H:$H, MATCH($A920, 'calcolo base'!$A:$A, 0))</f>
        <v>#N/A</v>
      </c>
      <c r="M920" s="50" t="e">
        <f t="shared" si="167"/>
        <v>#N/A</v>
      </c>
      <c r="N920" s="50" t="e">
        <f t="shared" si="168"/>
        <v>#N/A</v>
      </c>
      <c r="O920" s="50" t="e">
        <f t="shared" si="169"/>
        <v>#N/A</v>
      </c>
      <c r="P920" s="50" t="e">
        <f t="shared" si="170"/>
        <v>#N/A</v>
      </c>
      <c r="Q920" s="51" t="e">
        <f t="shared" si="171"/>
        <v>#N/A</v>
      </c>
      <c r="R920" s="205" t="e">
        <f t="shared" si="172"/>
        <v>#N/A</v>
      </c>
      <c r="S920" s="279" t="e">
        <f>IF(R920="si",0,IF(E920="si",0,IF(J920&gt;K920,0,+K920-J920)))+IF('calcolo base'!P2380="SI",('Commissioni De Angeli'!K920-'Commissioni De Angeli'!J920),0)</f>
        <v>#N/A</v>
      </c>
      <c r="T920" s="117" t="e">
        <f t="shared" si="173"/>
        <v>#N/A</v>
      </c>
      <c r="U920" s="272" t="e">
        <f>IF(Q920=0,'calcolo base'!L3519,(T920+Q920))</f>
        <v>#N/A</v>
      </c>
      <c r="V920" s="119"/>
    </row>
    <row r="921" spans="2:22">
      <c r="B921" s="47"/>
      <c r="C921" s="35"/>
      <c r="D921" s="53"/>
      <c r="E921" s="53"/>
      <c r="F921" s="48"/>
      <c r="G921" s="243" t="e">
        <f>INDEX('calcolo base'!$B:$B, MATCH($A921, 'calcolo base'!$A:$A, 0))</f>
        <v>#N/A</v>
      </c>
      <c r="H921" s="54" t="e">
        <f t="shared" si="165"/>
        <v>#N/A</v>
      </c>
      <c r="I921" s="259" t="e">
        <f>IF(  OR(      INDEX('calcolo base'!$D:$D, MATCH($A921, 'calcolo base'!$A:$A, 0)) = 0,
      INDEX('calcolo base'!$D:$D, MATCH($A921, 'calcolo base'!$A:$A, 0)) = ""   ),
   INDEX('calcolo base'!$K:$K, MATCH($A921, 'calcolo base'!$A:$A, 0)),
   INDEX('calcolo base'!$J:$J, MATCH($A921, 'calcolo base'!$A:$A, 0))
) / 1000</f>
        <v>#N/A</v>
      </c>
      <c r="J921" s="50" t="e">
        <f t="shared" si="166"/>
        <v>#N/A</v>
      </c>
      <c r="K921" s="50"/>
      <c r="L921" s="267" t="e">
        <f>INDEX('calcolo base'!$H:$H, MATCH($A921, 'calcolo base'!$A:$A, 0))</f>
        <v>#N/A</v>
      </c>
      <c r="M921" s="50" t="e">
        <f t="shared" si="167"/>
        <v>#N/A</v>
      </c>
      <c r="N921" s="50" t="e">
        <f t="shared" si="168"/>
        <v>#N/A</v>
      </c>
      <c r="O921" s="50" t="e">
        <f t="shared" si="169"/>
        <v>#N/A</v>
      </c>
      <c r="P921" s="50" t="e">
        <f t="shared" si="170"/>
        <v>#N/A</v>
      </c>
      <c r="Q921" s="51" t="e">
        <f t="shared" si="171"/>
        <v>#N/A</v>
      </c>
      <c r="R921" s="205" t="e">
        <f t="shared" si="172"/>
        <v>#N/A</v>
      </c>
      <c r="S921" s="279" t="e">
        <f>IF(R921="si",0,IF(E921="si",0,IF(J921&gt;K921,0,+K921-J921)))+IF('calcolo base'!P2381="SI",('Commissioni De Angeli'!K921-'Commissioni De Angeli'!J921),0)</f>
        <v>#N/A</v>
      </c>
      <c r="T921" s="117" t="e">
        <f t="shared" si="173"/>
        <v>#N/A</v>
      </c>
      <c r="U921" s="272" t="e">
        <f>IF(Q921=0,'calcolo base'!L3520,(T921+Q921))</f>
        <v>#N/A</v>
      </c>
      <c r="V921" s="119"/>
    </row>
    <row r="922" spans="2:22">
      <c r="B922" s="47"/>
      <c r="C922" s="35"/>
      <c r="D922" s="53"/>
      <c r="E922" s="53"/>
      <c r="F922" s="48"/>
      <c r="G922" s="243" t="e">
        <f>INDEX('calcolo base'!$B:$B, MATCH($A922, 'calcolo base'!$A:$A, 0))</f>
        <v>#N/A</v>
      </c>
      <c r="H922" s="54" t="e">
        <f t="shared" si="165"/>
        <v>#N/A</v>
      </c>
      <c r="I922" s="259" t="e">
        <f>IF(  OR(      INDEX('calcolo base'!$D:$D, MATCH($A922, 'calcolo base'!$A:$A, 0)) = 0,
      INDEX('calcolo base'!$D:$D, MATCH($A922, 'calcolo base'!$A:$A, 0)) = ""   ),
   INDEX('calcolo base'!$K:$K, MATCH($A922, 'calcolo base'!$A:$A, 0)),
   INDEX('calcolo base'!$J:$J, MATCH($A922, 'calcolo base'!$A:$A, 0))
) / 1000</f>
        <v>#N/A</v>
      </c>
      <c r="J922" s="50" t="e">
        <f t="shared" si="166"/>
        <v>#N/A</v>
      </c>
      <c r="K922" s="50"/>
      <c r="L922" s="267" t="e">
        <f>INDEX('calcolo base'!$H:$H, MATCH($A922, 'calcolo base'!$A:$A, 0))</f>
        <v>#N/A</v>
      </c>
      <c r="M922" s="50" t="e">
        <f t="shared" si="167"/>
        <v>#N/A</v>
      </c>
      <c r="N922" s="50" t="e">
        <f t="shared" si="168"/>
        <v>#N/A</v>
      </c>
      <c r="O922" s="50" t="e">
        <f t="shared" si="169"/>
        <v>#N/A</v>
      </c>
      <c r="P922" s="50" t="e">
        <f t="shared" si="170"/>
        <v>#N/A</v>
      </c>
      <c r="Q922" s="51" t="e">
        <f t="shared" si="171"/>
        <v>#N/A</v>
      </c>
      <c r="R922" s="205" t="e">
        <f t="shared" si="172"/>
        <v>#N/A</v>
      </c>
      <c r="S922" s="279" t="e">
        <f>IF(R922="si",0,IF(E922="si",0,IF(J922&gt;K922,0,+K922-J922)))+IF('calcolo base'!P2382="SI",('Commissioni De Angeli'!K922-'Commissioni De Angeli'!J922),0)</f>
        <v>#N/A</v>
      </c>
      <c r="T922" s="117" t="e">
        <f t="shared" si="173"/>
        <v>#N/A</v>
      </c>
      <c r="U922" s="272" t="e">
        <f>IF(Q922=0,'calcolo base'!L3521,(T922+Q922))</f>
        <v>#N/A</v>
      </c>
      <c r="V922" s="119"/>
    </row>
    <row r="923" spans="2:22">
      <c r="B923" s="47"/>
      <c r="C923" s="35"/>
      <c r="D923" s="53"/>
      <c r="E923" s="53"/>
      <c r="F923" s="48"/>
      <c r="G923" s="243" t="e">
        <f>INDEX('calcolo base'!$B:$B, MATCH($A923, 'calcolo base'!$A:$A, 0))</f>
        <v>#N/A</v>
      </c>
      <c r="H923" s="54" t="e">
        <f t="shared" si="165"/>
        <v>#N/A</v>
      </c>
      <c r="I923" s="259" t="e">
        <f>IF(  OR(      INDEX('calcolo base'!$D:$D, MATCH($A923, 'calcolo base'!$A:$A, 0)) = 0,
      INDEX('calcolo base'!$D:$D, MATCH($A923, 'calcolo base'!$A:$A, 0)) = ""   ),
   INDEX('calcolo base'!$K:$K, MATCH($A923, 'calcolo base'!$A:$A, 0)),
   INDEX('calcolo base'!$J:$J, MATCH($A923, 'calcolo base'!$A:$A, 0))
) / 1000</f>
        <v>#N/A</v>
      </c>
      <c r="J923" s="50" t="e">
        <f t="shared" si="166"/>
        <v>#N/A</v>
      </c>
      <c r="K923" s="50"/>
      <c r="L923" s="267" t="e">
        <f>INDEX('calcolo base'!$H:$H, MATCH($A923, 'calcolo base'!$A:$A, 0))</f>
        <v>#N/A</v>
      </c>
      <c r="M923" s="50" t="e">
        <f t="shared" si="167"/>
        <v>#N/A</v>
      </c>
      <c r="N923" s="50" t="e">
        <f t="shared" si="168"/>
        <v>#N/A</v>
      </c>
      <c r="O923" s="50" t="e">
        <f t="shared" si="169"/>
        <v>#N/A</v>
      </c>
      <c r="P923" s="50" t="e">
        <f t="shared" si="170"/>
        <v>#N/A</v>
      </c>
      <c r="Q923" s="51" t="e">
        <f t="shared" si="171"/>
        <v>#N/A</v>
      </c>
      <c r="R923" s="205" t="e">
        <f t="shared" si="172"/>
        <v>#N/A</v>
      </c>
      <c r="S923" s="279" t="e">
        <f>IF(R923="si",0,IF(E923="si",0,IF(J923&gt;K923,0,+K923-J923)))+IF('calcolo base'!P2383="SI",('Commissioni De Angeli'!K923-'Commissioni De Angeli'!J923),0)</f>
        <v>#N/A</v>
      </c>
      <c r="T923" s="117" t="e">
        <f t="shared" si="173"/>
        <v>#N/A</v>
      </c>
      <c r="U923" s="272" t="e">
        <f>IF(Q923=0,'calcolo base'!L3522,(T923+Q923))</f>
        <v>#N/A</v>
      </c>
      <c r="V923" s="119"/>
    </row>
    <row r="924" spans="2:22">
      <c r="B924" s="47"/>
      <c r="C924" s="35"/>
      <c r="D924" s="53"/>
      <c r="E924" s="53"/>
      <c r="F924" s="48"/>
      <c r="G924" s="243" t="e">
        <f>INDEX('calcolo base'!$B:$B, MATCH($A924, 'calcolo base'!$A:$A, 0))</f>
        <v>#N/A</v>
      </c>
      <c r="H924" s="54" t="e">
        <f t="shared" si="165"/>
        <v>#N/A</v>
      </c>
      <c r="I924" s="259" t="e">
        <f>IF(  OR(      INDEX('calcolo base'!$D:$D, MATCH($A924, 'calcolo base'!$A:$A, 0)) = 0,
      INDEX('calcolo base'!$D:$D, MATCH($A924, 'calcolo base'!$A:$A, 0)) = ""   ),
   INDEX('calcolo base'!$K:$K, MATCH($A924, 'calcolo base'!$A:$A, 0)),
   INDEX('calcolo base'!$J:$J, MATCH($A924, 'calcolo base'!$A:$A, 0))
) / 1000</f>
        <v>#N/A</v>
      </c>
      <c r="J924" s="50" t="e">
        <f t="shared" si="166"/>
        <v>#N/A</v>
      </c>
      <c r="K924" s="50"/>
      <c r="L924" s="267" t="e">
        <f>INDEX('calcolo base'!$H:$H, MATCH($A924, 'calcolo base'!$A:$A, 0))</f>
        <v>#N/A</v>
      </c>
      <c r="M924" s="50" t="e">
        <f t="shared" si="167"/>
        <v>#N/A</v>
      </c>
      <c r="N924" s="50" t="e">
        <f t="shared" si="168"/>
        <v>#N/A</v>
      </c>
      <c r="O924" s="50" t="e">
        <f t="shared" si="169"/>
        <v>#N/A</v>
      </c>
      <c r="P924" s="50" t="e">
        <f t="shared" si="170"/>
        <v>#N/A</v>
      </c>
      <c r="Q924" s="51" t="e">
        <f t="shared" si="171"/>
        <v>#N/A</v>
      </c>
      <c r="R924" s="205" t="e">
        <f t="shared" si="172"/>
        <v>#N/A</v>
      </c>
      <c r="S924" s="279" t="e">
        <f>IF(R924="si",0,IF(E924="si",0,IF(J924&gt;K924,0,+K924-J924)))+IF('calcolo base'!P2384="SI",('Commissioni De Angeli'!K924-'Commissioni De Angeli'!J924),0)</f>
        <v>#N/A</v>
      </c>
      <c r="T924" s="117" t="e">
        <f t="shared" si="173"/>
        <v>#N/A</v>
      </c>
      <c r="U924" s="272" t="e">
        <f>IF(Q924=0,'calcolo base'!L3523,(T924+Q924))</f>
        <v>#N/A</v>
      </c>
      <c r="V924" s="119"/>
    </row>
    <row r="925" spans="2:22">
      <c r="B925" s="47"/>
      <c r="C925" s="35"/>
      <c r="D925" s="53"/>
      <c r="E925" s="53"/>
      <c r="F925" s="48"/>
      <c r="G925" s="243" t="e">
        <f>INDEX('calcolo base'!$B:$B, MATCH($A925, 'calcolo base'!$A:$A, 0))</f>
        <v>#N/A</v>
      </c>
      <c r="H925" s="54" t="e">
        <f t="shared" si="165"/>
        <v>#N/A</v>
      </c>
      <c r="I925" s="259" t="e">
        <f>IF(  OR(      INDEX('calcolo base'!$D:$D, MATCH($A925, 'calcolo base'!$A:$A, 0)) = 0,
      INDEX('calcolo base'!$D:$D, MATCH($A925, 'calcolo base'!$A:$A, 0)) = ""   ),
   INDEX('calcolo base'!$K:$K, MATCH($A925, 'calcolo base'!$A:$A, 0)),
   INDEX('calcolo base'!$J:$J, MATCH($A925, 'calcolo base'!$A:$A, 0))
) / 1000</f>
        <v>#N/A</v>
      </c>
      <c r="J925" s="50" t="e">
        <f t="shared" si="166"/>
        <v>#N/A</v>
      </c>
      <c r="K925" s="50"/>
      <c r="L925" s="267" t="e">
        <f>INDEX('calcolo base'!$H:$H, MATCH($A925, 'calcolo base'!$A:$A, 0))</f>
        <v>#N/A</v>
      </c>
      <c r="M925" s="50" t="e">
        <f t="shared" si="167"/>
        <v>#N/A</v>
      </c>
      <c r="N925" s="50" t="e">
        <f t="shared" si="168"/>
        <v>#N/A</v>
      </c>
      <c r="O925" s="50" t="e">
        <f t="shared" si="169"/>
        <v>#N/A</v>
      </c>
      <c r="P925" s="50" t="e">
        <f t="shared" si="170"/>
        <v>#N/A</v>
      </c>
      <c r="Q925" s="51" t="e">
        <f t="shared" si="171"/>
        <v>#N/A</v>
      </c>
      <c r="R925" s="205" t="e">
        <f t="shared" si="172"/>
        <v>#N/A</v>
      </c>
      <c r="S925" s="279" t="e">
        <f>IF(R925="si",0,IF(E925="si",0,IF(J925&gt;K925,0,+K925-J925)))+IF('calcolo base'!P2385="SI",('Commissioni De Angeli'!K925-'Commissioni De Angeli'!J925),0)</f>
        <v>#N/A</v>
      </c>
      <c r="T925" s="117" t="e">
        <f t="shared" si="173"/>
        <v>#N/A</v>
      </c>
      <c r="U925" s="272" t="e">
        <f>IF(Q925=0,'calcolo base'!L3524,(T925+Q925))</f>
        <v>#N/A</v>
      </c>
      <c r="V925" s="119"/>
    </row>
    <row r="926" spans="2:22">
      <c r="B926" s="47"/>
      <c r="C926" s="35"/>
      <c r="D926" s="53"/>
      <c r="E926" s="53"/>
      <c r="F926" s="48"/>
      <c r="G926" s="243" t="e">
        <f>INDEX('calcolo base'!$B:$B, MATCH($A926, 'calcolo base'!$A:$A, 0))</f>
        <v>#N/A</v>
      </c>
      <c r="H926" s="54" t="e">
        <f t="shared" si="165"/>
        <v>#N/A</v>
      </c>
      <c r="I926" s="259" t="e">
        <f>IF(  OR(      INDEX('calcolo base'!$D:$D, MATCH($A926, 'calcolo base'!$A:$A, 0)) = 0,
      INDEX('calcolo base'!$D:$D, MATCH($A926, 'calcolo base'!$A:$A, 0)) = ""   ),
   INDEX('calcolo base'!$K:$K, MATCH($A926, 'calcolo base'!$A:$A, 0)),
   INDEX('calcolo base'!$J:$J, MATCH($A926, 'calcolo base'!$A:$A, 0))
) / 1000</f>
        <v>#N/A</v>
      </c>
      <c r="J926" s="50" t="e">
        <f t="shared" si="166"/>
        <v>#N/A</v>
      </c>
      <c r="K926" s="50"/>
      <c r="L926" s="267" t="e">
        <f>INDEX('calcolo base'!$H:$H, MATCH($A926, 'calcolo base'!$A:$A, 0))</f>
        <v>#N/A</v>
      </c>
      <c r="M926" s="50" t="e">
        <f t="shared" si="167"/>
        <v>#N/A</v>
      </c>
      <c r="N926" s="50" t="e">
        <f t="shared" si="168"/>
        <v>#N/A</v>
      </c>
      <c r="O926" s="50" t="e">
        <f t="shared" si="169"/>
        <v>#N/A</v>
      </c>
      <c r="P926" s="50" t="e">
        <f t="shared" si="170"/>
        <v>#N/A</v>
      </c>
      <c r="Q926" s="51" t="e">
        <f t="shared" si="171"/>
        <v>#N/A</v>
      </c>
      <c r="R926" s="205" t="e">
        <f t="shared" si="172"/>
        <v>#N/A</v>
      </c>
      <c r="S926" s="279" t="e">
        <f>IF(R926="si",0,IF(E926="si",0,IF(J926&gt;K926,0,+K926-J926)))+IF('calcolo base'!P2386="SI",('Commissioni De Angeli'!K926-'Commissioni De Angeli'!J926),0)</f>
        <v>#N/A</v>
      </c>
      <c r="T926" s="117" t="e">
        <f t="shared" si="173"/>
        <v>#N/A</v>
      </c>
      <c r="U926" s="272" t="e">
        <f>IF(Q926=0,'calcolo base'!L3525,(T926+Q926))</f>
        <v>#N/A</v>
      </c>
      <c r="V926" s="119"/>
    </row>
    <row r="927" spans="2:22">
      <c r="B927" s="47"/>
      <c r="C927" s="35"/>
      <c r="D927" s="53"/>
      <c r="E927" s="53"/>
      <c r="F927" s="48"/>
      <c r="G927" s="243" t="e">
        <f>INDEX('calcolo base'!$B:$B, MATCH($A927, 'calcolo base'!$A:$A, 0))</f>
        <v>#N/A</v>
      </c>
      <c r="H927" s="54" t="e">
        <f t="shared" si="165"/>
        <v>#N/A</v>
      </c>
      <c r="I927" s="259" t="e">
        <f>IF(  OR(      INDEX('calcolo base'!$D:$D, MATCH($A927, 'calcolo base'!$A:$A, 0)) = 0,
      INDEX('calcolo base'!$D:$D, MATCH($A927, 'calcolo base'!$A:$A, 0)) = ""   ),
   INDEX('calcolo base'!$K:$K, MATCH($A927, 'calcolo base'!$A:$A, 0)),
   INDEX('calcolo base'!$J:$J, MATCH($A927, 'calcolo base'!$A:$A, 0))
) / 1000</f>
        <v>#N/A</v>
      </c>
      <c r="J927" s="50" t="e">
        <f t="shared" si="166"/>
        <v>#N/A</v>
      </c>
      <c r="K927" s="50"/>
      <c r="L927" s="267" t="e">
        <f>INDEX('calcolo base'!$H:$H, MATCH($A927, 'calcolo base'!$A:$A, 0))</f>
        <v>#N/A</v>
      </c>
      <c r="M927" s="50" t="e">
        <f t="shared" si="167"/>
        <v>#N/A</v>
      </c>
      <c r="N927" s="50" t="e">
        <f t="shared" si="168"/>
        <v>#N/A</v>
      </c>
      <c r="O927" s="50" t="e">
        <f t="shared" si="169"/>
        <v>#N/A</v>
      </c>
      <c r="P927" s="50" t="e">
        <f t="shared" si="170"/>
        <v>#N/A</v>
      </c>
      <c r="Q927" s="51" t="e">
        <f t="shared" si="171"/>
        <v>#N/A</v>
      </c>
      <c r="R927" s="205" t="e">
        <f t="shared" si="172"/>
        <v>#N/A</v>
      </c>
      <c r="S927" s="279" t="e">
        <f>IF(R927="si",0,IF(E927="si",0,IF(J927&gt;K927,0,+K927-J927)))+IF('calcolo base'!P2387="SI",('Commissioni De Angeli'!K927-'Commissioni De Angeli'!J927),0)</f>
        <v>#N/A</v>
      </c>
      <c r="T927" s="117" t="e">
        <f t="shared" si="173"/>
        <v>#N/A</v>
      </c>
      <c r="U927" s="272" t="e">
        <f>IF(Q927=0,'calcolo base'!L3526,(T927+Q927))</f>
        <v>#N/A</v>
      </c>
      <c r="V927" s="119"/>
    </row>
    <row r="928" spans="2:22">
      <c r="B928" s="47"/>
      <c r="C928" s="35"/>
      <c r="D928" s="53"/>
      <c r="E928" s="53"/>
      <c r="F928" s="48"/>
      <c r="G928" s="243" t="e">
        <f>INDEX('calcolo base'!$B:$B, MATCH($A928, 'calcolo base'!$A:$A, 0))</f>
        <v>#N/A</v>
      </c>
      <c r="H928" s="54" t="e">
        <f t="shared" si="165"/>
        <v>#N/A</v>
      </c>
      <c r="I928" s="259" t="e">
        <f>IF(  OR(      INDEX('calcolo base'!$D:$D, MATCH($A928, 'calcolo base'!$A:$A, 0)) = 0,
      INDEX('calcolo base'!$D:$D, MATCH($A928, 'calcolo base'!$A:$A, 0)) = ""   ),
   INDEX('calcolo base'!$K:$K, MATCH($A928, 'calcolo base'!$A:$A, 0)),
   INDEX('calcolo base'!$J:$J, MATCH($A928, 'calcolo base'!$A:$A, 0))
) / 1000</f>
        <v>#N/A</v>
      </c>
      <c r="J928" s="50" t="e">
        <f t="shared" si="166"/>
        <v>#N/A</v>
      </c>
      <c r="K928" s="50"/>
      <c r="L928" s="267" t="e">
        <f>INDEX('calcolo base'!$H:$H, MATCH($A928, 'calcolo base'!$A:$A, 0))</f>
        <v>#N/A</v>
      </c>
      <c r="M928" s="50" t="e">
        <f t="shared" si="167"/>
        <v>#N/A</v>
      </c>
      <c r="N928" s="50" t="e">
        <f t="shared" si="168"/>
        <v>#N/A</v>
      </c>
      <c r="O928" s="50" t="e">
        <f t="shared" si="169"/>
        <v>#N/A</v>
      </c>
      <c r="P928" s="50" t="e">
        <f t="shared" si="170"/>
        <v>#N/A</v>
      </c>
      <c r="Q928" s="51" t="e">
        <f t="shared" si="171"/>
        <v>#N/A</v>
      </c>
      <c r="R928" s="205" t="e">
        <f t="shared" si="172"/>
        <v>#N/A</v>
      </c>
      <c r="S928" s="279" t="e">
        <f>IF(R928="si",0,IF(E928="si",0,IF(J928&gt;K928,0,+K928-J928)))+IF('calcolo base'!P2388="SI",('Commissioni De Angeli'!K928-'Commissioni De Angeli'!J928),0)</f>
        <v>#N/A</v>
      </c>
      <c r="T928" s="117" t="e">
        <f t="shared" si="173"/>
        <v>#N/A</v>
      </c>
      <c r="U928" s="272" t="e">
        <f>IF(Q928=0,'calcolo base'!L3527,(T928+Q928))</f>
        <v>#N/A</v>
      </c>
      <c r="V928" s="119"/>
    </row>
    <row r="929" spans="2:27">
      <c r="B929" s="47"/>
      <c r="C929" s="35"/>
      <c r="D929" s="53"/>
      <c r="E929" s="53"/>
      <c r="F929" s="48"/>
      <c r="G929" s="243" t="e">
        <f>INDEX('calcolo base'!$B:$B, MATCH($A929, 'calcolo base'!$A:$A, 0))</f>
        <v>#N/A</v>
      </c>
      <c r="H929" s="54" t="e">
        <f t="shared" si="165"/>
        <v>#N/A</v>
      </c>
      <c r="I929" s="259" t="e">
        <f>IF(  OR(      INDEX('calcolo base'!$D:$D, MATCH($A929, 'calcolo base'!$A:$A, 0)) = 0,
      INDEX('calcolo base'!$D:$D, MATCH($A929, 'calcolo base'!$A:$A, 0)) = ""   ),
   INDEX('calcolo base'!$K:$K, MATCH($A929, 'calcolo base'!$A:$A, 0)),
   INDEX('calcolo base'!$J:$J, MATCH($A929, 'calcolo base'!$A:$A, 0))
) / 1000</f>
        <v>#N/A</v>
      </c>
      <c r="J929" s="50" t="e">
        <f t="shared" si="166"/>
        <v>#N/A</v>
      </c>
      <c r="K929" s="50"/>
      <c r="L929" s="267" t="e">
        <f>INDEX('calcolo base'!$H:$H, MATCH($A929, 'calcolo base'!$A:$A, 0))</f>
        <v>#N/A</v>
      </c>
      <c r="M929" s="50" t="e">
        <f t="shared" si="167"/>
        <v>#N/A</v>
      </c>
      <c r="N929" s="50" t="e">
        <f t="shared" si="168"/>
        <v>#N/A</v>
      </c>
      <c r="O929" s="50" t="e">
        <f t="shared" si="169"/>
        <v>#N/A</v>
      </c>
      <c r="P929" s="50" t="e">
        <f t="shared" si="170"/>
        <v>#N/A</v>
      </c>
      <c r="Q929" s="51" t="e">
        <f t="shared" si="171"/>
        <v>#N/A</v>
      </c>
      <c r="R929" s="205" t="e">
        <f t="shared" si="172"/>
        <v>#N/A</v>
      </c>
      <c r="S929" s="279" t="e">
        <f>IF(R929="si",0,IF(E929="si",0,IF(J929&gt;K929,0,+K929-J929)))+IF('calcolo base'!P2389="SI",('Commissioni De Angeli'!K929-'Commissioni De Angeli'!J929),0)</f>
        <v>#N/A</v>
      </c>
      <c r="T929" s="117" t="e">
        <f t="shared" si="173"/>
        <v>#N/A</v>
      </c>
      <c r="U929" s="272" t="e">
        <f>IF(Q929=0,'calcolo base'!L3528,(T929+Q929))</f>
        <v>#N/A</v>
      </c>
      <c r="V929" s="119"/>
    </row>
    <row r="930" spans="2:27">
      <c r="B930" s="47"/>
      <c r="C930" s="35"/>
      <c r="D930" s="53"/>
      <c r="E930" s="53"/>
      <c r="F930" s="48"/>
      <c r="G930" s="243" t="e">
        <f>INDEX('calcolo base'!$B:$B, MATCH($A930, 'calcolo base'!$A:$A, 0))</f>
        <v>#N/A</v>
      </c>
      <c r="H930" s="54" t="e">
        <f t="shared" si="165"/>
        <v>#N/A</v>
      </c>
      <c r="I930" s="259" t="e">
        <f>IF(  OR(      INDEX('calcolo base'!$D:$D, MATCH($A930, 'calcolo base'!$A:$A, 0)) = 0,
      INDEX('calcolo base'!$D:$D, MATCH($A930, 'calcolo base'!$A:$A, 0)) = ""   ),
   INDEX('calcolo base'!$K:$K, MATCH($A930, 'calcolo base'!$A:$A, 0)),
   INDEX('calcolo base'!$J:$J, MATCH($A930, 'calcolo base'!$A:$A, 0))
) / 1000</f>
        <v>#N/A</v>
      </c>
      <c r="J930" s="50" t="e">
        <f t="shared" si="166"/>
        <v>#N/A</v>
      </c>
      <c r="K930" s="50"/>
      <c r="L930" s="267" t="e">
        <f>INDEX('calcolo base'!$H:$H, MATCH($A930, 'calcolo base'!$A:$A, 0))</f>
        <v>#N/A</v>
      </c>
      <c r="M930" s="50" t="e">
        <f t="shared" si="167"/>
        <v>#N/A</v>
      </c>
      <c r="N930" s="50" t="e">
        <f t="shared" si="168"/>
        <v>#N/A</v>
      </c>
      <c r="O930" s="50" t="e">
        <f t="shared" si="169"/>
        <v>#N/A</v>
      </c>
      <c r="P930" s="50" t="e">
        <f t="shared" si="170"/>
        <v>#N/A</v>
      </c>
      <c r="Q930" s="51" t="e">
        <f t="shared" si="171"/>
        <v>#N/A</v>
      </c>
      <c r="R930" s="205" t="e">
        <f t="shared" si="172"/>
        <v>#N/A</v>
      </c>
      <c r="S930" s="279" t="e">
        <f>IF(R930="si",0,IF(E930="si",0,IF(J930&gt;K930,0,+K930-J930)))+IF('calcolo base'!P2390="SI",('Commissioni De Angeli'!K930-'Commissioni De Angeli'!J930),0)</f>
        <v>#N/A</v>
      </c>
      <c r="T930" s="117" t="e">
        <f t="shared" si="173"/>
        <v>#N/A</v>
      </c>
      <c r="U930" s="272" t="e">
        <f>IF(Q930=0,'calcolo base'!L3529,(T930+Q930))</f>
        <v>#N/A</v>
      </c>
      <c r="V930" s="119"/>
    </row>
    <row r="931" spans="2:27">
      <c r="B931" s="47"/>
      <c r="C931" s="35"/>
      <c r="D931" s="53"/>
      <c r="E931" s="53"/>
      <c r="F931" s="48"/>
      <c r="G931" s="243" t="e">
        <f>INDEX('calcolo base'!$B:$B, MATCH($A931, 'calcolo base'!$A:$A, 0))</f>
        <v>#N/A</v>
      </c>
      <c r="H931" s="54" t="e">
        <f t="shared" si="165"/>
        <v>#N/A</v>
      </c>
      <c r="I931" s="259" t="e">
        <f>IF(  OR(      INDEX('calcolo base'!$D:$D, MATCH($A931, 'calcolo base'!$A:$A, 0)) = 0,
      INDEX('calcolo base'!$D:$D, MATCH($A931, 'calcolo base'!$A:$A, 0)) = ""   ),
   INDEX('calcolo base'!$K:$K, MATCH($A931, 'calcolo base'!$A:$A, 0)),
   INDEX('calcolo base'!$J:$J, MATCH($A931, 'calcolo base'!$A:$A, 0))
) / 1000</f>
        <v>#N/A</v>
      </c>
      <c r="J931" s="50" t="e">
        <f t="shared" si="166"/>
        <v>#N/A</v>
      </c>
      <c r="K931" s="50"/>
      <c r="L931" s="267" t="e">
        <f>INDEX('calcolo base'!$H:$H, MATCH($A931, 'calcolo base'!$A:$A, 0))</f>
        <v>#N/A</v>
      </c>
      <c r="M931" s="50" t="e">
        <f t="shared" si="167"/>
        <v>#N/A</v>
      </c>
      <c r="N931" s="50" t="e">
        <f t="shared" si="168"/>
        <v>#N/A</v>
      </c>
      <c r="O931" s="50" t="e">
        <f t="shared" si="169"/>
        <v>#N/A</v>
      </c>
      <c r="P931" s="50" t="e">
        <f t="shared" si="170"/>
        <v>#N/A</v>
      </c>
      <c r="Q931" s="51" t="e">
        <f t="shared" si="171"/>
        <v>#N/A</v>
      </c>
      <c r="R931" s="205" t="e">
        <f t="shared" si="172"/>
        <v>#N/A</v>
      </c>
      <c r="S931" s="279" t="e">
        <f>IF(R931="si",0,IF(E931="si",0,IF(J931&gt;K931,0,+K931-J931)))+IF('calcolo base'!P2391="SI",('Commissioni De Angeli'!K931-'Commissioni De Angeli'!J931),0)</f>
        <v>#N/A</v>
      </c>
      <c r="T931" s="117" t="e">
        <f t="shared" si="173"/>
        <v>#N/A</v>
      </c>
      <c r="U931" s="272" t="e">
        <f>IF(Q931=0,'calcolo base'!L3530,(T931+Q931))</f>
        <v>#N/A</v>
      </c>
      <c r="V931" s="119"/>
    </row>
    <row r="932" spans="2:27">
      <c r="B932" s="47"/>
      <c r="C932" s="35"/>
      <c r="D932" s="53"/>
      <c r="E932" s="53"/>
      <c r="F932" s="48"/>
      <c r="G932" s="243" t="e">
        <f>INDEX('calcolo base'!$B:$B, MATCH($A932, 'calcolo base'!$A:$A, 0))</f>
        <v>#N/A</v>
      </c>
      <c r="H932" s="54" t="e">
        <f t="shared" si="165"/>
        <v>#N/A</v>
      </c>
      <c r="I932" s="259" t="e">
        <f>IF(  OR(      INDEX('calcolo base'!$D:$D, MATCH($A932, 'calcolo base'!$A:$A, 0)) = 0,
      INDEX('calcolo base'!$D:$D, MATCH($A932, 'calcolo base'!$A:$A, 0)) = ""   ),
   INDEX('calcolo base'!$K:$K, MATCH($A932, 'calcolo base'!$A:$A, 0)),
   INDEX('calcolo base'!$J:$J, MATCH($A932, 'calcolo base'!$A:$A, 0))
) / 1000</f>
        <v>#N/A</v>
      </c>
      <c r="J932" s="50" t="e">
        <f t="shared" si="166"/>
        <v>#N/A</v>
      </c>
      <c r="K932" s="50"/>
      <c r="L932" s="267" t="e">
        <f>INDEX('calcolo base'!$H:$H, MATCH($A932, 'calcolo base'!$A:$A, 0))</f>
        <v>#N/A</v>
      </c>
      <c r="M932" s="50" t="e">
        <f t="shared" si="167"/>
        <v>#N/A</v>
      </c>
      <c r="N932" s="50" t="e">
        <f t="shared" si="168"/>
        <v>#N/A</v>
      </c>
      <c r="O932" s="50" t="e">
        <f t="shared" si="169"/>
        <v>#N/A</v>
      </c>
      <c r="P932" s="50" t="e">
        <f t="shared" si="170"/>
        <v>#N/A</v>
      </c>
      <c r="Q932" s="51" t="e">
        <f t="shared" si="171"/>
        <v>#N/A</v>
      </c>
      <c r="R932" s="205" t="e">
        <f t="shared" si="172"/>
        <v>#N/A</v>
      </c>
      <c r="S932" s="279" t="e">
        <f>IF(R932="si",0,IF(E932="si",0,IF(J932&gt;K932,0,+K932-J932)))+IF('calcolo base'!P2392="SI",('Commissioni De Angeli'!K932-'Commissioni De Angeli'!J932),0)</f>
        <v>#N/A</v>
      </c>
      <c r="T932" s="117" t="e">
        <f t="shared" si="173"/>
        <v>#N/A</v>
      </c>
      <c r="U932" s="272" t="e">
        <f>IF(Q932=0,'calcolo base'!L3531,(T932+Q932))</f>
        <v>#N/A</v>
      </c>
      <c r="V932" s="119"/>
    </row>
    <row r="933" spans="2:27">
      <c r="B933" s="47"/>
      <c r="C933" s="35"/>
      <c r="D933" s="53"/>
      <c r="E933" s="53"/>
      <c r="F933" s="48"/>
      <c r="G933" s="243" t="e">
        <f>INDEX('calcolo base'!$B:$B, MATCH($A933, 'calcolo base'!$A:$A, 0))</f>
        <v>#N/A</v>
      </c>
      <c r="H933" s="54" t="e">
        <f t="shared" si="165"/>
        <v>#N/A</v>
      </c>
      <c r="I933" s="259" t="e">
        <f>IF(  OR(      INDEX('calcolo base'!$D:$D, MATCH($A933, 'calcolo base'!$A:$A, 0)) = 0,
      INDEX('calcolo base'!$D:$D, MATCH($A933, 'calcolo base'!$A:$A, 0)) = ""   ),
   INDEX('calcolo base'!$K:$K, MATCH($A933, 'calcolo base'!$A:$A, 0)),
   INDEX('calcolo base'!$J:$J, MATCH($A933, 'calcolo base'!$A:$A, 0))
) / 1000</f>
        <v>#N/A</v>
      </c>
      <c r="J933" s="50" t="e">
        <f t="shared" si="166"/>
        <v>#N/A</v>
      </c>
      <c r="K933" s="50"/>
      <c r="L933" s="267" t="e">
        <f>INDEX('calcolo base'!$H:$H, MATCH($A933, 'calcolo base'!$A:$A, 0))</f>
        <v>#N/A</v>
      </c>
      <c r="M933" s="50" t="e">
        <f t="shared" si="167"/>
        <v>#N/A</v>
      </c>
      <c r="N933" s="50" t="e">
        <f t="shared" si="168"/>
        <v>#N/A</v>
      </c>
      <c r="O933" s="50" t="e">
        <f t="shared" si="169"/>
        <v>#N/A</v>
      </c>
      <c r="P933" s="50" t="e">
        <f t="shared" si="170"/>
        <v>#N/A</v>
      </c>
      <c r="Q933" s="51" t="e">
        <f t="shared" si="171"/>
        <v>#N/A</v>
      </c>
      <c r="R933" s="205" t="e">
        <f t="shared" si="172"/>
        <v>#N/A</v>
      </c>
      <c r="S933" s="279" t="e">
        <f>IF(R933="si",0,IF(E933="si",0,IF(J933&gt;K933,0,+K933-J933)))+IF('calcolo base'!P2393="SI",('Commissioni De Angeli'!K933-'Commissioni De Angeli'!J933),0)</f>
        <v>#N/A</v>
      </c>
      <c r="T933" s="117" t="e">
        <f t="shared" si="173"/>
        <v>#N/A</v>
      </c>
      <c r="U933" s="272" t="e">
        <f>IF(Q933=0,'calcolo base'!L3532,(T933+Q933))</f>
        <v>#N/A</v>
      </c>
      <c r="V933" s="119"/>
    </row>
    <row r="934" spans="2:27">
      <c r="B934" s="47"/>
      <c r="C934" s="35"/>
      <c r="D934" s="53"/>
      <c r="E934" s="53"/>
      <c r="F934" s="48"/>
      <c r="G934" s="243" t="e">
        <f>INDEX('calcolo base'!$B:$B, MATCH($A934, 'calcolo base'!$A:$A, 0))</f>
        <v>#N/A</v>
      </c>
      <c r="H934" s="54" t="e">
        <f t="shared" si="165"/>
        <v>#N/A</v>
      </c>
      <c r="I934" s="259" t="e">
        <f>IF(  OR(      INDEX('calcolo base'!$D:$D, MATCH($A934, 'calcolo base'!$A:$A, 0)) = 0,
      INDEX('calcolo base'!$D:$D, MATCH($A934, 'calcolo base'!$A:$A, 0)) = ""   ),
   INDEX('calcolo base'!$K:$K, MATCH($A934, 'calcolo base'!$A:$A, 0)),
   INDEX('calcolo base'!$J:$J, MATCH($A934, 'calcolo base'!$A:$A, 0))
) / 1000</f>
        <v>#N/A</v>
      </c>
      <c r="J934" s="50" t="e">
        <f t="shared" si="166"/>
        <v>#N/A</v>
      </c>
      <c r="K934" s="50"/>
      <c r="L934" s="267" t="e">
        <f>INDEX('calcolo base'!$H:$H, MATCH($A934, 'calcolo base'!$A:$A, 0))</f>
        <v>#N/A</v>
      </c>
      <c r="M934" s="50" t="e">
        <f t="shared" si="167"/>
        <v>#N/A</v>
      </c>
      <c r="N934" s="50" t="e">
        <f t="shared" si="168"/>
        <v>#N/A</v>
      </c>
      <c r="O934" s="50" t="e">
        <f t="shared" si="169"/>
        <v>#N/A</v>
      </c>
      <c r="P934" s="50" t="e">
        <f t="shared" si="170"/>
        <v>#N/A</v>
      </c>
      <c r="Q934" s="51" t="e">
        <f t="shared" si="171"/>
        <v>#N/A</v>
      </c>
      <c r="R934" s="205" t="e">
        <f t="shared" si="172"/>
        <v>#N/A</v>
      </c>
      <c r="S934" s="279" t="e">
        <f>IF(R934="si",0,IF(E934="si",0,IF(J934&gt;K934,0,+K934-J934)))+IF('calcolo base'!P2394="SI",('Commissioni De Angeli'!K934-'Commissioni De Angeli'!J934),0)</f>
        <v>#N/A</v>
      </c>
      <c r="T934" s="117" t="e">
        <f t="shared" si="173"/>
        <v>#N/A</v>
      </c>
      <c r="U934" s="272" t="e">
        <f>IF(Q934=0,'calcolo base'!L3533,(T934+Q934))</f>
        <v>#N/A</v>
      </c>
      <c r="V934" s="119"/>
    </row>
    <row r="935" spans="2:27">
      <c r="B935" s="47"/>
      <c r="C935" s="35"/>
      <c r="D935" s="53"/>
      <c r="E935" s="53"/>
      <c r="F935" s="48"/>
      <c r="G935" s="243" t="e">
        <f>INDEX('calcolo base'!$B:$B, MATCH($A935, 'calcolo base'!$A:$A, 0))</f>
        <v>#N/A</v>
      </c>
      <c r="H935" s="54" t="e">
        <f t="shared" si="165"/>
        <v>#N/A</v>
      </c>
      <c r="I935" s="259" t="e">
        <f>IF(  OR(      INDEX('calcolo base'!$D:$D, MATCH($A935, 'calcolo base'!$A:$A, 0)) = 0,
      INDEX('calcolo base'!$D:$D, MATCH($A935, 'calcolo base'!$A:$A, 0)) = ""   ),
   INDEX('calcolo base'!$K:$K, MATCH($A935, 'calcolo base'!$A:$A, 0)),
   INDEX('calcolo base'!$J:$J, MATCH($A935, 'calcolo base'!$A:$A, 0))
) / 1000</f>
        <v>#N/A</v>
      </c>
      <c r="J935" s="50" t="e">
        <f t="shared" si="166"/>
        <v>#N/A</v>
      </c>
      <c r="K935" s="50"/>
      <c r="L935" s="267" t="e">
        <f>INDEX('calcolo base'!$H:$H, MATCH($A935, 'calcolo base'!$A:$A, 0))</f>
        <v>#N/A</v>
      </c>
      <c r="M935" s="50" t="e">
        <f t="shared" si="167"/>
        <v>#N/A</v>
      </c>
      <c r="N935" s="50" t="e">
        <f t="shared" si="168"/>
        <v>#N/A</v>
      </c>
      <c r="O935" s="50" t="e">
        <f t="shared" si="169"/>
        <v>#N/A</v>
      </c>
      <c r="P935" s="50" t="e">
        <f t="shared" si="170"/>
        <v>#N/A</v>
      </c>
      <c r="Q935" s="51" t="e">
        <f t="shared" si="171"/>
        <v>#N/A</v>
      </c>
      <c r="R935" s="205" t="e">
        <f t="shared" si="172"/>
        <v>#N/A</v>
      </c>
      <c r="S935" s="279" t="e">
        <f>IF(R935="si",0,IF(E935="si",0,IF(J935&gt;K935,0,+K935-J935)))+IF('calcolo base'!P2395="SI",('Commissioni De Angeli'!K935-'Commissioni De Angeli'!J935),0)</f>
        <v>#N/A</v>
      </c>
      <c r="T935" s="117" t="e">
        <f t="shared" si="173"/>
        <v>#N/A</v>
      </c>
      <c r="U935" s="272" t="e">
        <f>IF(Q935=0,'calcolo base'!L3534,(T935+Q935))</f>
        <v>#N/A</v>
      </c>
      <c r="V935" s="119"/>
    </row>
    <row r="936" spans="2:27">
      <c r="B936" s="47"/>
      <c r="C936" s="35"/>
      <c r="D936" s="53"/>
      <c r="E936" s="53"/>
      <c r="F936" s="48"/>
      <c r="G936" s="243" t="e">
        <f>INDEX('calcolo base'!$B:$B, MATCH($A936, 'calcolo base'!$A:$A, 0))</f>
        <v>#N/A</v>
      </c>
      <c r="H936" s="54" t="e">
        <f t="shared" si="165"/>
        <v>#N/A</v>
      </c>
      <c r="I936" s="259" t="e">
        <f>IF(  OR(      INDEX('calcolo base'!$D:$D, MATCH($A936, 'calcolo base'!$A:$A, 0)) = 0,
      INDEX('calcolo base'!$D:$D, MATCH($A936, 'calcolo base'!$A:$A, 0)) = ""   ),
   INDEX('calcolo base'!$K:$K, MATCH($A936, 'calcolo base'!$A:$A, 0)),
   INDEX('calcolo base'!$J:$J, MATCH($A936, 'calcolo base'!$A:$A, 0))
) / 1000</f>
        <v>#N/A</v>
      </c>
      <c r="J936" s="50" t="e">
        <f t="shared" si="166"/>
        <v>#N/A</v>
      </c>
      <c r="K936" s="50"/>
      <c r="L936" s="267" t="e">
        <f>INDEX('calcolo base'!$H:$H, MATCH($A936, 'calcolo base'!$A:$A, 0))</f>
        <v>#N/A</v>
      </c>
      <c r="M936" s="50" t="e">
        <f t="shared" si="167"/>
        <v>#N/A</v>
      </c>
      <c r="N936" s="50" t="e">
        <f t="shared" si="168"/>
        <v>#N/A</v>
      </c>
      <c r="O936" s="50" t="e">
        <f t="shared" si="169"/>
        <v>#N/A</v>
      </c>
      <c r="P936" s="50" t="e">
        <f t="shared" si="170"/>
        <v>#N/A</v>
      </c>
      <c r="Q936" s="51" t="e">
        <f t="shared" si="171"/>
        <v>#N/A</v>
      </c>
      <c r="R936" s="205" t="e">
        <f t="shared" si="172"/>
        <v>#N/A</v>
      </c>
      <c r="S936" s="279" t="e">
        <f>IF(R936="si",0,IF(E936="si",0,IF(J936&gt;K936,0,+K936-J936)))+IF('calcolo base'!P2396="SI",('Commissioni De Angeli'!K936-'Commissioni De Angeli'!J936),0)</f>
        <v>#N/A</v>
      </c>
      <c r="T936" s="117" t="e">
        <f t="shared" si="173"/>
        <v>#N/A</v>
      </c>
      <c r="U936" s="272" t="e">
        <f>IF(Q936=0,'calcolo base'!L3535,(T936+Q936))</f>
        <v>#N/A</v>
      </c>
      <c r="V936" s="119"/>
    </row>
    <row r="937" spans="2:27">
      <c r="B937" s="47"/>
      <c r="C937" s="35"/>
      <c r="D937" s="53"/>
      <c r="E937" s="53"/>
      <c r="F937" s="48"/>
      <c r="G937" s="243" t="e">
        <f>INDEX('calcolo base'!$B:$B, MATCH($A937, 'calcolo base'!$A:$A, 0))</f>
        <v>#N/A</v>
      </c>
      <c r="H937" s="54" t="e">
        <f t="shared" si="165"/>
        <v>#N/A</v>
      </c>
      <c r="I937" s="259" t="e">
        <f>IF(  OR(      INDEX('calcolo base'!$D:$D, MATCH($A937, 'calcolo base'!$A:$A, 0)) = 0,
      INDEX('calcolo base'!$D:$D, MATCH($A937, 'calcolo base'!$A:$A, 0)) = ""   ),
   INDEX('calcolo base'!$K:$K, MATCH($A937, 'calcolo base'!$A:$A, 0)),
   INDEX('calcolo base'!$J:$J, MATCH($A937, 'calcolo base'!$A:$A, 0))
) / 1000</f>
        <v>#N/A</v>
      </c>
      <c r="J937" s="50" t="e">
        <f t="shared" si="166"/>
        <v>#N/A</v>
      </c>
      <c r="K937" s="50"/>
      <c r="L937" s="267" t="e">
        <f>INDEX('calcolo base'!$H:$H, MATCH($A937, 'calcolo base'!$A:$A, 0))</f>
        <v>#N/A</v>
      </c>
      <c r="M937" s="50" t="e">
        <f t="shared" si="167"/>
        <v>#N/A</v>
      </c>
      <c r="N937" s="50" t="e">
        <f t="shared" si="168"/>
        <v>#N/A</v>
      </c>
      <c r="O937" s="50" t="e">
        <f t="shared" si="169"/>
        <v>#N/A</v>
      </c>
      <c r="P937" s="50" t="e">
        <f t="shared" si="170"/>
        <v>#N/A</v>
      </c>
      <c r="Q937" s="51" t="e">
        <f t="shared" si="171"/>
        <v>#N/A</v>
      </c>
      <c r="R937" s="205" t="e">
        <f t="shared" si="172"/>
        <v>#N/A</v>
      </c>
      <c r="S937" s="279" t="e">
        <f>IF(R937="si",0,IF(E937="si",0,IF(J937&gt;K937,0,+K937-J937)))+IF('calcolo base'!P2397="SI",('Commissioni De Angeli'!K937-'Commissioni De Angeli'!J937),0)</f>
        <v>#N/A</v>
      </c>
      <c r="T937" s="117" t="e">
        <f t="shared" si="173"/>
        <v>#N/A</v>
      </c>
      <c r="U937" s="272" t="e">
        <f>IF(Q937=0,'calcolo base'!L3536,(T937+Q937))</f>
        <v>#N/A</v>
      </c>
      <c r="V937" s="119"/>
    </row>
    <row r="938" spans="2:27">
      <c r="B938" s="47"/>
      <c r="C938" s="35"/>
      <c r="D938" s="53"/>
      <c r="E938" s="53"/>
      <c r="F938" s="48"/>
      <c r="G938" s="243" t="e">
        <f>INDEX('calcolo base'!$B:$B, MATCH($A938, 'calcolo base'!$A:$A, 0))</f>
        <v>#N/A</v>
      </c>
      <c r="H938" s="54" t="e">
        <f t="shared" si="165"/>
        <v>#N/A</v>
      </c>
      <c r="I938" s="259" t="e">
        <f>IF(  OR(      INDEX('calcolo base'!$D:$D, MATCH($A938, 'calcolo base'!$A:$A, 0)) = 0,
      INDEX('calcolo base'!$D:$D, MATCH($A938, 'calcolo base'!$A:$A, 0)) = ""   ),
   INDEX('calcolo base'!$K:$K, MATCH($A938, 'calcolo base'!$A:$A, 0)),
   INDEX('calcolo base'!$J:$J, MATCH($A938, 'calcolo base'!$A:$A, 0))
) / 1000</f>
        <v>#N/A</v>
      </c>
      <c r="J938" s="50" t="e">
        <f t="shared" si="166"/>
        <v>#N/A</v>
      </c>
      <c r="K938" s="50"/>
      <c r="L938" s="267" t="e">
        <f>INDEX('calcolo base'!$H:$H, MATCH($A938, 'calcolo base'!$A:$A, 0))</f>
        <v>#N/A</v>
      </c>
      <c r="M938" s="50" t="e">
        <f t="shared" si="167"/>
        <v>#N/A</v>
      </c>
      <c r="N938" s="50" t="e">
        <f t="shared" si="168"/>
        <v>#N/A</v>
      </c>
      <c r="O938" s="50" t="e">
        <f t="shared" si="169"/>
        <v>#N/A</v>
      </c>
      <c r="P938" s="50" t="e">
        <f t="shared" si="170"/>
        <v>#N/A</v>
      </c>
      <c r="Q938" s="51" t="e">
        <f t="shared" si="171"/>
        <v>#N/A</v>
      </c>
      <c r="R938" s="205" t="e">
        <f t="shared" si="172"/>
        <v>#N/A</v>
      </c>
      <c r="S938" s="279" t="e">
        <f>IF(R938="si",0,IF(E938="si",0,IF(J938&gt;K938,0,+K938-J938)))+IF('calcolo base'!P2398="SI",('Commissioni De Angeli'!K938-'Commissioni De Angeli'!J938),0)</f>
        <v>#N/A</v>
      </c>
      <c r="T938" s="117" t="e">
        <f t="shared" si="173"/>
        <v>#N/A</v>
      </c>
      <c r="U938" s="272" t="e">
        <f>IF(Q938=0,'calcolo base'!L3537,(T938+Q938))</f>
        <v>#N/A</v>
      </c>
      <c r="V938" s="119"/>
    </row>
    <row r="939" spans="2:27">
      <c r="B939" s="47"/>
      <c r="C939" s="35"/>
      <c r="D939" s="53"/>
      <c r="E939" s="53"/>
      <c r="F939" s="48"/>
      <c r="G939" s="243" t="e">
        <f>INDEX('calcolo base'!$B:$B, MATCH($A939, 'calcolo base'!$A:$A, 0))</f>
        <v>#N/A</v>
      </c>
      <c r="H939" s="54" t="e">
        <f t="shared" si="165"/>
        <v>#N/A</v>
      </c>
      <c r="I939" s="259" t="e">
        <f>IF(  OR(      INDEX('calcolo base'!$D:$D, MATCH($A939, 'calcolo base'!$A:$A, 0)) = 0,
      INDEX('calcolo base'!$D:$D, MATCH($A939, 'calcolo base'!$A:$A, 0)) = ""   ),
   INDEX('calcolo base'!$K:$K, MATCH($A939, 'calcolo base'!$A:$A, 0)),
   INDEX('calcolo base'!$J:$J, MATCH($A939, 'calcolo base'!$A:$A, 0))
) / 1000</f>
        <v>#N/A</v>
      </c>
      <c r="J939" s="50" t="e">
        <f t="shared" si="166"/>
        <v>#N/A</v>
      </c>
      <c r="K939" s="50"/>
      <c r="L939" s="267" t="e">
        <f>INDEX('calcolo base'!$H:$H, MATCH($A939, 'calcolo base'!$A:$A, 0))</f>
        <v>#N/A</v>
      </c>
      <c r="M939" s="50" t="e">
        <f t="shared" si="167"/>
        <v>#N/A</v>
      </c>
      <c r="N939" s="50" t="e">
        <f t="shared" si="168"/>
        <v>#N/A</v>
      </c>
      <c r="O939" s="50" t="e">
        <f t="shared" si="169"/>
        <v>#N/A</v>
      </c>
      <c r="P939" s="50" t="e">
        <f t="shared" si="170"/>
        <v>#N/A</v>
      </c>
      <c r="Q939" s="51" t="e">
        <f t="shared" si="171"/>
        <v>#N/A</v>
      </c>
      <c r="R939" s="205" t="e">
        <f t="shared" si="172"/>
        <v>#N/A</v>
      </c>
      <c r="S939" s="279" t="e">
        <f>IF(R939="si",0,IF(E939="si",0,IF(J939&gt;K939,0,+K939-J939)))+IF('calcolo base'!P2399="SI",('Commissioni De Angeli'!K939-'Commissioni De Angeli'!J939),0)</f>
        <v>#N/A</v>
      </c>
      <c r="T939" s="117" t="e">
        <f t="shared" si="173"/>
        <v>#N/A</v>
      </c>
      <c r="U939" s="272" t="e">
        <f>IF(Q939=0,'calcolo base'!L3538,(T939+Q939))</f>
        <v>#N/A</v>
      </c>
      <c r="V939" s="119"/>
    </row>
    <row r="940" spans="2:27">
      <c r="B940" s="47"/>
      <c r="C940" s="35"/>
      <c r="D940" s="53"/>
      <c r="E940" s="53"/>
      <c r="F940" s="48"/>
      <c r="G940" s="243" t="e">
        <f>INDEX('calcolo base'!$B:$B, MATCH($A940, 'calcolo base'!$A:$A, 0))</f>
        <v>#N/A</v>
      </c>
      <c r="H940" s="54" t="e">
        <f t="shared" ref="H940:H987" si="174">IF(G940=0,"",+G940)</f>
        <v>#N/A</v>
      </c>
      <c r="I940" s="259" t="e">
        <f>IF(  OR(      INDEX('calcolo base'!$D:$D, MATCH($A940, 'calcolo base'!$A:$A, 0)) = 0,
      INDEX('calcolo base'!$D:$D, MATCH($A940, 'calcolo base'!$A:$A, 0)) = ""   ),
   INDEX('calcolo base'!$K:$K, MATCH($A940, 'calcolo base'!$A:$A, 0)),
   INDEX('calcolo base'!$J:$J, MATCH($A940, 'calcolo base'!$A:$A, 0))
) / 1000</f>
        <v>#N/A</v>
      </c>
      <c r="J940" s="50" t="e">
        <f t="shared" ref="J940:J987" si="175">+F940+I940</f>
        <v>#N/A</v>
      </c>
      <c r="K940" s="50"/>
      <c r="L940" s="267" t="e">
        <f>INDEX('calcolo base'!$H:$H, MATCH($A940, 'calcolo base'!$A:$A, 0))</f>
        <v>#N/A</v>
      </c>
      <c r="M940" s="50" t="e">
        <f t="shared" ref="M940:M987" si="176">IF(L940=0,0,J940*L940)</f>
        <v>#N/A</v>
      </c>
      <c r="N940" s="50" t="e">
        <f t="shared" ref="N940:N987" si="177">IF(E940="si",K940*1.5%,IF($L940&gt;=5%,IF($I940=0,0,(IF($G940="RAME",($J940)*1.5%,0)+IF($G940="rame smaltato",($K940)*1.5%,0))),0))</f>
        <v>#N/A</v>
      </c>
      <c r="O940" s="50" t="e">
        <f>IF($I940=0,0,(IF($G940="alluminio",($J940)*3%,0)+IF($G940="alluminio smaltato",($K940)*3%,0)))</f>
        <v>#N/A</v>
      </c>
      <c r="P940" s="50" t="e">
        <f t="shared" ref="P940:P987" si="178">IF(H940="alluminio",0,IF(L940&lt;5%,F940*8%,0))</f>
        <v>#N/A</v>
      </c>
      <c r="Q940" s="51" t="e">
        <f t="shared" ref="Q940:Q987" si="179">+(N940*D940)+(O940*D940)+(P940*D940)</f>
        <v>#N/A</v>
      </c>
      <c r="R940" s="205" t="e">
        <f t="shared" ref="R940:R987" si="180">IF(H940="ALLUMINIO",0,IF(L940&lt;5%,"si",0))</f>
        <v>#N/A</v>
      </c>
      <c r="S940" s="279" t="e">
        <f>IF(R940="si",0,IF(E940="si",0,IF(J940&gt;K940,0,+K940-J940)))+IF('calcolo base'!P1632="SI",('Commissioni De Angeli'!K940-'Commissioni De Angeli'!J940),0)</f>
        <v>#N/A</v>
      </c>
      <c r="T940" s="117" t="e">
        <f t="shared" ref="T940:T987" si="181">+(S940)*D940*40%</f>
        <v>#N/A</v>
      </c>
      <c r="U940" s="272" t="e">
        <f>IF(Q940=0,'calcolo base'!L3539,(T940+Q940))</f>
        <v>#N/A</v>
      </c>
      <c r="V940" s="119"/>
      <c r="Z940" s="118">
        <f t="shared" ref="Z940:Z980" si="182">IF(V940="",0,MONTH(V940))</f>
        <v>0</v>
      </c>
      <c r="AA940" s="118">
        <f t="shared" ref="AA940:AA980" si="183">IF(V940="",0,YEAR(V940))</f>
        <v>0</v>
      </c>
    </row>
    <row r="941" spans="2:27">
      <c r="B941" s="47"/>
      <c r="C941" s="35"/>
      <c r="D941" s="53"/>
      <c r="E941" s="53"/>
      <c r="F941" s="48"/>
      <c r="G941" s="243" t="e">
        <f>INDEX('calcolo base'!$B:$B, MATCH($A941, 'calcolo base'!$A:$A, 0))</f>
        <v>#N/A</v>
      </c>
      <c r="H941" s="54" t="e">
        <f t="shared" si="174"/>
        <v>#N/A</v>
      </c>
      <c r="I941" s="259" t="e">
        <f>IF(  OR(      INDEX('calcolo base'!$D:$D, MATCH($A941, 'calcolo base'!$A:$A, 0)) = 0,
      INDEX('calcolo base'!$D:$D, MATCH($A941, 'calcolo base'!$A:$A, 0)) = ""   ),
   INDEX('calcolo base'!$K:$K, MATCH($A941, 'calcolo base'!$A:$A, 0)),
   INDEX('calcolo base'!$J:$J, MATCH($A941, 'calcolo base'!$A:$A, 0))
) / 1000</f>
        <v>#N/A</v>
      </c>
      <c r="J941" s="50" t="e">
        <f t="shared" si="175"/>
        <v>#N/A</v>
      </c>
      <c r="K941" s="50"/>
      <c r="L941" s="267" t="e">
        <f>INDEX('calcolo base'!$H:$H, MATCH($A941, 'calcolo base'!$A:$A, 0))</f>
        <v>#N/A</v>
      </c>
      <c r="M941" s="50" t="e">
        <f t="shared" si="176"/>
        <v>#N/A</v>
      </c>
      <c r="N941" s="50" t="e">
        <f t="shared" si="177"/>
        <v>#N/A</v>
      </c>
      <c r="O941" s="50" t="e">
        <f t="shared" ref="O941:O1004" si="184">IF($I941=0,0,(IF($G941="alluminio",($J941)*3%,0)+IF($G941="alluminio smaltato",($K941)*3%,0)))</f>
        <v>#N/A</v>
      </c>
      <c r="P941" s="50" t="e">
        <f t="shared" si="178"/>
        <v>#N/A</v>
      </c>
      <c r="Q941" s="51" t="e">
        <f t="shared" si="179"/>
        <v>#N/A</v>
      </c>
      <c r="R941" s="205" t="e">
        <f t="shared" si="180"/>
        <v>#N/A</v>
      </c>
      <c r="S941" s="279" t="e">
        <f>IF(R941="si",0,IF(E941="si",0,IF(J941&gt;K941,0,+K941-J941)))+IF('calcolo base'!P1633="SI",('Commissioni De Angeli'!K941-'Commissioni De Angeli'!J941),0)</f>
        <v>#N/A</v>
      </c>
      <c r="T941" s="117" t="e">
        <f t="shared" si="181"/>
        <v>#N/A</v>
      </c>
      <c r="U941" s="272" t="e">
        <f>IF(Q941=0,'calcolo base'!L3540,(T941+Q941))</f>
        <v>#N/A</v>
      </c>
      <c r="V941" s="119"/>
      <c r="Z941" s="118">
        <f t="shared" si="182"/>
        <v>0</v>
      </c>
      <c r="AA941" s="118">
        <f t="shared" si="183"/>
        <v>0</v>
      </c>
    </row>
    <row r="942" spans="2:27">
      <c r="B942" s="47"/>
      <c r="C942" s="35"/>
      <c r="D942" s="53"/>
      <c r="E942" s="53"/>
      <c r="F942" s="48"/>
      <c r="G942" s="243" t="e">
        <f>INDEX('calcolo base'!$B:$B, MATCH($A942, 'calcolo base'!$A:$A, 0))</f>
        <v>#N/A</v>
      </c>
      <c r="H942" s="54" t="e">
        <f t="shared" si="174"/>
        <v>#N/A</v>
      </c>
      <c r="I942" s="259" t="e">
        <f>IF(  OR(      INDEX('calcolo base'!$D:$D, MATCH($A942, 'calcolo base'!$A:$A, 0)) = 0,
      INDEX('calcolo base'!$D:$D, MATCH($A942, 'calcolo base'!$A:$A, 0)) = ""   ),
   INDEX('calcolo base'!$K:$K, MATCH($A942, 'calcolo base'!$A:$A, 0)),
   INDEX('calcolo base'!$J:$J, MATCH($A942, 'calcolo base'!$A:$A, 0))
) / 1000</f>
        <v>#N/A</v>
      </c>
      <c r="J942" s="50" t="e">
        <f t="shared" si="175"/>
        <v>#N/A</v>
      </c>
      <c r="K942" s="50"/>
      <c r="L942" s="267" t="e">
        <f>INDEX('calcolo base'!$H:$H, MATCH($A942, 'calcolo base'!$A:$A, 0))</f>
        <v>#N/A</v>
      </c>
      <c r="M942" s="50" t="e">
        <f t="shared" si="176"/>
        <v>#N/A</v>
      </c>
      <c r="N942" s="50" t="e">
        <f t="shared" si="177"/>
        <v>#N/A</v>
      </c>
      <c r="O942" s="50" t="e">
        <f t="shared" si="184"/>
        <v>#N/A</v>
      </c>
      <c r="P942" s="50" t="e">
        <f t="shared" si="178"/>
        <v>#N/A</v>
      </c>
      <c r="Q942" s="51" t="e">
        <f t="shared" si="179"/>
        <v>#N/A</v>
      </c>
      <c r="R942" s="205" t="e">
        <f t="shared" si="180"/>
        <v>#N/A</v>
      </c>
      <c r="S942" s="279" t="e">
        <f>IF(R942="si",0,IF(E942="si",0,IF(J942&gt;K942,0,+K942-J942)))+IF('calcolo base'!P1634="SI",('Commissioni De Angeli'!K942-'Commissioni De Angeli'!J942),0)</f>
        <v>#N/A</v>
      </c>
      <c r="T942" s="117" t="e">
        <f t="shared" si="181"/>
        <v>#N/A</v>
      </c>
      <c r="U942" s="272" t="e">
        <f>IF(Q942=0,'calcolo base'!L3541,(T942+Q942))</f>
        <v>#N/A</v>
      </c>
      <c r="V942" s="119"/>
      <c r="Z942" s="118">
        <f t="shared" si="182"/>
        <v>0</v>
      </c>
      <c r="AA942" s="118">
        <f t="shared" si="183"/>
        <v>0</v>
      </c>
    </row>
    <row r="943" spans="2:27">
      <c r="B943" s="47"/>
      <c r="C943" s="35"/>
      <c r="D943" s="53"/>
      <c r="E943" s="53"/>
      <c r="F943" s="48"/>
      <c r="G943" s="243" t="e">
        <f>INDEX('calcolo base'!$B:$B, MATCH($A943, 'calcolo base'!$A:$A, 0))</f>
        <v>#N/A</v>
      </c>
      <c r="H943" s="54" t="e">
        <f t="shared" si="174"/>
        <v>#N/A</v>
      </c>
      <c r="I943" s="259" t="e">
        <f>IF(  OR(      INDEX('calcolo base'!$D:$D, MATCH($A943, 'calcolo base'!$A:$A, 0)) = 0,
      INDEX('calcolo base'!$D:$D, MATCH($A943, 'calcolo base'!$A:$A, 0)) = ""   ),
   INDEX('calcolo base'!$K:$K, MATCH($A943, 'calcolo base'!$A:$A, 0)),
   INDEX('calcolo base'!$J:$J, MATCH($A943, 'calcolo base'!$A:$A, 0))
) / 1000</f>
        <v>#N/A</v>
      </c>
      <c r="J943" s="50" t="e">
        <f t="shared" si="175"/>
        <v>#N/A</v>
      </c>
      <c r="K943" s="50"/>
      <c r="L943" s="267" t="e">
        <f>INDEX('calcolo base'!$H:$H, MATCH($A943, 'calcolo base'!$A:$A, 0))</f>
        <v>#N/A</v>
      </c>
      <c r="M943" s="50" t="e">
        <f t="shared" si="176"/>
        <v>#N/A</v>
      </c>
      <c r="N943" s="50" t="e">
        <f t="shared" si="177"/>
        <v>#N/A</v>
      </c>
      <c r="O943" s="50" t="e">
        <f t="shared" si="184"/>
        <v>#N/A</v>
      </c>
      <c r="P943" s="50" t="e">
        <f t="shared" si="178"/>
        <v>#N/A</v>
      </c>
      <c r="Q943" s="51" t="e">
        <f t="shared" si="179"/>
        <v>#N/A</v>
      </c>
      <c r="R943" s="205" t="e">
        <f t="shared" si="180"/>
        <v>#N/A</v>
      </c>
      <c r="S943" s="279" t="e">
        <f>IF(R943="si",0,IF(E943="si",0,IF(J943&gt;K943,0,+K943-J943)))+IF('calcolo base'!P1635="SI",('Commissioni De Angeli'!K943-'Commissioni De Angeli'!J943),0)</f>
        <v>#N/A</v>
      </c>
      <c r="T943" s="117" t="e">
        <f t="shared" si="181"/>
        <v>#N/A</v>
      </c>
      <c r="U943" s="272" t="e">
        <f>IF(Q943=0,'calcolo base'!L3542,(T943+Q943))</f>
        <v>#N/A</v>
      </c>
      <c r="V943" s="119"/>
      <c r="Z943" s="118">
        <f t="shared" si="182"/>
        <v>0</v>
      </c>
      <c r="AA943" s="118">
        <f t="shared" si="183"/>
        <v>0</v>
      </c>
    </row>
    <row r="944" spans="2:27">
      <c r="B944" s="47"/>
      <c r="C944" s="35"/>
      <c r="D944" s="53"/>
      <c r="E944" s="53"/>
      <c r="F944" s="48"/>
      <c r="G944" s="243" t="e">
        <f>INDEX('calcolo base'!$B:$B, MATCH($A944, 'calcolo base'!$A:$A, 0))</f>
        <v>#N/A</v>
      </c>
      <c r="H944" s="54" t="e">
        <f t="shared" si="174"/>
        <v>#N/A</v>
      </c>
      <c r="I944" s="259" t="e">
        <f>IF(  OR(      INDEX('calcolo base'!$D:$D, MATCH($A944, 'calcolo base'!$A:$A, 0)) = 0,
      INDEX('calcolo base'!$D:$D, MATCH($A944, 'calcolo base'!$A:$A, 0)) = ""   ),
   INDEX('calcolo base'!$K:$K, MATCH($A944, 'calcolo base'!$A:$A, 0)),
   INDEX('calcolo base'!$J:$J, MATCH($A944, 'calcolo base'!$A:$A, 0))
) / 1000</f>
        <v>#N/A</v>
      </c>
      <c r="J944" s="50" t="e">
        <f t="shared" si="175"/>
        <v>#N/A</v>
      </c>
      <c r="K944" s="50"/>
      <c r="L944" s="267" t="e">
        <f>INDEX('calcolo base'!$H:$H, MATCH($A944, 'calcolo base'!$A:$A, 0))</f>
        <v>#N/A</v>
      </c>
      <c r="M944" s="50" t="e">
        <f t="shared" si="176"/>
        <v>#N/A</v>
      </c>
      <c r="N944" s="50" t="e">
        <f t="shared" si="177"/>
        <v>#N/A</v>
      </c>
      <c r="O944" s="50" t="e">
        <f t="shared" si="184"/>
        <v>#N/A</v>
      </c>
      <c r="P944" s="50" t="e">
        <f t="shared" si="178"/>
        <v>#N/A</v>
      </c>
      <c r="Q944" s="51" t="e">
        <f t="shared" si="179"/>
        <v>#N/A</v>
      </c>
      <c r="R944" s="205" t="e">
        <f t="shared" si="180"/>
        <v>#N/A</v>
      </c>
      <c r="S944" s="279" t="e">
        <f>IF(R944="si",0,IF(E944="si",0,IF(J944&gt;K944,0,+K944-J944)))+IF('calcolo base'!P1636="SI",('Commissioni De Angeli'!K944-'Commissioni De Angeli'!J944),0)</f>
        <v>#N/A</v>
      </c>
      <c r="T944" s="117" t="e">
        <f t="shared" si="181"/>
        <v>#N/A</v>
      </c>
      <c r="U944" s="272" t="e">
        <f>IF(Q944=0,'calcolo base'!L3543,(T944+Q944))</f>
        <v>#N/A</v>
      </c>
      <c r="V944" s="119"/>
      <c r="Z944" s="118">
        <f t="shared" si="182"/>
        <v>0</v>
      </c>
      <c r="AA944" s="118">
        <f t="shared" si="183"/>
        <v>0</v>
      </c>
    </row>
    <row r="945" spans="2:27">
      <c r="B945" s="47"/>
      <c r="C945" s="35"/>
      <c r="D945" s="53"/>
      <c r="E945" s="53"/>
      <c r="F945" s="48"/>
      <c r="G945" s="243" t="e">
        <f>INDEX('calcolo base'!$B:$B, MATCH($A945, 'calcolo base'!$A:$A, 0))</f>
        <v>#N/A</v>
      </c>
      <c r="H945" s="54" t="e">
        <f t="shared" si="174"/>
        <v>#N/A</v>
      </c>
      <c r="I945" s="259" t="e">
        <f>IF(  OR(      INDEX('calcolo base'!$D:$D, MATCH($A945, 'calcolo base'!$A:$A, 0)) = 0,
      INDEX('calcolo base'!$D:$D, MATCH($A945, 'calcolo base'!$A:$A, 0)) = ""   ),
   INDEX('calcolo base'!$K:$K, MATCH($A945, 'calcolo base'!$A:$A, 0)),
   INDEX('calcolo base'!$J:$J, MATCH($A945, 'calcolo base'!$A:$A, 0))
) / 1000</f>
        <v>#N/A</v>
      </c>
      <c r="J945" s="50" t="e">
        <f t="shared" si="175"/>
        <v>#N/A</v>
      </c>
      <c r="K945" s="50"/>
      <c r="L945" s="267" t="e">
        <f>INDEX('calcolo base'!$H:$H, MATCH($A945, 'calcolo base'!$A:$A, 0))</f>
        <v>#N/A</v>
      </c>
      <c r="M945" s="50" t="e">
        <f t="shared" si="176"/>
        <v>#N/A</v>
      </c>
      <c r="N945" s="50" t="e">
        <f t="shared" si="177"/>
        <v>#N/A</v>
      </c>
      <c r="O945" s="50" t="e">
        <f t="shared" si="184"/>
        <v>#N/A</v>
      </c>
      <c r="P945" s="50" t="e">
        <f t="shared" si="178"/>
        <v>#N/A</v>
      </c>
      <c r="Q945" s="51" t="e">
        <f t="shared" si="179"/>
        <v>#N/A</v>
      </c>
      <c r="R945" s="205" t="e">
        <f t="shared" si="180"/>
        <v>#N/A</v>
      </c>
      <c r="S945" s="279" t="e">
        <f>IF(R945="si",0,IF(E945="si",0,IF(J945&gt;K945,0,+K945-J945)))+IF('calcolo base'!P1637="SI",('Commissioni De Angeli'!K945-'Commissioni De Angeli'!J945),0)</f>
        <v>#N/A</v>
      </c>
      <c r="T945" s="117" t="e">
        <f t="shared" si="181"/>
        <v>#N/A</v>
      </c>
      <c r="U945" s="272" t="e">
        <f>IF(Q945=0,'calcolo base'!L3544,(T945+Q945))</f>
        <v>#N/A</v>
      </c>
      <c r="V945" s="119"/>
      <c r="Z945" s="118">
        <f t="shared" si="182"/>
        <v>0</v>
      </c>
      <c r="AA945" s="118">
        <f t="shared" si="183"/>
        <v>0</v>
      </c>
    </row>
    <row r="946" spans="2:27">
      <c r="B946" s="47"/>
      <c r="C946" s="35"/>
      <c r="D946" s="53"/>
      <c r="E946" s="53"/>
      <c r="F946" s="48"/>
      <c r="G946" s="243" t="e">
        <f>INDEX('calcolo base'!$B:$B, MATCH($A946, 'calcolo base'!$A:$A, 0))</f>
        <v>#N/A</v>
      </c>
      <c r="H946" s="54" t="e">
        <f t="shared" si="174"/>
        <v>#N/A</v>
      </c>
      <c r="I946" s="259" t="e">
        <f>IF(  OR(      INDEX('calcolo base'!$D:$D, MATCH($A946, 'calcolo base'!$A:$A, 0)) = 0,
      INDEX('calcolo base'!$D:$D, MATCH($A946, 'calcolo base'!$A:$A, 0)) = ""   ),
   INDEX('calcolo base'!$K:$K, MATCH($A946, 'calcolo base'!$A:$A, 0)),
   INDEX('calcolo base'!$J:$J, MATCH($A946, 'calcolo base'!$A:$A, 0))
) / 1000</f>
        <v>#N/A</v>
      </c>
      <c r="J946" s="50" t="e">
        <f t="shared" si="175"/>
        <v>#N/A</v>
      </c>
      <c r="K946" s="50"/>
      <c r="L946" s="267" t="e">
        <f>INDEX('calcolo base'!$H:$H, MATCH($A946, 'calcolo base'!$A:$A, 0))</f>
        <v>#N/A</v>
      </c>
      <c r="M946" s="50" t="e">
        <f t="shared" si="176"/>
        <v>#N/A</v>
      </c>
      <c r="N946" s="50" t="e">
        <f t="shared" si="177"/>
        <v>#N/A</v>
      </c>
      <c r="O946" s="50" t="e">
        <f t="shared" si="184"/>
        <v>#N/A</v>
      </c>
      <c r="P946" s="50" t="e">
        <f t="shared" si="178"/>
        <v>#N/A</v>
      </c>
      <c r="Q946" s="51" t="e">
        <f t="shared" si="179"/>
        <v>#N/A</v>
      </c>
      <c r="R946" s="205" t="e">
        <f t="shared" si="180"/>
        <v>#N/A</v>
      </c>
      <c r="S946" s="279" t="e">
        <f>IF(R946="si",0,IF(E946="si",0,IF(J946&gt;K946,0,+K946-J946)))+IF('calcolo base'!P1638="SI",('Commissioni De Angeli'!K946-'Commissioni De Angeli'!J946),0)</f>
        <v>#N/A</v>
      </c>
      <c r="T946" s="117" t="e">
        <f t="shared" si="181"/>
        <v>#N/A</v>
      </c>
      <c r="U946" s="272" t="e">
        <f>IF(Q946=0,'calcolo base'!L3545,(T946+Q946))</f>
        <v>#N/A</v>
      </c>
      <c r="V946" s="119"/>
      <c r="Z946" s="118">
        <f t="shared" si="182"/>
        <v>0</v>
      </c>
      <c r="AA946" s="118">
        <f t="shared" si="183"/>
        <v>0</v>
      </c>
    </row>
    <row r="947" spans="2:27">
      <c r="B947" s="47"/>
      <c r="C947" s="35"/>
      <c r="D947" s="53"/>
      <c r="E947" s="53"/>
      <c r="F947" s="48"/>
      <c r="G947" s="243" t="e">
        <f>INDEX('calcolo base'!$B:$B, MATCH($A947, 'calcolo base'!$A:$A, 0))</f>
        <v>#N/A</v>
      </c>
      <c r="H947" s="54" t="e">
        <f t="shared" si="174"/>
        <v>#N/A</v>
      </c>
      <c r="I947" s="259" t="e">
        <f>IF(  OR(      INDEX('calcolo base'!$D:$D, MATCH($A947, 'calcolo base'!$A:$A, 0)) = 0,
      INDEX('calcolo base'!$D:$D, MATCH($A947, 'calcolo base'!$A:$A, 0)) = ""   ),
   INDEX('calcolo base'!$K:$K, MATCH($A947, 'calcolo base'!$A:$A, 0)),
   INDEX('calcolo base'!$J:$J, MATCH($A947, 'calcolo base'!$A:$A, 0))
) / 1000</f>
        <v>#N/A</v>
      </c>
      <c r="J947" s="50" t="e">
        <f t="shared" si="175"/>
        <v>#N/A</v>
      </c>
      <c r="K947" s="50"/>
      <c r="L947" s="267" t="e">
        <f>INDEX('calcolo base'!$H:$H, MATCH($A947, 'calcolo base'!$A:$A, 0))</f>
        <v>#N/A</v>
      </c>
      <c r="M947" s="50" t="e">
        <f t="shared" si="176"/>
        <v>#N/A</v>
      </c>
      <c r="N947" s="50" t="e">
        <f t="shared" si="177"/>
        <v>#N/A</v>
      </c>
      <c r="O947" s="50" t="e">
        <f t="shared" si="184"/>
        <v>#N/A</v>
      </c>
      <c r="P947" s="50" t="e">
        <f t="shared" si="178"/>
        <v>#N/A</v>
      </c>
      <c r="Q947" s="51" t="e">
        <f t="shared" si="179"/>
        <v>#N/A</v>
      </c>
      <c r="R947" s="205" t="e">
        <f t="shared" si="180"/>
        <v>#N/A</v>
      </c>
      <c r="S947" s="279" t="e">
        <f>IF(R947="si",0,IF(E947="si",0,IF(J947&gt;K947,0,+K947-J947)))+IF('calcolo base'!P1639="SI",('Commissioni De Angeli'!K947-'Commissioni De Angeli'!J947),0)</f>
        <v>#N/A</v>
      </c>
      <c r="T947" s="117" t="e">
        <f t="shared" si="181"/>
        <v>#N/A</v>
      </c>
      <c r="U947" s="272" t="e">
        <f>IF(Q947=0,'calcolo base'!L3546,(T947+Q947))</f>
        <v>#N/A</v>
      </c>
      <c r="V947" s="119"/>
      <c r="Z947" s="118">
        <f t="shared" si="182"/>
        <v>0</v>
      </c>
      <c r="AA947" s="118">
        <f t="shared" si="183"/>
        <v>0</v>
      </c>
    </row>
    <row r="948" spans="2:27">
      <c r="B948" s="47"/>
      <c r="C948" s="35"/>
      <c r="D948" s="53"/>
      <c r="E948" s="53"/>
      <c r="F948" s="48"/>
      <c r="G948" s="243" t="e">
        <f>INDEX('calcolo base'!$B:$B, MATCH($A948, 'calcolo base'!$A:$A, 0))</f>
        <v>#N/A</v>
      </c>
      <c r="H948" s="54" t="e">
        <f t="shared" si="174"/>
        <v>#N/A</v>
      </c>
      <c r="I948" s="259" t="e">
        <f>IF(  OR(      INDEX('calcolo base'!$D:$D, MATCH($A948, 'calcolo base'!$A:$A, 0)) = 0,
      INDEX('calcolo base'!$D:$D, MATCH($A948, 'calcolo base'!$A:$A, 0)) = ""   ),
   INDEX('calcolo base'!$K:$K, MATCH($A948, 'calcolo base'!$A:$A, 0)),
   INDEX('calcolo base'!$J:$J, MATCH($A948, 'calcolo base'!$A:$A, 0))
) / 1000</f>
        <v>#N/A</v>
      </c>
      <c r="J948" s="50" t="e">
        <f t="shared" si="175"/>
        <v>#N/A</v>
      </c>
      <c r="K948" s="50"/>
      <c r="L948" s="267" t="e">
        <f>INDEX('calcolo base'!$H:$H, MATCH($A948, 'calcolo base'!$A:$A, 0))</f>
        <v>#N/A</v>
      </c>
      <c r="M948" s="50" t="e">
        <f t="shared" si="176"/>
        <v>#N/A</v>
      </c>
      <c r="N948" s="50" t="e">
        <f t="shared" si="177"/>
        <v>#N/A</v>
      </c>
      <c r="O948" s="50" t="e">
        <f t="shared" si="184"/>
        <v>#N/A</v>
      </c>
      <c r="P948" s="50" t="e">
        <f t="shared" si="178"/>
        <v>#N/A</v>
      </c>
      <c r="Q948" s="51" t="e">
        <f t="shared" si="179"/>
        <v>#N/A</v>
      </c>
      <c r="R948" s="205" t="e">
        <f t="shared" si="180"/>
        <v>#N/A</v>
      </c>
      <c r="S948" s="279" t="e">
        <f>IF(R948="si",0,IF(E948="si",0,IF(J948&gt;K948,0,+K948-J948)))+IF('calcolo base'!P1640="SI",('Commissioni De Angeli'!K948-'Commissioni De Angeli'!J948),0)</f>
        <v>#N/A</v>
      </c>
      <c r="T948" s="117" t="e">
        <f t="shared" si="181"/>
        <v>#N/A</v>
      </c>
      <c r="U948" s="272" t="e">
        <f>IF(Q948=0,'calcolo base'!L3547,(T948+Q948))</f>
        <v>#N/A</v>
      </c>
      <c r="V948" s="119"/>
      <c r="Z948" s="118">
        <f t="shared" si="182"/>
        <v>0</v>
      </c>
      <c r="AA948" s="118">
        <f t="shared" si="183"/>
        <v>0</v>
      </c>
    </row>
    <row r="949" spans="2:27">
      <c r="B949" s="47"/>
      <c r="C949" s="35"/>
      <c r="D949" s="53"/>
      <c r="E949" s="53"/>
      <c r="F949" s="48"/>
      <c r="G949" s="243" t="e">
        <f>INDEX('calcolo base'!$B:$B, MATCH($A949, 'calcolo base'!$A:$A, 0))</f>
        <v>#N/A</v>
      </c>
      <c r="H949" s="54" t="e">
        <f t="shared" si="174"/>
        <v>#N/A</v>
      </c>
      <c r="I949" s="259" t="e">
        <f>IF(  OR(      INDEX('calcolo base'!$D:$D, MATCH($A949, 'calcolo base'!$A:$A, 0)) = 0,
      INDEX('calcolo base'!$D:$D, MATCH($A949, 'calcolo base'!$A:$A, 0)) = ""   ),
   INDEX('calcolo base'!$K:$K, MATCH($A949, 'calcolo base'!$A:$A, 0)),
   INDEX('calcolo base'!$J:$J, MATCH($A949, 'calcolo base'!$A:$A, 0))
) / 1000</f>
        <v>#N/A</v>
      </c>
      <c r="J949" s="50" t="e">
        <f t="shared" si="175"/>
        <v>#N/A</v>
      </c>
      <c r="K949" s="50"/>
      <c r="L949" s="267" t="e">
        <f>INDEX('calcolo base'!$H:$H, MATCH($A949, 'calcolo base'!$A:$A, 0))</f>
        <v>#N/A</v>
      </c>
      <c r="M949" s="50" t="e">
        <f t="shared" si="176"/>
        <v>#N/A</v>
      </c>
      <c r="N949" s="50" t="e">
        <f t="shared" si="177"/>
        <v>#N/A</v>
      </c>
      <c r="O949" s="50" t="e">
        <f t="shared" si="184"/>
        <v>#N/A</v>
      </c>
      <c r="P949" s="50" t="e">
        <f t="shared" si="178"/>
        <v>#N/A</v>
      </c>
      <c r="Q949" s="51" t="e">
        <f t="shared" si="179"/>
        <v>#N/A</v>
      </c>
      <c r="R949" s="205" t="e">
        <f t="shared" si="180"/>
        <v>#N/A</v>
      </c>
      <c r="S949" s="279" t="e">
        <f>IF(R949="si",0,IF(E949="si",0,IF(J949&gt;K949,0,+K949-J949)))+IF('calcolo base'!P1641="SI",('Commissioni De Angeli'!K949-'Commissioni De Angeli'!J949),0)</f>
        <v>#N/A</v>
      </c>
      <c r="T949" s="117" t="e">
        <f t="shared" si="181"/>
        <v>#N/A</v>
      </c>
      <c r="U949" s="272" t="e">
        <f>IF(Q949=0,'calcolo base'!L3548,(T949+Q949))</f>
        <v>#N/A</v>
      </c>
      <c r="V949" s="119"/>
      <c r="Z949" s="118">
        <f t="shared" si="182"/>
        <v>0</v>
      </c>
      <c r="AA949" s="118">
        <f t="shared" si="183"/>
        <v>0</v>
      </c>
    </row>
    <row r="950" spans="2:27">
      <c r="B950" s="47"/>
      <c r="C950" s="35"/>
      <c r="D950" s="53"/>
      <c r="E950" s="53"/>
      <c r="F950" s="48"/>
      <c r="G950" s="243" t="e">
        <f>INDEX('calcolo base'!$B:$B, MATCH($A950, 'calcolo base'!$A:$A, 0))</f>
        <v>#N/A</v>
      </c>
      <c r="H950" s="54" t="e">
        <f t="shared" si="174"/>
        <v>#N/A</v>
      </c>
      <c r="I950" s="259" t="e">
        <f>IF(  OR(      INDEX('calcolo base'!$D:$D, MATCH($A950, 'calcolo base'!$A:$A, 0)) = 0,
      INDEX('calcolo base'!$D:$D, MATCH($A950, 'calcolo base'!$A:$A, 0)) = ""   ),
   INDEX('calcolo base'!$K:$K, MATCH($A950, 'calcolo base'!$A:$A, 0)),
   INDEX('calcolo base'!$J:$J, MATCH($A950, 'calcolo base'!$A:$A, 0))
) / 1000</f>
        <v>#N/A</v>
      </c>
      <c r="J950" s="50" t="e">
        <f t="shared" si="175"/>
        <v>#N/A</v>
      </c>
      <c r="K950" s="50"/>
      <c r="L950" s="267" t="e">
        <f>INDEX('calcolo base'!$H:$H, MATCH($A950, 'calcolo base'!$A:$A, 0))</f>
        <v>#N/A</v>
      </c>
      <c r="M950" s="50" t="e">
        <f t="shared" si="176"/>
        <v>#N/A</v>
      </c>
      <c r="N950" s="50" t="e">
        <f t="shared" si="177"/>
        <v>#N/A</v>
      </c>
      <c r="O950" s="50" t="e">
        <f t="shared" si="184"/>
        <v>#N/A</v>
      </c>
      <c r="P950" s="50" t="e">
        <f t="shared" si="178"/>
        <v>#N/A</v>
      </c>
      <c r="Q950" s="51" t="e">
        <f t="shared" si="179"/>
        <v>#N/A</v>
      </c>
      <c r="R950" s="205" t="e">
        <f t="shared" si="180"/>
        <v>#N/A</v>
      </c>
      <c r="S950" s="279" t="e">
        <f>IF(R950="si",0,IF(E950="si",0,IF(J950&gt;K950,0,+K950-J950)))+IF('calcolo base'!P1642="SI",('Commissioni De Angeli'!K950-'Commissioni De Angeli'!J950),0)</f>
        <v>#N/A</v>
      </c>
      <c r="T950" s="117" t="e">
        <f t="shared" si="181"/>
        <v>#N/A</v>
      </c>
      <c r="U950" s="272" t="e">
        <f>IF(Q950=0,'calcolo base'!L3549,(T950+Q950))</f>
        <v>#N/A</v>
      </c>
      <c r="V950" s="119"/>
      <c r="Z950" s="118">
        <f t="shared" si="182"/>
        <v>0</v>
      </c>
      <c r="AA950" s="118">
        <f t="shared" si="183"/>
        <v>0</v>
      </c>
    </row>
    <row r="951" spans="2:27">
      <c r="B951" s="47"/>
      <c r="C951" s="35"/>
      <c r="D951" s="53"/>
      <c r="E951" s="53"/>
      <c r="F951" s="48"/>
      <c r="G951" s="243" t="e">
        <f>INDEX('calcolo base'!$B:$B, MATCH($A951, 'calcolo base'!$A:$A, 0))</f>
        <v>#N/A</v>
      </c>
      <c r="H951" s="54" t="e">
        <f t="shared" si="174"/>
        <v>#N/A</v>
      </c>
      <c r="I951" s="259" t="e">
        <f>IF(  OR(      INDEX('calcolo base'!$D:$D, MATCH($A951, 'calcolo base'!$A:$A, 0)) = 0,
      INDEX('calcolo base'!$D:$D, MATCH($A951, 'calcolo base'!$A:$A, 0)) = ""   ),
   INDEX('calcolo base'!$K:$K, MATCH($A951, 'calcolo base'!$A:$A, 0)),
   INDEX('calcolo base'!$J:$J, MATCH($A951, 'calcolo base'!$A:$A, 0))
) / 1000</f>
        <v>#N/A</v>
      </c>
      <c r="J951" s="50" t="e">
        <f t="shared" si="175"/>
        <v>#N/A</v>
      </c>
      <c r="K951" s="50"/>
      <c r="L951" s="267" t="e">
        <f>INDEX('calcolo base'!$H:$H, MATCH($A951, 'calcolo base'!$A:$A, 0))</f>
        <v>#N/A</v>
      </c>
      <c r="M951" s="50" t="e">
        <f t="shared" si="176"/>
        <v>#N/A</v>
      </c>
      <c r="N951" s="50" t="e">
        <f t="shared" si="177"/>
        <v>#N/A</v>
      </c>
      <c r="O951" s="50" t="e">
        <f t="shared" si="184"/>
        <v>#N/A</v>
      </c>
      <c r="P951" s="50" t="e">
        <f t="shared" si="178"/>
        <v>#N/A</v>
      </c>
      <c r="Q951" s="51" t="e">
        <f t="shared" si="179"/>
        <v>#N/A</v>
      </c>
      <c r="R951" s="205" t="e">
        <f t="shared" si="180"/>
        <v>#N/A</v>
      </c>
      <c r="S951" s="279" t="e">
        <f>IF(R951="si",0,IF(E951="si",0,IF(J951&gt;K951,0,+K951-J951)))+IF('calcolo base'!P1643="SI",('Commissioni De Angeli'!K951-'Commissioni De Angeli'!J951),0)</f>
        <v>#N/A</v>
      </c>
      <c r="T951" s="117" t="e">
        <f t="shared" si="181"/>
        <v>#N/A</v>
      </c>
      <c r="U951" s="272" t="e">
        <f>IF(Q951=0,'calcolo base'!L3550,(T951+Q951))</f>
        <v>#N/A</v>
      </c>
      <c r="V951" s="119"/>
      <c r="Z951" s="118">
        <f t="shared" si="182"/>
        <v>0</v>
      </c>
      <c r="AA951" s="118">
        <f t="shared" si="183"/>
        <v>0</v>
      </c>
    </row>
    <row r="952" spans="2:27">
      <c r="B952" s="47"/>
      <c r="C952" s="35"/>
      <c r="D952" s="53"/>
      <c r="E952" s="53"/>
      <c r="F952" s="48"/>
      <c r="G952" s="243" t="e">
        <f>INDEX('calcolo base'!$B:$B, MATCH($A952, 'calcolo base'!$A:$A, 0))</f>
        <v>#N/A</v>
      </c>
      <c r="H952" s="54" t="e">
        <f t="shared" si="174"/>
        <v>#N/A</v>
      </c>
      <c r="I952" s="259" t="e">
        <f>IF(  OR(      INDEX('calcolo base'!$D:$D, MATCH($A952, 'calcolo base'!$A:$A, 0)) = 0,
      INDEX('calcolo base'!$D:$D, MATCH($A952, 'calcolo base'!$A:$A, 0)) = ""   ),
   INDEX('calcolo base'!$K:$K, MATCH($A952, 'calcolo base'!$A:$A, 0)),
   INDEX('calcolo base'!$J:$J, MATCH($A952, 'calcolo base'!$A:$A, 0))
) / 1000</f>
        <v>#N/A</v>
      </c>
      <c r="J952" s="50" t="e">
        <f t="shared" si="175"/>
        <v>#N/A</v>
      </c>
      <c r="K952" s="50"/>
      <c r="L952" s="267" t="e">
        <f>INDEX('calcolo base'!$H:$H, MATCH($A952, 'calcolo base'!$A:$A, 0))</f>
        <v>#N/A</v>
      </c>
      <c r="M952" s="50" t="e">
        <f t="shared" si="176"/>
        <v>#N/A</v>
      </c>
      <c r="N952" s="50" t="e">
        <f t="shared" si="177"/>
        <v>#N/A</v>
      </c>
      <c r="O952" s="50" t="e">
        <f t="shared" si="184"/>
        <v>#N/A</v>
      </c>
      <c r="P952" s="50" t="e">
        <f t="shared" si="178"/>
        <v>#N/A</v>
      </c>
      <c r="Q952" s="51" t="e">
        <f t="shared" si="179"/>
        <v>#N/A</v>
      </c>
      <c r="R952" s="205" t="e">
        <f t="shared" si="180"/>
        <v>#N/A</v>
      </c>
      <c r="S952" s="279" t="e">
        <f>IF(R952="si",0,IF(E952="si",0,IF(J952&gt;K952,0,+K952-J952)))+IF('calcolo base'!P1644="SI",('Commissioni De Angeli'!K952-'Commissioni De Angeli'!J952),0)</f>
        <v>#N/A</v>
      </c>
      <c r="T952" s="117" t="e">
        <f t="shared" si="181"/>
        <v>#N/A</v>
      </c>
      <c r="U952" s="272" t="e">
        <f>IF(Q952=0,'calcolo base'!L3551,(T952+Q952))</f>
        <v>#N/A</v>
      </c>
      <c r="V952" s="119"/>
      <c r="Z952" s="118">
        <f t="shared" si="182"/>
        <v>0</v>
      </c>
      <c r="AA952" s="118">
        <f t="shared" si="183"/>
        <v>0</v>
      </c>
    </row>
    <row r="953" spans="2:27">
      <c r="B953" s="47"/>
      <c r="C953" s="35"/>
      <c r="D953" s="53"/>
      <c r="E953" s="53"/>
      <c r="F953" s="48"/>
      <c r="G953" s="243" t="e">
        <f>INDEX('calcolo base'!$B:$B, MATCH($A953, 'calcolo base'!$A:$A, 0))</f>
        <v>#N/A</v>
      </c>
      <c r="H953" s="54" t="e">
        <f t="shared" si="174"/>
        <v>#N/A</v>
      </c>
      <c r="I953" s="259" t="e">
        <f>IF(  OR(      INDEX('calcolo base'!$D:$D, MATCH($A953, 'calcolo base'!$A:$A, 0)) = 0,
      INDEX('calcolo base'!$D:$D, MATCH($A953, 'calcolo base'!$A:$A, 0)) = ""   ),
   INDEX('calcolo base'!$K:$K, MATCH($A953, 'calcolo base'!$A:$A, 0)),
   INDEX('calcolo base'!$J:$J, MATCH($A953, 'calcolo base'!$A:$A, 0))
) / 1000</f>
        <v>#N/A</v>
      </c>
      <c r="J953" s="50" t="e">
        <f t="shared" si="175"/>
        <v>#N/A</v>
      </c>
      <c r="K953" s="50"/>
      <c r="L953" s="267" t="e">
        <f>INDEX('calcolo base'!$H:$H, MATCH($A953, 'calcolo base'!$A:$A, 0))</f>
        <v>#N/A</v>
      </c>
      <c r="M953" s="50" t="e">
        <f t="shared" si="176"/>
        <v>#N/A</v>
      </c>
      <c r="N953" s="50" t="e">
        <f t="shared" si="177"/>
        <v>#N/A</v>
      </c>
      <c r="O953" s="50" t="e">
        <f t="shared" si="184"/>
        <v>#N/A</v>
      </c>
      <c r="P953" s="50" t="e">
        <f t="shared" si="178"/>
        <v>#N/A</v>
      </c>
      <c r="Q953" s="51" t="e">
        <f t="shared" si="179"/>
        <v>#N/A</v>
      </c>
      <c r="R953" s="205" t="e">
        <f t="shared" si="180"/>
        <v>#N/A</v>
      </c>
      <c r="S953" s="279" t="e">
        <f>IF(R953="si",0,IF(E953="si",0,IF(J953&gt;K953,0,+K953-J953)))+IF('calcolo base'!P1645="SI",('Commissioni De Angeli'!K953-'Commissioni De Angeli'!J953),0)</f>
        <v>#N/A</v>
      </c>
      <c r="T953" s="117" t="e">
        <f t="shared" si="181"/>
        <v>#N/A</v>
      </c>
      <c r="U953" s="272" t="e">
        <f>IF(Q953=0,'calcolo base'!L3552,(T953+Q953))</f>
        <v>#N/A</v>
      </c>
      <c r="V953" s="119"/>
      <c r="Z953" s="118">
        <f t="shared" si="182"/>
        <v>0</v>
      </c>
      <c r="AA953" s="118">
        <f t="shared" si="183"/>
        <v>0</v>
      </c>
    </row>
    <row r="954" spans="2:27">
      <c r="B954" s="47"/>
      <c r="C954" s="35"/>
      <c r="D954" s="53"/>
      <c r="E954" s="53"/>
      <c r="F954" s="48"/>
      <c r="G954" s="243" t="e">
        <f>INDEX('calcolo base'!$B:$B, MATCH($A954, 'calcolo base'!$A:$A, 0))</f>
        <v>#N/A</v>
      </c>
      <c r="H954" s="54" t="e">
        <f t="shared" si="174"/>
        <v>#N/A</v>
      </c>
      <c r="I954" s="259" t="e">
        <f>IF(  OR(      INDEX('calcolo base'!$D:$D, MATCH($A954, 'calcolo base'!$A:$A, 0)) = 0,
      INDEX('calcolo base'!$D:$D, MATCH($A954, 'calcolo base'!$A:$A, 0)) = ""   ),
   INDEX('calcolo base'!$K:$K, MATCH($A954, 'calcolo base'!$A:$A, 0)),
   INDEX('calcolo base'!$J:$J, MATCH($A954, 'calcolo base'!$A:$A, 0))
) / 1000</f>
        <v>#N/A</v>
      </c>
      <c r="J954" s="50" t="e">
        <f t="shared" si="175"/>
        <v>#N/A</v>
      </c>
      <c r="K954" s="50"/>
      <c r="L954" s="267" t="e">
        <f>INDEX('calcolo base'!$H:$H, MATCH($A954, 'calcolo base'!$A:$A, 0))</f>
        <v>#N/A</v>
      </c>
      <c r="M954" s="50" t="e">
        <f t="shared" si="176"/>
        <v>#N/A</v>
      </c>
      <c r="N954" s="50" t="e">
        <f t="shared" si="177"/>
        <v>#N/A</v>
      </c>
      <c r="O954" s="50" t="e">
        <f t="shared" si="184"/>
        <v>#N/A</v>
      </c>
      <c r="P954" s="50" t="e">
        <f t="shared" si="178"/>
        <v>#N/A</v>
      </c>
      <c r="Q954" s="51" t="e">
        <f t="shared" si="179"/>
        <v>#N/A</v>
      </c>
      <c r="R954" s="205" t="e">
        <f t="shared" si="180"/>
        <v>#N/A</v>
      </c>
      <c r="S954" s="279" t="e">
        <f>IF(R954="si",0,IF(E954="si",0,IF(J954&gt;K954,0,+K954-J954)))+IF('calcolo base'!P1646="SI",('Commissioni De Angeli'!K954-'Commissioni De Angeli'!J954),0)</f>
        <v>#N/A</v>
      </c>
      <c r="T954" s="117" t="e">
        <f t="shared" si="181"/>
        <v>#N/A</v>
      </c>
      <c r="U954" s="272" t="e">
        <f>IF(Q954=0,'calcolo base'!L3553,(T954+Q954))</f>
        <v>#N/A</v>
      </c>
      <c r="V954" s="119"/>
      <c r="Z954" s="118">
        <f t="shared" si="182"/>
        <v>0</v>
      </c>
      <c r="AA954" s="118">
        <f t="shared" si="183"/>
        <v>0</v>
      </c>
    </row>
    <row r="955" spans="2:27">
      <c r="B955" s="47"/>
      <c r="C955" s="35"/>
      <c r="D955" s="53"/>
      <c r="E955" s="53"/>
      <c r="F955" s="48"/>
      <c r="G955" s="243" t="e">
        <f>INDEX('calcolo base'!$B:$B, MATCH($A955, 'calcolo base'!$A:$A, 0))</f>
        <v>#N/A</v>
      </c>
      <c r="H955" s="54" t="e">
        <f t="shared" si="174"/>
        <v>#N/A</v>
      </c>
      <c r="I955" s="259" t="e">
        <f>IF(  OR(      INDEX('calcolo base'!$D:$D, MATCH($A955, 'calcolo base'!$A:$A, 0)) = 0,
      INDEX('calcolo base'!$D:$D, MATCH($A955, 'calcolo base'!$A:$A, 0)) = ""   ),
   INDEX('calcolo base'!$K:$K, MATCH($A955, 'calcolo base'!$A:$A, 0)),
   INDEX('calcolo base'!$J:$J, MATCH($A955, 'calcolo base'!$A:$A, 0))
) / 1000</f>
        <v>#N/A</v>
      </c>
      <c r="J955" s="50" t="e">
        <f t="shared" si="175"/>
        <v>#N/A</v>
      </c>
      <c r="K955" s="50"/>
      <c r="L955" s="267" t="e">
        <f>INDEX('calcolo base'!$H:$H, MATCH($A955, 'calcolo base'!$A:$A, 0))</f>
        <v>#N/A</v>
      </c>
      <c r="M955" s="50" t="e">
        <f t="shared" si="176"/>
        <v>#N/A</v>
      </c>
      <c r="N955" s="50" t="e">
        <f t="shared" si="177"/>
        <v>#N/A</v>
      </c>
      <c r="O955" s="50" t="e">
        <f t="shared" si="184"/>
        <v>#N/A</v>
      </c>
      <c r="P955" s="50" t="e">
        <f t="shared" si="178"/>
        <v>#N/A</v>
      </c>
      <c r="Q955" s="51" t="e">
        <f t="shared" si="179"/>
        <v>#N/A</v>
      </c>
      <c r="R955" s="205" t="e">
        <f t="shared" si="180"/>
        <v>#N/A</v>
      </c>
      <c r="S955" s="279" t="e">
        <f>IF(R955="si",0,IF(E955="si",0,IF(J955&gt;K955,0,+K955-J955)))+IF('calcolo base'!P1647="SI",('Commissioni De Angeli'!K955-'Commissioni De Angeli'!J955),0)</f>
        <v>#N/A</v>
      </c>
      <c r="T955" s="117" t="e">
        <f t="shared" si="181"/>
        <v>#N/A</v>
      </c>
      <c r="U955" s="272" t="e">
        <f>IF(Q955=0,'calcolo base'!L3554,(T955+Q955))</f>
        <v>#N/A</v>
      </c>
      <c r="V955" s="119"/>
      <c r="Z955" s="118">
        <f t="shared" si="182"/>
        <v>0</v>
      </c>
      <c r="AA955" s="118">
        <f t="shared" si="183"/>
        <v>0</v>
      </c>
    </row>
    <row r="956" spans="2:27">
      <c r="B956" s="47"/>
      <c r="C956" s="35"/>
      <c r="D956" s="53"/>
      <c r="E956" s="53"/>
      <c r="F956" s="48"/>
      <c r="G956" s="243" t="e">
        <f>INDEX('calcolo base'!$B:$B, MATCH($A956, 'calcolo base'!$A:$A, 0))</f>
        <v>#N/A</v>
      </c>
      <c r="H956" s="54" t="e">
        <f t="shared" si="174"/>
        <v>#N/A</v>
      </c>
      <c r="I956" s="259" t="e">
        <f>IF(  OR(      INDEX('calcolo base'!$D:$D, MATCH($A956, 'calcolo base'!$A:$A, 0)) = 0,
      INDEX('calcolo base'!$D:$D, MATCH($A956, 'calcolo base'!$A:$A, 0)) = ""   ),
   INDEX('calcolo base'!$K:$K, MATCH($A956, 'calcolo base'!$A:$A, 0)),
   INDEX('calcolo base'!$J:$J, MATCH($A956, 'calcolo base'!$A:$A, 0))
) / 1000</f>
        <v>#N/A</v>
      </c>
      <c r="J956" s="50" t="e">
        <f t="shared" si="175"/>
        <v>#N/A</v>
      </c>
      <c r="K956" s="50"/>
      <c r="L956" s="267" t="e">
        <f>INDEX('calcolo base'!$H:$H, MATCH($A956, 'calcolo base'!$A:$A, 0))</f>
        <v>#N/A</v>
      </c>
      <c r="M956" s="50" t="e">
        <f t="shared" si="176"/>
        <v>#N/A</v>
      </c>
      <c r="N956" s="50" t="e">
        <f t="shared" si="177"/>
        <v>#N/A</v>
      </c>
      <c r="O956" s="50" t="e">
        <f t="shared" si="184"/>
        <v>#N/A</v>
      </c>
      <c r="P956" s="50" t="e">
        <f t="shared" si="178"/>
        <v>#N/A</v>
      </c>
      <c r="Q956" s="51" t="e">
        <f t="shared" si="179"/>
        <v>#N/A</v>
      </c>
      <c r="R956" s="205" t="e">
        <f t="shared" si="180"/>
        <v>#N/A</v>
      </c>
      <c r="S956" s="279" t="e">
        <f>IF(R956="si",0,IF(E956="si",0,IF(J956&gt;K956,0,+K956-J956)))+IF('calcolo base'!P1648="SI",('Commissioni De Angeli'!K956-'Commissioni De Angeli'!J956),0)</f>
        <v>#N/A</v>
      </c>
      <c r="T956" s="117" t="e">
        <f t="shared" si="181"/>
        <v>#N/A</v>
      </c>
      <c r="U956" s="272" t="e">
        <f>IF(Q956=0,'calcolo base'!L3555,(T956+Q956))</f>
        <v>#N/A</v>
      </c>
      <c r="V956" s="119"/>
      <c r="Z956" s="118">
        <f t="shared" si="182"/>
        <v>0</v>
      </c>
      <c r="AA956" s="118">
        <f t="shared" si="183"/>
        <v>0</v>
      </c>
    </row>
    <row r="957" spans="2:27">
      <c r="B957" s="47"/>
      <c r="C957" s="35"/>
      <c r="D957" s="53"/>
      <c r="E957" s="53"/>
      <c r="F957" s="48"/>
      <c r="G957" s="243" t="e">
        <f>INDEX('calcolo base'!$B:$B, MATCH($A957, 'calcolo base'!$A:$A, 0))</f>
        <v>#N/A</v>
      </c>
      <c r="H957" s="54" t="e">
        <f t="shared" si="174"/>
        <v>#N/A</v>
      </c>
      <c r="I957" s="259" t="e">
        <f>IF(  OR(      INDEX('calcolo base'!$D:$D, MATCH($A957, 'calcolo base'!$A:$A, 0)) = 0,
      INDEX('calcolo base'!$D:$D, MATCH($A957, 'calcolo base'!$A:$A, 0)) = ""   ),
   INDEX('calcolo base'!$K:$K, MATCH($A957, 'calcolo base'!$A:$A, 0)),
   INDEX('calcolo base'!$J:$J, MATCH($A957, 'calcolo base'!$A:$A, 0))
) / 1000</f>
        <v>#N/A</v>
      </c>
      <c r="J957" s="50" t="e">
        <f t="shared" si="175"/>
        <v>#N/A</v>
      </c>
      <c r="K957" s="50"/>
      <c r="L957" s="267" t="e">
        <f>INDEX('calcolo base'!$H:$H, MATCH($A957, 'calcolo base'!$A:$A, 0))</f>
        <v>#N/A</v>
      </c>
      <c r="M957" s="50" t="e">
        <f t="shared" si="176"/>
        <v>#N/A</v>
      </c>
      <c r="N957" s="50" t="e">
        <f t="shared" si="177"/>
        <v>#N/A</v>
      </c>
      <c r="O957" s="50" t="e">
        <f t="shared" si="184"/>
        <v>#N/A</v>
      </c>
      <c r="P957" s="50" t="e">
        <f t="shared" si="178"/>
        <v>#N/A</v>
      </c>
      <c r="Q957" s="51" t="e">
        <f t="shared" si="179"/>
        <v>#N/A</v>
      </c>
      <c r="R957" s="205" t="e">
        <f t="shared" si="180"/>
        <v>#N/A</v>
      </c>
      <c r="S957" s="279" t="e">
        <f>IF(R957="si",0,IF(E957="si",0,IF(J957&gt;K957,0,+K957-J957)))+IF('calcolo base'!P1649="SI",('Commissioni De Angeli'!K957-'Commissioni De Angeli'!J957),0)</f>
        <v>#N/A</v>
      </c>
      <c r="T957" s="117" t="e">
        <f t="shared" si="181"/>
        <v>#N/A</v>
      </c>
      <c r="U957" s="272" t="e">
        <f>IF(Q957=0,'calcolo base'!L3556,(T957+Q957))</f>
        <v>#N/A</v>
      </c>
      <c r="V957" s="119"/>
      <c r="Z957" s="118">
        <f t="shared" si="182"/>
        <v>0</v>
      </c>
      <c r="AA957" s="118">
        <f t="shared" si="183"/>
        <v>0</v>
      </c>
    </row>
    <row r="958" spans="2:27">
      <c r="B958" s="47"/>
      <c r="C958" s="35"/>
      <c r="D958" s="53"/>
      <c r="E958" s="53"/>
      <c r="F958" s="48"/>
      <c r="G958" s="243" t="e">
        <f>INDEX('calcolo base'!$B:$B, MATCH($A958, 'calcolo base'!$A:$A, 0))</f>
        <v>#N/A</v>
      </c>
      <c r="H958" s="54" t="e">
        <f t="shared" si="174"/>
        <v>#N/A</v>
      </c>
      <c r="I958" s="259" t="e">
        <f>IF(  OR(      INDEX('calcolo base'!$D:$D, MATCH($A958, 'calcolo base'!$A:$A, 0)) = 0,
      INDEX('calcolo base'!$D:$D, MATCH($A958, 'calcolo base'!$A:$A, 0)) = ""   ),
   INDEX('calcolo base'!$K:$K, MATCH($A958, 'calcolo base'!$A:$A, 0)),
   INDEX('calcolo base'!$J:$J, MATCH($A958, 'calcolo base'!$A:$A, 0))
) / 1000</f>
        <v>#N/A</v>
      </c>
      <c r="J958" s="50" t="e">
        <f t="shared" si="175"/>
        <v>#N/A</v>
      </c>
      <c r="K958" s="50"/>
      <c r="L958" s="267" t="e">
        <f>INDEX('calcolo base'!$H:$H, MATCH($A958, 'calcolo base'!$A:$A, 0))</f>
        <v>#N/A</v>
      </c>
      <c r="M958" s="50" t="e">
        <f t="shared" si="176"/>
        <v>#N/A</v>
      </c>
      <c r="N958" s="50" t="e">
        <f t="shared" si="177"/>
        <v>#N/A</v>
      </c>
      <c r="O958" s="50" t="e">
        <f t="shared" si="184"/>
        <v>#N/A</v>
      </c>
      <c r="P958" s="50" t="e">
        <f t="shared" si="178"/>
        <v>#N/A</v>
      </c>
      <c r="Q958" s="51" t="e">
        <f t="shared" si="179"/>
        <v>#N/A</v>
      </c>
      <c r="R958" s="205" t="e">
        <f t="shared" si="180"/>
        <v>#N/A</v>
      </c>
      <c r="S958" s="279" t="e">
        <f>IF(R958="si",0,IF(E958="si",0,IF(J958&gt;K958,0,+K958-J958)))+IF('calcolo base'!P1650="SI",('Commissioni De Angeli'!K958-'Commissioni De Angeli'!J958),0)</f>
        <v>#N/A</v>
      </c>
      <c r="T958" s="117" t="e">
        <f t="shared" si="181"/>
        <v>#N/A</v>
      </c>
      <c r="U958" s="272" t="e">
        <f>IF(Q958=0,'calcolo base'!L3557,(T958+Q958))</f>
        <v>#N/A</v>
      </c>
      <c r="V958" s="119"/>
      <c r="Z958" s="118">
        <f t="shared" si="182"/>
        <v>0</v>
      </c>
      <c r="AA958" s="118">
        <f t="shared" si="183"/>
        <v>0</v>
      </c>
    </row>
    <row r="959" spans="2:27">
      <c r="B959" s="47"/>
      <c r="C959" s="35"/>
      <c r="D959" s="53"/>
      <c r="E959" s="53"/>
      <c r="F959" s="48"/>
      <c r="G959" s="243" t="e">
        <f>INDEX('calcolo base'!$B:$B, MATCH($A959, 'calcolo base'!$A:$A, 0))</f>
        <v>#N/A</v>
      </c>
      <c r="H959" s="54" t="e">
        <f t="shared" si="174"/>
        <v>#N/A</v>
      </c>
      <c r="I959" s="259" t="e">
        <f>IF(  OR(      INDEX('calcolo base'!$D:$D, MATCH($A959, 'calcolo base'!$A:$A, 0)) = 0,
      INDEX('calcolo base'!$D:$D, MATCH($A959, 'calcolo base'!$A:$A, 0)) = ""   ),
   INDEX('calcolo base'!$K:$K, MATCH($A959, 'calcolo base'!$A:$A, 0)),
   INDEX('calcolo base'!$J:$J, MATCH($A959, 'calcolo base'!$A:$A, 0))
) / 1000</f>
        <v>#N/A</v>
      </c>
      <c r="J959" s="50" t="e">
        <f t="shared" si="175"/>
        <v>#N/A</v>
      </c>
      <c r="K959" s="50"/>
      <c r="L959" s="267" t="e">
        <f>INDEX('calcolo base'!$H:$H, MATCH($A959, 'calcolo base'!$A:$A, 0))</f>
        <v>#N/A</v>
      </c>
      <c r="M959" s="50" t="e">
        <f t="shared" si="176"/>
        <v>#N/A</v>
      </c>
      <c r="N959" s="50" t="e">
        <f t="shared" si="177"/>
        <v>#N/A</v>
      </c>
      <c r="O959" s="50" t="e">
        <f t="shared" si="184"/>
        <v>#N/A</v>
      </c>
      <c r="P959" s="50" t="e">
        <f t="shared" si="178"/>
        <v>#N/A</v>
      </c>
      <c r="Q959" s="51" t="e">
        <f t="shared" si="179"/>
        <v>#N/A</v>
      </c>
      <c r="R959" s="205" t="e">
        <f t="shared" si="180"/>
        <v>#N/A</v>
      </c>
      <c r="S959" s="279" t="e">
        <f>IF(R959="si",0,IF(E959="si",0,IF(J959&gt;K959,0,+K959-J959)))+IF('calcolo base'!P1651="SI",('Commissioni De Angeli'!K959-'Commissioni De Angeli'!J959),0)</f>
        <v>#N/A</v>
      </c>
      <c r="T959" s="117" t="e">
        <f t="shared" si="181"/>
        <v>#N/A</v>
      </c>
      <c r="U959" s="272" t="e">
        <f>IF(Q959=0,'calcolo base'!L3558,(T959+Q959))</f>
        <v>#N/A</v>
      </c>
      <c r="V959" s="119"/>
      <c r="Z959" s="118">
        <f t="shared" si="182"/>
        <v>0</v>
      </c>
      <c r="AA959" s="118">
        <f t="shared" si="183"/>
        <v>0</v>
      </c>
    </row>
    <row r="960" spans="2:27">
      <c r="B960" s="47"/>
      <c r="C960" s="35"/>
      <c r="D960" s="53"/>
      <c r="E960" s="53"/>
      <c r="F960" s="48"/>
      <c r="G960" s="243" t="e">
        <f>INDEX('calcolo base'!$B:$B, MATCH($A960, 'calcolo base'!$A:$A, 0))</f>
        <v>#N/A</v>
      </c>
      <c r="H960" s="54" t="e">
        <f t="shared" si="174"/>
        <v>#N/A</v>
      </c>
      <c r="I960" s="259" t="e">
        <f>IF(  OR(      INDEX('calcolo base'!$D:$D, MATCH($A960, 'calcolo base'!$A:$A, 0)) = 0,
      INDEX('calcolo base'!$D:$D, MATCH($A960, 'calcolo base'!$A:$A, 0)) = ""   ),
   INDEX('calcolo base'!$K:$K, MATCH($A960, 'calcolo base'!$A:$A, 0)),
   INDEX('calcolo base'!$J:$J, MATCH($A960, 'calcolo base'!$A:$A, 0))
) / 1000</f>
        <v>#N/A</v>
      </c>
      <c r="J960" s="50" t="e">
        <f t="shared" si="175"/>
        <v>#N/A</v>
      </c>
      <c r="K960" s="50"/>
      <c r="L960" s="267" t="e">
        <f>INDEX('calcolo base'!$H:$H, MATCH($A960, 'calcolo base'!$A:$A, 0))</f>
        <v>#N/A</v>
      </c>
      <c r="M960" s="50" t="e">
        <f t="shared" si="176"/>
        <v>#N/A</v>
      </c>
      <c r="N960" s="50" t="e">
        <f t="shared" si="177"/>
        <v>#N/A</v>
      </c>
      <c r="O960" s="50" t="e">
        <f t="shared" si="184"/>
        <v>#N/A</v>
      </c>
      <c r="P960" s="50" t="e">
        <f t="shared" si="178"/>
        <v>#N/A</v>
      </c>
      <c r="Q960" s="51" t="e">
        <f t="shared" si="179"/>
        <v>#N/A</v>
      </c>
      <c r="R960" s="205" t="e">
        <f t="shared" si="180"/>
        <v>#N/A</v>
      </c>
      <c r="S960" s="279" t="e">
        <f>IF(R960="si",0,IF(E960="si",0,IF(J960&gt;K960,0,+K960-J960)))+IF('calcolo base'!P1652="SI",('Commissioni De Angeli'!K960-'Commissioni De Angeli'!J960),0)</f>
        <v>#N/A</v>
      </c>
      <c r="T960" s="117" t="e">
        <f t="shared" si="181"/>
        <v>#N/A</v>
      </c>
      <c r="U960" s="272" t="e">
        <f>IF(Q960=0,'calcolo base'!L3559,(T960+Q960))</f>
        <v>#N/A</v>
      </c>
      <c r="V960" s="119"/>
      <c r="Z960" s="118">
        <f t="shared" si="182"/>
        <v>0</v>
      </c>
      <c r="AA960" s="118">
        <f t="shared" si="183"/>
        <v>0</v>
      </c>
    </row>
    <row r="961" spans="2:27">
      <c r="B961" s="47"/>
      <c r="C961" s="35"/>
      <c r="D961" s="53"/>
      <c r="E961" s="53"/>
      <c r="F961" s="48"/>
      <c r="G961" s="243" t="e">
        <f>INDEX('calcolo base'!$B:$B, MATCH($A961, 'calcolo base'!$A:$A, 0))</f>
        <v>#N/A</v>
      </c>
      <c r="H961" s="54" t="e">
        <f t="shared" si="174"/>
        <v>#N/A</v>
      </c>
      <c r="I961" s="259" t="e">
        <f>IF(  OR(      INDEX('calcolo base'!$D:$D, MATCH($A961, 'calcolo base'!$A:$A, 0)) = 0,
      INDEX('calcolo base'!$D:$D, MATCH($A961, 'calcolo base'!$A:$A, 0)) = ""   ),
   INDEX('calcolo base'!$K:$K, MATCH($A961, 'calcolo base'!$A:$A, 0)),
   INDEX('calcolo base'!$J:$J, MATCH($A961, 'calcolo base'!$A:$A, 0))
) / 1000</f>
        <v>#N/A</v>
      </c>
      <c r="J961" s="50" t="e">
        <f t="shared" si="175"/>
        <v>#N/A</v>
      </c>
      <c r="K961" s="50"/>
      <c r="L961" s="267" t="e">
        <f>INDEX('calcolo base'!$H:$H, MATCH($A961, 'calcolo base'!$A:$A, 0))</f>
        <v>#N/A</v>
      </c>
      <c r="M961" s="50" t="e">
        <f t="shared" si="176"/>
        <v>#N/A</v>
      </c>
      <c r="N961" s="50" t="e">
        <f t="shared" si="177"/>
        <v>#N/A</v>
      </c>
      <c r="O961" s="50" t="e">
        <f t="shared" si="184"/>
        <v>#N/A</v>
      </c>
      <c r="P961" s="50" t="e">
        <f t="shared" si="178"/>
        <v>#N/A</v>
      </c>
      <c r="Q961" s="51" t="e">
        <f t="shared" si="179"/>
        <v>#N/A</v>
      </c>
      <c r="R961" s="205" t="e">
        <f t="shared" si="180"/>
        <v>#N/A</v>
      </c>
      <c r="S961" s="279" t="e">
        <f>IF(R961="si",0,IF(E961="si",0,IF(J961&gt;K961,0,+K961-J961)))+IF('calcolo base'!P1653="SI",('Commissioni De Angeli'!K961-'Commissioni De Angeli'!J961),0)</f>
        <v>#N/A</v>
      </c>
      <c r="T961" s="117" t="e">
        <f t="shared" si="181"/>
        <v>#N/A</v>
      </c>
      <c r="U961" s="272" t="e">
        <f>IF(Q961=0,'calcolo base'!L3560,(T961+Q961))</f>
        <v>#N/A</v>
      </c>
      <c r="V961" s="119"/>
      <c r="Z961" s="118">
        <f t="shared" si="182"/>
        <v>0</v>
      </c>
      <c r="AA961" s="118">
        <f t="shared" si="183"/>
        <v>0</v>
      </c>
    </row>
    <row r="962" spans="2:27">
      <c r="B962" s="47"/>
      <c r="C962" s="35"/>
      <c r="D962" s="53"/>
      <c r="E962" s="53"/>
      <c r="F962" s="48"/>
      <c r="G962" s="243" t="e">
        <f>INDEX('calcolo base'!$B:$B, MATCH($A962, 'calcolo base'!$A:$A, 0))</f>
        <v>#N/A</v>
      </c>
      <c r="H962" s="54" t="e">
        <f t="shared" si="174"/>
        <v>#N/A</v>
      </c>
      <c r="I962" s="259" t="e">
        <f>IF(  OR(      INDEX('calcolo base'!$D:$D, MATCH($A962, 'calcolo base'!$A:$A, 0)) = 0,
      INDEX('calcolo base'!$D:$D, MATCH($A962, 'calcolo base'!$A:$A, 0)) = ""   ),
   INDEX('calcolo base'!$K:$K, MATCH($A962, 'calcolo base'!$A:$A, 0)),
   INDEX('calcolo base'!$J:$J, MATCH($A962, 'calcolo base'!$A:$A, 0))
) / 1000</f>
        <v>#N/A</v>
      </c>
      <c r="J962" s="50" t="e">
        <f t="shared" si="175"/>
        <v>#N/A</v>
      </c>
      <c r="K962" s="50"/>
      <c r="L962" s="267" t="e">
        <f>INDEX('calcolo base'!$H:$H, MATCH($A962, 'calcolo base'!$A:$A, 0))</f>
        <v>#N/A</v>
      </c>
      <c r="M962" s="50" t="e">
        <f t="shared" si="176"/>
        <v>#N/A</v>
      </c>
      <c r="N962" s="50" t="e">
        <f t="shared" si="177"/>
        <v>#N/A</v>
      </c>
      <c r="O962" s="50" t="e">
        <f t="shared" si="184"/>
        <v>#N/A</v>
      </c>
      <c r="P962" s="50" t="e">
        <f t="shared" si="178"/>
        <v>#N/A</v>
      </c>
      <c r="Q962" s="51" t="e">
        <f t="shared" si="179"/>
        <v>#N/A</v>
      </c>
      <c r="R962" s="205" t="e">
        <f t="shared" si="180"/>
        <v>#N/A</v>
      </c>
      <c r="S962" s="279" t="e">
        <f>IF(R962="si",0,IF(E962="si",0,IF(J962&gt;K962,0,+K962-J962)))+IF('calcolo base'!P1654="SI",('Commissioni De Angeli'!K962-'Commissioni De Angeli'!J962),0)</f>
        <v>#N/A</v>
      </c>
      <c r="T962" s="117" t="e">
        <f t="shared" si="181"/>
        <v>#N/A</v>
      </c>
      <c r="U962" s="272" t="e">
        <f>IF(Q962=0,'calcolo base'!L3561,(T962+Q962))</f>
        <v>#N/A</v>
      </c>
      <c r="V962" s="119"/>
      <c r="Z962" s="118">
        <f t="shared" si="182"/>
        <v>0</v>
      </c>
      <c r="AA962" s="118">
        <f t="shared" si="183"/>
        <v>0</v>
      </c>
    </row>
    <row r="963" spans="2:27">
      <c r="B963" s="47"/>
      <c r="C963" s="35"/>
      <c r="D963" s="53"/>
      <c r="E963" s="53"/>
      <c r="F963" s="48"/>
      <c r="G963" s="243" t="e">
        <f>INDEX('calcolo base'!$B:$B, MATCH($A963, 'calcolo base'!$A:$A, 0))</f>
        <v>#N/A</v>
      </c>
      <c r="H963" s="54" t="e">
        <f t="shared" si="174"/>
        <v>#N/A</v>
      </c>
      <c r="I963" s="259" t="e">
        <f>IF(  OR(      INDEX('calcolo base'!$D:$D, MATCH($A963, 'calcolo base'!$A:$A, 0)) = 0,
      INDEX('calcolo base'!$D:$D, MATCH($A963, 'calcolo base'!$A:$A, 0)) = ""   ),
   INDEX('calcolo base'!$K:$K, MATCH($A963, 'calcolo base'!$A:$A, 0)),
   INDEX('calcolo base'!$J:$J, MATCH($A963, 'calcolo base'!$A:$A, 0))
) / 1000</f>
        <v>#N/A</v>
      </c>
      <c r="J963" s="50" t="e">
        <f t="shared" si="175"/>
        <v>#N/A</v>
      </c>
      <c r="K963" s="50"/>
      <c r="L963" s="267" t="e">
        <f>INDEX('calcolo base'!$H:$H, MATCH($A963, 'calcolo base'!$A:$A, 0))</f>
        <v>#N/A</v>
      </c>
      <c r="M963" s="50" t="e">
        <f t="shared" si="176"/>
        <v>#N/A</v>
      </c>
      <c r="N963" s="50" t="e">
        <f t="shared" si="177"/>
        <v>#N/A</v>
      </c>
      <c r="O963" s="50" t="e">
        <f t="shared" si="184"/>
        <v>#N/A</v>
      </c>
      <c r="P963" s="50" t="e">
        <f t="shared" si="178"/>
        <v>#N/A</v>
      </c>
      <c r="Q963" s="51" t="e">
        <f t="shared" si="179"/>
        <v>#N/A</v>
      </c>
      <c r="R963" s="205" t="e">
        <f t="shared" si="180"/>
        <v>#N/A</v>
      </c>
      <c r="S963" s="279" t="e">
        <f>IF(R963="si",0,IF(E963="si",0,IF(J963&gt;K963,0,+K963-J963)))+IF('calcolo base'!P1655="SI",('Commissioni De Angeli'!K963-'Commissioni De Angeli'!J963),0)</f>
        <v>#N/A</v>
      </c>
      <c r="T963" s="117" t="e">
        <f t="shared" si="181"/>
        <v>#N/A</v>
      </c>
      <c r="U963" s="272" t="e">
        <f>IF(Q963=0,'calcolo base'!L3562,(T963+Q963))</f>
        <v>#N/A</v>
      </c>
      <c r="V963" s="119"/>
      <c r="Z963" s="118">
        <f t="shared" si="182"/>
        <v>0</v>
      </c>
      <c r="AA963" s="118">
        <f t="shared" si="183"/>
        <v>0</v>
      </c>
    </row>
    <row r="964" spans="2:27">
      <c r="B964" s="47"/>
      <c r="C964" s="35"/>
      <c r="D964" s="53"/>
      <c r="E964" s="53"/>
      <c r="F964" s="48"/>
      <c r="G964" s="243" t="e">
        <f>INDEX('calcolo base'!$B:$B, MATCH($A964, 'calcolo base'!$A:$A, 0))</f>
        <v>#N/A</v>
      </c>
      <c r="H964" s="54" t="e">
        <f t="shared" si="174"/>
        <v>#N/A</v>
      </c>
      <c r="I964" s="259" t="e">
        <f>IF(  OR(      INDEX('calcolo base'!$D:$D, MATCH($A964, 'calcolo base'!$A:$A, 0)) = 0,
      INDEX('calcolo base'!$D:$D, MATCH($A964, 'calcolo base'!$A:$A, 0)) = ""   ),
   INDEX('calcolo base'!$K:$K, MATCH($A964, 'calcolo base'!$A:$A, 0)),
   INDEX('calcolo base'!$J:$J, MATCH($A964, 'calcolo base'!$A:$A, 0))
) / 1000</f>
        <v>#N/A</v>
      </c>
      <c r="J964" s="50" t="e">
        <f t="shared" si="175"/>
        <v>#N/A</v>
      </c>
      <c r="K964" s="50"/>
      <c r="L964" s="267" t="e">
        <f>INDEX('calcolo base'!$H:$H, MATCH($A964, 'calcolo base'!$A:$A, 0))</f>
        <v>#N/A</v>
      </c>
      <c r="M964" s="50" t="e">
        <f t="shared" si="176"/>
        <v>#N/A</v>
      </c>
      <c r="N964" s="50" t="e">
        <f t="shared" si="177"/>
        <v>#N/A</v>
      </c>
      <c r="O964" s="50" t="e">
        <f t="shared" si="184"/>
        <v>#N/A</v>
      </c>
      <c r="P964" s="50" t="e">
        <f t="shared" si="178"/>
        <v>#N/A</v>
      </c>
      <c r="Q964" s="51" t="e">
        <f t="shared" si="179"/>
        <v>#N/A</v>
      </c>
      <c r="R964" s="205" t="e">
        <f t="shared" si="180"/>
        <v>#N/A</v>
      </c>
      <c r="S964" s="279" t="e">
        <f>IF(R964="si",0,IF(E964="si",0,IF(J964&gt;K964,0,+K964-J964)))+IF('calcolo base'!P1656="SI",('Commissioni De Angeli'!K964-'Commissioni De Angeli'!J964),0)</f>
        <v>#N/A</v>
      </c>
      <c r="T964" s="117" t="e">
        <f t="shared" si="181"/>
        <v>#N/A</v>
      </c>
      <c r="U964" s="272" t="e">
        <f>IF(Q964=0,'calcolo base'!L3563,(T964+Q964))</f>
        <v>#N/A</v>
      </c>
      <c r="V964" s="119"/>
      <c r="Z964" s="118">
        <f t="shared" si="182"/>
        <v>0</v>
      </c>
      <c r="AA964" s="118">
        <f t="shared" si="183"/>
        <v>0</v>
      </c>
    </row>
    <row r="965" spans="2:27">
      <c r="B965" s="47"/>
      <c r="C965" s="35"/>
      <c r="D965" s="53"/>
      <c r="E965" s="53"/>
      <c r="F965" s="48"/>
      <c r="G965" s="243" t="e">
        <f>INDEX('calcolo base'!$B:$B, MATCH($A965, 'calcolo base'!$A:$A, 0))</f>
        <v>#N/A</v>
      </c>
      <c r="H965" s="54" t="e">
        <f t="shared" si="174"/>
        <v>#N/A</v>
      </c>
      <c r="I965" s="259" t="e">
        <f>IF(  OR(      INDEX('calcolo base'!$D:$D, MATCH($A965, 'calcolo base'!$A:$A, 0)) = 0,
      INDEX('calcolo base'!$D:$D, MATCH($A965, 'calcolo base'!$A:$A, 0)) = ""   ),
   INDEX('calcolo base'!$K:$K, MATCH($A965, 'calcolo base'!$A:$A, 0)),
   INDEX('calcolo base'!$J:$J, MATCH($A965, 'calcolo base'!$A:$A, 0))
) / 1000</f>
        <v>#N/A</v>
      </c>
      <c r="J965" s="50" t="e">
        <f t="shared" si="175"/>
        <v>#N/A</v>
      </c>
      <c r="K965" s="50"/>
      <c r="L965" s="267" t="e">
        <f>INDEX('calcolo base'!$H:$H, MATCH($A965, 'calcolo base'!$A:$A, 0))</f>
        <v>#N/A</v>
      </c>
      <c r="M965" s="50" t="e">
        <f t="shared" si="176"/>
        <v>#N/A</v>
      </c>
      <c r="N965" s="50" t="e">
        <f t="shared" si="177"/>
        <v>#N/A</v>
      </c>
      <c r="O965" s="50" t="e">
        <f t="shared" si="184"/>
        <v>#N/A</v>
      </c>
      <c r="P965" s="50" t="e">
        <f t="shared" si="178"/>
        <v>#N/A</v>
      </c>
      <c r="Q965" s="51" t="e">
        <f t="shared" si="179"/>
        <v>#N/A</v>
      </c>
      <c r="R965" s="205" t="e">
        <f t="shared" si="180"/>
        <v>#N/A</v>
      </c>
      <c r="S965" s="279" t="e">
        <f>IF(R965="si",0,IF(E965="si",0,IF(J965&gt;K965,0,+K965-J965)))+IF('calcolo base'!P1657="SI",('Commissioni De Angeli'!K965-'Commissioni De Angeli'!J965),0)</f>
        <v>#N/A</v>
      </c>
      <c r="T965" s="117" t="e">
        <f t="shared" si="181"/>
        <v>#N/A</v>
      </c>
      <c r="U965" s="272" t="e">
        <f>IF(Q965=0,'calcolo base'!L3564,(T965+Q965))</f>
        <v>#N/A</v>
      </c>
      <c r="V965" s="119"/>
      <c r="Z965" s="118">
        <f t="shared" si="182"/>
        <v>0</v>
      </c>
      <c r="AA965" s="118">
        <f t="shared" si="183"/>
        <v>0</v>
      </c>
    </row>
    <row r="966" spans="2:27">
      <c r="B966" s="47"/>
      <c r="C966" s="35"/>
      <c r="D966" s="53"/>
      <c r="E966" s="53"/>
      <c r="F966" s="48"/>
      <c r="G966" s="243" t="e">
        <f>INDEX('calcolo base'!$B:$B, MATCH($A966, 'calcolo base'!$A:$A, 0))</f>
        <v>#N/A</v>
      </c>
      <c r="H966" s="54" t="e">
        <f t="shared" si="174"/>
        <v>#N/A</v>
      </c>
      <c r="I966" s="259" t="e">
        <f>IF(  OR(      INDEX('calcolo base'!$D:$D, MATCH($A966, 'calcolo base'!$A:$A, 0)) = 0,
      INDEX('calcolo base'!$D:$D, MATCH($A966, 'calcolo base'!$A:$A, 0)) = ""   ),
   INDEX('calcolo base'!$K:$K, MATCH($A966, 'calcolo base'!$A:$A, 0)),
   INDEX('calcolo base'!$J:$J, MATCH($A966, 'calcolo base'!$A:$A, 0))
) / 1000</f>
        <v>#N/A</v>
      </c>
      <c r="J966" s="50" t="e">
        <f t="shared" si="175"/>
        <v>#N/A</v>
      </c>
      <c r="K966" s="50"/>
      <c r="L966" s="267" t="e">
        <f>INDEX('calcolo base'!$H:$H, MATCH($A966, 'calcolo base'!$A:$A, 0))</f>
        <v>#N/A</v>
      </c>
      <c r="M966" s="50" t="e">
        <f t="shared" si="176"/>
        <v>#N/A</v>
      </c>
      <c r="N966" s="50" t="e">
        <f t="shared" si="177"/>
        <v>#N/A</v>
      </c>
      <c r="O966" s="50" t="e">
        <f t="shared" si="184"/>
        <v>#N/A</v>
      </c>
      <c r="P966" s="50" t="e">
        <f t="shared" si="178"/>
        <v>#N/A</v>
      </c>
      <c r="Q966" s="51" t="e">
        <f t="shared" si="179"/>
        <v>#N/A</v>
      </c>
      <c r="R966" s="205" t="e">
        <f t="shared" si="180"/>
        <v>#N/A</v>
      </c>
      <c r="S966" s="279" t="e">
        <f>IF(R966="si",0,IF(E966="si",0,IF(J966&gt;K966,0,+K966-J966)))+IF('calcolo base'!P1658="SI",('Commissioni De Angeli'!K966-'Commissioni De Angeli'!J966),0)</f>
        <v>#N/A</v>
      </c>
      <c r="T966" s="117" t="e">
        <f t="shared" si="181"/>
        <v>#N/A</v>
      </c>
      <c r="U966" s="272" t="e">
        <f>IF(Q966=0,'calcolo base'!L3565,(T966+Q966))</f>
        <v>#N/A</v>
      </c>
      <c r="V966" s="119"/>
      <c r="Z966" s="118">
        <f t="shared" si="182"/>
        <v>0</v>
      </c>
      <c r="AA966" s="118">
        <f t="shared" si="183"/>
        <v>0</v>
      </c>
    </row>
    <row r="967" spans="2:27">
      <c r="B967" s="47"/>
      <c r="C967" s="35"/>
      <c r="D967" s="53"/>
      <c r="E967" s="53"/>
      <c r="F967" s="48"/>
      <c r="G967" s="243" t="e">
        <f>INDEX('calcolo base'!$B:$B, MATCH($A967, 'calcolo base'!$A:$A, 0))</f>
        <v>#N/A</v>
      </c>
      <c r="H967" s="54" t="e">
        <f t="shared" si="174"/>
        <v>#N/A</v>
      </c>
      <c r="I967" s="259" t="e">
        <f>IF(  OR(      INDEX('calcolo base'!$D:$D, MATCH($A967, 'calcolo base'!$A:$A, 0)) = 0,
      INDEX('calcolo base'!$D:$D, MATCH($A967, 'calcolo base'!$A:$A, 0)) = ""   ),
   INDEX('calcolo base'!$K:$K, MATCH($A967, 'calcolo base'!$A:$A, 0)),
   INDEX('calcolo base'!$J:$J, MATCH($A967, 'calcolo base'!$A:$A, 0))
) / 1000</f>
        <v>#N/A</v>
      </c>
      <c r="J967" s="50" t="e">
        <f t="shared" si="175"/>
        <v>#N/A</v>
      </c>
      <c r="K967" s="50"/>
      <c r="L967" s="267" t="e">
        <f>INDEX('calcolo base'!$H:$H, MATCH($A967, 'calcolo base'!$A:$A, 0))</f>
        <v>#N/A</v>
      </c>
      <c r="M967" s="50" t="e">
        <f t="shared" si="176"/>
        <v>#N/A</v>
      </c>
      <c r="N967" s="50" t="e">
        <f t="shared" si="177"/>
        <v>#N/A</v>
      </c>
      <c r="O967" s="50" t="e">
        <f t="shared" si="184"/>
        <v>#N/A</v>
      </c>
      <c r="P967" s="50" t="e">
        <f t="shared" si="178"/>
        <v>#N/A</v>
      </c>
      <c r="Q967" s="51" t="e">
        <f t="shared" si="179"/>
        <v>#N/A</v>
      </c>
      <c r="R967" s="205" t="e">
        <f t="shared" si="180"/>
        <v>#N/A</v>
      </c>
      <c r="S967" s="279" t="e">
        <f>IF(R967="si",0,IF(E967="si",0,IF(J967&gt;K967,0,+K967-J967)))+IF('calcolo base'!P1659="SI",('Commissioni De Angeli'!K967-'Commissioni De Angeli'!J967),0)</f>
        <v>#N/A</v>
      </c>
      <c r="T967" s="117" t="e">
        <f t="shared" si="181"/>
        <v>#N/A</v>
      </c>
      <c r="U967" s="272" t="e">
        <f>IF(Q967=0,'calcolo base'!L3566,(T967+Q967))</f>
        <v>#N/A</v>
      </c>
      <c r="V967" s="119"/>
      <c r="Z967" s="118">
        <f t="shared" si="182"/>
        <v>0</v>
      </c>
      <c r="AA967" s="118">
        <f t="shared" si="183"/>
        <v>0</v>
      </c>
    </row>
    <row r="968" spans="2:27">
      <c r="B968" s="47"/>
      <c r="C968" s="35"/>
      <c r="D968" s="53"/>
      <c r="E968" s="53"/>
      <c r="F968" s="48"/>
      <c r="G968" s="243" t="e">
        <f>INDEX('calcolo base'!$B:$B, MATCH($A968, 'calcolo base'!$A:$A, 0))</f>
        <v>#N/A</v>
      </c>
      <c r="H968" s="54" t="e">
        <f t="shared" si="174"/>
        <v>#N/A</v>
      </c>
      <c r="I968" s="259" t="e">
        <f>IF(  OR(      INDEX('calcolo base'!$D:$D, MATCH($A968, 'calcolo base'!$A:$A, 0)) = 0,
      INDEX('calcolo base'!$D:$D, MATCH($A968, 'calcolo base'!$A:$A, 0)) = ""   ),
   INDEX('calcolo base'!$K:$K, MATCH($A968, 'calcolo base'!$A:$A, 0)),
   INDEX('calcolo base'!$J:$J, MATCH($A968, 'calcolo base'!$A:$A, 0))
) / 1000</f>
        <v>#N/A</v>
      </c>
      <c r="J968" s="50" t="e">
        <f t="shared" si="175"/>
        <v>#N/A</v>
      </c>
      <c r="K968" s="50"/>
      <c r="L968" s="267" t="e">
        <f>INDEX('calcolo base'!$H:$H, MATCH($A968, 'calcolo base'!$A:$A, 0))</f>
        <v>#N/A</v>
      </c>
      <c r="M968" s="50" t="e">
        <f t="shared" si="176"/>
        <v>#N/A</v>
      </c>
      <c r="N968" s="50" t="e">
        <f t="shared" si="177"/>
        <v>#N/A</v>
      </c>
      <c r="O968" s="50" t="e">
        <f t="shared" si="184"/>
        <v>#N/A</v>
      </c>
      <c r="P968" s="50" t="e">
        <f t="shared" si="178"/>
        <v>#N/A</v>
      </c>
      <c r="Q968" s="51" t="e">
        <f t="shared" si="179"/>
        <v>#N/A</v>
      </c>
      <c r="R968" s="205" t="e">
        <f t="shared" si="180"/>
        <v>#N/A</v>
      </c>
      <c r="S968" s="279" t="e">
        <f>IF(R968="si",0,IF(E968="si",0,IF(J968&gt;K968,0,+K968-J968)))+IF('calcolo base'!P1660="SI",('Commissioni De Angeli'!K968-'Commissioni De Angeli'!J968),0)</f>
        <v>#N/A</v>
      </c>
      <c r="T968" s="117" t="e">
        <f t="shared" si="181"/>
        <v>#N/A</v>
      </c>
      <c r="U968" s="272" t="e">
        <f>IF(Q968=0,'calcolo base'!L3567,(T968+Q968))</f>
        <v>#N/A</v>
      </c>
      <c r="V968" s="119"/>
      <c r="Z968" s="118">
        <f t="shared" si="182"/>
        <v>0</v>
      </c>
      <c r="AA968" s="118">
        <f t="shared" si="183"/>
        <v>0</v>
      </c>
    </row>
    <row r="969" spans="2:27">
      <c r="B969" s="47"/>
      <c r="C969" s="35"/>
      <c r="D969" s="53"/>
      <c r="E969" s="53"/>
      <c r="F969" s="48"/>
      <c r="G969" s="243" t="e">
        <f>INDEX('calcolo base'!$B:$B, MATCH($A969, 'calcolo base'!$A:$A, 0))</f>
        <v>#N/A</v>
      </c>
      <c r="H969" s="54" t="e">
        <f t="shared" si="174"/>
        <v>#N/A</v>
      </c>
      <c r="I969" s="259" t="e">
        <f>IF(  OR(      INDEX('calcolo base'!$D:$D, MATCH($A969, 'calcolo base'!$A:$A, 0)) = 0,
      INDEX('calcolo base'!$D:$D, MATCH($A969, 'calcolo base'!$A:$A, 0)) = ""   ),
   INDEX('calcolo base'!$K:$K, MATCH($A969, 'calcolo base'!$A:$A, 0)),
   INDEX('calcolo base'!$J:$J, MATCH($A969, 'calcolo base'!$A:$A, 0))
) / 1000</f>
        <v>#N/A</v>
      </c>
      <c r="J969" s="50" t="e">
        <f t="shared" si="175"/>
        <v>#N/A</v>
      </c>
      <c r="K969" s="50"/>
      <c r="L969" s="267" t="e">
        <f>INDEX('calcolo base'!$H:$H, MATCH($A969, 'calcolo base'!$A:$A, 0))</f>
        <v>#N/A</v>
      </c>
      <c r="M969" s="50" t="e">
        <f t="shared" si="176"/>
        <v>#N/A</v>
      </c>
      <c r="N969" s="50" t="e">
        <f t="shared" si="177"/>
        <v>#N/A</v>
      </c>
      <c r="O969" s="50" t="e">
        <f t="shared" si="184"/>
        <v>#N/A</v>
      </c>
      <c r="P969" s="50" t="e">
        <f t="shared" si="178"/>
        <v>#N/A</v>
      </c>
      <c r="Q969" s="51" t="e">
        <f t="shared" si="179"/>
        <v>#N/A</v>
      </c>
      <c r="R969" s="205" t="e">
        <f t="shared" si="180"/>
        <v>#N/A</v>
      </c>
      <c r="S969" s="279" t="e">
        <f>IF(R969="si",0,IF(E969="si",0,IF(J969&gt;K969,0,+K969-J969)))+IF('calcolo base'!P1661="SI",('Commissioni De Angeli'!K969-'Commissioni De Angeli'!J969),0)</f>
        <v>#N/A</v>
      </c>
      <c r="T969" s="117" t="e">
        <f t="shared" si="181"/>
        <v>#N/A</v>
      </c>
      <c r="U969" s="272" t="e">
        <f>IF(Q969=0,'calcolo base'!L3568,(T969+Q969))</f>
        <v>#N/A</v>
      </c>
      <c r="V969" s="119"/>
      <c r="Z969" s="118">
        <f t="shared" si="182"/>
        <v>0</v>
      </c>
      <c r="AA969" s="118">
        <f t="shared" si="183"/>
        <v>0</v>
      </c>
    </row>
    <row r="970" spans="2:27">
      <c r="B970" s="47"/>
      <c r="C970" s="35"/>
      <c r="D970" s="53"/>
      <c r="E970" s="53"/>
      <c r="F970" s="48"/>
      <c r="G970" s="243" t="e">
        <f>INDEX('calcolo base'!$B:$B, MATCH($A970, 'calcolo base'!$A:$A, 0))</f>
        <v>#N/A</v>
      </c>
      <c r="H970" s="54" t="e">
        <f t="shared" si="174"/>
        <v>#N/A</v>
      </c>
      <c r="I970" s="259" t="e">
        <f>IF(  OR(      INDEX('calcolo base'!$D:$D, MATCH($A970, 'calcolo base'!$A:$A, 0)) = 0,
      INDEX('calcolo base'!$D:$D, MATCH($A970, 'calcolo base'!$A:$A, 0)) = ""   ),
   INDEX('calcolo base'!$K:$K, MATCH($A970, 'calcolo base'!$A:$A, 0)),
   INDEX('calcolo base'!$J:$J, MATCH($A970, 'calcolo base'!$A:$A, 0))
) / 1000</f>
        <v>#N/A</v>
      </c>
      <c r="J970" s="50" t="e">
        <f t="shared" si="175"/>
        <v>#N/A</v>
      </c>
      <c r="K970" s="50"/>
      <c r="L970" s="267" t="e">
        <f>INDEX('calcolo base'!$H:$H, MATCH($A970, 'calcolo base'!$A:$A, 0))</f>
        <v>#N/A</v>
      </c>
      <c r="M970" s="50" t="e">
        <f t="shared" si="176"/>
        <v>#N/A</v>
      </c>
      <c r="N970" s="50" t="e">
        <f t="shared" si="177"/>
        <v>#N/A</v>
      </c>
      <c r="O970" s="50" t="e">
        <f t="shared" si="184"/>
        <v>#N/A</v>
      </c>
      <c r="P970" s="50" t="e">
        <f t="shared" si="178"/>
        <v>#N/A</v>
      </c>
      <c r="Q970" s="51" t="e">
        <f t="shared" si="179"/>
        <v>#N/A</v>
      </c>
      <c r="R970" s="205" t="e">
        <f t="shared" si="180"/>
        <v>#N/A</v>
      </c>
      <c r="S970" s="279" t="e">
        <f>IF(R970="si",0,IF(E970="si",0,IF(J970&gt;K970,0,+K970-J970)))+IF('calcolo base'!P1662="SI",('Commissioni De Angeli'!K970-'Commissioni De Angeli'!J970),0)</f>
        <v>#N/A</v>
      </c>
      <c r="T970" s="117" t="e">
        <f t="shared" si="181"/>
        <v>#N/A</v>
      </c>
      <c r="U970" s="272" t="e">
        <f>IF(Q970=0,'calcolo base'!L3569,(T970+Q970))</f>
        <v>#N/A</v>
      </c>
      <c r="V970" s="119"/>
      <c r="Z970" s="118">
        <f t="shared" si="182"/>
        <v>0</v>
      </c>
      <c r="AA970" s="118">
        <f t="shared" si="183"/>
        <v>0</v>
      </c>
    </row>
    <row r="971" spans="2:27">
      <c r="B971" s="47"/>
      <c r="C971" s="35"/>
      <c r="D971" s="53"/>
      <c r="E971" s="53"/>
      <c r="F971" s="48"/>
      <c r="G971" s="243" t="e">
        <f>INDEX('calcolo base'!$B:$B, MATCH($A971, 'calcolo base'!$A:$A, 0))</f>
        <v>#N/A</v>
      </c>
      <c r="H971" s="54" t="e">
        <f t="shared" si="174"/>
        <v>#N/A</v>
      </c>
      <c r="I971" s="259" t="e">
        <f>IF(  OR(      INDEX('calcolo base'!$D:$D, MATCH($A971, 'calcolo base'!$A:$A, 0)) = 0,
      INDEX('calcolo base'!$D:$D, MATCH($A971, 'calcolo base'!$A:$A, 0)) = ""   ),
   INDEX('calcolo base'!$K:$K, MATCH($A971, 'calcolo base'!$A:$A, 0)),
   INDEX('calcolo base'!$J:$J, MATCH($A971, 'calcolo base'!$A:$A, 0))
) / 1000</f>
        <v>#N/A</v>
      </c>
      <c r="J971" s="50" t="e">
        <f t="shared" si="175"/>
        <v>#N/A</v>
      </c>
      <c r="K971" s="50"/>
      <c r="L971" s="267" t="e">
        <f>INDEX('calcolo base'!$H:$H, MATCH($A971, 'calcolo base'!$A:$A, 0))</f>
        <v>#N/A</v>
      </c>
      <c r="M971" s="50" t="e">
        <f t="shared" si="176"/>
        <v>#N/A</v>
      </c>
      <c r="N971" s="50" t="e">
        <f t="shared" si="177"/>
        <v>#N/A</v>
      </c>
      <c r="O971" s="50" t="e">
        <f t="shared" si="184"/>
        <v>#N/A</v>
      </c>
      <c r="P971" s="50" t="e">
        <f t="shared" si="178"/>
        <v>#N/A</v>
      </c>
      <c r="Q971" s="51" t="e">
        <f t="shared" si="179"/>
        <v>#N/A</v>
      </c>
      <c r="R971" s="205" t="e">
        <f t="shared" si="180"/>
        <v>#N/A</v>
      </c>
      <c r="S971" s="279" t="e">
        <f>IF(R971="si",0,IF(E971="si",0,IF(J971&gt;K971,0,+K971-J971)))+IF('calcolo base'!P1663="SI",('Commissioni De Angeli'!K971-'Commissioni De Angeli'!J971),0)</f>
        <v>#N/A</v>
      </c>
      <c r="T971" s="117" t="e">
        <f t="shared" si="181"/>
        <v>#N/A</v>
      </c>
      <c r="U971" s="272" t="e">
        <f>IF(Q971=0,'calcolo base'!L3570,(T971+Q971))</f>
        <v>#N/A</v>
      </c>
      <c r="V971" s="119"/>
      <c r="Z971" s="118">
        <f t="shared" si="182"/>
        <v>0</v>
      </c>
      <c r="AA971" s="118">
        <f t="shared" si="183"/>
        <v>0</v>
      </c>
    </row>
    <row r="972" spans="2:27">
      <c r="B972" s="47"/>
      <c r="C972" s="35"/>
      <c r="D972" s="53"/>
      <c r="E972" s="53"/>
      <c r="F972" s="48"/>
      <c r="G972" s="243" t="e">
        <f>INDEX('calcolo base'!$B:$B, MATCH($A972, 'calcolo base'!$A:$A, 0))</f>
        <v>#N/A</v>
      </c>
      <c r="H972" s="54" t="e">
        <f t="shared" si="174"/>
        <v>#N/A</v>
      </c>
      <c r="I972" s="259" t="e">
        <f>IF(  OR(      INDEX('calcolo base'!$D:$D, MATCH($A972, 'calcolo base'!$A:$A, 0)) = 0,
      INDEX('calcolo base'!$D:$D, MATCH($A972, 'calcolo base'!$A:$A, 0)) = ""   ),
   INDEX('calcolo base'!$K:$K, MATCH($A972, 'calcolo base'!$A:$A, 0)),
   INDEX('calcolo base'!$J:$J, MATCH($A972, 'calcolo base'!$A:$A, 0))
) / 1000</f>
        <v>#N/A</v>
      </c>
      <c r="J972" s="50" t="e">
        <f t="shared" si="175"/>
        <v>#N/A</v>
      </c>
      <c r="K972" s="50"/>
      <c r="L972" s="267" t="e">
        <f>INDEX('calcolo base'!$H:$H, MATCH($A972, 'calcolo base'!$A:$A, 0))</f>
        <v>#N/A</v>
      </c>
      <c r="M972" s="50" t="e">
        <f t="shared" si="176"/>
        <v>#N/A</v>
      </c>
      <c r="N972" s="50" t="e">
        <f t="shared" si="177"/>
        <v>#N/A</v>
      </c>
      <c r="O972" s="50" t="e">
        <f t="shared" si="184"/>
        <v>#N/A</v>
      </c>
      <c r="P972" s="50" t="e">
        <f t="shared" si="178"/>
        <v>#N/A</v>
      </c>
      <c r="Q972" s="51" t="e">
        <f t="shared" si="179"/>
        <v>#N/A</v>
      </c>
      <c r="R972" s="205" t="e">
        <f t="shared" si="180"/>
        <v>#N/A</v>
      </c>
      <c r="S972" s="279" t="e">
        <f>IF(R972="si",0,IF(E972="si",0,IF(J972&gt;K972,0,+K972-J972)))+IF('calcolo base'!P1664="SI",('Commissioni De Angeli'!K972-'Commissioni De Angeli'!J972),0)</f>
        <v>#N/A</v>
      </c>
      <c r="T972" s="117" t="e">
        <f t="shared" si="181"/>
        <v>#N/A</v>
      </c>
      <c r="U972" s="272" t="e">
        <f>IF(Q972=0,'calcolo base'!L3571,(T972+Q972))</f>
        <v>#N/A</v>
      </c>
      <c r="V972" s="119"/>
      <c r="Z972" s="118">
        <f t="shared" si="182"/>
        <v>0</v>
      </c>
      <c r="AA972" s="118">
        <f t="shared" si="183"/>
        <v>0</v>
      </c>
    </row>
    <row r="973" spans="2:27">
      <c r="B973" s="47"/>
      <c r="C973" s="35"/>
      <c r="D973" s="53"/>
      <c r="E973" s="53"/>
      <c r="F973" s="48"/>
      <c r="G973" s="243" t="e">
        <f>INDEX('calcolo base'!$B:$B, MATCH($A973, 'calcolo base'!$A:$A, 0))</f>
        <v>#N/A</v>
      </c>
      <c r="H973" s="54" t="e">
        <f t="shared" si="174"/>
        <v>#N/A</v>
      </c>
      <c r="I973" s="259" t="e">
        <f>IF(  OR(      INDEX('calcolo base'!$D:$D, MATCH($A973, 'calcolo base'!$A:$A, 0)) = 0,
      INDEX('calcolo base'!$D:$D, MATCH($A973, 'calcolo base'!$A:$A, 0)) = ""   ),
   INDEX('calcolo base'!$K:$K, MATCH($A973, 'calcolo base'!$A:$A, 0)),
   INDEX('calcolo base'!$J:$J, MATCH($A973, 'calcolo base'!$A:$A, 0))
) / 1000</f>
        <v>#N/A</v>
      </c>
      <c r="J973" s="50" t="e">
        <f t="shared" si="175"/>
        <v>#N/A</v>
      </c>
      <c r="K973" s="50"/>
      <c r="L973" s="267" t="e">
        <f>INDEX('calcolo base'!$H:$H, MATCH($A973, 'calcolo base'!$A:$A, 0))</f>
        <v>#N/A</v>
      </c>
      <c r="M973" s="50" t="e">
        <f t="shared" si="176"/>
        <v>#N/A</v>
      </c>
      <c r="N973" s="50" t="e">
        <f t="shared" si="177"/>
        <v>#N/A</v>
      </c>
      <c r="O973" s="50" t="e">
        <f t="shared" si="184"/>
        <v>#N/A</v>
      </c>
      <c r="P973" s="50" t="e">
        <f t="shared" si="178"/>
        <v>#N/A</v>
      </c>
      <c r="Q973" s="51" t="e">
        <f t="shared" si="179"/>
        <v>#N/A</v>
      </c>
      <c r="R973" s="205" t="e">
        <f t="shared" si="180"/>
        <v>#N/A</v>
      </c>
      <c r="S973" s="279" t="e">
        <f>IF(R973="si",0,IF(E973="si",0,IF(J973&gt;K973,0,+K973-J973)))+IF('calcolo base'!P1665="SI",('Commissioni De Angeli'!K973-'Commissioni De Angeli'!J973),0)</f>
        <v>#N/A</v>
      </c>
      <c r="T973" s="117" t="e">
        <f t="shared" si="181"/>
        <v>#N/A</v>
      </c>
      <c r="U973" s="272" t="e">
        <f>IF(Q973=0,'calcolo base'!L3572,(T973+Q973))</f>
        <v>#N/A</v>
      </c>
      <c r="V973" s="119"/>
      <c r="Z973" s="118">
        <f t="shared" si="182"/>
        <v>0</v>
      </c>
      <c r="AA973" s="118">
        <f t="shared" si="183"/>
        <v>0</v>
      </c>
    </row>
    <row r="974" spans="2:27">
      <c r="B974" s="47"/>
      <c r="C974" s="35"/>
      <c r="D974" s="53"/>
      <c r="E974" s="53"/>
      <c r="F974" s="48"/>
      <c r="G974" s="243" t="e">
        <f>INDEX('calcolo base'!$B:$B, MATCH($A974, 'calcolo base'!$A:$A, 0))</f>
        <v>#N/A</v>
      </c>
      <c r="H974" s="54" t="e">
        <f t="shared" si="174"/>
        <v>#N/A</v>
      </c>
      <c r="I974" s="259" t="e">
        <f>IF(  OR(      INDEX('calcolo base'!$D:$D, MATCH($A974, 'calcolo base'!$A:$A, 0)) = 0,
      INDEX('calcolo base'!$D:$D, MATCH($A974, 'calcolo base'!$A:$A, 0)) = ""   ),
   INDEX('calcolo base'!$K:$K, MATCH($A974, 'calcolo base'!$A:$A, 0)),
   INDEX('calcolo base'!$J:$J, MATCH($A974, 'calcolo base'!$A:$A, 0))
) / 1000</f>
        <v>#N/A</v>
      </c>
      <c r="J974" s="50" t="e">
        <f t="shared" si="175"/>
        <v>#N/A</v>
      </c>
      <c r="K974" s="50"/>
      <c r="L974" s="267" t="e">
        <f>INDEX('calcolo base'!$H:$H, MATCH($A974, 'calcolo base'!$A:$A, 0))</f>
        <v>#N/A</v>
      </c>
      <c r="M974" s="50" t="e">
        <f t="shared" si="176"/>
        <v>#N/A</v>
      </c>
      <c r="N974" s="50" t="e">
        <f t="shared" si="177"/>
        <v>#N/A</v>
      </c>
      <c r="O974" s="50" t="e">
        <f t="shared" si="184"/>
        <v>#N/A</v>
      </c>
      <c r="P974" s="50" t="e">
        <f t="shared" si="178"/>
        <v>#N/A</v>
      </c>
      <c r="Q974" s="51" t="e">
        <f t="shared" si="179"/>
        <v>#N/A</v>
      </c>
      <c r="R974" s="205" t="e">
        <f t="shared" si="180"/>
        <v>#N/A</v>
      </c>
      <c r="S974" s="279" t="e">
        <f>IF(R974="si",0,IF(E974="si",0,IF(J974&gt;K974,0,+K974-J974)))+IF('calcolo base'!P1666="SI",('Commissioni De Angeli'!K974-'Commissioni De Angeli'!J974),0)</f>
        <v>#N/A</v>
      </c>
      <c r="T974" s="117" t="e">
        <f t="shared" si="181"/>
        <v>#N/A</v>
      </c>
      <c r="U974" s="272" t="e">
        <f>IF(Q974=0,'calcolo base'!L3573,(T974+Q974))</f>
        <v>#N/A</v>
      </c>
      <c r="V974" s="119"/>
      <c r="Z974" s="118">
        <f t="shared" si="182"/>
        <v>0</v>
      </c>
      <c r="AA974" s="118">
        <f t="shared" si="183"/>
        <v>0</v>
      </c>
    </row>
    <row r="975" spans="2:27">
      <c r="B975" s="47"/>
      <c r="C975" s="35"/>
      <c r="D975" s="53"/>
      <c r="E975" s="53"/>
      <c r="F975" s="48"/>
      <c r="G975" s="243" t="e">
        <f>INDEX('calcolo base'!$B:$B, MATCH($A975, 'calcolo base'!$A:$A, 0))</f>
        <v>#N/A</v>
      </c>
      <c r="H975" s="54" t="e">
        <f t="shared" si="174"/>
        <v>#N/A</v>
      </c>
      <c r="I975" s="259" t="e">
        <f>IF(  OR(      INDEX('calcolo base'!$D:$D, MATCH($A975, 'calcolo base'!$A:$A, 0)) = 0,
      INDEX('calcolo base'!$D:$D, MATCH($A975, 'calcolo base'!$A:$A, 0)) = ""   ),
   INDEX('calcolo base'!$K:$K, MATCH($A975, 'calcolo base'!$A:$A, 0)),
   INDEX('calcolo base'!$J:$J, MATCH($A975, 'calcolo base'!$A:$A, 0))
) / 1000</f>
        <v>#N/A</v>
      </c>
      <c r="J975" s="50" t="e">
        <f t="shared" si="175"/>
        <v>#N/A</v>
      </c>
      <c r="K975" s="50"/>
      <c r="L975" s="267" t="e">
        <f>INDEX('calcolo base'!$H:$H, MATCH($A975, 'calcolo base'!$A:$A, 0))</f>
        <v>#N/A</v>
      </c>
      <c r="M975" s="50" t="e">
        <f t="shared" si="176"/>
        <v>#N/A</v>
      </c>
      <c r="N975" s="50" t="e">
        <f t="shared" si="177"/>
        <v>#N/A</v>
      </c>
      <c r="O975" s="50" t="e">
        <f t="shared" si="184"/>
        <v>#N/A</v>
      </c>
      <c r="P975" s="50" t="e">
        <f t="shared" si="178"/>
        <v>#N/A</v>
      </c>
      <c r="Q975" s="51" t="e">
        <f t="shared" si="179"/>
        <v>#N/A</v>
      </c>
      <c r="R975" s="205" t="e">
        <f t="shared" si="180"/>
        <v>#N/A</v>
      </c>
      <c r="S975" s="279" t="e">
        <f>IF(R975="si",0,IF(E975="si",0,IF(J975&gt;K975,0,+K975-J975)))+IF('calcolo base'!P1667="SI",('Commissioni De Angeli'!K975-'Commissioni De Angeli'!J975),0)</f>
        <v>#N/A</v>
      </c>
      <c r="T975" s="117" t="e">
        <f t="shared" si="181"/>
        <v>#N/A</v>
      </c>
      <c r="U975" s="272" t="e">
        <f>IF(Q975=0,'calcolo base'!L3574,(T975+Q975))</f>
        <v>#N/A</v>
      </c>
      <c r="V975" s="119"/>
      <c r="Z975" s="118">
        <f t="shared" si="182"/>
        <v>0</v>
      </c>
      <c r="AA975" s="118">
        <f t="shared" si="183"/>
        <v>0</v>
      </c>
    </row>
    <row r="976" spans="2:27">
      <c r="B976" s="47"/>
      <c r="C976" s="35"/>
      <c r="D976" s="53"/>
      <c r="E976" s="53"/>
      <c r="F976" s="48"/>
      <c r="G976" s="243" t="e">
        <f>INDEX('calcolo base'!$B:$B, MATCH($A976, 'calcolo base'!$A:$A, 0))</f>
        <v>#N/A</v>
      </c>
      <c r="H976" s="54" t="e">
        <f t="shared" si="174"/>
        <v>#N/A</v>
      </c>
      <c r="I976" s="259" t="e">
        <f>IF(  OR(      INDEX('calcolo base'!$D:$D, MATCH($A976, 'calcolo base'!$A:$A, 0)) = 0,
      INDEX('calcolo base'!$D:$D, MATCH($A976, 'calcolo base'!$A:$A, 0)) = ""   ),
   INDEX('calcolo base'!$K:$K, MATCH($A976, 'calcolo base'!$A:$A, 0)),
   INDEX('calcolo base'!$J:$J, MATCH($A976, 'calcolo base'!$A:$A, 0))
) / 1000</f>
        <v>#N/A</v>
      </c>
      <c r="J976" s="50" t="e">
        <f t="shared" si="175"/>
        <v>#N/A</v>
      </c>
      <c r="K976" s="50"/>
      <c r="L976" s="267" t="e">
        <f>INDEX('calcolo base'!$H:$H, MATCH($A976, 'calcolo base'!$A:$A, 0))</f>
        <v>#N/A</v>
      </c>
      <c r="M976" s="50" t="e">
        <f t="shared" si="176"/>
        <v>#N/A</v>
      </c>
      <c r="N976" s="50" t="e">
        <f t="shared" si="177"/>
        <v>#N/A</v>
      </c>
      <c r="O976" s="50" t="e">
        <f t="shared" si="184"/>
        <v>#N/A</v>
      </c>
      <c r="P976" s="50" t="e">
        <f t="shared" si="178"/>
        <v>#N/A</v>
      </c>
      <c r="Q976" s="51" t="e">
        <f t="shared" si="179"/>
        <v>#N/A</v>
      </c>
      <c r="R976" s="205" t="e">
        <f t="shared" si="180"/>
        <v>#N/A</v>
      </c>
      <c r="S976" s="279" t="e">
        <f>IF(R976="si",0,IF(E976="si",0,IF(J976&gt;K976,0,+K976-J976)))+IF('calcolo base'!P1668="SI",('Commissioni De Angeli'!K976-'Commissioni De Angeli'!J976),0)</f>
        <v>#N/A</v>
      </c>
      <c r="T976" s="117" t="e">
        <f t="shared" si="181"/>
        <v>#N/A</v>
      </c>
      <c r="U976" s="272" t="e">
        <f>IF(Q976=0,'calcolo base'!L3575,(T976+Q976))</f>
        <v>#N/A</v>
      </c>
      <c r="V976" s="119"/>
      <c r="Z976" s="118">
        <f t="shared" si="182"/>
        <v>0</v>
      </c>
      <c r="AA976" s="118">
        <f t="shared" si="183"/>
        <v>0</v>
      </c>
    </row>
    <row r="977" spans="2:27">
      <c r="B977" s="47"/>
      <c r="C977" s="35"/>
      <c r="D977" s="53"/>
      <c r="E977" s="53"/>
      <c r="F977" s="48"/>
      <c r="G977" s="243" t="e">
        <f>INDEX('calcolo base'!$B:$B, MATCH($A977, 'calcolo base'!$A:$A, 0))</f>
        <v>#N/A</v>
      </c>
      <c r="H977" s="54" t="e">
        <f t="shared" si="174"/>
        <v>#N/A</v>
      </c>
      <c r="I977" s="259" t="e">
        <f>IF(  OR(      INDEX('calcolo base'!$D:$D, MATCH($A977, 'calcolo base'!$A:$A, 0)) = 0,
      INDEX('calcolo base'!$D:$D, MATCH($A977, 'calcolo base'!$A:$A, 0)) = ""   ),
   INDEX('calcolo base'!$K:$K, MATCH($A977, 'calcolo base'!$A:$A, 0)),
   INDEX('calcolo base'!$J:$J, MATCH($A977, 'calcolo base'!$A:$A, 0))
) / 1000</f>
        <v>#N/A</v>
      </c>
      <c r="J977" s="50" t="e">
        <f t="shared" si="175"/>
        <v>#N/A</v>
      </c>
      <c r="K977" s="50"/>
      <c r="L977" s="267" t="e">
        <f>INDEX('calcolo base'!$H:$H, MATCH($A977, 'calcolo base'!$A:$A, 0))</f>
        <v>#N/A</v>
      </c>
      <c r="M977" s="50" t="e">
        <f t="shared" si="176"/>
        <v>#N/A</v>
      </c>
      <c r="N977" s="50" t="e">
        <f t="shared" si="177"/>
        <v>#N/A</v>
      </c>
      <c r="O977" s="50" t="e">
        <f t="shared" si="184"/>
        <v>#N/A</v>
      </c>
      <c r="P977" s="50" t="e">
        <f t="shared" si="178"/>
        <v>#N/A</v>
      </c>
      <c r="Q977" s="51" t="e">
        <f t="shared" si="179"/>
        <v>#N/A</v>
      </c>
      <c r="R977" s="205" t="e">
        <f t="shared" si="180"/>
        <v>#N/A</v>
      </c>
      <c r="S977" s="279" t="e">
        <f>IF(R977="si",0,IF(E977="si",0,IF(J977&gt;K977,0,+K977-J977)))+IF('calcolo base'!P1669="SI",('Commissioni De Angeli'!K977-'Commissioni De Angeli'!J977),0)</f>
        <v>#N/A</v>
      </c>
      <c r="T977" s="117" t="e">
        <f t="shared" si="181"/>
        <v>#N/A</v>
      </c>
      <c r="U977" s="272" t="e">
        <f>IF(Q977=0,'calcolo base'!L3576,(T977+Q977))</f>
        <v>#N/A</v>
      </c>
      <c r="V977" s="119"/>
      <c r="Z977" s="118">
        <f t="shared" si="182"/>
        <v>0</v>
      </c>
      <c r="AA977" s="118">
        <f t="shared" si="183"/>
        <v>0</v>
      </c>
    </row>
    <row r="978" spans="2:27">
      <c r="B978" s="47"/>
      <c r="C978" s="35"/>
      <c r="D978" s="53"/>
      <c r="E978" s="53"/>
      <c r="F978" s="48"/>
      <c r="G978" s="243" t="e">
        <f>INDEX('calcolo base'!$B:$B, MATCH($A978, 'calcolo base'!$A:$A, 0))</f>
        <v>#N/A</v>
      </c>
      <c r="H978" s="54" t="e">
        <f t="shared" si="174"/>
        <v>#N/A</v>
      </c>
      <c r="I978" s="259" t="e">
        <f>IF(  OR(      INDEX('calcolo base'!$D:$D, MATCH($A978, 'calcolo base'!$A:$A, 0)) = 0,
      INDEX('calcolo base'!$D:$D, MATCH($A978, 'calcolo base'!$A:$A, 0)) = ""   ),
   INDEX('calcolo base'!$K:$K, MATCH($A978, 'calcolo base'!$A:$A, 0)),
   INDEX('calcolo base'!$J:$J, MATCH($A978, 'calcolo base'!$A:$A, 0))
) / 1000</f>
        <v>#N/A</v>
      </c>
      <c r="J978" s="50" t="e">
        <f t="shared" si="175"/>
        <v>#N/A</v>
      </c>
      <c r="K978" s="50"/>
      <c r="L978" s="267" t="e">
        <f>INDEX('calcolo base'!$H:$H, MATCH($A978, 'calcolo base'!$A:$A, 0))</f>
        <v>#N/A</v>
      </c>
      <c r="M978" s="50" t="e">
        <f t="shared" si="176"/>
        <v>#N/A</v>
      </c>
      <c r="N978" s="50" t="e">
        <f t="shared" si="177"/>
        <v>#N/A</v>
      </c>
      <c r="O978" s="50" t="e">
        <f t="shared" si="184"/>
        <v>#N/A</v>
      </c>
      <c r="P978" s="50" t="e">
        <f t="shared" si="178"/>
        <v>#N/A</v>
      </c>
      <c r="Q978" s="51" t="e">
        <f t="shared" si="179"/>
        <v>#N/A</v>
      </c>
      <c r="R978" s="205" t="e">
        <f t="shared" si="180"/>
        <v>#N/A</v>
      </c>
      <c r="S978" s="279" t="e">
        <f>IF(R978="si",0,IF(E978="si",0,IF(J978&gt;K978,0,+K978-J978)))+IF('calcolo base'!P1670="SI",('Commissioni De Angeli'!K978-'Commissioni De Angeli'!J978),0)</f>
        <v>#N/A</v>
      </c>
      <c r="T978" s="117" t="e">
        <f t="shared" si="181"/>
        <v>#N/A</v>
      </c>
      <c r="U978" s="272" t="e">
        <f>IF(Q978=0,'calcolo base'!L3577,(T978+Q978))</f>
        <v>#N/A</v>
      </c>
      <c r="V978" s="119"/>
      <c r="Z978" s="118">
        <f t="shared" si="182"/>
        <v>0</v>
      </c>
      <c r="AA978" s="118">
        <f t="shared" si="183"/>
        <v>0</v>
      </c>
    </row>
    <row r="979" spans="2:27">
      <c r="B979" s="47"/>
      <c r="C979" s="35"/>
      <c r="D979" s="53"/>
      <c r="E979" s="53"/>
      <c r="F979" s="48"/>
      <c r="G979" s="243" t="e">
        <f>INDEX('calcolo base'!$B:$B, MATCH($A979, 'calcolo base'!$A:$A, 0))</f>
        <v>#N/A</v>
      </c>
      <c r="H979" s="54" t="e">
        <f t="shared" si="174"/>
        <v>#N/A</v>
      </c>
      <c r="I979" s="259" t="e">
        <f>IF(  OR(      INDEX('calcolo base'!$D:$D, MATCH($A979, 'calcolo base'!$A:$A, 0)) = 0,
      INDEX('calcolo base'!$D:$D, MATCH($A979, 'calcolo base'!$A:$A, 0)) = ""   ),
   INDEX('calcolo base'!$K:$K, MATCH($A979, 'calcolo base'!$A:$A, 0)),
   INDEX('calcolo base'!$J:$J, MATCH($A979, 'calcolo base'!$A:$A, 0))
) / 1000</f>
        <v>#N/A</v>
      </c>
      <c r="J979" s="50" t="e">
        <f t="shared" si="175"/>
        <v>#N/A</v>
      </c>
      <c r="K979" s="50"/>
      <c r="L979" s="267" t="e">
        <f>INDEX('calcolo base'!$H:$H, MATCH($A979, 'calcolo base'!$A:$A, 0))</f>
        <v>#N/A</v>
      </c>
      <c r="M979" s="50" t="e">
        <f t="shared" si="176"/>
        <v>#N/A</v>
      </c>
      <c r="N979" s="50" t="e">
        <f t="shared" si="177"/>
        <v>#N/A</v>
      </c>
      <c r="O979" s="50" t="e">
        <f t="shared" si="184"/>
        <v>#N/A</v>
      </c>
      <c r="P979" s="50" t="e">
        <f t="shared" si="178"/>
        <v>#N/A</v>
      </c>
      <c r="Q979" s="51" t="e">
        <f t="shared" si="179"/>
        <v>#N/A</v>
      </c>
      <c r="R979" s="205" t="e">
        <f t="shared" si="180"/>
        <v>#N/A</v>
      </c>
      <c r="S979" s="279" t="e">
        <f>IF(R979="si",0,IF(E979="si",0,IF(J979&gt;K979,0,+K979-J979)))+IF('calcolo base'!P1671="SI",('Commissioni De Angeli'!K979-'Commissioni De Angeli'!J979),0)</f>
        <v>#N/A</v>
      </c>
      <c r="T979" s="117" t="e">
        <f t="shared" si="181"/>
        <v>#N/A</v>
      </c>
      <c r="U979" s="272" t="e">
        <f>IF(Q979=0,'calcolo base'!L3578,(T979+Q979))</f>
        <v>#N/A</v>
      </c>
      <c r="V979" s="119"/>
      <c r="Z979" s="118">
        <f t="shared" si="182"/>
        <v>0</v>
      </c>
      <c r="AA979" s="118">
        <f t="shared" si="183"/>
        <v>0</v>
      </c>
    </row>
    <row r="980" spans="2:27">
      <c r="B980" s="47"/>
      <c r="C980" s="35"/>
      <c r="D980" s="53"/>
      <c r="E980" s="53"/>
      <c r="F980" s="48"/>
      <c r="G980" s="243" t="e">
        <f>INDEX('calcolo base'!$B:$B, MATCH($A980, 'calcolo base'!$A:$A, 0))</f>
        <v>#N/A</v>
      </c>
      <c r="H980" s="54" t="e">
        <f t="shared" si="174"/>
        <v>#N/A</v>
      </c>
      <c r="I980" s="259" t="e">
        <f>IF(  OR(      INDEX('calcolo base'!$D:$D, MATCH($A980, 'calcolo base'!$A:$A, 0)) = 0,
      INDEX('calcolo base'!$D:$D, MATCH($A980, 'calcolo base'!$A:$A, 0)) = ""   ),
   INDEX('calcolo base'!$K:$K, MATCH($A980, 'calcolo base'!$A:$A, 0)),
   INDEX('calcolo base'!$J:$J, MATCH($A980, 'calcolo base'!$A:$A, 0))
) / 1000</f>
        <v>#N/A</v>
      </c>
      <c r="J980" s="50" t="e">
        <f t="shared" si="175"/>
        <v>#N/A</v>
      </c>
      <c r="K980" s="50"/>
      <c r="L980" s="267" t="e">
        <f>INDEX('calcolo base'!$H:$H, MATCH($A980, 'calcolo base'!$A:$A, 0))</f>
        <v>#N/A</v>
      </c>
      <c r="M980" s="50" t="e">
        <f t="shared" si="176"/>
        <v>#N/A</v>
      </c>
      <c r="N980" s="50" t="e">
        <f t="shared" si="177"/>
        <v>#N/A</v>
      </c>
      <c r="O980" s="50" t="e">
        <f t="shared" si="184"/>
        <v>#N/A</v>
      </c>
      <c r="P980" s="50" t="e">
        <f t="shared" si="178"/>
        <v>#N/A</v>
      </c>
      <c r="Q980" s="51" t="e">
        <f t="shared" si="179"/>
        <v>#N/A</v>
      </c>
      <c r="R980" s="205" t="e">
        <f t="shared" si="180"/>
        <v>#N/A</v>
      </c>
      <c r="S980" s="279" t="e">
        <f>IF(R980="si",0,IF(E980="si",0,IF(J980&gt;K980,0,+K980-J980)))+IF('calcolo base'!P1672="SI",('Commissioni De Angeli'!K980-'Commissioni De Angeli'!J980),0)</f>
        <v>#N/A</v>
      </c>
      <c r="T980" s="117" t="e">
        <f t="shared" si="181"/>
        <v>#N/A</v>
      </c>
      <c r="U980" s="272" t="e">
        <f>IF(Q980=0,'calcolo base'!L3579,(T980+Q980))</f>
        <v>#N/A</v>
      </c>
      <c r="V980" s="119"/>
      <c r="Z980" s="118">
        <f t="shared" si="182"/>
        <v>0</v>
      </c>
      <c r="AA980" s="118">
        <f t="shared" si="183"/>
        <v>0</v>
      </c>
    </row>
    <row r="981" spans="2:27">
      <c r="B981" s="47"/>
      <c r="C981" s="35"/>
      <c r="D981" s="53"/>
      <c r="E981" s="53"/>
      <c r="F981" s="48"/>
      <c r="G981" s="243" t="e">
        <f>INDEX('calcolo base'!$B:$B, MATCH($A981, 'calcolo base'!$A:$A, 0))</f>
        <v>#N/A</v>
      </c>
      <c r="H981" s="54" t="e">
        <f t="shared" si="174"/>
        <v>#N/A</v>
      </c>
      <c r="I981" s="259" t="e">
        <f>IF(  OR(      INDEX('calcolo base'!$D:$D, MATCH($A981, 'calcolo base'!$A:$A, 0)) = 0,
      INDEX('calcolo base'!$D:$D, MATCH($A981, 'calcolo base'!$A:$A, 0)) = ""   ),
   INDEX('calcolo base'!$K:$K, MATCH($A981, 'calcolo base'!$A:$A, 0)),
   INDEX('calcolo base'!$J:$J, MATCH($A981, 'calcolo base'!$A:$A, 0))
) / 1000</f>
        <v>#N/A</v>
      </c>
      <c r="J981" s="50" t="e">
        <f t="shared" si="175"/>
        <v>#N/A</v>
      </c>
      <c r="K981" s="50"/>
      <c r="L981" s="267" t="e">
        <f>INDEX('calcolo base'!$H:$H, MATCH($A981, 'calcolo base'!$A:$A, 0))</f>
        <v>#N/A</v>
      </c>
      <c r="M981" s="50" t="e">
        <f t="shared" si="176"/>
        <v>#N/A</v>
      </c>
      <c r="N981" s="50" t="e">
        <f t="shared" si="177"/>
        <v>#N/A</v>
      </c>
      <c r="O981" s="50" t="e">
        <f t="shared" si="184"/>
        <v>#N/A</v>
      </c>
      <c r="P981" s="50" t="e">
        <f t="shared" si="178"/>
        <v>#N/A</v>
      </c>
      <c r="Q981" s="51" t="e">
        <f t="shared" si="179"/>
        <v>#N/A</v>
      </c>
      <c r="R981" s="205" t="e">
        <f t="shared" si="180"/>
        <v>#N/A</v>
      </c>
      <c r="S981" s="279" t="e">
        <f>IF(R981="si",0,IF(E981="si",0,IF(J981&gt;K981,0,+K981-J981)))+IF('calcolo base'!P1673="SI",('Commissioni De Angeli'!K981-'Commissioni De Angeli'!J981),0)</f>
        <v>#N/A</v>
      </c>
      <c r="T981" s="117" t="e">
        <f t="shared" si="181"/>
        <v>#N/A</v>
      </c>
      <c r="U981" s="272" t="e">
        <f>IF(Q981=0,'calcolo base'!L3580,(T981+Q981))</f>
        <v>#N/A</v>
      </c>
      <c r="V981" s="119"/>
      <c r="Z981" s="118">
        <f t="shared" ref="Z981:Z1044" si="185">IF(V981="",0,MONTH(V981))</f>
        <v>0</v>
      </c>
      <c r="AA981" s="118">
        <f t="shared" ref="AA981:AA1044" si="186">IF(V981="",0,YEAR(V981))</f>
        <v>0</v>
      </c>
    </row>
    <row r="982" spans="2:27">
      <c r="B982" s="47"/>
      <c r="C982" s="35"/>
      <c r="D982" s="53"/>
      <c r="E982" s="53"/>
      <c r="F982" s="48"/>
      <c r="G982" s="243" t="e">
        <f>INDEX('calcolo base'!$B:$B, MATCH($A982, 'calcolo base'!$A:$A, 0))</f>
        <v>#N/A</v>
      </c>
      <c r="H982" s="54" t="e">
        <f t="shared" si="174"/>
        <v>#N/A</v>
      </c>
      <c r="I982" s="259" t="e">
        <f>IF(  OR(      INDEX('calcolo base'!$D:$D, MATCH($A982, 'calcolo base'!$A:$A, 0)) = 0,
      INDEX('calcolo base'!$D:$D, MATCH($A982, 'calcolo base'!$A:$A, 0)) = ""   ),
   INDEX('calcolo base'!$K:$K, MATCH($A982, 'calcolo base'!$A:$A, 0)),
   INDEX('calcolo base'!$J:$J, MATCH($A982, 'calcolo base'!$A:$A, 0))
) / 1000</f>
        <v>#N/A</v>
      </c>
      <c r="J982" s="50" t="e">
        <f t="shared" si="175"/>
        <v>#N/A</v>
      </c>
      <c r="K982" s="50"/>
      <c r="L982" s="267" t="e">
        <f>INDEX('calcolo base'!$H:$H, MATCH($A982, 'calcolo base'!$A:$A, 0))</f>
        <v>#N/A</v>
      </c>
      <c r="M982" s="50" t="e">
        <f t="shared" si="176"/>
        <v>#N/A</v>
      </c>
      <c r="N982" s="50" t="e">
        <f t="shared" si="177"/>
        <v>#N/A</v>
      </c>
      <c r="O982" s="50" t="e">
        <f t="shared" si="184"/>
        <v>#N/A</v>
      </c>
      <c r="P982" s="50" t="e">
        <f t="shared" si="178"/>
        <v>#N/A</v>
      </c>
      <c r="Q982" s="51" t="e">
        <f t="shared" si="179"/>
        <v>#N/A</v>
      </c>
      <c r="R982" s="205" t="e">
        <f t="shared" si="180"/>
        <v>#N/A</v>
      </c>
      <c r="S982" s="279" t="e">
        <f>IF(R982="si",0,IF(E982="si",0,IF(J982&gt;K982,0,+K982-J982)))+IF('calcolo base'!P1674="SI",('Commissioni De Angeli'!K982-'Commissioni De Angeli'!J982),0)</f>
        <v>#N/A</v>
      </c>
      <c r="T982" s="117" t="e">
        <f t="shared" si="181"/>
        <v>#N/A</v>
      </c>
      <c r="U982" s="272" t="e">
        <f>IF(Q982=0,'calcolo base'!L3581,(T982+Q982))</f>
        <v>#N/A</v>
      </c>
      <c r="V982" s="119"/>
      <c r="Z982" s="118">
        <f t="shared" si="185"/>
        <v>0</v>
      </c>
      <c r="AA982" s="118">
        <f t="shared" si="186"/>
        <v>0</v>
      </c>
    </row>
    <row r="983" spans="2:27">
      <c r="B983" s="47"/>
      <c r="C983" s="35"/>
      <c r="D983" s="53"/>
      <c r="E983" s="53"/>
      <c r="F983" s="48"/>
      <c r="G983" s="243" t="e">
        <f>INDEX('calcolo base'!$B:$B, MATCH($A983, 'calcolo base'!$A:$A, 0))</f>
        <v>#N/A</v>
      </c>
      <c r="H983" s="54" t="e">
        <f t="shared" si="174"/>
        <v>#N/A</v>
      </c>
      <c r="I983" s="259" t="e">
        <f>IF(  OR(      INDEX('calcolo base'!$D:$D, MATCH($A983, 'calcolo base'!$A:$A, 0)) = 0,
      INDEX('calcolo base'!$D:$D, MATCH($A983, 'calcolo base'!$A:$A, 0)) = ""   ),
   INDEX('calcolo base'!$K:$K, MATCH($A983, 'calcolo base'!$A:$A, 0)),
   INDEX('calcolo base'!$J:$J, MATCH($A983, 'calcolo base'!$A:$A, 0))
) / 1000</f>
        <v>#N/A</v>
      </c>
      <c r="J983" s="50" t="e">
        <f t="shared" si="175"/>
        <v>#N/A</v>
      </c>
      <c r="K983" s="50"/>
      <c r="L983" s="267" t="e">
        <f>INDEX('calcolo base'!$H:$H, MATCH($A983, 'calcolo base'!$A:$A, 0))</f>
        <v>#N/A</v>
      </c>
      <c r="M983" s="50" t="e">
        <f t="shared" si="176"/>
        <v>#N/A</v>
      </c>
      <c r="N983" s="50" t="e">
        <f t="shared" si="177"/>
        <v>#N/A</v>
      </c>
      <c r="O983" s="50" t="e">
        <f t="shared" si="184"/>
        <v>#N/A</v>
      </c>
      <c r="P983" s="50" t="e">
        <f t="shared" si="178"/>
        <v>#N/A</v>
      </c>
      <c r="Q983" s="51" t="e">
        <f t="shared" si="179"/>
        <v>#N/A</v>
      </c>
      <c r="R983" s="205" t="e">
        <f t="shared" si="180"/>
        <v>#N/A</v>
      </c>
      <c r="S983" s="279" t="e">
        <f>IF(R983="si",0,IF(E983="si",0,IF(J983&gt;K983,0,+K983-J983)))+IF('calcolo base'!P1675="SI",('Commissioni De Angeli'!K983-'Commissioni De Angeli'!J983),0)</f>
        <v>#N/A</v>
      </c>
      <c r="T983" s="117" t="e">
        <f t="shared" si="181"/>
        <v>#N/A</v>
      </c>
      <c r="U983" s="272" t="e">
        <f>IF(Q983=0,'calcolo base'!L3582,(T983+Q983))</f>
        <v>#N/A</v>
      </c>
      <c r="V983" s="119"/>
      <c r="Z983" s="118">
        <f t="shared" si="185"/>
        <v>0</v>
      </c>
      <c r="AA983" s="118">
        <f t="shared" si="186"/>
        <v>0</v>
      </c>
    </row>
    <row r="984" spans="2:27">
      <c r="B984" s="47"/>
      <c r="C984" s="35"/>
      <c r="D984" s="53"/>
      <c r="E984" s="53"/>
      <c r="F984" s="48"/>
      <c r="G984" s="243" t="e">
        <f>INDEX('calcolo base'!$B:$B, MATCH($A984, 'calcolo base'!$A:$A, 0))</f>
        <v>#N/A</v>
      </c>
      <c r="H984" s="54" t="e">
        <f t="shared" si="174"/>
        <v>#N/A</v>
      </c>
      <c r="I984" s="259" t="e">
        <f>IF(  OR(      INDEX('calcolo base'!$D:$D, MATCH($A984, 'calcolo base'!$A:$A, 0)) = 0,
      INDEX('calcolo base'!$D:$D, MATCH($A984, 'calcolo base'!$A:$A, 0)) = ""   ),
   INDEX('calcolo base'!$K:$K, MATCH($A984, 'calcolo base'!$A:$A, 0)),
   INDEX('calcolo base'!$J:$J, MATCH($A984, 'calcolo base'!$A:$A, 0))
) / 1000</f>
        <v>#N/A</v>
      </c>
      <c r="J984" s="50" t="e">
        <f t="shared" si="175"/>
        <v>#N/A</v>
      </c>
      <c r="K984" s="50"/>
      <c r="L984" s="267" t="e">
        <f>INDEX('calcolo base'!$H:$H, MATCH($A984, 'calcolo base'!$A:$A, 0))</f>
        <v>#N/A</v>
      </c>
      <c r="M984" s="50" t="e">
        <f t="shared" si="176"/>
        <v>#N/A</v>
      </c>
      <c r="N984" s="50" t="e">
        <f t="shared" si="177"/>
        <v>#N/A</v>
      </c>
      <c r="O984" s="50" t="e">
        <f t="shared" si="184"/>
        <v>#N/A</v>
      </c>
      <c r="P984" s="50" t="e">
        <f t="shared" si="178"/>
        <v>#N/A</v>
      </c>
      <c r="Q984" s="51" t="e">
        <f t="shared" si="179"/>
        <v>#N/A</v>
      </c>
      <c r="R984" s="205" t="e">
        <f t="shared" si="180"/>
        <v>#N/A</v>
      </c>
      <c r="S984" s="279" t="e">
        <f>IF(R984="si",0,IF(E984="si",0,IF(J984&gt;K984,0,+K984-J984)))+IF('calcolo base'!P1676="SI",('Commissioni De Angeli'!K984-'Commissioni De Angeli'!J984),0)</f>
        <v>#N/A</v>
      </c>
      <c r="T984" s="117" t="e">
        <f t="shared" si="181"/>
        <v>#N/A</v>
      </c>
      <c r="U984" s="272" t="e">
        <f>IF(Q984=0,'calcolo base'!L3583,(T984+Q984))</f>
        <v>#N/A</v>
      </c>
      <c r="V984" s="119"/>
      <c r="Z984" s="118">
        <f t="shared" si="185"/>
        <v>0</v>
      </c>
      <c r="AA984" s="118">
        <f t="shared" si="186"/>
        <v>0</v>
      </c>
    </row>
    <row r="985" spans="2:27">
      <c r="B985" s="47"/>
      <c r="C985" s="35"/>
      <c r="D985" s="53"/>
      <c r="E985" s="53"/>
      <c r="F985" s="48"/>
      <c r="G985" s="243" t="e">
        <f>INDEX('calcolo base'!$B:$B, MATCH($A985, 'calcolo base'!$A:$A, 0))</f>
        <v>#N/A</v>
      </c>
      <c r="H985" s="54" t="e">
        <f t="shared" si="174"/>
        <v>#N/A</v>
      </c>
      <c r="I985" s="259" t="e">
        <f>IF(  OR(      INDEX('calcolo base'!$D:$D, MATCH($A985, 'calcolo base'!$A:$A, 0)) = 0,
      INDEX('calcolo base'!$D:$D, MATCH($A985, 'calcolo base'!$A:$A, 0)) = ""   ),
   INDEX('calcolo base'!$K:$K, MATCH($A985, 'calcolo base'!$A:$A, 0)),
   INDEX('calcolo base'!$J:$J, MATCH($A985, 'calcolo base'!$A:$A, 0))
) / 1000</f>
        <v>#N/A</v>
      </c>
      <c r="J985" s="50" t="e">
        <f t="shared" si="175"/>
        <v>#N/A</v>
      </c>
      <c r="K985" s="50"/>
      <c r="L985" s="267" t="e">
        <f>INDEX('calcolo base'!$H:$H, MATCH($A985, 'calcolo base'!$A:$A, 0))</f>
        <v>#N/A</v>
      </c>
      <c r="M985" s="50" t="e">
        <f t="shared" si="176"/>
        <v>#N/A</v>
      </c>
      <c r="N985" s="50" t="e">
        <f t="shared" si="177"/>
        <v>#N/A</v>
      </c>
      <c r="O985" s="50" t="e">
        <f t="shared" si="184"/>
        <v>#N/A</v>
      </c>
      <c r="P985" s="50" t="e">
        <f t="shared" si="178"/>
        <v>#N/A</v>
      </c>
      <c r="Q985" s="51" t="e">
        <f t="shared" si="179"/>
        <v>#N/A</v>
      </c>
      <c r="R985" s="205" t="e">
        <f t="shared" si="180"/>
        <v>#N/A</v>
      </c>
      <c r="S985" s="279" t="e">
        <f>IF(R985="si",0,IF(E985="si",0,IF(J985&gt;K985,0,+K985-J985)))+IF('calcolo base'!P1677="SI",('Commissioni De Angeli'!K985-'Commissioni De Angeli'!J985),0)</f>
        <v>#N/A</v>
      </c>
      <c r="T985" s="117" t="e">
        <f t="shared" si="181"/>
        <v>#N/A</v>
      </c>
      <c r="U985" s="272" t="e">
        <f>IF(Q985=0,'calcolo base'!L3584,(T985+Q985))</f>
        <v>#N/A</v>
      </c>
      <c r="V985" s="119"/>
      <c r="Z985" s="118">
        <f t="shared" si="185"/>
        <v>0</v>
      </c>
      <c r="AA985" s="118">
        <f t="shared" si="186"/>
        <v>0</v>
      </c>
    </row>
    <row r="986" spans="2:27">
      <c r="B986" s="47"/>
      <c r="C986" s="35"/>
      <c r="D986" s="53"/>
      <c r="E986" s="53"/>
      <c r="F986" s="48"/>
      <c r="G986" s="243" t="e">
        <f>INDEX('calcolo base'!$B:$B, MATCH($A986, 'calcolo base'!$A:$A, 0))</f>
        <v>#N/A</v>
      </c>
      <c r="H986" s="54" t="e">
        <f t="shared" si="174"/>
        <v>#N/A</v>
      </c>
      <c r="I986" s="259" t="e">
        <f>IF(  OR(      INDEX('calcolo base'!$D:$D, MATCH($A986, 'calcolo base'!$A:$A, 0)) = 0,
      INDEX('calcolo base'!$D:$D, MATCH($A986, 'calcolo base'!$A:$A, 0)) = ""   ),
   INDEX('calcolo base'!$K:$K, MATCH($A986, 'calcolo base'!$A:$A, 0)),
   INDEX('calcolo base'!$J:$J, MATCH($A986, 'calcolo base'!$A:$A, 0))
) / 1000</f>
        <v>#N/A</v>
      </c>
      <c r="J986" s="50" t="e">
        <f t="shared" si="175"/>
        <v>#N/A</v>
      </c>
      <c r="K986" s="50"/>
      <c r="L986" s="267" t="e">
        <f>INDEX('calcolo base'!$H:$H, MATCH($A986, 'calcolo base'!$A:$A, 0))</f>
        <v>#N/A</v>
      </c>
      <c r="M986" s="50" t="e">
        <f t="shared" si="176"/>
        <v>#N/A</v>
      </c>
      <c r="N986" s="50" t="e">
        <f t="shared" si="177"/>
        <v>#N/A</v>
      </c>
      <c r="O986" s="50" t="e">
        <f t="shared" si="184"/>
        <v>#N/A</v>
      </c>
      <c r="P986" s="50" t="e">
        <f t="shared" si="178"/>
        <v>#N/A</v>
      </c>
      <c r="Q986" s="51" t="e">
        <f t="shared" si="179"/>
        <v>#N/A</v>
      </c>
      <c r="R986" s="205" t="e">
        <f t="shared" si="180"/>
        <v>#N/A</v>
      </c>
      <c r="S986" s="279" t="e">
        <f>IF(R986="si",0,IF(E986="si",0,IF(J986&gt;K986,0,+K986-J986)))+IF('calcolo base'!P1678="SI",('Commissioni De Angeli'!K986-'Commissioni De Angeli'!J986),0)</f>
        <v>#N/A</v>
      </c>
      <c r="T986" s="117" t="e">
        <f t="shared" si="181"/>
        <v>#N/A</v>
      </c>
      <c r="U986" s="272" t="e">
        <f>IF(Q986=0,'calcolo base'!L3585,(T986+Q986))</f>
        <v>#N/A</v>
      </c>
      <c r="V986" s="119"/>
      <c r="Z986" s="118">
        <f t="shared" si="185"/>
        <v>0</v>
      </c>
      <c r="AA986" s="118">
        <f t="shared" si="186"/>
        <v>0</v>
      </c>
    </row>
    <row r="987" spans="2:27">
      <c r="B987" s="47"/>
      <c r="C987" s="35"/>
      <c r="D987" s="53"/>
      <c r="E987" s="53"/>
      <c r="F987" s="48"/>
      <c r="G987" s="243" t="e">
        <f>INDEX('calcolo base'!$B:$B, MATCH($A987, 'calcolo base'!$A:$A, 0))</f>
        <v>#N/A</v>
      </c>
      <c r="H987" s="54" t="e">
        <f t="shared" si="174"/>
        <v>#N/A</v>
      </c>
      <c r="I987" s="259" t="e">
        <f>IF(  OR(      INDEX('calcolo base'!$D:$D, MATCH($A987, 'calcolo base'!$A:$A, 0)) = 0,
      INDEX('calcolo base'!$D:$D, MATCH($A987, 'calcolo base'!$A:$A, 0)) = ""   ),
   INDEX('calcolo base'!$K:$K, MATCH($A987, 'calcolo base'!$A:$A, 0)),
   INDEX('calcolo base'!$J:$J, MATCH($A987, 'calcolo base'!$A:$A, 0))
) / 1000</f>
        <v>#N/A</v>
      </c>
      <c r="J987" s="50" t="e">
        <f t="shared" si="175"/>
        <v>#N/A</v>
      </c>
      <c r="K987" s="50"/>
      <c r="L987" s="267" t="e">
        <f>INDEX('calcolo base'!$H:$H, MATCH($A987, 'calcolo base'!$A:$A, 0))</f>
        <v>#N/A</v>
      </c>
      <c r="M987" s="50" t="e">
        <f t="shared" si="176"/>
        <v>#N/A</v>
      </c>
      <c r="N987" s="50" t="e">
        <f t="shared" si="177"/>
        <v>#N/A</v>
      </c>
      <c r="O987" s="50" t="e">
        <f t="shared" si="184"/>
        <v>#N/A</v>
      </c>
      <c r="P987" s="50" t="e">
        <f t="shared" si="178"/>
        <v>#N/A</v>
      </c>
      <c r="Q987" s="51" t="e">
        <f t="shared" si="179"/>
        <v>#N/A</v>
      </c>
      <c r="R987" s="205" t="e">
        <f t="shared" si="180"/>
        <v>#N/A</v>
      </c>
      <c r="S987" s="279" t="e">
        <f>IF(R987="si",0,IF(E987="si",0,IF(J987&gt;K987,0,+K987-J987)))+IF('calcolo base'!P1679="SI",('Commissioni De Angeli'!K987-'Commissioni De Angeli'!J987),0)</f>
        <v>#N/A</v>
      </c>
      <c r="T987" s="117" t="e">
        <f t="shared" si="181"/>
        <v>#N/A</v>
      </c>
      <c r="U987" s="272" t="e">
        <f>IF(Q987=0,'calcolo base'!L3586,(T987+Q987))</f>
        <v>#N/A</v>
      </c>
      <c r="V987" s="119"/>
      <c r="Z987" s="118">
        <f t="shared" si="185"/>
        <v>0</v>
      </c>
      <c r="AA987" s="118">
        <f t="shared" si="186"/>
        <v>0</v>
      </c>
    </row>
    <row r="988" spans="2:27">
      <c r="B988" s="47"/>
      <c r="C988" s="35"/>
      <c r="D988" s="53"/>
      <c r="E988" s="53"/>
      <c r="F988" s="48"/>
      <c r="G988" s="243" t="e">
        <f>INDEX('calcolo base'!$B:$B, MATCH($A988, 'calcolo base'!$A:$A, 0))</f>
        <v>#N/A</v>
      </c>
      <c r="H988" s="54" t="e">
        <f t="shared" ref="H988:H1051" si="187">IF(G988=0,"",+G988)</f>
        <v>#N/A</v>
      </c>
      <c r="I988" s="259" t="e">
        <f>IF(  OR(      INDEX('calcolo base'!$D:$D, MATCH($A988, 'calcolo base'!$A:$A, 0)) = 0,
      INDEX('calcolo base'!$D:$D, MATCH($A988, 'calcolo base'!$A:$A, 0)) = ""   ),
   INDEX('calcolo base'!$K:$K, MATCH($A988, 'calcolo base'!$A:$A, 0)),
   INDEX('calcolo base'!$J:$J, MATCH($A988, 'calcolo base'!$A:$A, 0))
) / 1000</f>
        <v>#N/A</v>
      </c>
      <c r="J988" s="50" t="e">
        <f t="shared" ref="J988:J1051" si="188">+F988+I988</f>
        <v>#N/A</v>
      </c>
      <c r="K988" s="50"/>
      <c r="L988" s="267" t="e">
        <f>INDEX('calcolo base'!$H:$H, MATCH($A988, 'calcolo base'!$A:$A, 0))</f>
        <v>#N/A</v>
      </c>
      <c r="M988" s="50" t="e">
        <f t="shared" ref="M988:M1051" si="189">IF(L988=0,0,J988*L988)</f>
        <v>#N/A</v>
      </c>
      <c r="N988" s="50" t="e">
        <f t="shared" ref="N988:N1051" si="190">IF(E988="si",K988*1.5%,IF($L988&gt;=5%,IF($I988=0,0,(IF($G988="RAME",($J988)*1.5%,0)+IF($G988="rame smaltato",($K988)*1.5%,0))),0))</f>
        <v>#N/A</v>
      </c>
      <c r="O988" s="50" t="e">
        <f t="shared" si="184"/>
        <v>#N/A</v>
      </c>
      <c r="P988" s="50" t="e">
        <f t="shared" ref="P988:P1051" si="191">IF(H988="alluminio",0,IF(L988&lt;5%,F988*8%,0))</f>
        <v>#N/A</v>
      </c>
      <c r="Q988" s="51" t="e">
        <f t="shared" ref="Q988:Q1051" si="192">+(N988*D988)+(O988*D988)+(P988*D988)</f>
        <v>#N/A</v>
      </c>
      <c r="R988" s="205" t="e">
        <f t="shared" ref="R988:R1051" si="193">IF(H988="ALLUMINIO",0,IF(L988&lt;5%,"si",0))</f>
        <v>#N/A</v>
      </c>
      <c r="S988" s="279" t="e">
        <f>IF(R988="si",0,IF(E988="si",0,IF(J988&gt;K988,0,+K988-J988)))+IF('calcolo base'!P1680="SI",('Commissioni De Angeli'!K988-'Commissioni De Angeli'!J988),0)</f>
        <v>#N/A</v>
      </c>
      <c r="T988" s="117" t="e">
        <f t="shared" ref="T988:T1051" si="194">+(S988)*D988*40%</f>
        <v>#N/A</v>
      </c>
      <c r="U988" s="272" t="e">
        <f>IF(Q988=0,'calcolo base'!L3587,(T988+Q988))</f>
        <v>#N/A</v>
      </c>
      <c r="V988" s="119"/>
      <c r="Z988" s="118">
        <f t="shared" si="185"/>
        <v>0</v>
      </c>
      <c r="AA988" s="118">
        <f t="shared" si="186"/>
        <v>0</v>
      </c>
    </row>
    <row r="989" spans="2:27">
      <c r="B989" s="47"/>
      <c r="C989" s="35"/>
      <c r="D989" s="53"/>
      <c r="E989" s="53"/>
      <c r="F989" s="48"/>
      <c r="G989" s="243" t="e">
        <f>INDEX('calcolo base'!$B:$B, MATCH($A989, 'calcolo base'!$A:$A, 0))</f>
        <v>#N/A</v>
      </c>
      <c r="H989" s="54" t="e">
        <f t="shared" si="187"/>
        <v>#N/A</v>
      </c>
      <c r="I989" s="259" t="e">
        <f>IF(  OR(      INDEX('calcolo base'!$D:$D, MATCH($A989, 'calcolo base'!$A:$A, 0)) = 0,
      INDEX('calcolo base'!$D:$D, MATCH($A989, 'calcolo base'!$A:$A, 0)) = ""   ),
   INDEX('calcolo base'!$K:$K, MATCH($A989, 'calcolo base'!$A:$A, 0)),
   INDEX('calcolo base'!$J:$J, MATCH($A989, 'calcolo base'!$A:$A, 0))
) / 1000</f>
        <v>#N/A</v>
      </c>
      <c r="J989" s="50" t="e">
        <f t="shared" si="188"/>
        <v>#N/A</v>
      </c>
      <c r="K989" s="50"/>
      <c r="L989" s="267" t="e">
        <f>INDEX('calcolo base'!$H:$H, MATCH($A989, 'calcolo base'!$A:$A, 0))</f>
        <v>#N/A</v>
      </c>
      <c r="M989" s="50" t="e">
        <f t="shared" si="189"/>
        <v>#N/A</v>
      </c>
      <c r="N989" s="50" t="e">
        <f t="shared" si="190"/>
        <v>#N/A</v>
      </c>
      <c r="O989" s="50" t="e">
        <f t="shared" si="184"/>
        <v>#N/A</v>
      </c>
      <c r="P989" s="50" t="e">
        <f t="shared" si="191"/>
        <v>#N/A</v>
      </c>
      <c r="Q989" s="51" t="e">
        <f t="shared" si="192"/>
        <v>#N/A</v>
      </c>
      <c r="R989" s="205" t="e">
        <f t="shared" si="193"/>
        <v>#N/A</v>
      </c>
      <c r="S989" s="279" t="e">
        <f>IF(R989="si",0,IF(E989="si",0,IF(J989&gt;K989,0,+K989-J989)))+IF('calcolo base'!P1681="SI",('Commissioni De Angeli'!K989-'Commissioni De Angeli'!J989),0)</f>
        <v>#N/A</v>
      </c>
      <c r="T989" s="117" t="e">
        <f t="shared" si="194"/>
        <v>#N/A</v>
      </c>
      <c r="U989" s="272" t="e">
        <f>IF(Q989=0,'calcolo base'!L3588,(T989+Q989))</f>
        <v>#N/A</v>
      </c>
      <c r="V989" s="119"/>
      <c r="Z989" s="118">
        <f t="shared" si="185"/>
        <v>0</v>
      </c>
      <c r="AA989" s="118">
        <f t="shared" si="186"/>
        <v>0</v>
      </c>
    </row>
    <row r="990" spans="2:27">
      <c r="B990" s="47"/>
      <c r="C990" s="35"/>
      <c r="D990" s="53"/>
      <c r="E990" s="53"/>
      <c r="F990" s="48"/>
      <c r="G990" s="243" t="e">
        <f>INDEX('calcolo base'!$B:$B, MATCH($A990, 'calcolo base'!$A:$A, 0))</f>
        <v>#N/A</v>
      </c>
      <c r="H990" s="54" t="e">
        <f t="shared" si="187"/>
        <v>#N/A</v>
      </c>
      <c r="I990" s="259" t="e">
        <f>IF(  OR(      INDEX('calcolo base'!$D:$D, MATCH($A990, 'calcolo base'!$A:$A, 0)) = 0,
      INDEX('calcolo base'!$D:$D, MATCH($A990, 'calcolo base'!$A:$A, 0)) = ""   ),
   INDEX('calcolo base'!$K:$K, MATCH($A990, 'calcolo base'!$A:$A, 0)),
   INDEX('calcolo base'!$J:$J, MATCH($A990, 'calcolo base'!$A:$A, 0))
) / 1000</f>
        <v>#N/A</v>
      </c>
      <c r="J990" s="50" t="e">
        <f t="shared" si="188"/>
        <v>#N/A</v>
      </c>
      <c r="K990" s="50"/>
      <c r="L990" s="267" t="e">
        <f>INDEX('calcolo base'!$H:$H, MATCH($A990, 'calcolo base'!$A:$A, 0))</f>
        <v>#N/A</v>
      </c>
      <c r="M990" s="50" t="e">
        <f t="shared" si="189"/>
        <v>#N/A</v>
      </c>
      <c r="N990" s="50" t="e">
        <f t="shared" si="190"/>
        <v>#N/A</v>
      </c>
      <c r="O990" s="50" t="e">
        <f t="shared" si="184"/>
        <v>#N/A</v>
      </c>
      <c r="P990" s="50" t="e">
        <f t="shared" si="191"/>
        <v>#N/A</v>
      </c>
      <c r="Q990" s="51" t="e">
        <f t="shared" si="192"/>
        <v>#N/A</v>
      </c>
      <c r="R990" s="205" t="e">
        <f t="shared" si="193"/>
        <v>#N/A</v>
      </c>
      <c r="S990" s="279" t="e">
        <f>IF(R990="si",0,IF(E990="si",0,IF(J990&gt;K990,0,+K990-J990)))+IF('calcolo base'!P1682="SI",('Commissioni De Angeli'!K990-'Commissioni De Angeli'!J990),0)</f>
        <v>#N/A</v>
      </c>
      <c r="T990" s="117" t="e">
        <f t="shared" si="194"/>
        <v>#N/A</v>
      </c>
      <c r="U990" s="272" t="e">
        <f>IF(Q990=0,'calcolo base'!L3589,(T990+Q990))</f>
        <v>#N/A</v>
      </c>
      <c r="V990" s="119"/>
      <c r="Z990" s="118">
        <f t="shared" si="185"/>
        <v>0</v>
      </c>
      <c r="AA990" s="118">
        <f t="shared" si="186"/>
        <v>0</v>
      </c>
    </row>
    <row r="991" spans="2:27">
      <c r="B991" s="47"/>
      <c r="C991" s="35"/>
      <c r="D991" s="53"/>
      <c r="E991" s="53"/>
      <c r="F991" s="48"/>
      <c r="G991" s="243" t="e">
        <f>INDEX('calcolo base'!$B:$B, MATCH($A991, 'calcolo base'!$A:$A, 0))</f>
        <v>#N/A</v>
      </c>
      <c r="H991" s="54" t="e">
        <f t="shared" si="187"/>
        <v>#N/A</v>
      </c>
      <c r="I991" s="259" t="e">
        <f>IF(  OR(      INDEX('calcolo base'!$D:$D, MATCH($A991, 'calcolo base'!$A:$A, 0)) = 0,
      INDEX('calcolo base'!$D:$D, MATCH($A991, 'calcolo base'!$A:$A, 0)) = ""   ),
   INDEX('calcolo base'!$K:$K, MATCH($A991, 'calcolo base'!$A:$A, 0)),
   INDEX('calcolo base'!$J:$J, MATCH($A991, 'calcolo base'!$A:$A, 0))
) / 1000</f>
        <v>#N/A</v>
      </c>
      <c r="J991" s="50" t="e">
        <f t="shared" si="188"/>
        <v>#N/A</v>
      </c>
      <c r="K991" s="50"/>
      <c r="L991" s="267" t="e">
        <f>INDEX('calcolo base'!$H:$H, MATCH($A991, 'calcolo base'!$A:$A, 0))</f>
        <v>#N/A</v>
      </c>
      <c r="M991" s="50" t="e">
        <f t="shared" si="189"/>
        <v>#N/A</v>
      </c>
      <c r="N991" s="50" t="e">
        <f t="shared" si="190"/>
        <v>#N/A</v>
      </c>
      <c r="O991" s="50" t="e">
        <f t="shared" si="184"/>
        <v>#N/A</v>
      </c>
      <c r="P991" s="50" t="e">
        <f t="shared" si="191"/>
        <v>#N/A</v>
      </c>
      <c r="Q991" s="51" t="e">
        <f t="shared" si="192"/>
        <v>#N/A</v>
      </c>
      <c r="R991" s="205" t="e">
        <f t="shared" si="193"/>
        <v>#N/A</v>
      </c>
      <c r="S991" s="279" t="e">
        <f>IF(R991="si",0,IF(E991="si",0,IF(J991&gt;K991,0,+K991-J991)))+IF('calcolo base'!P1683="SI",('Commissioni De Angeli'!K991-'Commissioni De Angeli'!J991),0)</f>
        <v>#N/A</v>
      </c>
      <c r="T991" s="117" t="e">
        <f t="shared" si="194"/>
        <v>#N/A</v>
      </c>
      <c r="U991" s="272" t="e">
        <f>IF(Q991=0,'calcolo base'!L3590,(T991+Q991))</f>
        <v>#N/A</v>
      </c>
      <c r="V991" s="119"/>
      <c r="Z991" s="118">
        <f t="shared" si="185"/>
        <v>0</v>
      </c>
      <c r="AA991" s="118">
        <f t="shared" si="186"/>
        <v>0</v>
      </c>
    </row>
    <row r="992" spans="2:27">
      <c r="B992" s="47"/>
      <c r="C992" s="35"/>
      <c r="D992" s="53"/>
      <c r="E992" s="53"/>
      <c r="F992" s="48"/>
      <c r="G992" s="243" t="e">
        <f>INDEX('calcolo base'!$B:$B, MATCH($A992, 'calcolo base'!$A:$A, 0))</f>
        <v>#N/A</v>
      </c>
      <c r="H992" s="54" t="e">
        <f t="shared" si="187"/>
        <v>#N/A</v>
      </c>
      <c r="I992" s="259" t="e">
        <f>IF(  OR(      INDEX('calcolo base'!$D:$D, MATCH($A992, 'calcolo base'!$A:$A, 0)) = 0,
      INDEX('calcolo base'!$D:$D, MATCH($A992, 'calcolo base'!$A:$A, 0)) = ""   ),
   INDEX('calcolo base'!$K:$K, MATCH($A992, 'calcolo base'!$A:$A, 0)),
   INDEX('calcolo base'!$J:$J, MATCH($A992, 'calcolo base'!$A:$A, 0))
) / 1000</f>
        <v>#N/A</v>
      </c>
      <c r="J992" s="50" t="e">
        <f t="shared" si="188"/>
        <v>#N/A</v>
      </c>
      <c r="K992" s="50"/>
      <c r="L992" s="267" t="e">
        <f>INDEX('calcolo base'!$H:$H, MATCH($A992, 'calcolo base'!$A:$A, 0))</f>
        <v>#N/A</v>
      </c>
      <c r="M992" s="50" t="e">
        <f t="shared" si="189"/>
        <v>#N/A</v>
      </c>
      <c r="N992" s="50" t="e">
        <f t="shared" si="190"/>
        <v>#N/A</v>
      </c>
      <c r="O992" s="50" t="e">
        <f t="shared" si="184"/>
        <v>#N/A</v>
      </c>
      <c r="P992" s="50" t="e">
        <f t="shared" si="191"/>
        <v>#N/A</v>
      </c>
      <c r="Q992" s="51" t="e">
        <f t="shared" si="192"/>
        <v>#N/A</v>
      </c>
      <c r="R992" s="205" t="e">
        <f t="shared" si="193"/>
        <v>#N/A</v>
      </c>
      <c r="S992" s="279" t="e">
        <f>IF(R992="si",0,IF(E992="si",0,IF(J992&gt;K992,0,+K992-J992)))+IF('calcolo base'!P1684="SI",('Commissioni De Angeli'!K992-'Commissioni De Angeli'!J992),0)</f>
        <v>#N/A</v>
      </c>
      <c r="T992" s="117" t="e">
        <f t="shared" si="194"/>
        <v>#N/A</v>
      </c>
      <c r="U992" s="272" t="e">
        <f>IF(Q992=0,'calcolo base'!L3591,(T992+Q992))</f>
        <v>#N/A</v>
      </c>
      <c r="V992" s="119"/>
      <c r="Z992" s="118">
        <f t="shared" si="185"/>
        <v>0</v>
      </c>
      <c r="AA992" s="118">
        <f t="shared" si="186"/>
        <v>0</v>
      </c>
    </row>
    <row r="993" spans="2:27">
      <c r="B993" s="47"/>
      <c r="C993" s="35"/>
      <c r="D993" s="53"/>
      <c r="E993" s="53"/>
      <c r="F993" s="48"/>
      <c r="G993" s="243" t="e">
        <f>INDEX('calcolo base'!$B:$B, MATCH($A993, 'calcolo base'!$A:$A, 0))</f>
        <v>#N/A</v>
      </c>
      <c r="H993" s="54" t="e">
        <f t="shared" si="187"/>
        <v>#N/A</v>
      </c>
      <c r="I993" s="259" t="e">
        <f>IF(  OR(      INDEX('calcolo base'!$D:$D, MATCH($A993, 'calcolo base'!$A:$A, 0)) = 0,
      INDEX('calcolo base'!$D:$D, MATCH($A993, 'calcolo base'!$A:$A, 0)) = ""   ),
   INDEX('calcolo base'!$K:$K, MATCH($A993, 'calcolo base'!$A:$A, 0)),
   INDEX('calcolo base'!$J:$J, MATCH($A993, 'calcolo base'!$A:$A, 0))
) / 1000</f>
        <v>#N/A</v>
      </c>
      <c r="J993" s="50" t="e">
        <f t="shared" si="188"/>
        <v>#N/A</v>
      </c>
      <c r="K993" s="50"/>
      <c r="L993" s="267" t="e">
        <f>INDEX('calcolo base'!$H:$H, MATCH($A993, 'calcolo base'!$A:$A, 0))</f>
        <v>#N/A</v>
      </c>
      <c r="M993" s="50" t="e">
        <f t="shared" si="189"/>
        <v>#N/A</v>
      </c>
      <c r="N993" s="50" t="e">
        <f t="shared" si="190"/>
        <v>#N/A</v>
      </c>
      <c r="O993" s="50" t="e">
        <f t="shared" si="184"/>
        <v>#N/A</v>
      </c>
      <c r="P993" s="50" t="e">
        <f t="shared" si="191"/>
        <v>#N/A</v>
      </c>
      <c r="Q993" s="51" t="e">
        <f t="shared" si="192"/>
        <v>#N/A</v>
      </c>
      <c r="R993" s="205" t="e">
        <f t="shared" si="193"/>
        <v>#N/A</v>
      </c>
      <c r="S993" s="279" t="e">
        <f>IF(R993="si",0,IF(E993="si",0,IF(J993&gt;K993,0,+K993-J993)))+IF('calcolo base'!P1685="SI",('Commissioni De Angeli'!K993-'Commissioni De Angeli'!J993),0)</f>
        <v>#N/A</v>
      </c>
      <c r="T993" s="117" t="e">
        <f t="shared" si="194"/>
        <v>#N/A</v>
      </c>
      <c r="U993" s="272" t="e">
        <f>IF(Q993=0,'calcolo base'!L3592,(T993+Q993))</f>
        <v>#N/A</v>
      </c>
      <c r="V993" s="119"/>
      <c r="Z993" s="118">
        <f t="shared" si="185"/>
        <v>0</v>
      </c>
      <c r="AA993" s="118">
        <f t="shared" si="186"/>
        <v>0</v>
      </c>
    </row>
    <row r="994" spans="2:27">
      <c r="B994" s="47"/>
      <c r="C994" s="35"/>
      <c r="D994" s="53"/>
      <c r="E994" s="53"/>
      <c r="F994" s="48"/>
      <c r="G994" s="243" t="e">
        <f>INDEX('calcolo base'!$B:$B, MATCH($A994, 'calcolo base'!$A:$A, 0))</f>
        <v>#N/A</v>
      </c>
      <c r="H994" s="54" t="e">
        <f t="shared" si="187"/>
        <v>#N/A</v>
      </c>
      <c r="I994" s="259" t="e">
        <f>IF(  OR(      INDEX('calcolo base'!$D:$D, MATCH($A994, 'calcolo base'!$A:$A, 0)) = 0,
      INDEX('calcolo base'!$D:$D, MATCH($A994, 'calcolo base'!$A:$A, 0)) = ""   ),
   INDEX('calcolo base'!$K:$K, MATCH($A994, 'calcolo base'!$A:$A, 0)),
   INDEX('calcolo base'!$J:$J, MATCH($A994, 'calcolo base'!$A:$A, 0))
) / 1000</f>
        <v>#N/A</v>
      </c>
      <c r="J994" s="50" t="e">
        <f t="shared" si="188"/>
        <v>#N/A</v>
      </c>
      <c r="K994" s="50"/>
      <c r="L994" s="267" t="e">
        <f>INDEX('calcolo base'!$H:$H, MATCH($A994, 'calcolo base'!$A:$A, 0))</f>
        <v>#N/A</v>
      </c>
      <c r="M994" s="50" t="e">
        <f t="shared" si="189"/>
        <v>#N/A</v>
      </c>
      <c r="N994" s="50" t="e">
        <f t="shared" si="190"/>
        <v>#N/A</v>
      </c>
      <c r="O994" s="50" t="e">
        <f t="shared" si="184"/>
        <v>#N/A</v>
      </c>
      <c r="P994" s="50" t="e">
        <f t="shared" si="191"/>
        <v>#N/A</v>
      </c>
      <c r="Q994" s="51" t="e">
        <f t="shared" si="192"/>
        <v>#N/A</v>
      </c>
      <c r="R994" s="205" t="e">
        <f t="shared" si="193"/>
        <v>#N/A</v>
      </c>
      <c r="S994" s="279" t="e">
        <f>IF(R994="si",0,IF(E994="si",0,IF(J994&gt;K994,0,+K994-J994)))+IF('calcolo base'!P1686="SI",('Commissioni De Angeli'!K994-'Commissioni De Angeli'!J994),0)</f>
        <v>#N/A</v>
      </c>
      <c r="T994" s="117" t="e">
        <f t="shared" si="194"/>
        <v>#N/A</v>
      </c>
      <c r="U994" s="272" t="e">
        <f>IF(Q994=0,'calcolo base'!L3593,(T994+Q994))</f>
        <v>#N/A</v>
      </c>
      <c r="V994" s="119"/>
      <c r="Z994" s="118">
        <f t="shared" si="185"/>
        <v>0</v>
      </c>
      <c r="AA994" s="118">
        <f t="shared" si="186"/>
        <v>0</v>
      </c>
    </row>
    <row r="995" spans="2:27">
      <c r="B995" s="47"/>
      <c r="C995" s="35"/>
      <c r="D995" s="53"/>
      <c r="E995" s="53"/>
      <c r="F995" s="48"/>
      <c r="G995" s="243" t="e">
        <f>INDEX('calcolo base'!$B:$B, MATCH($A995, 'calcolo base'!$A:$A, 0))</f>
        <v>#N/A</v>
      </c>
      <c r="H995" s="54" t="e">
        <f t="shared" si="187"/>
        <v>#N/A</v>
      </c>
      <c r="I995" s="259" t="e">
        <f>IF(  OR(      INDEX('calcolo base'!$D:$D, MATCH($A995, 'calcolo base'!$A:$A, 0)) = 0,
      INDEX('calcolo base'!$D:$D, MATCH($A995, 'calcolo base'!$A:$A, 0)) = ""   ),
   INDEX('calcolo base'!$K:$K, MATCH($A995, 'calcolo base'!$A:$A, 0)),
   INDEX('calcolo base'!$J:$J, MATCH($A995, 'calcolo base'!$A:$A, 0))
) / 1000</f>
        <v>#N/A</v>
      </c>
      <c r="J995" s="50" t="e">
        <f t="shared" si="188"/>
        <v>#N/A</v>
      </c>
      <c r="K995" s="50"/>
      <c r="L995" s="267" t="e">
        <f>INDEX('calcolo base'!$H:$H, MATCH($A995, 'calcolo base'!$A:$A, 0))</f>
        <v>#N/A</v>
      </c>
      <c r="M995" s="50" t="e">
        <f t="shared" si="189"/>
        <v>#N/A</v>
      </c>
      <c r="N995" s="50" t="e">
        <f t="shared" si="190"/>
        <v>#N/A</v>
      </c>
      <c r="O995" s="50" t="e">
        <f t="shared" si="184"/>
        <v>#N/A</v>
      </c>
      <c r="P995" s="50" t="e">
        <f t="shared" si="191"/>
        <v>#N/A</v>
      </c>
      <c r="Q995" s="51" t="e">
        <f t="shared" si="192"/>
        <v>#N/A</v>
      </c>
      <c r="R995" s="205" t="e">
        <f t="shared" si="193"/>
        <v>#N/A</v>
      </c>
      <c r="S995" s="279" t="e">
        <f>IF(R995="si",0,IF(E995="si",0,IF(J995&gt;K995,0,+K995-J995)))+IF('calcolo base'!P1687="SI",('Commissioni De Angeli'!K995-'Commissioni De Angeli'!J995),0)</f>
        <v>#N/A</v>
      </c>
      <c r="T995" s="117" t="e">
        <f t="shared" si="194"/>
        <v>#N/A</v>
      </c>
      <c r="U995" s="272" t="e">
        <f>IF(Q995=0,'calcolo base'!L3594,(T995+Q995))</f>
        <v>#N/A</v>
      </c>
      <c r="V995" s="119"/>
      <c r="Z995" s="118">
        <f t="shared" si="185"/>
        <v>0</v>
      </c>
      <c r="AA995" s="118">
        <f t="shared" si="186"/>
        <v>0</v>
      </c>
    </row>
    <row r="996" spans="2:27">
      <c r="B996" s="47"/>
      <c r="C996" s="35"/>
      <c r="D996" s="53"/>
      <c r="E996" s="53"/>
      <c r="F996" s="48"/>
      <c r="G996" s="243" t="e">
        <f>INDEX('calcolo base'!$B:$B, MATCH($A996, 'calcolo base'!$A:$A, 0))</f>
        <v>#N/A</v>
      </c>
      <c r="H996" s="54" t="e">
        <f t="shared" si="187"/>
        <v>#N/A</v>
      </c>
      <c r="I996" s="259" t="e">
        <f>IF(  OR(      INDEX('calcolo base'!$D:$D, MATCH($A996, 'calcolo base'!$A:$A, 0)) = 0,
      INDEX('calcolo base'!$D:$D, MATCH($A996, 'calcolo base'!$A:$A, 0)) = ""   ),
   INDEX('calcolo base'!$K:$K, MATCH($A996, 'calcolo base'!$A:$A, 0)),
   INDEX('calcolo base'!$J:$J, MATCH($A996, 'calcolo base'!$A:$A, 0))
) / 1000</f>
        <v>#N/A</v>
      </c>
      <c r="J996" s="50" t="e">
        <f t="shared" si="188"/>
        <v>#N/A</v>
      </c>
      <c r="K996" s="50"/>
      <c r="L996" s="267" t="e">
        <f>INDEX('calcolo base'!$H:$H, MATCH($A996, 'calcolo base'!$A:$A, 0))</f>
        <v>#N/A</v>
      </c>
      <c r="M996" s="50" t="e">
        <f t="shared" si="189"/>
        <v>#N/A</v>
      </c>
      <c r="N996" s="50" t="e">
        <f t="shared" si="190"/>
        <v>#N/A</v>
      </c>
      <c r="O996" s="50" t="e">
        <f t="shared" si="184"/>
        <v>#N/A</v>
      </c>
      <c r="P996" s="50" t="e">
        <f t="shared" si="191"/>
        <v>#N/A</v>
      </c>
      <c r="Q996" s="51" t="e">
        <f t="shared" si="192"/>
        <v>#N/A</v>
      </c>
      <c r="R996" s="205" t="e">
        <f t="shared" si="193"/>
        <v>#N/A</v>
      </c>
      <c r="S996" s="279" t="e">
        <f>IF(R996="si",0,IF(E996="si",0,IF(J996&gt;K996,0,+K996-J996)))+IF('calcolo base'!P1688="SI",('Commissioni De Angeli'!K996-'Commissioni De Angeli'!J996),0)</f>
        <v>#N/A</v>
      </c>
      <c r="T996" s="117" t="e">
        <f t="shared" si="194"/>
        <v>#N/A</v>
      </c>
      <c r="U996" s="272" t="e">
        <f>IF(Q996=0,'calcolo base'!L3595,(T996+Q996))</f>
        <v>#N/A</v>
      </c>
      <c r="V996" s="119"/>
      <c r="Z996" s="118">
        <f t="shared" si="185"/>
        <v>0</v>
      </c>
      <c r="AA996" s="118">
        <f t="shared" si="186"/>
        <v>0</v>
      </c>
    </row>
    <row r="997" spans="2:27">
      <c r="B997" s="47"/>
      <c r="C997" s="35"/>
      <c r="D997" s="53"/>
      <c r="E997" s="53"/>
      <c r="F997" s="48"/>
      <c r="G997" s="243" t="e">
        <f>INDEX('calcolo base'!$B:$B, MATCH($A997, 'calcolo base'!$A:$A, 0))</f>
        <v>#N/A</v>
      </c>
      <c r="H997" s="54" t="e">
        <f t="shared" si="187"/>
        <v>#N/A</v>
      </c>
      <c r="I997" s="259" t="e">
        <f>IF(  OR(      INDEX('calcolo base'!$D:$D, MATCH($A997, 'calcolo base'!$A:$A, 0)) = 0,
      INDEX('calcolo base'!$D:$D, MATCH($A997, 'calcolo base'!$A:$A, 0)) = ""   ),
   INDEX('calcolo base'!$K:$K, MATCH($A997, 'calcolo base'!$A:$A, 0)),
   INDEX('calcolo base'!$J:$J, MATCH($A997, 'calcolo base'!$A:$A, 0))
) / 1000</f>
        <v>#N/A</v>
      </c>
      <c r="J997" s="50" t="e">
        <f t="shared" si="188"/>
        <v>#N/A</v>
      </c>
      <c r="K997" s="50"/>
      <c r="L997" s="267" t="e">
        <f>INDEX('calcolo base'!$H:$H, MATCH($A997, 'calcolo base'!$A:$A, 0))</f>
        <v>#N/A</v>
      </c>
      <c r="M997" s="50" t="e">
        <f t="shared" si="189"/>
        <v>#N/A</v>
      </c>
      <c r="N997" s="50" t="e">
        <f t="shared" si="190"/>
        <v>#N/A</v>
      </c>
      <c r="O997" s="50" t="e">
        <f t="shared" si="184"/>
        <v>#N/A</v>
      </c>
      <c r="P997" s="50" t="e">
        <f t="shared" si="191"/>
        <v>#N/A</v>
      </c>
      <c r="Q997" s="51" t="e">
        <f t="shared" si="192"/>
        <v>#N/A</v>
      </c>
      <c r="R997" s="205" t="e">
        <f t="shared" si="193"/>
        <v>#N/A</v>
      </c>
      <c r="S997" s="279" t="e">
        <f>IF(R997="si",0,IF(E997="si",0,IF(J997&gt;K997,0,+K997-J997)))+IF('calcolo base'!P1689="SI",('Commissioni De Angeli'!K997-'Commissioni De Angeli'!J997),0)</f>
        <v>#N/A</v>
      </c>
      <c r="T997" s="117" t="e">
        <f t="shared" si="194"/>
        <v>#N/A</v>
      </c>
      <c r="U997" s="272" t="e">
        <f>IF(Q997=0,'calcolo base'!L3596,(T997+Q997))</f>
        <v>#N/A</v>
      </c>
      <c r="V997" s="119"/>
      <c r="Z997" s="118">
        <f t="shared" si="185"/>
        <v>0</v>
      </c>
      <c r="AA997" s="118">
        <f t="shared" si="186"/>
        <v>0</v>
      </c>
    </row>
    <row r="998" spans="2:27">
      <c r="B998" s="47"/>
      <c r="C998" s="35"/>
      <c r="D998" s="53"/>
      <c r="E998" s="53"/>
      <c r="F998" s="48"/>
      <c r="G998" s="243" t="e">
        <f>INDEX('calcolo base'!$B:$B, MATCH($A998, 'calcolo base'!$A:$A, 0))</f>
        <v>#N/A</v>
      </c>
      <c r="H998" s="54" t="e">
        <f t="shared" si="187"/>
        <v>#N/A</v>
      </c>
      <c r="I998" s="259" t="e">
        <f>IF(  OR(      INDEX('calcolo base'!$D:$D, MATCH($A998, 'calcolo base'!$A:$A, 0)) = 0,
      INDEX('calcolo base'!$D:$D, MATCH($A998, 'calcolo base'!$A:$A, 0)) = ""   ),
   INDEX('calcolo base'!$K:$K, MATCH($A998, 'calcolo base'!$A:$A, 0)),
   INDEX('calcolo base'!$J:$J, MATCH($A998, 'calcolo base'!$A:$A, 0))
) / 1000</f>
        <v>#N/A</v>
      </c>
      <c r="J998" s="50" t="e">
        <f t="shared" si="188"/>
        <v>#N/A</v>
      </c>
      <c r="K998" s="50"/>
      <c r="L998" s="267" t="e">
        <f>INDEX('calcolo base'!$H:$H, MATCH($A998, 'calcolo base'!$A:$A, 0))</f>
        <v>#N/A</v>
      </c>
      <c r="M998" s="50" t="e">
        <f t="shared" si="189"/>
        <v>#N/A</v>
      </c>
      <c r="N998" s="50" t="e">
        <f t="shared" si="190"/>
        <v>#N/A</v>
      </c>
      <c r="O998" s="50" t="e">
        <f t="shared" si="184"/>
        <v>#N/A</v>
      </c>
      <c r="P998" s="50" t="e">
        <f t="shared" si="191"/>
        <v>#N/A</v>
      </c>
      <c r="Q998" s="51" t="e">
        <f t="shared" si="192"/>
        <v>#N/A</v>
      </c>
      <c r="R998" s="205" t="e">
        <f t="shared" si="193"/>
        <v>#N/A</v>
      </c>
      <c r="S998" s="279" t="e">
        <f>IF(R998="si",0,IF(E998="si",0,IF(J998&gt;K998,0,+K998-J998)))+IF('calcolo base'!P1690="SI",('Commissioni De Angeli'!K998-'Commissioni De Angeli'!J998),0)</f>
        <v>#N/A</v>
      </c>
      <c r="T998" s="117" t="e">
        <f t="shared" si="194"/>
        <v>#N/A</v>
      </c>
      <c r="U998" s="272" t="e">
        <f>IF(Q998=0,'calcolo base'!L3597,(T998+Q998))</f>
        <v>#N/A</v>
      </c>
      <c r="V998" s="119"/>
      <c r="Z998" s="118">
        <f t="shared" si="185"/>
        <v>0</v>
      </c>
      <c r="AA998" s="118">
        <f t="shared" si="186"/>
        <v>0</v>
      </c>
    </row>
    <row r="999" spans="2:27">
      <c r="B999" s="47"/>
      <c r="C999" s="35"/>
      <c r="D999" s="53"/>
      <c r="E999" s="53"/>
      <c r="F999" s="48"/>
      <c r="G999" s="243" t="e">
        <f>INDEX('calcolo base'!$B:$B, MATCH($A999, 'calcolo base'!$A:$A, 0))</f>
        <v>#N/A</v>
      </c>
      <c r="H999" s="54" t="e">
        <f t="shared" si="187"/>
        <v>#N/A</v>
      </c>
      <c r="I999" s="259" t="e">
        <f>IF(  OR(      INDEX('calcolo base'!$D:$D, MATCH($A999, 'calcolo base'!$A:$A, 0)) = 0,
      INDEX('calcolo base'!$D:$D, MATCH($A999, 'calcolo base'!$A:$A, 0)) = ""   ),
   INDEX('calcolo base'!$K:$K, MATCH($A999, 'calcolo base'!$A:$A, 0)),
   INDEX('calcolo base'!$J:$J, MATCH($A999, 'calcolo base'!$A:$A, 0))
) / 1000</f>
        <v>#N/A</v>
      </c>
      <c r="J999" s="50" t="e">
        <f t="shared" si="188"/>
        <v>#N/A</v>
      </c>
      <c r="K999" s="50"/>
      <c r="L999" s="267" t="e">
        <f>INDEX('calcolo base'!$H:$H, MATCH($A999, 'calcolo base'!$A:$A, 0))</f>
        <v>#N/A</v>
      </c>
      <c r="M999" s="50" t="e">
        <f t="shared" si="189"/>
        <v>#N/A</v>
      </c>
      <c r="N999" s="50" t="e">
        <f t="shared" si="190"/>
        <v>#N/A</v>
      </c>
      <c r="O999" s="50" t="e">
        <f t="shared" si="184"/>
        <v>#N/A</v>
      </c>
      <c r="P999" s="50" t="e">
        <f t="shared" si="191"/>
        <v>#N/A</v>
      </c>
      <c r="Q999" s="51" t="e">
        <f t="shared" si="192"/>
        <v>#N/A</v>
      </c>
      <c r="R999" s="205" t="e">
        <f t="shared" si="193"/>
        <v>#N/A</v>
      </c>
      <c r="S999" s="279" t="e">
        <f>IF(R999="si",0,IF(E999="si",0,IF(J999&gt;K999,0,+K999-J999)))+IF('calcolo base'!P1691="SI",('Commissioni De Angeli'!K999-'Commissioni De Angeli'!J999),0)</f>
        <v>#N/A</v>
      </c>
      <c r="T999" s="117" t="e">
        <f t="shared" si="194"/>
        <v>#N/A</v>
      </c>
      <c r="U999" s="272" t="e">
        <f>IF(Q999=0,'calcolo base'!L3598,(T999+Q999))</f>
        <v>#N/A</v>
      </c>
      <c r="V999" s="119"/>
      <c r="Z999" s="118">
        <f t="shared" si="185"/>
        <v>0</v>
      </c>
      <c r="AA999" s="118">
        <f t="shared" si="186"/>
        <v>0</v>
      </c>
    </row>
    <row r="1000" spans="2:27">
      <c r="B1000" s="47"/>
      <c r="C1000" s="35"/>
      <c r="D1000" s="53"/>
      <c r="E1000" s="53"/>
      <c r="F1000" s="48"/>
      <c r="G1000" s="243" t="e">
        <f>INDEX('calcolo base'!$B:$B, MATCH($A1000, 'calcolo base'!$A:$A, 0))</f>
        <v>#N/A</v>
      </c>
      <c r="H1000" s="54" t="e">
        <f t="shared" si="187"/>
        <v>#N/A</v>
      </c>
      <c r="I1000" s="259" t="e">
        <f>IF(  OR(      INDEX('calcolo base'!$D:$D, MATCH($A1000, 'calcolo base'!$A:$A, 0)) = 0,
      INDEX('calcolo base'!$D:$D, MATCH($A1000, 'calcolo base'!$A:$A, 0)) = ""   ),
   INDEX('calcolo base'!$K:$K, MATCH($A1000, 'calcolo base'!$A:$A, 0)),
   INDEX('calcolo base'!$J:$J, MATCH($A1000, 'calcolo base'!$A:$A, 0))
) / 1000</f>
        <v>#N/A</v>
      </c>
      <c r="J1000" s="50" t="e">
        <f t="shared" si="188"/>
        <v>#N/A</v>
      </c>
      <c r="K1000" s="50"/>
      <c r="L1000" s="267" t="e">
        <f>INDEX('calcolo base'!$H:$H, MATCH($A1000, 'calcolo base'!$A:$A, 0))</f>
        <v>#N/A</v>
      </c>
      <c r="M1000" s="50" t="e">
        <f t="shared" si="189"/>
        <v>#N/A</v>
      </c>
      <c r="N1000" s="50" t="e">
        <f t="shared" si="190"/>
        <v>#N/A</v>
      </c>
      <c r="O1000" s="50" t="e">
        <f t="shared" si="184"/>
        <v>#N/A</v>
      </c>
      <c r="P1000" s="50" t="e">
        <f t="shared" si="191"/>
        <v>#N/A</v>
      </c>
      <c r="Q1000" s="51" t="e">
        <f t="shared" si="192"/>
        <v>#N/A</v>
      </c>
      <c r="R1000" s="205" t="e">
        <f t="shared" si="193"/>
        <v>#N/A</v>
      </c>
      <c r="S1000" s="279" t="e">
        <f>IF(R1000="si",0,IF(E1000="si",0,IF(J1000&gt;K1000,0,+K1000-J1000)))+IF('calcolo base'!P1692="SI",('Commissioni De Angeli'!K1000-'Commissioni De Angeli'!J1000),0)</f>
        <v>#N/A</v>
      </c>
      <c r="T1000" s="117" t="e">
        <f t="shared" si="194"/>
        <v>#N/A</v>
      </c>
      <c r="U1000" s="272" t="e">
        <f>IF(Q1000=0,'calcolo base'!L3599,(T1000+Q1000))</f>
        <v>#N/A</v>
      </c>
      <c r="V1000" s="119"/>
      <c r="Z1000" s="118">
        <f t="shared" si="185"/>
        <v>0</v>
      </c>
      <c r="AA1000" s="118">
        <f t="shared" si="186"/>
        <v>0</v>
      </c>
    </row>
    <row r="1001" spans="2:27">
      <c r="B1001" s="47"/>
      <c r="C1001" s="35"/>
      <c r="D1001" s="53"/>
      <c r="E1001" s="53"/>
      <c r="F1001" s="48"/>
      <c r="G1001" s="243" t="e">
        <f>INDEX('calcolo base'!$B:$B, MATCH($A1001, 'calcolo base'!$A:$A, 0))</f>
        <v>#N/A</v>
      </c>
      <c r="H1001" s="54" t="e">
        <f t="shared" si="187"/>
        <v>#N/A</v>
      </c>
      <c r="I1001" s="259" t="e">
        <f>IF(  OR(      INDEX('calcolo base'!$D:$D, MATCH($A1001, 'calcolo base'!$A:$A, 0)) = 0,
      INDEX('calcolo base'!$D:$D, MATCH($A1001, 'calcolo base'!$A:$A, 0)) = ""   ),
   INDEX('calcolo base'!$K:$K, MATCH($A1001, 'calcolo base'!$A:$A, 0)),
   INDEX('calcolo base'!$J:$J, MATCH($A1001, 'calcolo base'!$A:$A, 0))
) / 1000</f>
        <v>#N/A</v>
      </c>
      <c r="J1001" s="50" t="e">
        <f t="shared" si="188"/>
        <v>#N/A</v>
      </c>
      <c r="K1001" s="50"/>
      <c r="L1001" s="267" t="e">
        <f>INDEX('calcolo base'!$H:$H, MATCH($A1001, 'calcolo base'!$A:$A, 0))</f>
        <v>#N/A</v>
      </c>
      <c r="M1001" s="50" t="e">
        <f t="shared" si="189"/>
        <v>#N/A</v>
      </c>
      <c r="N1001" s="50" t="e">
        <f t="shared" si="190"/>
        <v>#N/A</v>
      </c>
      <c r="O1001" s="50" t="e">
        <f t="shared" si="184"/>
        <v>#N/A</v>
      </c>
      <c r="P1001" s="50" t="e">
        <f t="shared" si="191"/>
        <v>#N/A</v>
      </c>
      <c r="Q1001" s="51" t="e">
        <f t="shared" si="192"/>
        <v>#N/A</v>
      </c>
      <c r="R1001" s="205" t="e">
        <f t="shared" si="193"/>
        <v>#N/A</v>
      </c>
      <c r="S1001" s="279" t="e">
        <f>IF(R1001="si",0,IF(E1001="si",0,IF(J1001&gt;K1001,0,+K1001-J1001)))+IF('calcolo base'!P1693="SI",('Commissioni De Angeli'!K1001-'Commissioni De Angeli'!J1001),0)</f>
        <v>#N/A</v>
      </c>
      <c r="T1001" s="117" t="e">
        <f t="shared" si="194"/>
        <v>#N/A</v>
      </c>
      <c r="U1001" s="272" t="e">
        <f>IF(Q1001=0,'calcolo base'!L3600,(T1001+Q1001))</f>
        <v>#N/A</v>
      </c>
      <c r="V1001" s="119"/>
      <c r="Z1001" s="118">
        <f t="shared" si="185"/>
        <v>0</v>
      </c>
      <c r="AA1001" s="118">
        <f t="shared" si="186"/>
        <v>0</v>
      </c>
    </row>
    <row r="1002" spans="2:27">
      <c r="B1002" s="47"/>
      <c r="C1002" s="35"/>
      <c r="D1002" s="53"/>
      <c r="E1002" s="53"/>
      <c r="F1002" s="48"/>
      <c r="G1002" s="243" t="e">
        <f>INDEX('calcolo base'!$B:$B, MATCH($A1002, 'calcolo base'!$A:$A, 0))</f>
        <v>#N/A</v>
      </c>
      <c r="H1002" s="54" t="e">
        <f t="shared" si="187"/>
        <v>#N/A</v>
      </c>
      <c r="I1002" s="259" t="e">
        <f>IF(  OR(      INDEX('calcolo base'!$D:$D, MATCH($A1002, 'calcolo base'!$A:$A, 0)) = 0,
      INDEX('calcolo base'!$D:$D, MATCH($A1002, 'calcolo base'!$A:$A, 0)) = ""   ),
   INDEX('calcolo base'!$K:$K, MATCH($A1002, 'calcolo base'!$A:$A, 0)),
   INDEX('calcolo base'!$J:$J, MATCH($A1002, 'calcolo base'!$A:$A, 0))
) / 1000</f>
        <v>#N/A</v>
      </c>
      <c r="J1002" s="50" t="e">
        <f t="shared" si="188"/>
        <v>#N/A</v>
      </c>
      <c r="K1002" s="50"/>
      <c r="L1002" s="267" t="e">
        <f>INDEX('calcolo base'!$H:$H, MATCH($A1002, 'calcolo base'!$A:$A, 0))</f>
        <v>#N/A</v>
      </c>
      <c r="M1002" s="50" t="e">
        <f t="shared" si="189"/>
        <v>#N/A</v>
      </c>
      <c r="N1002" s="50" t="e">
        <f t="shared" si="190"/>
        <v>#N/A</v>
      </c>
      <c r="O1002" s="50" t="e">
        <f t="shared" si="184"/>
        <v>#N/A</v>
      </c>
      <c r="P1002" s="50" t="e">
        <f t="shared" si="191"/>
        <v>#N/A</v>
      </c>
      <c r="Q1002" s="51" t="e">
        <f t="shared" si="192"/>
        <v>#N/A</v>
      </c>
      <c r="R1002" s="205" t="e">
        <f t="shared" si="193"/>
        <v>#N/A</v>
      </c>
      <c r="S1002" s="279" t="e">
        <f>IF(R1002="si",0,IF(E1002="si",0,IF(J1002&gt;K1002,0,+K1002-J1002)))+IF('calcolo base'!P1694="SI",('Commissioni De Angeli'!K1002-'Commissioni De Angeli'!J1002),0)</f>
        <v>#N/A</v>
      </c>
      <c r="T1002" s="117" t="e">
        <f t="shared" si="194"/>
        <v>#N/A</v>
      </c>
      <c r="U1002" s="272" t="e">
        <f>IF(Q1002=0,'calcolo base'!L3601,(T1002+Q1002))</f>
        <v>#N/A</v>
      </c>
      <c r="V1002" s="119"/>
      <c r="Z1002" s="118">
        <f t="shared" si="185"/>
        <v>0</v>
      </c>
      <c r="AA1002" s="118">
        <f t="shared" si="186"/>
        <v>0</v>
      </c>
    </row>
    <row r="1003" spans="2:27">
      <c r="B1003" s="47"/>
      <c r="C1003" s="35"/>
      <c r="D1003" s="53"/>
      <c r="E1003" s="53"/>
      <c r="F1003" s="48"/>
      <c r="G1003" s="243" t="e">
        <f>INDEX('calcolo base'!$B:$B, MATCH($A1003, 'calcolo base'!$A:$A, 0))</f>
        <v>#N/A</v>
      </c>
      <c r="H1003" s="54" t="e">
        <f t="shared" si="187"/>
        <v>#N/A</v>
      </c>
      <c r="I1003" s="259" t="e">
        <f>IF(  OR(      INDEX('calcolo base'!$D:$D, MATCH($A1003, 'calcolo base'!$A:$A, 0)) = 0,
      INDEX('calcolo base'!$D:$D, MATCH($A1003, 'calcolo base'!$A:$A, 0)) = ""   ),
   INDEX('calcolo base'!$K:$K, MATCH($A1003, 'calcolo base'!$A:$A, 0)),
   INDEX('calcolo base'!$J:$J, MATCH($A1003, 'calcolo base'!$A:$A, 0))
) / 1000</f>
        <v>#N/A</v>
      </c>
      <c r="J1003" s="50" t="e">
        <f t="shared" si="188"/>
        <v>#N/A</v>
      </c>
      <c r="K1003" s="50"/>
      <c r="L1003" s="267" t="e">
        <f>INDEX('calcolo base'!$H:$H, MATCH($A1003, 'calcolo base'!$A:$A, 0))</f>
        <v>#N/A</v>
      </c>
      <c r="M1003" s="50" t="e">
        <f t="shared" si="189"/>
        <v>#N/A</v>
      </c>
      <c r="N1003" s="50" t="e">
        <f t="shared" si="190"/>
        <v>#N/A</v>
      </c>
      <c r="O1003" s="50" t="e">
        <f t="shared" si="184"/>
        <v>#N/A</v>
      </c>
      <c r="P1003" s="50" t="e">
        <f t="shared" si="191"/>
        <v>#N/A</v>
      </c>
      <c r="Q1003" s="51" t="e">
        <f t="shared" si="192"/>
        <v>#N/A</v>
      </c>
      <c r="R1003" s="205" t="e">
        <f t="shared" si="193"/>
        <v>#N/A</v>
      </c>
      <c r="S1003" s="279" t="e">
        <f>IF(R1003="si",0,IF(E1003="si",0,IF(J1003&gt;K1003,0,+K1003-J1003)))+IF('calcolo base'!P1695="SI",('Commissioni De Angeli'!K1003-'Commissioni De Angeli'!J1003),0)</f>
        <v>#N/A</v>
      </c>
      <c r="T1003" s="117" t="e">
        <f t="shared" si="194"/>
        <v>#N/A</v>
      </c>
      <c r="U1003" s="272" t="e">
        <f>IF(Q1003=0,'calcolo base'!L3602,(T1003+Q1003))</f>
        <v>#N/A</v>
      </c>
      <c r="V1003" s="119"/>
      <c r="Z1003" s="118">
        <f t="shared" si="185"/>
        <v>0</v>
      </c>
      <c r="AA1003" s="118">
        <f t="shared" si="186"/>
        <v>0</v>
      </c>
    </row>
    <row r="1004" spans="2:27">
      <c r="B1004" s="47"/>
      <c r="C1004" s="35"/>
      <c r="D1004" s="53"/>
      <c r="E1004" s="53"/>
      <c r="F1004" s="48"/>
      <c r="G1004" s="243" t="e">
        <f>INDEX('calcolo base'!$B:$B, MATCH($A1004, 'calcolo base'!$A:$A, 0))</f>
        <v>#N/A</v>
      </c>
      <c r="H1004" s="54" t="e">
        <f t="shared" si="187"/>
        <v>#N/A</v>
      </c>
      <c r="I1004" s="259" t="e">
        <f>IF(  OR(      INDEX('calcolo base'!$D:$D, MATCH($A1004, 'calcolo base'!$A:$A, 0)) = 0,
      INDEX('calcolo base'!$D:$D, MATCH($A1004, 'calcolo base'!$A:$A, 0)) = ""   ),
   INDEX('calcolo base'!$K:$K, MATCH($A1004, 'calcolo base'!$A:$A, 0)),
   INDEX('calcolo base'!$J:$J, MATCH($A1004, 'calcolo base'!$A:$A, 0))
) / 1000</f>
        <v>#N/A</v>
      </c>
      <c r="J1004" s="50" t="e">
        <f t="shared" si="188"/>
        <v>#N/A</v>
      </c>
      <c r="K1004" s="50"/>
      <c r="L1004" s="267" t="e">
        <f>INDEX('calcolo base'!$H:$H, MATCH($A1004, 'calcolo base'!$A:$A, 0))</f>
        <v>#N/A</v>
      </c>
      <c r="M1004" s="50" t="e">
        <f t="shared" si="189"/>
        <v>#N/A</v>
      </c>
      <c r="N1004" s="50" t="e">
        <f t="shared" si="190"/>
        <v>#N/A</v>
      </c>
      <c r="O1004" s="50" t="e">
        <f t="shared" si="184"/>
        <v>#N/A</v>
      </c>
      <c r="P1004" s="50" t="e">
        <f t="shared" si="191"/>
        <v>#N/A</v>
      </c>
      <c r="Q1004" s="51" t="e">
        <f t="shared" si="192"/>
        <v>#N/A</v>
      </c>
      <c r="R1004" s="205" t="e">
        <f t="shared" si="193"/>
        <v>#N/A</v>
      </c>
      <c r="S1004" s="279" t="e">
        <f>IF(R1004="si",0,IF(E1004="si",0,IF(J1004&gt;K1004,0,+K1004-J1004)))+IF('calcolo base'!P1696="SI",('Commissioni De Angeli'!K1004-'Commissioni De Angeli'!J1004),0)</f>
        <v>#N/A</v>
      </c>
      <c r="T1004" s="117" t="e">
        <f t="shared" si="194"/>
        <v>#N/A</v>
      </c>
      <c r="U1004" s="272" t="e">
        <f>IF(Q1004=0,'calcolo base'!L3603,(T1004+Q1004))</f>
        <v>#N/A</v>
      </c>
      <c r="V1004" s="119"/>
      <c r="Z1004" s="118">
        <f t="shared" si="185"/>
        <v>0</v>
      </c>
      <c r="AA1004" s="118">
        <f t="shared" si="186"/>
        <v>0</v>
      </c>
    </row>
    <row r="1005" spans="2:27">
      <c r="B1005" s="47"/>
      <c r="C1005" s="35"/>
      <c r="D1005" s="53"/>
      <c r="E1005" s="53"/>
      <c r="F1005" s="48"/>
      <c r="G1005" s="243" t="e">
        <f>INDEX('calcolo base'!$B:$B, MATCH($A1005, 'calcolo base'!$A:$A, 0))</f>
        <v>#N/A</v>
      </c>
      <c r="H1005" s="54" t="e">
        <f t="shared" si="187"/>
        <v>#N/A</v>
      </c>
      <c r="I1005" s="259" t="e">
        <f>IF(  OR(      INDEX('calcolo base'!$D:$D, MATCH($A1005, 'calcolo base'!$A:$A, 0)) = 0,
      INDEX('calcolo base'!$D:$D, MATCH($A1005, 'calcolo base'!$A:$A, 0)) = ""   ),
   INDEX('calcolo base'!$K:$K, MATCH($A1005, 'calcolo base'!$A:$A, 0)),
   INDEX('calcolo base'!$J:$J, MATCH($A1005, 'calcolo base'!$A:$A, 0))
) / 1000</f>
        <v>#N/A</v>
      </c>
      <c r="J1005" s="50" t="e">
        <f t="shared" si="188"/>
        <v>#N/A</v>
      </c>
      <c r="K1005" s="50"/>
      <c r="L1005" s="267" t="e">
        <f>INDEX('calcolo base'!$H:$H, MATCH($A1005, 'calcolo base'!$A:$A, 0))</f>
        <v>#N/A</v>
      </c>
      <c r="M1005" s="50" t="e">
        <f t="shared" si="189"/>
        <v>#N/A</v>
      </c>
      <c r="N1005" s="50" t="e">
        <f t="shared" si="190"/>
        <v>#N/A</v>
      </c>
      <c r="O1005" s="50" t="e">
        <f t="shared" ref="O1005:O1068" si="195">IF($I1005=0,0,(IF($G1005="alluminio",($J1005)*3%,0)+IF($G1005="alluminio smaltato",($K1005)*3%,0)))</f>
        <v>#N/A</v>
      </c>
      <c r="P1005" s="50" t="e">
        <f t="shared" si="191"/>
        <v>#N/A</v>
      </c>
      <c r="Q1005" s="51" t="e">
        <f t="shared" si="192"/>
        <v>#N/A</v>
      </c>
      <c r="R1005" s="205" t="e">
        <f t="shared" si="193"/>
        <v>#N/A</v>
      </c>
      <c r="S1005" s="279" t="e">
        <f>IF(R1005="si",0,IF(E1005="si",0,IF(J1005&gt;K1005,0,+K1005-J1005)))+IF('calcolo base'!P1697="SI",('Commissioni De Angeli'!K1005-'Commissioni De Angeli'!J1005),0)</f>
        <v>#N/A</v>
      </c>
      <c r="T1005" s="117" t="e">
        <f t="shared" si="194"/>
        <v>#N/A</v>
      </c>
      <c r="U1005" s="272" t="e">
        <f>IF(Q1005=0,'calcolo base'!L3604,(T1005+Q1005))</f>
        <v>#N/A</v>
      </c>
      <c r="V1005" s="119"/>
      <c r="Z1005" s="118">
        <f t="shared" si="185"/>
        <v>0</v>
      </c>
      <c r="AA1005" s="118">
        <f t="shared" si="186"/>
        <v>0</v>
      </c>
    </row>
    <row r="1006" spans="2:27">
      <c r="B1006" s="47"/>
      <c r="C1006" s="35"/>
      <c r="D1006" s="53"/>
      <c r="E1006" s="53"/>
      <c r="F1006" s="48"/>
      <c r="G1006" s="243" t="e">
        <f>INDEX('calcolo base'!$B:$B, MATCH($A1006, 'calcolo base'!$A:$A, 0))</f>
        <v>#N/A</v>
      </c>
      <c r="H1006" s="54" t="e">
        <f t="shared" si="187"/>
        <v>#N/A</v>
      </c>
      <c r="I1006" s="259" t="e">
        <f>IF(  OR(      INDEX('calcolo base'!$D:$D, MATCH($A1006, 'calcolo base'!$A:$A, 0)) = 0,
      INDEX('calcolo base'!$D:$D, MATCH($A1006, 'calcolo base'!$A:$A, 0)) = ""   ),
   INDEX('calcolo base'!$K:$K, MATCH($A1006, 'calcolo base'!$A:$A, 0)),
   INDEX('calcolo base'!$J:$J, MATCH($A1006, 'calcolo base'!$A:$A, 0))
) / 1000</f>
        <v>#N/A</v>
      </c>
      <c r="J1006" s="50" t="e">
        <f t="shared" si="188"/>
        <v>#N/A</v>
      </c>
      <c r="K1006" s="50"/>
      <c r="L1006" s="267" t="e">
        <f>INDEX('calcolo base'!$H:$H, MATCH($A1006, 'calcolo base'!$A:$A, 0))</f>
        <v>#N/A</v>
      </c>
      <c r="M1006" s="50" t="e">
        <f t="shared" si="189"/>
        <v>#N/A</v>
      </c>
      <c r="N1006" s="50" t="e">
        <f t="shared" si="190"/>
        <v>#N/A</v>
      </c>
      <c r="O1006" s="50" t="e">
        <f t="shared" si="195"/>
        <v>#N/A</v>
      </c>
      <c r="P1006" s="50" t="e">
        <f t="shared" si="191"/>
        <v>#N/A</v>
      </c>
      <c r="Q1006" s="51" t="e">
        <f t="shared" si="192"/>
        <v>#N/A</v>
      </c>
      <c r="R1006" s="205" t="e">
        <f t="shared" si="193"/>
        <v>#N/A</v>
      </c>
      <c r="S1006" s="279" t="e">
        <f>IF(R1006="si",0,IF(E1006="si",0,IF(J1006&gt;K1006,0,+K1006-J1006)))+IF('calcolo base'!P1698="SI",('Commissioni De Angeli'!K1006-'Commissioni De Angeli'!J1006),0)</f>
        <v>#N/A</v>
      </c>
      <c r="T1006" s="117" t="e">
        <f t="shared" si="194"/>
        <v>#N/A</v>
      </c>
      <c r="U1006" s="272" t="e">
        <f>IF(Q1006=0,'calcolo base'!L3605,(T1006+Q1006))</f>
        <v>#N/A</v>
      </c>
      <c r="V1006" s="119"/>
      <c r="Z1006" s="118">
        <f t="shared" si="185"/>
        <v>0</v>
      </c>
      <c r="AA1006" s="118">
        <f t="shared" si="186"/>
        <v>0</v>
      </c>
    </row>
    <row r="1007" spans="2:27">
      <c r="B1007" s="47"/>
      <c r="C1007" s="35"/>
      <c r="D1007" s="53"/>
      <c r="E1007" s="53"/>
      <c r="F1007" s="48"/>
      <c r="G1007" s="243" t="e">
        <f>INDEX('calcolo base'!$B:$B, MATCH($A1007, 'calcolo base'!$A:$A, 0))</f>
        <v>#N/A</v>
      </c>
      <c r="H1007" s="54" t="e">
        <f t="shared" si="187"/>
        <v>#N/A</v>
      </c>
      <c r="I1007" s="259" t="e">
        <f>IF(  OR(      INDEX('calcolo base'!$D:$D, MATCH($A1007, 'calcolo base'!$A:$A, 0)) = 0,
      INDEX('calcolo base'!$D:$D, MATCH($A1007, 'calcolo base'!$A:$A, 0)) = ""   ),
   INDEX('calcolo base'!$K:$K, MATCH($A1007, 'calcolo base'!$A:$A, 0)),
   INDEX('calcolo base'!$J:$J, MATCH($A1007, 'calcolo base'!$A:$A, 0))
) / 1000</f>
        <v>#N/A</v>
      </c>
      <c r="J1007" s="50" t="e">
        <f t="shared" si="188"/>
        <v>#N/A</v>
      </c>
      <c r="K1007" s="50"/>
      <c r="L1007" s="267" t="e">
        <f>INDEX('calcolo base'!$H:$H, MATCH($A1007, 'calcolo base'!$A:$A, 0))</f>
        <v>#N/A</v>
      </c>
      <c r="M1007" s="50" t="e">
        <f t="shared" si="189"/>
        <v>#N/A</v>
      </c>
      <c r="N1007" s="50" t="e">
        <f t="shared" si="190"/>
        <v>#N/A</v>
      </c>
      <c r="O1007" s="50" t="e">
        <f t="shared" si="195"/>
        <v>#N/A</v>
      </c>
      <c r="P1007" s="50" t="e">
        <f t="shared" si="191"/>
        <v>#N/A</v>
      </c>
      <c r="Q1007" s="51" t="e">
        <f t="shared" si="192"/>
        <v>#N/A</v>
      </c>
      <c r="R1007" s="205" t="e">
        <f t="shared" si="193"/>
        <v>#N/A</v>
      </c>
      <c r="S1007" s="279" t="e">
        <f>IF(R1007="si",0,IF(E1007="si",0,IF(J1007&gt;K1007,0,+K1007-J1007)))+IF('calcolo base'!P1699="SI",('Commissioni De Angeli'!K1007-'Commissioni De Angeli'!J1007),0)</f>
        <v>#N/A</v>
      </c>
      <c r="T1007" s="117" t="e">
        <f t="shared" si="194"/>
        <v>#N/A</v>
      </c>
      <c r="U1007" s="272" t="e">
        <f>IF(Q1007=0,'calcolo base'!L3606,(T1007+Q1007))</f>
        <v>#N/A</v>
      </c>
      <c r="V1007" s="119"/>
      <c r="Z1007" s="118">
        <f t="shared" si="185"/>
        <v>0</v>
      </c>
      <c r="AA1007" s="118">
        <f t="shared" si="186"/>
        <v>0</v>
      </c>
    </row>
    <row r="1008" spans="2:27">
      <c r="B1008" s="47"/>
      <c r="C1008" s="35"/>
      <c r="D1008" s="53"/>
      <c r="E1008" s="53"/>
      <c r="F1008" s="48"/>
      <c r="G1008" s="243" t="e">
        <f>INDEX('calcolo base'!$B:$B, MATCH($A1008, 'calcolo base'!$A:$A, 0))</f>
        <v>#N/A</v>
      </c>
      <c r="H1008" s="54" t="e">
        <f t="shared" si="187"/>
        <v>#N/A</v>
      </c>
      <c r="I1008" s="259" t="e">
        <f>IF(  OR(      INDEX('calcolo base'!$D:$D, MATCH($A1008, 'calcolo base'!$A:$A, 0)) = 0,
      INDEX('calcolo base'!$D:$D, MATCH($A1008, 'calcolo base'!$A:$A, 0)) = ""   ),
   INDEX('calcolo base'!$K:$K, MATCH($A1008, 'calcolo base'!$A:$A, 0)),
   INDEX('calcolo base'!$J:$J, MATCH($A1008, 'calcolo base'!$A:$A, 0))
) / 1000</f>
        <v>#N/A</v>
      </c>
      <c r="J1008" s="50" t="e">
        <f t="shared" si="188"/>
        <v>#N/A</v>
      </c>
      <c r="K1008" s="50"/>
      <c r="L1008" s="267" t="e">
        <f>INDEX('calcolo base'!$H:$H, MATCH($A1008, 'calcolo base'!$A:$A, 0))</f>
        <v>#N/A</v>
      </c>
      <c r="M1008" s="50" t="e">
        <f t="shared" si="189"/>
        <v>#N/A</v>
      </c>
      <c r="N1008" s="50" t="e">
        <f t="shared" si="190"/>
        <v>#N/A</v>
      </c>
      <c r="O1008" s="50" t="e">
        <f t="shared" si="195"/>
        <v>#N/A</v>
      </c>
      <c r="P1008" s="50" t="e">
        <f t="shared" si="191"/>
        <v>#N/A</v>
      </c>
      <c r="Q1008" s="51" t="e">
        <f t="shared" si="192"/>
        <v>#N/A</v>
      </c>
      <c r="R1008" s="205" t="e">
        <f t="shared" si="193"/>
        <v>#N/A</v>
      </c>
      <c r="S1008" s="279" t="e">
        <f>IF(R1008="si",0,IF(E1008="si",0,IF(J1008&gt;K1008,0,+K1008-J1008)))+IF('calcolo base'!P1700="SI",('Commissioni De Angeli'!K1008-'Commissioni De Angeli'!J1008),0)</f>
        <v>#N/A</v>
      </c>
      <c r="T1008" s="117" t="e">
        <f t="shared" si="194"/>
        <v>#N/A</v>
      </c>
      <c r="U1008" s="272" t="e">
        <f>IF(Q1008=0,'calcolo base'!L3607,(T1008+Q1008))</f>
        <v>#N/A</v>
      </c>
      <c r="V1008" s="119"/>
      <c r="Z1008" s="118">
        <f t="shared" si="185"/>
        <v>0</v>
      </c>
      <c r="AA1008" s="118">
        <f t="shared" si="186"/>
        <v>0</v>
      </c>
    </row>
    <row r="1009" spans="2:27">
      <c r="B1009" s="47"/>
      <c r="C1009" s="35"/>
      <c r="D1009" s="53"/>
      <c r="E1009" s="53"/>
      <c r="F1009" s="48"/>
      <c r="G1009" s="243" t="e">
        <f>INDEX('calcolo base'!$B:$B, MATCH($A1009, 'calcolo base'!$A:$A, 0))</f>
        <v>#N/A</v>
      </c>
      <c r="H1009" s="54" t="e">
        <f t="shared" si="187"/>
        <v>#N/A</v>
      </c>
      <c r="I1009" s="259" t="e">
        <f>IF(  OR(      INDEX('calcolo base'!$D:$D, MATCH($A1009, 'calcolo base'!$A:$A, 0)) = 0,
      INDEX('calcolo base'!$D:$D, MATCH($A1009, 'calcolo base'!$A:$A, 0)) = ""   ),
   INDEX('calcolo base'!$K:$K, MATCH($A1009, 'calcolo base'!$A:$A, 0)),
   INDEX('calcolo base'!$J:$J, MATCH($A1009, 'calcolo base'!$A:$A, 0))
) / 1000</f>
        <v>#N/A</v>
      </c>
      <c r="J1009" s="50" t="e">
        <f t="shared" si="188"/>
        <v>#N/A</v>
      </c>
      <c r="K1009" s="50"/>
      <c r="L1009" s="267" t="e">
        <f>INDEX('calcolo base'!$H:$H, MATCH($A1009, 'calcolo base'!$A:$A, 0))</f>
        <v>#N/A</v>
      </c>
      <c r="M1009" s="50" t="e">
        <f t="shared" si="189"/>
        <v>#N/A</v>
      </c>
      <c r="N1009" s="50" t="e">
        <f t="shared" si="190"/>
        <v>#N/A</v>
      </c>
      <c r="O1009" s="50" t="e">
        <f t="shared" si="195"/>
        <v>#N/A</v>
      </c>
      <c r="P1009" s="50" t="e">
        <f t="shared" si="191"/>
        <v>#N/A</v>
      </c>
      <c r="Q1009" s="51" t="e">
        <f t="shared" si="192"/>
        <v>#N/A</v>
      </c>
      <c r="R1009" s="205" t="e">
        <f t="shared" si="193"/>
        <v>#N/A</v>
      </c>
      <c r="S1009" s="279" t="e">
        <f>IF(R1009="si",0,IF(E1009="si",0,IF(J1009&gt;K1009,0,+K1009-J1009)))+IF('calcolo base'!P1701="SI",('Commissioni De Angeli'!K1009-'Commissioni De Angeli'!J1009),0)</f>
        <v>#N/A</v>
      </c>
      <c r="T1009" s="117" t="e">
        <f t="shared" si="194"/>
        <v>#N/A</v>
      </c>
      <c r="U1009" s="272" t="e">
        <f>IF(Q1009=0,'calcolo base'!L3608,(T1009+Q1009))</f>
        <v>#N/A</v>
      </c>
      <c r="V1009" s="119"/>
      <c r="Z1009" s="118">
        <f t="shared" si="185"/>
        <v>0</v>
      </c>
      <c r="AA1009" s="118">
        <f t="shared" si="186"/>
        <v>0</v>
      </c>
    </row>
    <row r="1010" spans="2:27">
      <c r="B1010" s="47"/>
      <c r="C1010" s="35"/>
      <c r="D1010" s="53"/>
      <c r="E1010" s="53"/>
      <c r="F1010" s="48"/>
      <c r="G1010" s="243" t="e">
        <f>INDEX('calcolo base'!$B:$B, MATCH($A1010, 'calcolo base'!$A:$A, 0))</f>
        <v>#N/A</v>
      </c>
      <c r="H1010" s="54" t="e">
        <f t="shared" si="187"/>
        <v>#N/A</v>
      </c>
      <c r="I1010" s="259" t="e">
        <f>IF(  OR(      INDEX('calcolo base'!$D:$D, MATCH($A1010, 'calcolo base'!$A:$A, 0)) = 0,
      INDEX('calcolo base'!$D:$D, MATCH($A1010, 'calcolo base'!$A:$A, 0)) = ""   ),
   INDEX('calcolo base'!$K:$K, MATCH($A1010, 'calcolo base'!$A:$A, 0)),
   INDEX('calcolo base'!$J:$J, MATCH($A1010, 'calcolo base'!$A:$A, 0))
) / 1000</f>
        <v>#N/A</v>
      </c>
      <c r="J1010" s="50" t="e">
        <f t="shared" si="188"/>
        <v>#N/A</v>
      </c>
      <c r="K1010" s="50"/>
      <c r="L1010" s="267" t="e">
        <f>INDEX('calcolo base'!$H:$H, MATCH($A1010, 'calcolo base'!$A:$A, 0))</f>
        <v>#N/A</v>
      </c>
      <c r="M1010" s="50" t="e">
        <f t="shared" si="189"/>
        <v>#N/A</v>
      </c>
      <c r="N1010" s="50" t="e">
        <f t="shared" si="190"/>
        <v>#N/A</v>
      </c>
      <c r="O1010" s="50" t="e">
        <f t="shared" si="195"/>
        <v>#N/A</v>
      </c>
      <c r="P1010" s="50" t="e">
        <f t="shared" si="191"/>
        <v>#N/A</v>
      </c>
      <c r="Q1010" s="51" t="e">
        <f t="shared" si="192"/>
        <v>#N/A</v>
      </c>
      <c r="R1010" s="205" t="e">
        <f t="shared" si="193"/>
        <v>#N/A</v>
      </c>
      <c r="S1010" s="279" t="e">
        <f>IF(R1010="si",0,IF(E1010="si",0,IF(J1010&gt;K1010,0,+K1010-J1010)))+IF('calcolo base'!P1702="SI",('Commissioni De Angeli'!K1010-'Commissioni De Angeli'!J1010),0)</f>
        <v>#N/A</v>
      </c>
      <c r="T1010" s="117" t="e">
        <f t="shared" si="194"/>
        <v>#N/A</v>
      </c>
      <c r="U1010" s="272" t="e">
        <f>IF(Q1010=0,'calcolo base'!L3609,(T1010+Q1010))</f>
        <v>#N/A</v>
      </c>
      <c r="V1010" s="119"/>
      <c r="Z1010" s="118">
        <f t="shared" si="185"/>
        <v>0</v>
      </c>
      <c r="AA1010" s="118">
        <f t="shared" si="186"/>
        <v>0</v>
      </c>
    </row>
    <row r="1011" spans="2:27">
      <c r="B1011" s="47"/>
      <c r="C1011" s="35"/>
      <c r="D1011" s="53"/>
      <c r="E1011" s="53"/>
      <c r="F1011" s="48"/>
      <c r="G1011" s="243" t="e">
        <f>INDEX('calcolo base'!$B:$B, MATCH($A1011, 'calcolo base'!$A:$A, 0))</f>
        <v>#N/A</v>
      </c>
      <c r="H1011" s="54" t="e">
        <f t="shared" si="187"/>
        <v>#N/A</v>
      </c>
      <c r="I1011" s="259" t="e">
        <f>IF(  OR(      INDEX('calcolo base'!$D:$D, MATCH($A1011, 'calcolo base'!$A:$A, 0)) = 0,
      INDEX('calcolo base'!$D:$D, MATCH($A1011, 'calcolo base'!$A:$A, 0)) = ""   ),
   INDEX('calcolo base'!$K:$K, MATCH($A1011, 'calcolo base'!$A:$A, 0)),
   INDEX('calcolo base'!$J:$J, MATCH($A1011, 'calcolo base'!$A:$A, 0))
) / 1000</f>
        <v>#N/A</v>
      </c>
      <c r="J1011" s="50" t="e">
        <f t="shared" si="188"/>
        <v>#N/A</v>
      </c>
      <c r="K1011" s="50"/>
      <c r="L1011" s="267" t="e">
        <f>INDEX('calcolo base'!$H:$H, MATCH($A1011, 'calcolo base'!$A:$A, 0))</f>
        <v>#N/A</v>
      </c>
      <c r="M1011" s="50" t="e">
        <f t="shared" si="189"/>
        <v>#N/A</v>
      </c>
      <c r="N1011" s="50" t="e">
        <f t="shared" si="190"/>
        <v>#N/A</v>
      </c>
      <c r="O1011" s="50" t="e">
        <f t="shared" si="195"/>
        <v>#N/A</v>
      </c>
      <c r="P1011" s="50" t="e">
        <f t="shared" si="191"/>
        <v>#N/A</v>
      </c>
      <c r="Q1011" s="51" t="e">
        <f t="shared" si="192"/>
        <v>#N/A</v>
      </c>
      <c r="R1011" s="205" t="e">
        <f t="shared" si="193"/>
        <v>#N/A</v>
      </c>
      <c r="S1011" s="279" t="e">
        <f>IF(R1011="si",0,IF(E1011="si",0,IF(J1011&gt;K1011,0,+K1011-J1011)))+IF('calcolo base'!P1703="SI",('Commissioni De Angeli'!K1011-'Commissioni De Angeli'!J1011),0)</f>
        <v>#N/A</v>
      </c>
      <c r="T1011" s="117" t="e">
        <f t="shared" si="194"/>
        <v>#N/A</v>
      </c>
      <c r="U1011" s="272" t="e">
        <f>IF(Q1011=0,'calcolo base'!L3610,(T1011+Q1011))</f>
        <v>#N/A</v>
      </c>
      <c r="V1011" s="119"/>
      <c r="Z1011" s="118">
        <f t="shared" si="185"/>
        <v>0</v>
      </c>
      <c r="AA1011" s="118">
        <f t="shared" si="186"/>
        <v>0</v>
      </c>
    </row>
    <row r="1012" spans="2:27">
      <c r="B1012" s="47"/>
      <c r="C1012" s="35"/>
      <c r="D1012" s="53"/>
      <c r="E1012" s="53"/>
      <c r="F1012" s="48"/>
      <c r="G1012" s="243" t="e">
        <f>INDEX('calcolo base'!$B:$B, MATCH($A1012, 'calcolo base'!$A:$A, 0))</f>
        <v>#N/A</v>
      </c>
      <c r="H1012" s="54" t="e">
        <f t="shared" si="187"/>
        <v>#N/A</v>
      </c>
      <c r="I1012" s="259" t="e">
        <f>IF(  OR(      INDEX('calcolo base'!$D:$D, MATCH($A1012, 'calcolo base'!$A:$A, 0)) = 0,
      INDEX('calcolo base'!$D:$D, MATCH($A1012, 'calcolo base'!$A:$A, 0)) = ""   ),
   INDEX('calcolo base'!$K:$K, MATCH($A1012, 'calcolo base'!$A:$A, 0)),
   INDEX('calcolo base'!$J:$J, MATCH($A1012, 'calcolo base'!$A:$A, 0))
) / 1000</f>
        <v>#N/A</v>
      </c>
      <c r="J1012" s="50" t="e">
        <f t="shared" si="188"/>
        <v>#N/A</v>
      </c>
      <c r="K1012" s="50"/>
      <c r="L1012" s="267" t="e">
        <f>INDEX('calcolo base'!$H:$H, MATCH($A1012, 'calcolo base'!$A:$A, 0))</f>
        <v>#N/A</v>
      </c>
      <c r="M1012" s="50" t="e">
        <f t="shared" si="189"/>
        <v>#N/A</v>
      </c>
      <c r="N1012" s="50" t="e">
        <f t="shared" si="190"/>
        <v>#N/A</v>
      </c>
      <c r="O1012" s="50" t="e">
        <f t="shared" si="195"/>
        <v>#N/A</v>
      </c>
      <c r="P1012" s="50" t="e">
        <f t="shared" si="191"/>
        <v>#N/A</v>
      </c>
      <c r="Q1012" s="51" t="e">
        <f t="shared" si="192"/>
        <v>#N/A</v>
      </c>
      <c r="R1012" s="205" t="e">
        <f t="shared" si="193"/>
        <v>#N/A</v>
      </c>
      <c r="S1012" s="279" t="e">
        <f>IF(R1012="si",0,IF(E1012="si",0,IF(J1012&gt;K1012,0,+K1012-J1012)))+IF('calcolo base'!P1704="SI",('Commissioni De Angeli'!K1012-'Commissioni De Angeli'!J1012),0)</f>
        <v>#N/A</v>
      </c>
      <c r="T1012" s="117" t="e">
        <f t="shared" si="194"/>
        <v>#N/A</v>
      </c>
      <c r="U1012" s="272" t="e">
        <f>IF(Q1012=0,'calcolo base'!L3611,(T1012+Q1012))</f>
        <v>#N/A</v>
      </c>
      <c r="V1012" s="119"/>
      <c r="Z1012" s="118">
        <f t="shared" si="185"/>
        <v>0</v>
      </c>
      <c r="AA1012" s="118">
        <f t="shared" si="186"/>
        <v>0</v>
      </c>
    </row>
    <row r="1013" spans="2:27">
      <c r="B1013" s="47"/>
      <c r="C1013" s="35"/>
      <c r="D1013" s="53"/>
      <c r="E1013" s="53"/>
      <c r="F1013" s="48"/>
      <c r="G1013" s="243" t="e">
        <f>INDEX('calcolo base'!$B:$B, MATCH($A1013, 'calcolo base'!$A:$A, 0))</f>
        <v>#N/A</v>
      </c>
      <c r="H1013" s="54" t="e">
        <f t="shared" si="187"/>
        <v>#N/A</v>
      </c>
      <c r="I1013" s="259" t="e">
        <f>IF(  OR(      INDEX('calcolo base'!$D:$D, MATCH($A1013, 'calcolo base'!$A:$A, 0)) = 0,
      INDEX('calcolo base'!$D:$D, MATCH($A1013, 'calcolo base'!$A:$A, 0)) = ""   ),
   INDEX('calcolo base'!$K:$K, MATCH($A1013, 'calcolo base'!$A:$A, 0)),
   INDEX('calcolo base'!$J:$J, MATCH($A1013, 'calcolo base'!$A:$A, 0))
) / 1000</f>
        <v>#N/A</v>
      </c>
      <c r="J1013" s="50" t="e">
        <f t="shared" si="188"/>
        <v>#N/A</v>
      </c>
      <c r="K1013" s="50"/>
      <c r="L1013" s="267" t="e">
        <f>INDEX('calcolo base'!$H:$H, MATCH($A1013, 'calcolo base'!$A:$A, 0))</f>
        <v>#N/A</v>
      </c>
      <c r="M1013" s="50" t="e">
        <f t="shared" si="189"/>
        <v>#N/A</v>
      </c>
      <c r="N1013" s="50" t="e">
        <f t="shared" si="190"/>
        <v>#N/A</v>
      </c>
      <c r="O1013" s="50" t="e">
        <f t="shared" si="195"/>
        <v>#N/A</v>
      </c>
      <c r="P1013" s="50" t="e">
        <f t="shared" si="191"/>
        <v>#N/A</v>
      </c>
      <c r="Q1013" s="51" t="e">
        <f t="shared" si="192"/>
        <v>#N/A</v>
      </c>
      <c r="R1013" s="205" t="e">
        <f t="shared" si="193"/>
        <v>#N/A</v>
      </c>
      <c r="S1013" s="279" t="e">
        <f>IF(R1013="si",0,IF(E1013="si",0,IF(J1013&gt;K1013,0,+K1013-J1013)))+IF('calcolo base'!P1705="SI",('Commissioni De Angeli'!K1013-'Commissioni De Angeli'!J1013),0)</f>
        <v>#N/A</v>
      </c>
      <c r="T1013" s="117" t="e">
        <f t="shared" si="194"/>
        <v>#N/A</v>
      </c>
      <c r="U1013" s="272" t="e">
        <f>IF(Q1013=0,'calcolo base'!L3612,(T1013+Q1013))</f>
        <v>#N/A</v>
      </c>
      <c r="V1013" s="119"/>
      <c r="Z1013" s="118">
        <f t="shared" si="185"/>
        <v>0</v>
      </c>
      <c r="AA1013" s="118">
        <f t="shared" si="186"/>
        <v>0</v>
      </c>
    </row>
    <row r="1014" spans="2:27">
      <c r="B1014" s="47"/>
      <c r="C1014" s="35"/>
      <c r="D1014" s="53"/>
      <c r="E1014" s="53"/>
      <c r="F1014" s="48"/>
      <c r="G1014" s="243" t="e">
        <f>INDEX('calcolo base'!$B:$B, MATCH($A1014, 'calcolo base'!$A:$A, 0))</f>
        <v>#N/A</v>
      </c>
      <c r="H1014" s="54" t="e">
        <f t="shared" si="187"/>
        <v>#N/A</v>
      </c>
      <c r="I1014" s="259" t="e">
        <f>IF(  OR(      INDEX('calcolo base'!$D:$D, MATCH($A1014, 'calcolo base'!$A:$A, 0)) = 0,
      INDEX('calcolo base'!$D:$D, MATCH($A1014, 'calcolo base'!$A:$A, 0)) = ""   ),
   INDEX('calcolo base'!$K:$K, MATCH($A1014, 'calcolo base'!$A:$A, 0)),
   INDEX('calcolo base'!$J:$J, MATCH($A1014, 'calcolo base'!$A:$A, 0))
) / 1000</f>
        <v>#N/A</v>
      </c>
      <c r="J1014" s="50" t="e">
        <f t="shared" si="188"/>
        <v>#N/A</v>
      </c>
      <c r="K1014" s="50"/>
      <c r="L1014" s="267" t="e">
        <f>INDEX('calcolo base'!$H:$H, MATCH($A1014, 'calcolo base'!$A:$A, 0))</f>
        <v>#N/A</v>
      </c>
      <c r="M1014" s="50" t="e">
        <f t="shared" si="189"/>
        <v>#N/A</v>
      </c>
      <c r="N1014" s="50" t="e">
        <f t="shared" si="190"/>
        <v>#N/A</v>
      </c>
      <c r="O1014" s="50" t="e">
        <f t="shared" si="195"/>
        <v>#N/A</v>
      </c>
      <c r="P1014" s="50" t="e">
        <f t="shared" si="191"/>
        <v>#N/A</v>
      </c>
      <c r="Q1014" s="51" t="e">
        <f t="shared" si="192"/>
        <v>#N/A</v>
      </c>
      <c r="R1014" s="205" t="e">
        <f t="shared" si="193"/>
        <v>#N/A</v>
      </c>
      <c r="S1014" s="279" t="e">
        <f>IF(R1014="si",0,IF(E1014="si",0,IF(J1014&gt;K1014,0,+K1014-J1014)))+IF('calcolo base'!P1706="SI",('Commissioni De Angeli'!K1014-'Commissioni De Angeli'!J1014),0)</f>
        <v>#N/A</v>
      </c>
      <c r="T1014" s="117" t="e">
        <f t="shared" si="194"/>
        <v>#N/A</v>
      </c>
      <c r="U1014" s="272" t="e">
        <f>IF(Q1014=0,'calcolo base'!L3613,(T1014+Q1014))</f>
        <v>#N/A</v>
      </c>
      <c r="V1014" s="119"/>
      <c r="Z1014" s="118">
        <f t="shared" si="185"/>
        <v>0</v>
      </c>
      <c r="AA1014" s="118">
        <f t="shared" si="186"/>
        <v>0</v>
      </c>
    </row>
    <row r="1015" spans="2:27">
      <c r="B1015" s="47"/>
      <c r="C1015" s="35"/>
      <c r="D1015" s="53"/>
      <c r="E1015" s="53"/>
      <c r="F1015" s="48"/>
      <c r="G1015" s="243" t="e">
        <f>INDEX('calcolo base'!$B:$B, MATCH($A1015, 'calcolo base'!$A:$A, 0))</f>
        <v>#N/A</v>
      </c>
      <c r="H1015" s="54" t="e">
        <f t="shared" si="187"/>
        <v>#N/A</v>
      </c>
      <c r="I1015" s="259" t="e">
        <f>IF(  OR(      INDEX('calcolo base'!$D:$D, MATCH($A1015, 'calcolo base'!$A:$A, 0)) = 0,
      INDEX('calcolo base'!$D:$D, MATCH($A1015, 'calcolo base'!$A:$A, 0)) = ""   ),
   INDEX('calcolo base'!$K:$K, MATCH($A1015, 'calcolo base'!$A:$A, 0)),
   INDEX('calcolo base'!$J:$J, MATCH($A1015, 'calcolo base'!$A:$A, 0))
) / 1000</f>
        <v>#N/A</v>
      </c>
      <c r="J1015" s="50" t="e">
        <f t="shared" si="188"/>
        <v>#N/A</v>
      </c>
      <c r="K1015" s="50"/>
      <c r="L1015" s="267" t="e">
        <f>INDEX('calcolo base'!$H:$H, MATCH($A1015, 'calcolo base'!$A:$A, 0))</f>
        <v>#N/A</v>
      </c>
      <c r="M1015" s="50" t="e">
        <f t="shared" si="189"/>
        <v>#N/A</v>
      </c>
      <c r="N1015" s="50" t="e">
        <f t="shared" si="190"/>
        <v>#N/A</v>
      </c>
      <c r="O1015" s="50" t="e">
        <f t="shared" si="195"/>
        <v>#N/A</v>
      </c>
      <c r="P1015" s="50" t="e">
        <f t="shared" si="191"/>
        <v>#N/A</v>
      </c>
      <c r="Q1015" s="51" t="e">
        <f t="shared" si="192"/>
        <v>#N/A</v>
      </c>
      <c r="R1015" s="205" t="e">
        <f t="shared" si="193"/>
        <v>#N/A</v>
      </c>
      <c r="S1015" s="279" t="e">
        <f>IF(R1015="si",0,IF(E1015="si",0,IF(J1015&gt;K1015,0,+K1015-J1015)))+IF('calcolo base'!P1707="SI",('Commissioni De Angeli'!K1015-'Commissioni De Angeli'!J1015),0)</f>
        <v>#N/A</v>
      </c>
      <c r="T1015" s="117" t="e">
        <f t="shared" si="194"/>
        <v>#N/A</v>
      </c>
      <c r="U1015" s="272" t="e">
        <f>IF(Q1015=0,'calcolo base'!L3614,(T1015+Q1015))</f>
        <v>#N/A</v>
      </c>
      <c r="V1015" s="119"/>
      <c r="Z1015" s="118">
        <f t="shared" si="185"/>
        <v>0</v>
      </c>
      <c r="AA1015" s="118">
        <f t="shared" si="186"/>
        <v>0</v>
      </c>
    </row>
    <row r="1016" spans="2:27">
      <c r="B1016" s="47"/>
      <c r="C1016" s="35"/>
      <c r="D1016" s="53"/>
      <c r="E1016" s="53"/>
      <c r="F1016" s="48"/>
      <c r="G1016" s="243" t="e">
        <f>INDEX('calcolo base'!$B:$B, MATCH($A1016, 'calcolo base'!$A:$A, 0))</f>
        <v>#N/A</v>
      </c>
      <c r="H1016" s="54" t="e">
        <f t="shared" si="187"/>
        <v>#N/A</v>
      </c>
      <c r="I1016" s="259" t="e">
        <f>IF(  OR(      INDEX('calcolo base'!$D:$D, MATCH($A1016, 'calcolo base'!$A:$A, 0)) = 0,
      INDEX('calcolo base'!$D:$D, MATCH($A1016, 'calcolo base'!$A:$A, 0)) = ""   ),
   INDEX('calcolo base'!$K:$K, MATCH($A1016, 'calcolo base'!$A:$A, 0)),
   INDEX('calcolo base'!$J:$J, MATCH($A1016, 'calcolo base'!$A:$A, 0))
) / 1000</f>
        <v>#N/A</v>
      </c>
      <c r="J1016" s="50" t="e">
        <f t="shared" si="188"/>
        <v>#N/A</v>
      </c>
      <c r="K1016" s="50"/>
      <c r="L1016" s="267" t="e">
        <f>INDEX('calcolo base'!$H:$H, MATCH($A1016, 'calcolo base'!$A:$A, 0))</f>
        <v>#N/A</v>
      </c>
      <c r="M1016" s="50" t="e">
        <f t="shared" si="189"/>
        <v>#N/A</v>
      </c>
      <c r="N1016" s="50" t="e">
        <f t="shared" si="190"/>
        <v>#N/A</v>
      </c>
      <c r="O1016" s="50" t="e">
        <f t="shared" si="195"/>
        <v>#N/A</v>
      </c>
      <c r="P1016" s="50" t="e">
        <f t="shared" si="191"/>
        <v>#N/A</v>
      </c>
      <c r="Q1016" s="51" t="e">
        <f t="shared" si="192"/>
        <v>#N/A</v>
      </c>
      <c r="R1016" s="205" t="e">
        <f t="shared" si="193"/>
        <v>#N/A</v>
      </c>
      <c r="S1016" s="279" t="e">
        <f>IF(R1016="si",0,IF(E1016="si",0,IF(J1016&gt;K1016,0,+K1016-J1016)))+IF('calcolo base'!P1708="SI",('Commissioni De Angeli'!K1016-'Commissioni De Angeli'!J1016),0)</f>
        <v>#N/A</v>
      </c>
      <c r="T1016" s="117" t="e">
        <f t="shared" si="194"/>
        <v>#N/A</v>
      </c>
      <c r="U1016" s="272" t="e">
        <f>IF(Q1016=0,'calcolo base'!L3615,(T1016+Q1016))</f>
        <v>#N/A</v>
      </c>
      <c r="V1016" s="119"/>
      <c r="Z1016" s="118">
        <f t="shared" si="185"/>
        <v>0</v>
      </c>
      <c r="AA1016" s="118">
        <f t="shared" si="186"/>
        <v>0</v>
      </c>
    </row>
    <row r="1017" spans="2:27">
      <c r="B1017" s="47"/>
      <c r="C1017" s="35"/>
      <c r="D1017" s="53"/>
      <c r="E1017" s="53"/>
      <c r="F1017" s="48"/>
      <c r="G1017" s="243" t="e">
        <f>INDEX('calcolo base'!$B:$B, MATCH($A1017, 'calcolo base'!$A:$A, 0))</f>
        <v>#N/A</v>
      </c>
      <c r="H1017" s="54" t="e">
        <f t="shared" si="187"/>
        <v>#N/A</v>
      </c>
      <c r="I1017" s="259" t="e">
        <f>IF(  OR(      INDEX('calcolo base'!$D:$D, MATCH($A1017, 'calcolo base'!$A:$A, 0)) = 0,
      INDEX('calcolo base'!$D:$D, MATCH($A1017, 'calcolo base'!$A:$A, 0)) = ""   ),
   INDEX('calcolo base'!$K:$K, MATCH($A1017, 'calcolo base'!$A:$A, 0)),
   INDEX('calcolo base'!$J:$J, MATCH($A1017, 'calcolo base'!$A:$A, 0))
) / 1000</f>
        <v>#N/A</v>
      </c>
      <c r="J1017" s="50" t="e">
        <f t="shared" si="188"/>
        <v>#N/A</v>
      </c>
      <c r="K1017" s="50"/>
      <c r="L1017" s="267" t="e">
        <f>INDEX('calcolo base'!$H:$H, MATCH($A1017, 'calcolo base'!$A:$A, 0))</f>
        <v>#N/A</v>
      </c>
      <c r="M1017" s="50" t="e">
        <f t="shared" si="189"/>
        <v>#N/A</v>
      </c>
      <c r="N1017" s="50" t="e">
        <f t="shared" si="190"/>
        <v>#N/A</v>
      </c>
      <c r="O1017" s="50" t="e">
        <f t="shared" si="195"/>
        <v>#N/A</v>
      </c>
      <c r="P1017" s="50" t="e">
        <f t="shared" si="191"/>
        <v>#N/A</v>
      </c>
      <c r="Q1017" s="51" t="e">
        <f t="shared" si="192"/>
        <v>#N/A</v>
      </c>
      <c r="R1017" s="205" t="e">
        <f t="shared" si="193"/>
        <v>#N/A</v>
      </c>
      <c r="S1017" s="279" t="e">
        <f>IF(R1017="si",0,IF(E1017="si",0,IF(J1017&gt;K1017,0,+K1017-J1017)))+IF('calcolo base'!P1709="SI",('Commissioni De Angeli'!K1017-'Commissioni De Angeli'!J1017),0)</f>
        <v>#N/A</v>
      </c>
      <c r="T1017" s="117" t="e">
        <f t="shared" si="194"/>
        <v>#N/A</v>
      </c>
      <c r="U1017" s="272" t="e">
        <f>IF(Q1017=0,'calcolo base'!L3616,(T1017+Q1017))</f>
        <v>#N/A</v>
      </c>
      <c r="V1017" s="119"/>
      <c r="Z1017" s="118">
        <f t="shared" si="185"/>
        <v>0</v>
      </c>
      <c r="AA1017" s="118">
        <f t="shared" si="186"/>
        <v>0</v>
      </c>
    </row>
    <row r="1018" spans="2:27">
      <c r="B1018" s="47"/>
      <c r="C1018" s="35"/>
      <c r="D1018" s="53"/>
      <c r="E1018" s="53"/>
      <c r="F1018" s="48"/>
      <c r="G1018" s="243" t="e">
        <f>INDEX('calcolo base'!$B:$B, MATCH($A1018, 'calcolo base'!$A:$A, 0))</f>
        <v>#N/A</v>
      </c>
      <c r="H1018" s="54" t="e">
        <f t="shared" si="187"/>
        <v>#N/A</v>
      </c>
      <c r="I1018" s="259" t="e">
        <f>IF(  OR(      INDEX('calcolo base'!$D:$D, MATCH($A1018, 'calcolo base'!$A:$A, 0)) = 0,
      INDEX('calcolo base'!$D:$D, MATCH($A1018, 'calcolo base'!$A:$A, 0)) = ""   ),
   INDEX('calcolo base'!$K:$K, MATCH($A1018, 'calcolo base'!$A:$A, 0)),
   INDEX('calcolo base'!$J:$J, MATCH($A1018, 'calcolo base'!$A:$A, 0))
) / 1000</f>
        <v>#N/A</v>
      </c>
      <c r="J1018" s="50" t="e">
        <f t="shared" si="188"/>
        <v>#N/A</v>
      </c>
      <c r="K1018" s="50"/>
      <c r="L1018" s="267" t="e">
        <f>INDEX('calcolo base'!$H:$H, MATCH($A1018, 'calcolo base'!$A:$A, 0))</f>
        <v>#N/A</v>
      </c>
      <c r="M1018" s="50" t="e">
        <f t="shared" si="189"/>
        <v>#N/A</v>
      </c>
      <c r="N1018" s="50" t="e">
        <f t="shared" si="190"/>
        <v>#N/A</v>
      </c>
      <c r="O1018" s="50" t="e">
        <f t="shared" si="195"/>
        <v>#N/A</v>
      </c>
      <c r="P1018" s="50" t="e">
        <f t="shared" si="191"/>
        <v>#N/A</v>
      </c>
      <c r="Q1018" s="51" t="e">
        <f t="shared" si="192"/>
        <v>#N/A</v>
      </c>
      <c r="R1018" s="205" t="e">
        <f t="shared" si="193"/>
        <v>#N/A</v>
      </c>
      <c r="S1018" s="279" t="e">
        <f>IF(R1018="si",0,IF(E1018="si",0,IF(J1018&gt;K1018,0,+K1018-J1018)))+IF('calcolo base'!P1710="SI",('Commissioni De Angeli'!K1018-'Commissioni De Angeli'!J1018),0)</f>
        <v>#N/A</v>
      </c>
      <c r="T1018" s="117" t="e">
        <f t="shared" si="194"/>
        <v>#N/A</v>
      </c>
      <c r="U1018" s="272" t="e">
        <f>IF(Q1018=0,'calcolo base'!L3617,(T1018+Q1018))</f>
        <v>#N/A</v>
      </c>
      <c r="V1018" s="119"/>
      <c r="Z1018" s="118">
        <f t="shared" si="185"/>
        <v>0</v>
      </c>
      <c r="AA1018" s="118">
        <f t="shared" si="186"/>
        <v>0</v>
      </c>
    </row>
    <row r="1019" spans="2:27">
      <c r="B1019" s="47"/>
      <c r="C1019" s="35"/>
      <c r="D1019" s="53"/>
      <c r="E1019" s="53"/>
      <c r="F1019" s="48"/>
      <c r="G1019" s="243" t="e">
        <f>INDEX('calcolo base'!$B:$B, MATCH($A1019, 'calcolo base'!$A:$A, 0))</f>
        <v>#N/A</v>
      </c>
      <c r="H1019" s="54" t="e">
        <f t="shared" si="187"/>
        <v>#N/A</v>
      </c>
      <c r="I1019" s="259" t="e">
        <f>IF(  OR(      INDEX('calcolo base'!$D:$D, MATCH($A1019, 'calcolo base'!$A:$A, 0)) = 0,
      INDEX('calcolo base'!$D:$D, MATCH($A1019, 'calcolo base'!$A:$A, 0)) = ""   ),
   INDEX('calcolo base'!$K:$K, MATCH($A1019, 'calcolo base'!$A:$A, 0)),
   INDEX('calcolo base'!$J:$J, MATCH($A1019, 'calcolo base'!$A:$A, 0))
) / 1000</f>
        <v>#N/A</v>
      </c>
      <c r="J1019" s="50" t="e">
        <f t="shared" si="188"/>
        <v>#N/A</v>
      </c>
      <c r="K1019" s="50"/>
      <c r="L1019" s="267" t="e">
        <f>INDEX('calcolo base'!$H:$H, MATCH($A1019, 'calcolo base'!$A:$A, 0))</f>
        <v>#N/A</v>
      </c>
      <c r="M1019" s="50" t="e">
        <f t="shared" si="189"/>
        <v>#N/A</v>
      </c>
      <c r="N1019" s="50" t="e">
        <f t="shared" si="190"/>
        <v>#N/A</v>
      </c>
      <c r="O1019" s="50" t="e">
        <f t="shared" si="195"/>
        <v>#N/A</v>
      </c>
      <c r="P1019" s="50" t="e">
        <f t="shared" si="191"/>
        <v>#N/A</v>
      </c>
      <c r="Q1019" s="51" t="e">
        <f t="shared" si="192"/>
        <v>#N/A</v>
      </c>
      <c r="R1019" s="205" t="e">
        <f t="shared" si="193"/>
        <v>#N/A</v>
      </c>
      <c r="S1019" s="279" t="e">
        <f>IF(R1019="si",0,IF(E1019="si",0,IF(J1019&gt;K1019,0,+K1019-J1019)))+IF('calcolo base'!P1711="SI",('Commissioni De Angeli'!K1019-'Commissioni De Angeli'!J1019),0)</f>
        <v>#N/A</v>
      </c>
      <c r="T1019" s="117" t="e">
        <f t="shared" si="194"/>
        <v>#N/A</v>
      </c>
      <c r="U1019" s="272" t="e">
        <f>IF(Q1019=0,'calcolo base'!L3618,(T1019+Q1019))</f>
        <v>#N/A</v>
      </c>
      <c r="V1019" s="119"/>
      <c r="Z1019" s="118">
        <f t="shared" si="185"/>
        <v>0</v>
      </c>
      <c r="AA1019" s="118">
        <f t="shared" si="186"/>
        <v>0</v>
      </c>
    </row>
    <row r="1020" spans="2:27">
      <c r="B1020" s="47"/>
      <c r="C1020" s="35"/>
      <c r="D1020" s="53"/>
      <c r="E1020" s="53"/>
      <c r="F1020" s="48"/>
      <c r="G1020" s="243" t="e">
        <f>INDEX('calcolo base'!$B:$B, MATCH($A1020, 'calcolo base'!$A:$A, 0))</f>
        <v>#N/A</v>
      </c>
      <c r="H1020" s="54" t="e">
        <f t="shared" si="187"/>
        <v>#N/A</v>
      </c>
      <c r="I1020" s="259" t="e">
        <f>IF(  OR(      INDEX('calcolo base'!$D:$D, MATCH($A1020, 'calcolo base'!$A:$A, 0)) = 0,
      INDEX('calcolo base'!$D:$D, MATCH($A1020, 'calcolo base'!$A:$A, 0)) = ""   ),
   INDEX('calcolo base'!$K:$K, MATCH($A1020, 'calcolo base'!$A:$A, 0)),
   INDEX('calcolo base'!$J:$J, MATCH($A1020, 'calcolo base'!$A:$A, 0))
) / 1000</f>
        <v>#N/A</v>
      </c>
      <c r="J1020" s="50" t="e">
        <f t="shared" si="188"/>
        <v>#N/A</v>
      </c>
      <c r="K1020" s="50"/>
      <c r="L1020" s="267" t="e">
        <f>INDEX('calcolo base'!$H:$H, MATCH($A1020, 'calcolo base'!$A:$A, 0))</f>
        <v>#N/A</v>
      </c>
      <c r="M1020" s="50" t="e">
        <f t="shared" si="189"/>
        <v>#N/A</v>
      </c>
      <c r="N1020" s="50" t="e">
        <f t="shared" si="190"/>
        <v>#N/A</v>
      </c>
      <c r="O1020" s="50" t="e">
        <f t="shared" si="195"/>
        <v>#N/A</v>
      </c>
      <c r="P1020" s="50" t="e">
        <f t="shared" si="191"/>
        <v>#N/A</v>
      </c>
      <c r="Q1020" s="51" t="e">
        <f t="shared" si="192"/>
        <v>#N/A</v>
      </c>
      <c r="R1020" s="205" t="e">
        <f t="shared" si="193"/>
        <v>#N/A</v>
      </c>
      <c r="S1020" s="279" t="e">
        <f>IF(R1020="si",0,IF(E1020="si",0,IF(J1020&gt;K1020,0,+K1020-J1020)))+IF('calcolo base'!P1712="SI",('Commissioni De Angeli'!K1020-'Commissioni De Angeli'!J1020),0)</f>
        <v>#N/A</v>
      </c>
      <c r="T1020" s="117" t="e">
        <f t="shared" si="194"/>
        <v>#N/A</v>
      </c>
      <c r="U1020" s="272" t="e">
        <f>IF(Q1020=0,'calcolo base'!L3619,(T1020+Q1020))</f>
        <v>#N/A</v>
      </c>
      <c r="V1020" s="119"/>
      <c r="Z1020" s="118">
        <f t="shared" si="185"/>
        <v>0</v>
      </c>
      <c r="AA1020" s="118">
        <f t="shared" si="186"/>
        <v>0</v>
      </c>
    </row>
    <row r="1021" spans="2:27">
      <c r="B1021" s="47"/>
      <c r="C1021" s="35"/>
      <c r="D1021" s="53"/>
      <c r="E1021" s="53"/>
      <c r="F1021" s="48"/>
      <c r="G1021" s="243" t="e">
        <f>INDEX('calcolo base'!$B:$B, MATCH($A1021, 'calcolo base'!$A:$A, 0))</f>
        <v>#N/A</v>
      </c>
      <c r="H1021" s="54" t="e">
        <f t="shared" si="187"/>
        <v>#N/A</v>
      </c>
      <c r="I1021" s="259" t="e">
        <f>IF(  OR(      INDEX('calcolo base'!$D:$D, MATCH($A1021, 'calcolo base'!$A:$A, 0)) = 0,
      INDEX('calcolo base'!$D:$D, MATCH($A1021, 'calcolo base'!$A:$A, 0)) = ""   ),
   INDEX('calcolo base'!$K:$K, MATCH($A1021, 'calcolo base'!$A:$A, 0)),
   INDEX('calcolo base'!$J:$J, MATCH($A1021, 'calcolo base'!$A:$A, 0))
) / 1000</f>
        <v>#N/A</v>
      </c>
      <c r="J1021" s="50" t="e">
        <f t="shared" si="188"/>
        <v>#N/A</v>
      </c>
      <c r="K1021" s="50"/>
      <c r="L1021" s="267" t="e">
        <f>INDEX('calcolo base'!$H:$H, MATCH($A1021, 'calcolo base'!$A:$A, 0))</f>
        <v>#N/A</v>
      </c>
      <c r="M1021" s="50" t="e">
        <f t="shared" si="189"/>
        <v>#N/A</v>
      </c>
      <c r="N1021" s="50" t="e">
        <f t="shared" si="190"/>
        <v>#N/A</v>
      </c>
      <c r="O1021" s="50" t="e">
        <f t="shared" si="195"/>
        <v>#N/A</v>
      </c>
      <c r="P1021" s="50" t="e">
        <f t="shared" si="191"/>
        <v>#N/A</v>
      </c>
      <c r="Q1021" s="51" t="e">
        <f t="shared" si="192"/>
        <v>#N/A</v>
      </c>
      <c r="R1021" s="205" t="e">
        <f t="shared" si="193"/>
        <v>#N/A</v>
      </c>
      <c r="S1021" s="279" t="e">
        <f>IF(R1021="si",0,IF(E1021="si",0,IF(J1021&gt;K1021,0,+K1021-J1021)))+IF('calcolo base'!P1713="SI",('Commissioni De Angeli'!K1021-'Commissioni De Angeli'!J1021),0)</f>
        <v>#N/A</v>
      </c>
      <c r="T1021" s="117" t="e">
        <f t="shared" si="194"/>
        <v>#N/A</v>
      </c>
      <c r="U1021" s="272" t="e">
        <f>IF(Q1021=0,'calcolo base'!L3620,(T1021+Q1021))</f>
        <v>#N/A</v>
      </c>
      <c r="V1021" s="119"/>
      <c r="Z1021" s="118">
        <f t="shared" si="185"/>
        <v>0</v>
      </c>
      <c r="AA1021" s="118">
        <f t="shared" si="186"/>
        <v>0</v>
      </c>
    </row>
    <row r="1022" spans="2:27">
      <c r="B1022" s="47"/>
      <c r="C1022" s="35"/>
      <c r="D1022" s="53"/>
      <c r="E1022" s="53"/>
      <c r="F1022" s="48"/>
      <c r="G1022" s="243" t="e">
        <f>INDEX('calcolo base'!$B:$B, MATCH($A1022, 'calcolo base'!$A:$A, 0))</f>
        <v>#N/A</v>
      </c>
      <c r="H1022" s="54" t="e">
        <f t="shared" si="187"/>
        <v>#N/A</v>
      </c>
      <c r="I1022" s="259" t="e">
        <f>IF(  OR(      INDEX('calcolo base'!$D:$D, MATCH($A1022, 'calcolo base'!$A:$A, 0)) = 0,
      INDEX('calcolo base'!$D:$D, MATCH($A1022, 'calcolo base'!$A:$A, 0)) = ""   ),
   INDEX('calcolo base'!$K:$K, MATCH($A1022, 'calcolo base'!$A:$A, 0)),
   INDEX('calcolo base'!$J:$J, MATCH($A1022, 'calcolo base'!$A:$A, 0))
) / 1000</f>
        <v>#N/A</v>
      </c>
      <c r="J1022" s="50" t="e">
        <f t="shared" si="188"/>
        <v>#N/A</v>
      </c>
      <c r="K1022" s="50"/>
      <c r="L1022" s="267" t="e">
        <f>INDEX('calcolo base'!$H:$H, MATCH($A1022, 'calcolo base'!$A:$A, 0))</f>
        <v>#N/A</v>
      </c>
      <c r="M1022" s="50" t="e">
        <f t="shared" si="189"/>
        <v>#N/A</v>
      </c>
      <c r="N1022" s="50" t="e">
        <f t="shared" si="190"/>
        <v>#N/A</v>
      </c>
      <c r="O1022" s="50" t="e">
        <f t="shared" si="195"/>
        <v>#N/A</v>
      </c>
      <c r="P1022" s="50" t="e">
        <f t="shared" si="191"/>
        <v>#N/A</v>
      </c>
      <c r="Q1022" s="51" t="e">
        <f t="shared" si="192"/>
        <v>#N/A</v>
      </c>
      <c r="R1022" s="205" t="e">
        <f t="shared" si="193"/>
        <v>#N/A</v>
      </c>
      <c r="S1022" s="279" t="e">
        <f>IF(R1022="si",0,IF(E1022="si",0,IF(J1022&gt;K1022,0,+K1022-J1022)))+IF('calcolo base'!P1714="SI",('Commissioni De Angeli'!K1022-'Commissioni De Angeli'!J1022),0)</f>
        <v>#N/A</v>
      </c>
      <c r="T1022" s="117" t="e">
        <f t="shared" si="194"/>
        <v>#N/A</v>
      </c>
      <c r="U1022" s="272" t="e">
        <f>IF(Q1022=0,'calcolo base'!L3621,(T1022+Q1022))</f>
        <v>#N/A</v>
      </c>
      <c r="V1022" s="119"/>
      <c r="Z1022" s="118">
        <f t="shared" si="185"/>
        <v>0</v>
      </c>
      <c r="AA1022" s="118">
        <f t="shared" si="186"/>
        <v>0</v>
      </c>
    </row>
    <row r="1023" spans="2:27">
      <c r="B1023" s="47"/>
      <c r="C1023" s="35"/>
      <c r="D1023" s="53"/>
      <c r="E1023" s="53"/>
      <c r="F1023" s="48"/>
      <c r="G1023" s="243" t="e">
        <f>INDEX('calcolo base'!$B:$B, MATCH($A1023, 'calcolo base'!$A:$A, 0))</f>
        <v>#N/A</v>
      </c>
      <c r="H1023" s="54" t="e">
        <f t="shared" si="187"/>
        <v>#N/A</v>
      </c>
      <c r="I1023" s="259" t="e">
        <f>IF(  OR(      INDEX('calcolo base'!$D:$D, MATCH($A1023, 'calcolo base'!$A:$A, 0)) = 0,
      INDEX('calcolo base'!$D:$D, MATCH($A1023, 'calcolo base'!$A:$A, 0)) = ""   ),
   INDEX('calcolo base'!$K:$K, MATCH($A1023, 'calcolo base'!$A:$A, 0)),
   INDEX('calcolo base'!$J:$J, MATCH($A1023, 'calcolo base'!$A:$A, 0))
) / 1000</f>
        <v>#N/A</v>
      </c>
      <c r="J1023" s="50" t="e">
        <f t="shared" si="188"/>
        <v>#N/A</v>
      </c>
      <c r="K1023" s="50"/>
      <c r="L1023" s="267" t="e">
        <f>INDEX('calcolo base'!$H:$H, MATCH($A1023, 'calcolo base'!$A:$A, 0))</f>
        <v>#N/A</v>
      </c>
      <c r="M1023" s="50" t="e">
        <f t="shared" si="189"/>
        <v>#N/A</v>
      </c>
      <c r="N1023" s="50" t="e">
        <f t="shared" si="190"/>
        <v>#N/A</v>
      </c>
      <c r="O1023" s="50" t="e">
        <f t="shared" si="195"/>
        <v>#N/A</v>
      </c>
      <c r="P1023" s="50" t="e">
        <f t="shared" si="191"/>
        <v>#N/A</v>
      </c>
      <c r="Q1023" s="51" t="e">
        <f t="shared" si="192"/>
        <v>#N/A</v>
      </c>
      <c r="R1023" s="205" t="e">
        <f t="shared" si="193"/>
        <v>#N/A</v>
      </c>
      <c r="S1023" s="279" t="e">
        <f>IF(R1023="si",0,IF(E1023="si",0,IF(J1023&gt;K1023,0,+K1023-J1023)))+IF('calcolo base'!P1715="SI",('Commissioni De Angeli'!K1023-'Commissioni De Angeli'!J1023),0)</f>
        <v>#N/A</v>
      </c>
      <c r="T1023" s="117" t="e">
        <f t="shared" si="194"/>
        <v>#N/A</v>
      </c>
      <c r="U1023" s="272" t="e">
        <f>IF(Q1023=0,'calcolo base'!L3622,(T1023+Q1023))</f>
        <v>#N/A</v>
      </c>
      <c r="V1023" s="119"/>
      <c r="Z1023" s="118">
        <f t="shared" si="185"/>
        <v>0</v>
      </c>
      <c r="AA1023" s="118">
        <f t="shared" si="186"/>
        <v>0</v>
      </c>
    </row>
    <row r="1024" spans="2:27">
      <c r="B1024" s="47"/>
      <c r="C1024" s="35"/>
      <c r="D1024" s="53"/>
      <c r="E1024" s="53"/>
      <c r="F1024" s="48"/>
      <c r="G1024" s="243" t="e">
        <f>INDEX('calcolo base'!$B:$B, MATCH($A1024, 'calcolo base'!$A:$A, 0))</f>
        <v>#N/A</v>
      </c>
      <c r="H1024" s="54" t="e">
        <f t="shared" si="187"/>
        <v>#N/A</v>
      </c>
      <c r="I1024" s="259" t="e">
        <f>IF(  OR(      INDEX('calcolo base'!$D:$D, MATCH($A1024, 'calcolo base'!$A:$A, 0)) = 0,
      INDEX('calcolo base'!$D:$D, MATCH($A1024, 'calcolo base'!$A:$A, 0)) = ""   ),
   INDEX('calcolo base'!$K:$K, MATCH($A1024, 'calcolo base'!$A:$A, 0)),
   INDEX('calcolo base'!$J:$J, MATCH($A1024, 'calcolo base'!$A:$A, 0))
) / 1000</f>
        <v>#N/A</v>
      </c>
      <c r="J1024" s="50" t="e">
        <f t="shared" si="188"/>
        <v>#N/A</v>
      </c>
      <c r="K1024" s="50"/>
      <c r="L1024" s="267" t="e">
        <f>INDEX('calcolo base'!$H:$H, MATCH($A1024, 'calcolo base'!$A:$A, 0))</f>
        <v>#N/A</v>
      </c>
      <c r="M1024" s="50" t="e">
        <f t="shared" si="189"/>
        <v>#N/A</v>
      </c>
      <c r="N1024" s="50" t="e">
        <f t="shared" si="190"/>
        <v>#N/A</v>
      </c>
      <c r="O1024" s="50" t="e">
        <f t="shared" si="195"/>
        <v>#N/A</v>
      </c>
      <c r="P1024" s="50" t="e">
        <f t="shared" si="191"/>
        <v>#N/A</v>
      </c>
      <c r="Q1024" s="51" t="e">
        <f t="shared" si="192"/>
        <v>#N/A</v>
      </c>
      <c r="R1024" s="205" t="e">
        <f t="shared" si="193"/>
        <v>#N/A</v>
      </c>
      <c r="S1024" s="279" t="e">
        <f>IF(R1024="si",0,IF(E1024="si",0,IF(J1024&gt;K1024,0,+K1024-J1024)))+IF('calcolo base'!P1716="SI",('Commissioni De Angeli'!K1024-'Commissioni De Angeli'!J1024),0)</f>
        <v>#N/A</v>
      </c>
      <c r="T1024" s="117" t="e">
        <f t="shared" si="194"/>
        <v>#N/A</v>
      </c>
      <c r="U1024" s="272" t="e">
        <f>IF(Q1024=0,'calcolo base'!L3623,(T1024+Q1024))</f>
        <v>#N/A</v>
      </c>
      <c r="V1024" s="119"/>
      <c r="Z1024" s="118">
        <f t="shared" si="185"/>
        <v>0</v>
      </c>
      <c r="AA1024" s="118">
        <f t="shared" si="186"/>
        <v>0</v>
      </c>
    </row>
    <row r="1025" spans="2:27">
      <c r="B1025" s="47"/>
      <c r="C1025" s="35"/>
      <c r="D1025" s="53"/>
      <c r="E1025" s="53"/>
      <c r="F1025" s="48"/>
      <c r="G1025" s="243" t="e">
        <f>INDEX('calcolo base'!$B:$B, MATCH($A1025, 'calcolo base'!$A:$A, 0))</f>
        <v>#N/A</v>
      </c>
      <c r="H1025" s="54" t="e">
        <f t="shared" si="187"/>
        <v>#N/A</v>
      </c>
      <c r="I1025" s="259" t="e">
        <f>IF(  OR(      INDEX('calcolo base'!$D:$D, MATCH($A1025, 'calcolo base'!$A:$A, 0)) = 0,
      INDEX('calcolo base'!$D:$D, MATCH($A1025, 'calcolo base'!$A:$A, 0)) = ""   ),
   INDEX('calcolo base'!$K:$K, MATCH($A1025, 'calcolo base'!$A:$A, 0)),
   INDEX('calcolo base'!$J:$J, MATCH($A1025, 'calcolo base'!$A:$A, 0))
) / 1000</f>
        <v>#N/A</v>
      </c>
      <c r="J1025" s="50" t="e">
        <f t="shared" si="188"/>
        <v>#N/A</v>
      </c>
      <c r="K1025" s="50"/>
      <c r="L1025" s="267" t="e">
        <f>INDEX('calcolo base'!$H:$H, MATCH($A1025, 'calcolo base'!$A:$A, 0))</f>
        <v>#N/A</v>
      </c>
      <c r="M1025" s="50" t="e">
        <f t="shared" si="189"/>
        <v>#N/A</v>
      </c>
      <c r="N1025" s="50" t="e">
        <f t="shared" si="190"/>
        <v>#N/A</v>
      </c>
      <c r="O1025" s="50" t="e">
        <f t="shared" si="195"/>
        <v>#N/A</v>
      </c>
      <c r="P1025" s="50" t="e">
        <f t="shared" si="191"/>
        <v>#N/A</v>
      </c>
      <c r="Q1025" s="51" t="e">
        <f t="shared" si="192"/>
        <v>#N/A</v>
      </c>
      <c r="R1025" s="205" t="e">
        <f t="shared" si="193"/>
        <v>#N/A</v>
      </c>
      <c r="S1025" s="279" t="e">
        <f>IF(R1025="si",0,IF(E1025="si",0,IF(J1025&gt;K1025,0,+K1025-J1025)))+IF('calcolo base'!P1717="SI",('Commissioni De Angeli'!K1025-'Commissioni De Angeli'!J1025),0)</f>
        <v>#N/A</v>
      </c>
      <c r="T1025" s="117" t="e">
        <f t="shared" si="194"/>
        <v>#N/A</v>
      </c>
      <c r="U1025" s="272" t="e">
        <f>IF(Q1025=0,'calcolo base'!L3624,(T1025+Q1025))</f>
        <v>#N/A</v>
      </c>
      <c r="V1025" s="119"/>
      <c r="Z1025" s="118">
        <f t="shared" si="185"/>
        <v>0</v>
      </c>
      <c r="AA1025" s="118">
        <f t="shared" si="186"/>
        <v>0</v>
      </c>
    </row>
    <row r="1026" spans="2:27">
      <c r="B1026" s="47"/>
      <c r="C1026" s="35"/>
      <c r="D1026" s="53"/>
      <c r="E1026" s="53"/>
      <c r="F1026" s="48"/>
      <c r="G1026" s="243" t="e">
        <f>INDEX('calcolo base'!$B:$B, MATCH($A1026, 'calcolo base'!$A:$A, 0))</f>
        <v>#N/A</v>
      </c>
      <c r="H1026" s="54" t="e">
        <f t="shared" si="187"/>
        <v>#N/A</v>
      </c>
      <c r="I1026" s="259" t="e">
        <f>IF(  OR(      INDEX('calcolo base'!$D:$D, MATCH($A1026, 'calcolo base'!$A:$A, 0)) = 0,
      INDEX('calcolo base'!$D:$D, MATCH($A1026, 'calcolo base'!$A:$A, 0)) = ""   ),
   INDEX('calcolo base'!$K:$K, MATCH($A1026, 'calcolo base'!$A:$A, 0)),
   INDEX('calcolo base'!$J:$J, MATCH($A1026, 'calcolo base'!$A:$A, 0))
) / 1000</f>
        <v>#N/A</v>
      </c>
      <c r="J1026" s="50" t="e">
        <f t="shared" si="188"/>
        <v>#N/A</v>
      </c>
      <c r="K1026" s="50"/>
      <c r="L1026" s="267" t="e">
        <f>INDEX('calcolo base'!$H:$H, MATCH($A1026, 'calcolo base'!$A:$A, 0))</f>
        <v>#N/A</v>
      </c>
      <c r="M1026" s="50" t="e">
        <f t="shared" si="189"/>
        <v>#N/A</v>
      </c>
      <c r="N1026" s="50" t="e">
        <f t="shared" si="190"/>
        <v>#N/A</v>
      </c>
      <c r="O1026" s="50" t="e">
        <f t="shared" si="195"/>
        <v>#N/A</v>
      </c>
      <c r="P1026" s="50" t="e">
        <f t="shared" si="191"/>
        <v>#N/A</v>
      </c>
      <c r="Q1026" s="51" t="e">
        <f t="shared" si="192"/>
        <v>#N/A</v>
      </c>
      <c r="R1026" s="205" t="e">
        <f t="shared" si="193"/>
        <v>#N/A</v>
      </c>
      <c r="S1026" s="279" t="e">
        <f>IF(R1026="si",0,IF(E1026="si",0,IF(J1026&gt;K1026,0,+K1026-J1026)))+IF('calcolo base'!P1718="SI",('Commissioni De Angeli'!K1026-'Commissioni De Angeli'!J1026),0)</f>
        <v>#N/A</v>
      </c>
      <c r="T1026" s="117" t="e">
        <f t="shared" si="194"/>
        <v>#N/A</v>
      </c>
      <c r="U1026" s="272" t="e">
        <f>IF(Q1026=0,'calcolo base'!L3625,(T1026+Q1026))</f>
        <v>#N/A</v>
      </c>
      <c r="V1026" s="119"/>
      <c r="Z1026" s="118">
        <f t="shared" si="185"/>
        <v>0</v>
      </c>
      <c r="AA1026" s="118">
        <f t="shared" si="186"/>
        <v>0</v>
      </c>
    </row>
    <row r="1027" spans="2:27">
      <c r="B1027" s="47"/>
      <c r="C1027" s="35"/>
      <c r="D1027" s="53"/>
      <c r="E1027" s="53"/>
      <c r="F1027" s="48"/>
      <c r="G1027" s="243" t="e">
        <f>INDEX('calcolo base'!$B:$B, MATCH($A1027, 'calcolo base'!$A:$A, 0))</f>
        <v>#N/A</v>
      </c>
      <c r="H1027" s="54" t="e">
        <f t="shared" si="187"/>
        <v>#N/A</v>
      </c>
      <c r="I1027" s="259" t="e">
        <f>IF(  OR(      INDEX('calcolo base'!$D:$D, MATCH($A1027, 'calcolo base'!$A:$A, 0)) = 0,
      INDEX('calcolo base'!$D:$D, MATCH($A1027, 'calcolo base'!$A:$A, 0)) = ""   ),
   INDEX('calcolo base'!$K:$K, MATCH($A1027, 'calcolo base'!$A:$A, 0)),
   INDEX('calcolo base'!$J:$J, MATCH($A1027, 'calcolo base'!$A:$A, 0))
) / 1000</f>
        <v>#N/A</v>
      </c>
      <c r="J1027" s="50" t="e">
        <f t="shared" si="188"/>
        <v>#N/A</v>
      </c>
      <c r="K1027" s="50"/>
      <c r="L1027" s="267" t="e">
        <f>INDEX('calcolo base'!$H:$H, MATCH($A1027, 'calcolo base'!$A:$A, 0))</f>
        <v>#N/A</v>
      </c>
      <c r="M1027" s="50" t="e">
        <f t="shared" si="189"/>
        <v>#N/A</v>
      </c>
      <c r="N1027" s="50" t="e">
        <f t="shared" si="190"/>
        <v>#N/A</v>
      </c>
      <c r="O1027" s="50" t="e">
        <f t="shared" si="195"/>
        <v>#N/A</v>
      </c>
      <c r="P1027" s="50" t="e">
        <f t="shared" si="191"/>
        <v>#N/A</v>
      </c>
      <c r="Q1027" s="51" t="e">
        <f t="shared" si="192"/>
        <v>#N/A</v>
      </c>
      <c r="R1027" s="205" t="e">
        <f t="shared" si="193"/>
        <v>#N/A</v>
      </c>
      <c r="S1027" s="279" t="e">
        <f>IF(R1027="si",0,IF(E1027="si",0,IF(J1027&gt;K1027,0,+K1027-J1027)))+IF('calcolo base'!P1719="SI",('Commissioni De Angeli'!K1027-'Commissioni De Angeli'!J1027),0)</f>
        <v>#N/A</v>
      </c>
      <c r="T1027" s="117" t="e">
        <f t="shared" si="194"/>
        <v>#N/A</v>
      </c>
      <c r="U1027" s="272" t="e">
        <f>IF(Q1027=0,'calcolo base'!L3626,(T1027+Q1027))</f>
        <v>#N/A</v>
      </c>
      <c r="V1027" s="119"/>
      <c r="Z1027" s="118">
        <f t="shared" si="185"/>
        <v>0</v>
      </c>
      <c r="AA1027" s="118">
        <f t="shared" si="186"/>
        <v>0</v>
      </c>
    </row>
    <row r="1028" spans="2:27">
      <c r="B1028" s="47"/>
      <c r="C1028" s="35"/>
      <c r="D1028" s="53"/>
      <c r="E1028" s="53"/>
      <c r="F1028" s="48"/>
      <c r="G1028" s="243" t="e">
        <f>INDEX('calcolo base'!$B:$B, MATCH($A1028, 'calcolo base'!$A:$A, 0))</f>
        <v>#N/A</v>
      </c>
      <c r="H1028" s="54" t="e">
        <f t="shared" si="187"/>
        <v>#N/A</v>
      </c>
      <c r="I1028" s="259" t="e">
        <f>IF(  OR(      INDEX('calcolo base'!$D:$D, MATCH($A1028, 'calcolo base'!$A:$A, 0)) = 0,
      INDEX('calcolo base'!$D:$D, MATCH($A1028, 'calcolo base'!$A:$A, 0)) = ""   ),
   INDEX('calcolo base'!$K:$K, MATCH($A1028, 'calcolo base'!$A:$A, 0)),
   INDEX('calcolo base'!$J:$J, MATCH($A1028, 'calcolo base'!$A:$A, 0))
) / 1000</f>
        <v>#N/A</v>
      </c>
      <c r="J1028" s="50" t="e">
        <f t="shared" si="188"/>
        <v>#N/A</v>
      </c>
      <c r="K1028" s="50"/>
      <c r="L1028" s="267" t="e">
        <f>INDEX('calcolo base'!$H:$H, MATCH($A1028, 'calcolo base'!$A:$A, 0))</f>
        <v>#N/A</v>
      </c>
      <c r="M1028" s="50" t="e">
        <f t="shared" si="189"/>
        <v>#N/A</v>
      </c>
      <c r="N1028" s="50" t="e">
        <f t="shared" si="190"/>
        <v>#N/A</v>
      </c>
      <c r="O1028" s="50" t="e">
        <f t="shared" si="195"/>
        <v>#N/A</v>
      </c>
      <c r="P1028" s="50" t="e">
        <f t="shared" si="191"/>
        <v>#N/A</v>
      </c>
      <c r="Q1028" s="51" t="e">
        <f t="shared" si="192"/>
        <v>#N/A</v>
      </c>
      <c r="R1028" s="205" t="e">
        <f t="shared" si="193"/>
        <v>#N/A</v>
      </c>
      <c r="S1028" s="279" t="e">
        <f>IF(R1028="si",0,IF(E1028="si",0,IF(J1028&gt;K1028,0,+K1028-J1028)))+IF('calcolo base'!P1720="SI",('Commissioni De Angeli'!K1028-'Commissioni De Angeli'!J1028),0)</f>
        <v>#N/A</v>
      </c>
      <c r="T1028" s="117" t="e">
        <f t="shared" si="194"/>
        <v>#N/A</v>
      </c>
      <c r="U1028" s="272" t="e">
        <f>IF(Q1028=0,'calcolo base'!L3627,(T1028+Q1028))</f>
        <v>#N/A</v>
      </c>
      <c r="V1028" s="119"/>
      <c r="Z1028" s="118">
        <f t="shared" si="185"/>
        <v>0</v>
      </c>
      <c r="AA1028" s="118">
        <f t="shared" si="186"/>
        <v>0</v>
      </c>
    </row>
    <row r="1029" spans="2:27">
      <c r="B1029" s="47"/>
      <c r="C1029" s="35"/>
      <c r="D1029" s="53"/>
      <c r="E1029" s="53"/>
      <c r="F1029" s="48"/>
      <c r="G1029" s="243" t="e">
        <f>INDEX('calcolo base'!$B:$B, MATCH($A1029, 'calcolo base'!$A:$A, 0))</f>
        <v>#N/A</v>
      </c>
      <c r="H1029" s="54" t="e">
        <f t="shared" si="187"/>
        <v>#N/A</v>
      </c>
      <c r="I1029" s="259" t="e">
        <f>IF(  OR(      INDEX('calcolo base'!$D:$D, MATCH($A1029, 'calcolo base'!$A:$A, 0)) = 0,
      INDEX('calcolo base'!$D:$D, MATCH($A1029, 'calcolo base'!$A:$A, 0)) = ""   ),
   INDEX('calcolo base'!$K:$K, MATCH($A1029, 'calcolo base'!$A:$A, 0)),
   INDEX('calcolo base'!$J:$J, MATCH($A1029, 'calcolo base'!$A:$A, 0))
) / 1000</f>
        <v>#N/A</v>
      </c>
      <c r="J1029" s="50" t="e">
        <f t="shared" si="188"/>
        <v>#N/A</v>
      </c>
      <c r="K1029" s="50"/>
      <c r="L1029" s="267" t="e">
        <f>INDEX('calcolo base'!$H:$H, MATCH($A1029, 'calcolo base'!$A:$A, 0))</f>
        <v>#N/A</v>
      </c>
      <c r="M1029" s="50" t="e">
        <f t="shared" si="189"/>
        <v>#N/A</v>
      </c>
      <c r="N1029" s="50" t="e">
        <f t="shared" si="190"/>
        <v>#N/A</v>
      </c>
      <c r="O1029" s="50" t="e">
        <f t="shared" si="195"/>
        <v>#N/A</v>
      </c>
      <c r="P1029" s="50" t="e">
        <f t="shared" si="191"/>
        <v>#N/A</v>
      </c>
      <c r="Q1029" s="51" t="e">
        <f t="shared" si="192"/>
        <v>#N/A</v>
      </c>
      <c r="R1029" s="205" t="e">
        <f t="shared" si="193"/>
        <v>#N/A</v>
      </c>
      <c r="S1029" s="279" t="e">
        <f>IF(R1029="si",0,IF(E1029="si",0,IF(J1029&gt;K1029,0,+K1029-J1029)))+IF('calcolo base'!P1721="SI",('Commissioni De Angeli'!K1029-'Commissioni De Angeli'!J1029),0)</f>
        <v>#N/A</v>
      </c>
      <c r="T1029" s="117" t="e">
        <f t="shared" si="194"/>
        <v>#N/A</v>
      </c>
      <c r="U1029" s="272" t="e">
        <f>IF(Q1029=0,'calcolo base'!L3628,(T1029+Q1029))</f>
        <v>#N/A</v>
      </c>
      <c r="V1029" s="119"/>
      <c r="Z1029" s="118">
        <f t="shared" si="185"/>
        <v>0</v>
      </c>
      <c r="AA1029" s="118">
        <f t="shared" si="186"/>
        <v>0</v>
      </c>
    </row>
    <row r="1030" spans="2:27">
      <c r="B1030" s="47"/>
      <c r="C1030" s="35"/>
      <c r="D1030" s="53"/>
      <c r="E1030" s="53"/>
      <c r="F1030" s="48"/>
      <c r="G1030" s="243" t="e">
        <f>INDEX('calcolo base'!$B:$B, MATCH($A1030, 'calcolo base'!$A:$A, 0))</f>
        <v>#N/A</v>
      </c>
      <c r="H1030" s="54" t="e">
        <f t="shared" si="187"/>
        <v>#N/A</v>
      </c>
      <c r="I1030" s="259" t="e">
        <f>IF(  OR(      INDEX('calcolo base'!$D:$D, MATCH($A1030, 'calcolo base'!$A:$A, 0)) = 0,
      INDEX('calcolo base'!$D:$D, MATCH($A1030, 'calcolo base'!$A:$A, 0)) = ""   ),
   INDEX('calcolo base'!$K:$K, MATCH($A1030, 'calcolo base'!$A:$A, 0)),
   INDEX('calcolo base'!$J:$J, MATCH($A1030, 'calcolo base'!$A:$A, 0))
) / 1000</f>
        <v>#N/A</v>
      </c>
      <c r="J1030" s="50" t="e">
        <f t="shared" si="188"/>
        <v>#N/A</v>
      </c>
      <c r="K1030" s="50"/>
      <c r="L1030" s="267" t="e">
        <f>INDEX('calcolo base'!$H:$H, MATCH($A1030, 'calcolo base'!$A:$A, 0))</f>
        <v>#N/A</v>
      </c>
      <c r="M1030" s="50" t="e">
        <f t="shared" si="189"/>
        <v>#N/A</v>
      </c>
      <c r="N1030" s="50" t="e">
        <f t="shared" si="190"/>
        <v>#N/A</v>
      </c>
      <c r="O1030" s="50" t="e">
        <f t="shared" si="195"/>
        <v>#N/A</v>
      </c>
      <c r="P1030" s="50" t="e">
        <f t="shared" si="191"/>
        <v>#N/A</v>
      </c>
      <c r="Q1030" s="51" t="e">
        <f t="shared" si="192"/>
        <v>#N/A</v>
      </c>
      <c r="R1030" s="205" t="e">
        <f t="shared" si="193"/>
        <v>#N/A</v>
      </c>
      <c r="S1030" s="279" t="e">
        <f>IF(R1030="si",0,IF(E1030="si",0,IF(J1030&gt;K1030,0,+K1030-J1030)))+IF('calcolo base'!P1722="SI",('Commissioni De Angeli'!K1030-'Commissioni De Angeli'!J1030),0)</f>
        <v>#N/A</v>
      </c>
      <c r="T1030" s="117" t="e">
        <f t="shared" si="194"/>
        <v>#N/A</v>
      </c>
      <c r="U1030" s="272" t="e">
        <f>IF(Q1030=0,'calcolo base'!L3629,(T1030+Q1030))</f>
        <v>#N/A</v>
      </c>
      <c r="V1030" s="119"/>
      <c r="Z1030" s="118">
        <f t="shared" si="185"/>
        <v>0</v>
      </c>
      <c r="AA1030" s="118">
        <f t="shared" si="186"/>
        <v>0</v>
      </c>
    </row>
    <row r="1031" spans="2:27">
      <c r="B1031" s="47"/>
      <c r="C1031" s="35"/>
      <c r="D1031" s="53"/>
      <c r="E1031" s="53"/>
      <c r="F1031" s="48"/>
      <c r="G1031" s="243" t="e">
        <f>INDEX('calcolo base'!$B:$B, MATCH($A1031, 'calcolo base'!$A:$A, 0))</f>
        <v>#N/A</v>
      </c>
      <c r="H1031" s="54" t="e">
        <f t="shared" si="187"/>
        <v>#N/A</v>
      </c>
      <c r="I1031" s="259" t="e">
        <f>IF(  OR(      INDEX('calcolo base'!$D:$D, MATCH($A1031, 'calcolo base'!$A:$A, 0)) = 0,
      INDEX('calcolo base'!$D:$D, MATCH($A1031, 'calcolo base'!$A:$A, 0)) = ""   ),
   INDEX('calcolo base'!$K:$K, MATCH($A1031, 'calcolo base'!$A:$A, 0)),
   INDEX('calcolo base'!$J:$J, MATCH($A1031, 'calcolo base'!$A:$A, 0))
) / 1000</f>
        <v>#N/A</v>
      </c>
      <c r="J1031" s="50" t="e">
        <f t="shared" si="188"/>
        <v>#N/A</v>
      </c>
      <c r="K1031" s="50"/>
      <c r="L1031" s="267" t="e">
        <f>INDEX('calcolo base'!$H:$H, MATCH($A1031, 'calcolo base'!$A:$A, 0))</f>
        <v>#N/A</v>
      </c>
      <c r="M1031" s="50" t="e">
        <f t="shared" si="189"/>
        <v>#N/A</v>
      </c>
      <c r="N1031" s="50" t="e">
        <f t="shared" si="190"/>
        <v>#N/A</v>
      </c>
      <c r="O1031" s="50" t="e">
        <f t="shared" si="195"/>
        <v>#N/A</v>
      </c>
      <c r="P1031" s="50" t="e">
        <f t="shared" si="191"/>
        <v>#N/A</v>
      </c>
      <c r="Q1031" s="51" t="e">
        <f t="shared" si="192"/>
        <v>#N/A</v>
      </c>
      <c r="R1031" s="205" t="e">
        <f t="shared" si="193"/>
        <v>#N/A</v>
      </c>
      <c r="S1031" s="279" t="e">
        <f>IF(R1031="si",0,IF(E1031="si",0,IF(J1031&gt;K1031,0,+K1031-J1031)))+IF('calcolo base'!P1723="SI",('Commissioni De Angeli'!K1031-'Commissioni De Angeli'!J1031),0)</f>
        <v>#N/A</v>
      </c>
      <c r="T1031" s="117" t="e">
        <f t="shared" si="194"/>
        <v>#N/A</v>
      </c>
      <c r="U1031" s="272" t="e">
        <f>IF(Q1031=0,'calcolo base'!L3630,(T1031+Q1031))</f>
        <v>#N/A</v>
      </c>
      <c r="V1031" s="119"/>
      <c r="Z1031" s="118">
        <f t="shared" si="185"/>
        <v>0</v>
      </c>
      <c r="AA1031" s="118">
        <f t="shared" si="186"/>
        <v>0</v>
      </c>
    </row>
    <row r="1032" spans="2:27">
      <c r="B1032" s="47"/>
      <c r="C1032" s="35"/>
      <c r="D1032" s="53"/>
      <c r="E1032" s="53"/>
      <c r="F1032" s="48"/>
      <c r="G1032" s="243" t="e">
        <f>INDEX('calcolo base'!$B:$B, MATCH($A1032, 'calcolo base'!$A:$A, 0))</f>
        <v>#N/A</v>
      </c>
      <c r="H1032" s="54" t="e">
        <f t="shared" si="187"/>
        <v>#N/A</v>
      </c>
      <c r="I1032" s="259" t="e">
        <f>IF(  OR(      INDEX('calcolo base'!$D:$D, MATCH($A1032, 'calcolo base'!$A:$A, 0)) = 0,
      INDEX('calcolo base'!$D:$D, MATCH($A1032, 'calcolo base'!$A:$A, 0)) = ""   ),
   INDEX('calcolo base'!$K:$K, MATCH($A1032, 'calcolo base'!$A:$A, 0)),
   INDEX('calcolo base'!$J:$J, MATCH($A1032, 'calcolo base'!$A:$A, 0))
) / 1000</f>
        <v>#N/A</v>
      </c>
      <c r="J1032" s="50" t="e">
        <f t="shared" si="188"/>
        <v>#N/A</v>
      </c>
      <c r="K1032" s="50"/>
      <c r="L1032" s="267" t="e">
        <f>INDEX('calcolo base'!$H:$H, MATCH($A1032, 'calcolo base'!$A:$A, 0))</f>
        <v>#N/A</v>
      </c>
      <c r="M1032" s="50" t="e">
        <f t="shared" si="189"/>
        <v>#N/A</v>
      </c>
      <c r="N1032" s="50" t="e">
        <f t="shared" si="190"/>
        <v>#N/A</v>
      </c>
      <c r="O1032" s="50" t="e">
        <f t="shared" si="195"/>
        <v>#N/A</v>
      </c>
      <c r="P1032" s="50" t="e">
        <f t="shared" si="191"/>
        <v>#N/A</v>
      </c>
      <c r="Q1032" s="51" t="e">
        <f t="shared" si="192"/>
        <v>#N/A</v>
      </c>
      <c r="R1032" s="205" t="e">
        <f t="shared" si="193"/>
        <v>#N/A</v>
      </c>
      <c r="S1032" s="279" t="e">
        <f>IF(R1032="si",0,IF(E1032="si",0,IF(J1032&gt;K1032,0,+K1032-J1032)))+IF('calcolo base'!P1724="SI",('Commissioni De Angeli'!K1032-'Commissioni De Angeli'!J1032),0)</f>
        <v>#N/A</v>
      </c>
      <c r="T1032" s="117" t="e">
        <f t="shared" si="194"/>
        <v>#N/A</v>
      </c>
      <c r="U1032" s="272" t="e">
        <f>IF(Q1032=0,'calcolo base'!L3631,(T1032+Q1032))</f>
        <v>#N/A</v>
      </c>
      <c r="V1032" s="119"/>
      <c r="Z1032" s="118">
        <f t="shared" si="185"/>
        <v>0</v>
      </c>
      <c r="AA1032" s="118">
        <f t="shared" si="186"/>
        <v>0</v>
      </c>
    </row>
    <row r="1033" spans="2:27">
      <c r="B1033" s="47"/>
      <c r="C1033" s="35"/>
      <c r="D1033" s="53"/>
      <c r="E1033" s="53"/>
      <c r="F1033" s="48"/>
      <c r="G1033" s="243" t="e">
        <f>INDEX('calcolo base'!$B:$B, MATCH($A1033, 'calcolo base'!$A:$A, 0))</f>
        <v>#N/A</v>
      </c>
      <c r="H1033" s="54" t="e">
        <f t="shared" si="187"/>
        <v>#N/A</v>
      </c>
      <c r="I1033" s="259" t="e">
        <f>IF(  OR(      INDEX('calcolo base'!$D:$D, MATCH($A1033, 'calcolo base'!$A:$A, 0)) = 0,
      INDEX('calcolo base'!$D:$D, MATCH($A1033, 'calcolo base'!$A:$A, 0)) = ""   ),
   INDEX('calcolo base'!$K:$K, MATCH($A1033, 'calcolo base'!$A:$A, 0)),
   INDEX('calcolo base'!$J:$J, MATCH($A1033, 'calcolo base'!$A:$A, 0))
) / 1000</f>
        <v>#N/A</v>
      </c>
      <c r="J1033" s="50" t="e">
        <f t="shared" si="188"/>
        <v>#N/A</v>
      </c>
      <c r="K1033" s="50"/>
      <c r="L1033" s="267" t="e">
        <f>INDEX('calcolo base'!$H:$H, MATCH($A1033, 'calcolo base'!$A:$A, 0))</f>
        <v>#N/A</v>
      </c>
      <c r="M1033" s="50" t="e">
        <f t="shared" si="189"/>
        <v>#N/A</v>
      </c>
      <c r="N1033" s="50" t="e">
        <f t="shared" si="190"/>
        <v>#N/A</v>
      </c>
      <c r="O1033" s="50" t="e">
        <f t="shared" si="195"/>
        <v>#N/A</v>
      </c>
      <c r="P1033" s="50" t="e">
        <f t="shared" si="191"/>
        <v>#N/A</v>
      </c>
      <c r="Q1033" s="51" t="e">
        <f t="shared" si="192"/>
        <v>#N/A</v>
      </c>
      <c r="R1033" s="205" t="e">
        <f t="shared" si="193"/>
        <v>#N/A</v>
      </c>
      <c r="S1033" s="279" t="e">
        <f>IF(R1033="si",0,IF(E1033="si",0,IF(J1033&gt;K1033,0,+K1033-J1033)))+IF('calcolo base'!P1725="SI",('Commissioni De Angeli'!K1033-'Commissioni De Angeli'!J1033),0)</f>
        <v>#N/A</v>
      </c>
      <c r="T1033" s="117" t="e">
        <f t="shared" si="194"/>
        <v>#N/A</v>
      </c>
      <c r="U1033" s="272" t="e">
        <f>IF(Q1033=0,'calcolo base'!L3632,(T1033+Q1033))</f>
        <v>#N/A</v>
      </c>
      <c r="V1033" s="119"/>
      <c r="Z1033" s="118">
        <f t="shared" si="185"/>
        <v>0</v>
      </c>
      <c r="AA1033" s="118">
        <f t="shared" si="186"/>
        <v>0</v>
      </c>
    </row>
    <row r="1034" spans="2:27">
      <c r="B1034" s="47"/>
      <c r="C1034" s="35"/>
      <c r="D1034" s="53"/>
      <c r="E1034" s="53"/>
      <c r="F1034" s="48"/>
      <c r="G1034" s="243" t="e">
        <f>INDEX('calcolo base'!$B:$B, MATCH($A1034, 'calcolo base'!$A:$A, 0))</f>
        <v>#N/A</v>
      </c>
      <c r="H1034" s="54" t="e">
        <f t="shared" si="187"/>
        <v>#N/A</v>
      </c>
      <c r="I1034" s="259" t="e">
        <f>IF(  OR(      INDEX('calcolo base'!$D:$D, MATCH($A1034, 'calcolo base'!$A:$A, 0)) = 0,
      INDEX('calcolo base'!$D:$D, MATCH($A1034, 'calcolo base'!$A:$A, 0)) = ""   ),
   INDEX('calcolo base'!$K:$K, MATCH($A1034, 'calcolo base'!$A:$A, 0)),
   INDEX('calcolo base'!$J:$J, MATCH($A1034, 'calcolo base'!$A:$A, 0))
) / 1000</f>
        <v>#N/A</v>
      </c>
      <c r="J1034" s="50" t="e">
        <f t="shared" si="188"/>
        <v>#N/A</v>
      </c>
      <c r="K1034" s="50"/>
      <c r="L1034" s="267" t="e">
        <f>INDEX('calcolo base'!$H:$H, MATCH($A1034, 'calcolo base'!$A:$A, 0))</f>
        <v>#N/A</v>
      </c>
      <c r="M1034" s="50" t="e">
        <f t="shared" si="189"/>
        <v>#N/A</v>
      </c>
      <c r="N1034" s="50" t="e">
        <f t="shared" si="190"/>
        <v>#N/A</v>
      </c>
      <c r="O1034" s="50" t="e">
        <f t="shared" si="195"/>
        <v>#N/A</v>
      </c>
      <c r="P1034" s="50" t="e">
        <f t="shared" si="191"/>
        <v>#N/A</v>
      </c>
      <c r="Q1034" s="51" t="e">
        <f t="shared" si="192"/>
        <v>#N/A</v>
      </c>
      <c r="R1034" s="205" t="e">
        <f t="shared" si="193"/>
        <v>#N/A</v>
      </c>
      <c r="S1034" s="279" t="e">
        <f>IF(R1034="si",0,IF(E1034="si",0,IF(J1034&gt;K1034,0,+K1034-J1034)))+IF('calcolo base'!P1726="SI",('Commissioni De Angeli'!K1034-'Commissioni De Angeli'!J1034),0)</f>
        <v>#N/A</v>
      </c>
      <c r="T1034" s="117" t="e">
        <f t="shared" si="194"/>
        <v>#N/A</v>
      </c>
      <c r="U1034" s="272" t="e">
        <f>IF(Q1034=0,'calcolo base'!L3633,(T1034+Q1034))</f>
        <v>#N/A</v>
      </c>
      <c r="V1034" s="119"/>
      <c r="Z1034" s="118">
        <f t="shared" si="185"/>
        <v>0</v>
      </c>
      <c r="AA1034" s="118">
        <f t="shared" si="186"/>
        <v>0</v>
      </c>
    </row>
    <row r="1035" spans="2:27">
      <c r="B1035" s="47"/>
      <c r="C1035" s="35"/>
      <c r="D1035" s="53"/>
      <c r="E1035" s="53"/>
      <c r="F1035" s="48"/>
      <c r="G1035" s="243" t="e">
        <f>INDEX('calcolo base'!$B:$B, MATCH($A1035, 'calcolo base'!$A:$A, 0))</f>
        <v>#N/A</v>
      </c>
      <c r="H1035" s="54" t="e">
        <f t="shared" si="187"/>
        <v>#N/A</v>
      </c>
      <c r="I1035" s="259" t="e">
        <f>IF(  OR(      INDEX('calcolo base'!$D:$D, MATCH($A1035, 'calcolo base'!$A:$A, 0)) = 0,
      INDEX('calcolo base'!$D:$D, MATCH($A1035, 'calcolo base'!$A:$A, 0)) = ""   ),
   INDEX('calcolo base'!$K:$K, MATCH($A1035, 'calcolo base'!$A:$A, 0)),
   INDEX('calcolo base'!$J:$J, MATCH($A1035, 'calcolo base'!$A:$A, 0))
) / 1000</f>
        <v>#N/A</v>
      </c>
      <c r="J1035" s="50" t="e">
        <f t="shared" si="188"/>
        <v>#N/A</v>
      </c>
      <c r="K1035" s="50"/>
      <c r="L1035" s="267" t="e">
        <f>INDEX('calcolo base'!$H:$H, MATCH($A1035, 'calcolo base'!$A:$A, 0))</f>
        <v>#N/A</v>
      </c>
      <c r="M1035" s="50" t="e">
        <f t="shared" si="189"/>
        <v>#N/A</v>
      </c>
      <c r="N1035" s="50" t="e">
        <f t="shared" si="190"/>
        <v>#N/A</v>
      </c>
      <c r="O1035" s="50" t="e">
        <f t="shared" si="195"/>
        <v>#N/A</v>
      </c>
      <c r="P1035" s="50" t="e">
        <f t="shared" si="191"/>
        <v>#N/A</v>
      </c>
      <c r="Q1035" s="51" t="e">
        <f t="shared" si="192"/>
        <v>#N/A</v>
      </c>
      <c r="R1035" s="205" t="e">
        <f t="shared" si="193"/>
        <v>#N/A</v>
      </c>
      <c r="S1035" s="279" t="e">
        <f>IF(R1035="si",0,IF(E1035="si",0,IF(J1035&gt;K1035,0,+K1035-J1035)))+IF('calcolo base'!P1727="SI",('Commissioni De Angeli'!K1035-'Commissioni De Angeli'!J1035),0)</f>
        <v>#N/A</v>
      </c>
      <c r="T1035" s="117" t="e">
        <f t="shared" si="194"/>
        <v>#N/A</v>
      </c>
      <c r="U1035" s="272" t="e">
        <f>IF(Q1035=0,'calcolo base'!L3634,(T1035+Q1035))</f>
        <v>#N/A</v>
      </c>
      <c r="V1035" s="119"/>
      <c r="Z1035" s="118">
        <f t="shared" si="185"/>
        <v>0</v>
      </c>
      <c r="AA1035" s="118">
        <f t="shared" si="186"/>
        <v>0</v>
      </c>
    </row>
    <row r="1036" spans="2:27">
      <c r="B1036" s="47"/>
      <c r="C1036" s="35"/>
      <c r="D1036" s="53"/>
      <c r="E1036" s="53"/>
      <c r="F1036" s="48"/>
      <c r="G1036" s="243" t="e">
        <f>INDEX('calcolo base'!$B:$B, MATCH($A1036, 'calcolo base'!$A:$A, 0))</f>
        <v>#N/A</v>
      </c>
      <c r="H1036" s="54" t="e">
        <f t="shared" si="187"/>
        <v>#N/A</v>
      </c>
      <c r="I1036" s="259" t="e">
        <f>IF(  OR(      INDEX('calcolo base'!$D:$D, MATCH($A1036, 'calcolo base'!$A:$A, 0)) = 0,
      INDEX('calcolo base'!$D:$D, MATCH($A1036, 'calcolo base'!$A:$A, 0)) = ""   ),
   INDEX('calcolo base'!$K:$K, MATCH($A1036, 'calcolo base'!$A:$A, 0)),
   INDEX('calcolo base'!$J:$J, MATCH($A1036, 'calcolo base'!$A:$A, 0))
) / 1000</f>
        <v>#N/A</v>
      </c>
      <c r="J1036" s="50" t="e">
        <f t="shared" si="188"/>
        <v>#N/A</v>
      </c>
      <c r="K1036" s="50"/>
      <c r="L1036" s="267" t="e">
        <f>INDEX('calcolo base'!$H:$H, MATCH($A1036, 'calcolo base'!$A:$A, 0))</f>
        <v>#N/A</v>
      </c>
      <c r="M1036" s="50" t="e">
        <f t="shared" si="189"/>
        <v>#N/A</v>
      </c>
      <c r="N1036" s="50" t="e">
        <f t="shared" si="190"/>
        <v>#N/A</v>
      </c>
      <c r="O1036" s="50" t="e">
        <f t="shared" si="195"/>
        <v>#N/A</v>
      </c>
      <c r="P1036" s="50" t="e">
        <f t="shared" si="191"/>
        <v>#N/A</v>
      </c>
      <c r="Q1036" s="51" t="e">
        <f t="shared" si="192"/>
        <v>#N/A</v>
      </c>
      <c r="R1036" s="205" t="e">
        <f t="shared" si="193"/>
        <v>#N/A</v>
      </c>
      <c r="S1036" s="279" t="e">
        <f>IF(R1036="si",0,IF(E1036="si",0,IF(J1036&gt;K1036,0,+K1036-J1036)))+IF('calcolo base'!P1728="SI",('Commissioni De Angeli'!K1036-'Commissioni De Angeli'!J1036),0)</f>
        <v>#N/A</v>
      </c>
      <c r="T1036" s="117" t="e">
        <f t="shared" si="194"/>
        <v>#N/A</v>
      </c>
      <c r="U1036" s="272" t="e">
        <f>IF(Q1036=0,'calcolo base'!L3635,(T1036+Q1036))</f>
        <v>#N/A</v>
      </c>
      <c r="V1036" s="119"/>
      <c r="Z1036" s="118">
        <f t="shared" si="185"/>
        <v>0</v>
      </c>
      <c r="AA1036" s="118">
        <f t="shared" si="186"/>
        <v>0</v>
      </c>
    </row>
    <row r="1037" spans="2:27">
      <c r="B1037" s="47"/>
      <c r="C1037" s="35"/>
      <c r="D1037" s="53"/>
      <c r="E1037" s="53"/>
      <c r="F1037" s="48"/>
      <c r="G1037" s="243" t="e">
        <f>INDEX('calcolo base'!$B:$B, MATCH($A1037, 'calcolo base'!$A:$A, 0))</f>
        <v>#N/A</v>
      </c>
      <c r="H1037" s="54" t="e">
        <f t="shared" si="187"/>
        <v>#N/A</v>
      </c>
      <c r="I1037" s="259" t="e">
        <f>IF(  OR(      INDEX('calcolo base'!$D:$D, MATCH($A1037, 'calcolo base'!$A:$A, 0)) = 0,
      INDEX('calcolo base'!$D:$D, MATCH($A1037, 'calcolo base'!$A:$A, 0)) = ""   ),
   INDEX('calcolo base'!$K:$K, MATCH($A1037, 'calcolo base'!$A:$A, 0)),
   INDEX('calcolo base'!$J:$J, MATCH($A1037, 'calcolo base'!$A:$A, 0))
) / 1000</f>
        <v>#N/A</v>
      </c>
      <c r="J1037" s="50" t="e">
        <f t="shared" si="188"/>
        <v>#N/A</v>
      </c>
      <c r="K1037" s="50"/>
      <c r="L1037" s="267" t="e">
        <f>INDEX('calcolo base'!$H:$H, MATCH($A1037, 'calcolo base'!$A:$A, 0))</f>
        <v>#N/A</v>
      </c>
      <c r="M1037" s="50" t="e">
        <f t="shared" si="189"/>
        <v>#N/A</v>
      </c>
      <c r="N1037" s="50" t="e">
        <f t="shared" si="190"/>
        <v>#N/A</v>
      </c>
      <c r="O1037" s="50" t="e">
        <f t="shared" si="195"/>
        <v>#N/A</v>
      </c>
      <c r="P1037" s="50" t="e">
        <f t="shared" si="191"/>
        <v>#N/A</v>
      </c>
      <c r="Q1037" s="51" t="e">
        <f t="shared" si="192"/>
        <v>#N/A</v>
      </c>
      <c r="R1037" s="205" t="e">
        <f t="shared" si="193"/>
        <v>#N/A</v>
      </c>
      <c r="S1037" s="279" t="e">
        <f>IF(R1037="si",0,IF(E1037="si",0,IF(J1037&gt;K1037,0,+K1037-J1037)))+IF('calcolo base'!P1729="SI",('Commissioni De Angeli'!K1037-'Commissioni De Angeli'!J1037),0)</f>
        <v>#N/A</v>
      </c>
      <c r="T1037" s="117" t="e">
        <f t="shared" si="194"/>
        <v>#N/A</v>
      </c>
      <c r="U1037" s="272" t="e">
        <f>IF(Q1037=0,'calcolo base'!L3636,(T1037+Q1037))</f>
        <v>#N/A</v>
      </c>
      <c r="V1037" s="119"/>
      <c r="Z1037" s="118">
        <f t="shared" si="185"/>
        <v>0</v>
      </c>
      <c r="AA1037" s="118">
        <f t="shared" si="186"/>
        <v>0</v>
      </c>
    </row>
    <row r="1038" spans="2:27">
      <c r="B1038" s="47"/>
      <c r="C1038" s="35"/>
      <c r="D1038" s="53"/>
      <c r="E1038" s="53"/>
      <c r="F1038" s="48"/>
      <c r="G1038" s="243" t="e">
        <f>INDEX('calcolo base'!$B:$B, MATCH($A1038, 'calcolo base'!$A:$A, 0))</f>
        <v>#N/A</v>
      </c>
      <c r="H1038" s="54" t="e">
        <f t="shared" si="187"/>
        <v>#N/A</v>
      </c>
      <c r="I1038" s="259" t="e">
        <f>IF(  OR(      INDEX('calcolo base'!$D:$D, MATCH($A1038, 'calcolo base'!$A:$A, 0)) = 0,
      INDEX('calcolo base'!$D:$D, MATCH($A1038, 'calcolo base'!$A:$A, 0)) = ""   ),
   INDEX('calcolo base'!$K:$K, MATCH($A1038, 'calcolo base'!$A:$A, 0)),
   INDEX('calcolo base'!$J:$J, MATCH($A1038, 'calcolo base'!$A:$A, 0))
) / 1000</f>
        <v>#N/A</v>
      </c>
      <c r="J1038" s="50" t="e">
        <f t="shared" si="188"/>
        <v>#N/A</v>
      </c>
      <c r="K1038" s="50"/>
      <c r="L1038" s="267" t="e">
        <f>INDEX('calcolo base'!$H:$H, MATCH($A1038, 'calcolo base'!$A:$A, 0))</f>
        <v>#N/A</v>
      </c>
      <c r="M1038" s="50" t="e">
        <f t="shared" si="189"/>
        <v>#N/A</v>
      </c>
      <c r="N1038" s="50" t="e">
        <f t="shared" si="190"/>
        <v>#N/A</v>
      </c>
      <c r="O1038" s="50" t="e">
        <f t="shared" si="195"/>
        <v>#N/A</v>
      </c>
      <c r="P1038" s="50" t="e">
        <f t="shared" si="191"/>
        <v>#N/A</v>
      </c>
      <c r="Q1038" s="51" t="e">
        <f t="shared" si="192"/>
        <v>#N/A</v>
      </c>
      <c r="R1038" s="205" t="e">
        <f t="shared" si="193"/>
        <v>#N/A</v>
      </c>
      <c r="S1038" s="279" t="e">
        <f>IF(R1038="si",0,IF(E1038="si",0,IF(J1038&gt;K1038,0,+K1038-J1038)))+IF('calcolo base'!P1730="SI",('Commissioni De Angeli'!K1038-'Commissioni De Angeli'!J1038),0)</f>
        <v>#N/A</v>
      </c>
      <c r="T1038" s="117" t="e">
        <f t="shared" si="194"/>
        <v>#N/A</v>
      </c>
      <c r="U1038" s="272" t="e">
        <f>IF(Q1038=0,'calcolo base'!L3637,(T1038+Q1038))</f>
        <v>#N/A</v>
      </c>
      <c r="V1038" s="119"/>
      <c r="Z1038" s="118">
        <f t="shared" si="185"/>
        <v>0</v>
      </c>
      <c r="AA1038" s="118">
        <f t="shared" si="186"/>
        <v>0</v>
      </c>
    </row>
    <row r="1039" spans="2:27">
      <c r="B1039" s="47"/>
      <c r="C1039" s="35"/>
      <c r="D1039" s="53"/>
      <c r="E1039" s="53"/>
      <c r="F1039" s="48"/>
      <c r="G1039" s="243" t="e">
        <f>INDEX('calcolo base'!$B:$B, MATCH($A1039, 'calcolo base'!$A:$A, 0))</f>
        <v>#N/A</v>
      </c>
      <c r="H1039" s="54" t="e">
        <f t="shared" si="187"/>
        <v>#N/A</v>
      </c>
      <c r="I1039" s="259" t="e">
        <f>IF(  OR(      INDEX('calcolo base'!$D:$D, MATCH($A1039, 'calcolo base'!$A:$A, 0)) = 0,
      INDEX('calcolo base'!$D:$D, MATCH($A1039, 'calcolo base'!$A:$A, 0)) = ""   ),
   INDEX('calcolo base'!$K:$K, MATCH($A1039, 'calcolo base'!$A:$A, 0)),
   INDEX('calcolo base'!$J:$J, MATCH($A1039, 'calcolo base'!$A:$A, 0))
) / 1000</f>
        <v>#N/A</v>
      </c>
      <c r="J1039" s="50" t="e">
        <f t="shared" si="188"/>
        <v>#N/A</v>
      </c>
      <c r="K1039" s="50"/>
      <c r="L1039" s="267" t="e">
        <f>INDEX('calcolo base'!$H:$H, MATCH($A1039, 'calcolo base'!$A:$A, 0))</f>
        <v>#N/A</v>
      </c>
      <c r="M1039" s="50" t="e">
        <f t="shared" si="189"/>
        <v>#N/A</v>
      </c>
      <c r="N1039" s="50" t="e">
        <f t="shared" si="190"/>
        <v>#N/A</v>
      </c>
      <c r="O1039" s="50" t="e">
        <f t="shared" si="195"/>
        <v>#N/A</v>
      </c>
      <c r="P1039" s="50" t="e">
        <f t="shared" si="191"/>
        <v>#N/A</v>
      </c>
      <c r="Q1039" s="51" t="e">
        <f t="shared" si="192"/>
        <v>#N/A</v>
      </c>
      <c r="R1039" s="205" t="e">
        <f t="shared" si="193"/>
        <v>#N/A</v>
      </c>
      <c r="S1039" s="279" t="e">
        <f>IF(R1039="si",0,IF(E1039="si",0,IF(J1039&gt;K1039,0,+K1039-J1039)))+IF('calcolo base'!P1731="SI",('Commissioni De Angeli'!K1039-'Commissioni De Angeli'!J1039),0)</f>
        <v>#N/A</v>
      </c>
      <c r="T1039" s="117" t="e">
        <f t="shared" si="194"/>
        <v>#N/A</v>
      </c>
      <c r="U1039" s="272" t="e">
        <f>IF(Q1039=0,'calcolo base'!L3638,(T1039+Q1039))</f>
        <v>#N/A</v>
      </c>
      <c r="V1039" s="119"/>
      <c r="Z1039" s="118">
        <f t="shared" si="185"/>
        <v>0</v>
      </c>
      <c r="AA1039" s="118">
        <f t="shared" si="186"/>
        <v>0</v>
      </c>
    </row>
    <row r="1040" spans="2:27">
      <c r="B1040" s="47"/>
      <c r="C1040" s="35"/>
      <c r="D1040" s="53"/>
      <c r="E1040" s="53"/>
      <c r="F1040" s="48"/>
      <c r="G1040" s="243" t="e">
        <f>INDEX('calcolo base'!$B:$B, MATCH($A1040, 'calcolo base'!$A:$A, 0))</f>
        <v>#N/A</v>
      </c>
      <c r="H1040" s="54" t="e">
        <f t="shared" si="187"/>
        <v>#N/A</v>
      </c>
      <c r="I1040" s="259" t="e">
        <f>IF(  OR(      INDEX('calcolo base'!$D:$D, MATCH($A1040, 'calcolo base'!$A:$A, 0)) = 0,
      INDEX('calcolo base'!$D:$D, MATCH($A1040, 'calcolo base'!$A:$A, 0)) = ""   ),
   INDEX('calcolo base'!$K:$K, MATCH($A1040, 'calcolo base'!$A:$A, 0)),
   INDEX('calcolo base'!$J:$J, MATCH($A1040, 'calcolo base'!$A:$A, 0))
) / 1000</f>
        <v>#N/A</v>
      </c>
      <c r="J1040" s="50" t="e">
        <f t="shared" si="188"/>
        <v>#N/A</v>
      </c>
      <c r="K1040" s="50"/>
      <c r="L1040" s="267" t="e">
        <f>INDEX('calcolo base'!$H:$H, MATCH($A1040, 'calcolo base'!$A:$A, 0))</f>
        <v>#N/A</v>
      </c>
      <c r="M1040" s="50" t="e">
        <f t="shared" si="189"/>
        <v>#N/A</v>
      </c>
      <c r="N1040" s="50" t="e">
        <f t="shared" si="190"/>
        <v>#N/A</v>
      </c>
      <c r="O1040" s="50" t="e">
        <f t="shared" si="195"/>
        <v>#N/A</v>
      </c>
      <c r="P1040" s="50" t="e">
        <f t="shared" si="191"/>
        <v>#N/A</v>
      </c>
      <c r="Q1040" s="51" t="e">
        <f t="shared" si="192"/>
        <v>#N/A</v>
      </c>
      <c r="R1040" s="205" t="e">
        <f t="shared" si="193"/>
        <v>#N/A</v>
      </c>
      <c r="S1040" s="279" t="e">
        <f>IF(R1040="si",0,IF(E1040="si",0,IF(J1040&gt;K1040,0,+K1040-J1040)))+IF('calcolo base'!P1732="SI",('Commissioni De Angeli'!K1040-'Commissioni De Angeli'!J1040),0)</f>
        <v>#N/A</v>
      </c>
      <c r="T1040" s="117" t="e">
        <f t="shared" si="194"/>
        <v>#N/A</v>
      </c>
      <c r="U1040" s="272" t="e">
        <f>IF(Q1040=0,'calcolo base'!L3639,(T1040+Q1040))</f>
        <v>#N/A</v>
      </c>
      <c r="V1040" s="119"/>
      <c r="Z1040" s="118">
        <f t="shared" si="185"/>
        <v>0</v>
      </c>
      <c r="AA1040" s="118">
        <f t="shared" si="186"/>
        <v>0</v>
      </c>
    </row>
    <row r="1041" spans="2:27">
      <c r="B1041" s="47"/>
      <c r="C1041" s="35"/>
      <c r="D1041" s="53"/>
      <c r="E1041" s="53"/>
      <c r="F1041" s="48"/>
      <c r="G1041" s="243" t="e">
        <f>INDEX('calcolo base'!$B:$B, MATCH($A1041, 'calcolo base'!$A:$A, 0))</f>
        <v>#N/A</v>
      </c>
      <c r="H1041" s="54" t="e">
        <f t="shared" si="187"/>
        <v>#N/A</v>
      </c>
      <c r="I1041" s="259" t="e">
        <f>IF(  OR(      INDEX('calcolo base'!$D:$D, MATCH($A1041, 'calcolo base'!$A:$A, 0)) = 0,
      INDEX('calcolo base'!$D:$D, MATCH($A1041, 'calcolo base'!$A:$A, 0)) = ""   ),
   INDEX('calcolo base'!$K:$K, MATCH($A1041, 'calcolo base'!$A:$A, 0)),
   INDEX('calcolo base'!$J:$J, MATCH($A1041, 'calcolo base'!$A:$A, 0))
) / 1000</f>
        <v>#N/A</v>
      </c>
      <c r="J1041" s="50" t="e">
        <f t="shared" si="188"/>
        <v>#N/A</v>
      </c>
      <c r="K1041" s="50"/>
      <c r="L1041" s="267" t="e">
        <f>INDEX('calcolo base'!$H:$H, MATCH($A1041, 'calcolo base'!$A:$A, 0))</f>
        <v>#N/A</v>
      </c>
      <c r="M1041" s="50" t="e">
        <f t="shared" si="189"/>
        <v>#N/A</v>
      </c>
      <c r="N1041" s="50" t="e">
        <f t="shared" si="190"/>
        <v>#N/A</v>
      </c>
      <c r="O1041" s="50" t="e">
        <f t="shared" si="195"/>
        <v>#N/A</v>
      </c>
      <c r="P1041" s="50" t="e">
        <f t="shared" si="191"/>
        <v>#N/A</v>
      </c>
      <c r="Q1041" s="51" t="e">
        <f t="shared" si="192"/>
        <v>#N/A</v>
      </c>
      <c r="R1041" s="205" t="e">
        <f t="shared" si="193"/>
        <v>#N/A</v>
      </c>
      <c r="S1041" s="279" t="e">
        <f>IF(R1041="si",0,IF(E1041="si",0,IF(J1041&gt;K1041,0,+K1041-J1041)))+IF('calcolo base'!P1733="SI",('Commissioni De Angeli'!K1041-'Commissioni De Angeli'!J1041),0)</f>
        <v>#N/A</v>
      </c>
      <c r="T1041" s="117" t="e">
        <f t="shared" si="194"/>
        <v>#N/A</v>
      </c>
      <c r="U1041" s="272" t="e">
        <f>IF(Q1041=0,'calcolo base'!L3640,(T1041+Q1041))</f>
        <v>#N/A</v>
      </c>
      <c r="V1041" s="119"/>
      <c r="Z1041" s="118">
        <f t="shared" si="185"/>
        <v>0</v>
      </c>
      <c r="AA1041" s="118">
        <f t="shared" si="186"/>
        <v>0</v>
      </c>
    </row>
    <row r="1042" spans="2:27">
      <c r="B1042" s="47"/>
      <c r="C1042" s="35"/>
      <c r="D1042" s="53"/>
      <c r="E1042" s="53"/>
      <c r="F1042" s="48"/>
      <c r="G1042" s="243" t="e">
        <f>INDEX('calcolo base'!$B:$B, MATCH($A1042, 'calcolo base'!$A:$A, 0))</f>
        <v>#N/A</v>
      </c>
      <c r="H1042" s="54" t="e">
        <f t="shared" si="187"/>
        <v>#N/A</v>
      </c>
      <c r="I1042" s="259" t="e">
        <f>IF(  OR(      INDEX('calcolo base'!$D:$D, MATCH($A1042, 'calcolo base'!$A:$A, 0)) = 0,
      INDEX('calcolo base'!$D:$D, MATCH($A1042, 'calcolo base'!$A:$A, 0)) = ""   ),
   INDEX('calcolo base'!$K:$K, MATCH($A1042, 'calcolo base'!$A:$A, 0)),
   INDEX('calcolo base'!$J:$J, MATCH($A1042, 'calcolo base'!$A:$A, 0))
) / 1000</f>
        <v>#N/A</v>
      </c>
      <c r="J1042" s="50" t="e">
        <f t="shared" si="188"/>
        <v>#N/A</v>
      </c>
      <c r="K1042" s="50"/>
      <c r="L1042" s="267" t="e">
        <f>INDEX('calcolo base'!$H:$H, MATCH($A1042, 'calcolo base'!$A:$A, 0))</f>
        <v>#N/A</v>
      </c>
      <c r="M1042" s="50" t="e">
        <f t="shared" si="189"/>
        <v>#N/A</v>
      </c>
      <c r="N1042" s="50" t="e">
        <f t="shared" si="190"/>
        <v>#N/A</v>
      </c>
      <c r="O1042" s="50" t="e">
        <f t="shared" si="195"/>
        <v>#N/A</v>
      </c>
      <c r="P1042" s="50" t="e">
        <f t="shared" si="191"/>
        <v>#N/A</v>
      </c>
      <c r="Q1042" s="51" t="e">
        <f t="shared" si="192"/>
        <v>#N/A</v>
      </c>
      <c r="R1042" s="205" t="e">
        <f t="shared" si="193"/>
        <v>#N/A</v>
      </c>
      <c r="S1042" s="279" t="e">
        <f>IF(R1042="si",0,IF(E1042="si",0,IF(J1042&gt;K1042,0,+K1042-J1042)))+IF('calcolo base'!P1734="SI",('Commissioni De Angeli'!K1042-'Commissioni De Angeli'!J1042),0)</f>
        <v>#N/A</v>
      </c>
      <c r="T1042" s="117" t="e">
        <f t="shared" si="194"/>
        <v>#N/A</v>
      </c>
      <c r="U1042" s="272" t="e">
        <f>IF(Q1042=0,'calcolo base'!L3641,(T1042+Q1042))</f>
        <v>#N/A</v>
      </c>
      <c r="V1042" s="119"/>
      <c r="Z1042" s="118">
        <f t="shared" si="185"/>
        <v>0</v>
      </c>
      <c r="AA1042" s="118">
        <f t="shared" si="186"/>
        <v>0</v>
      </c>
    </row>
    <row r="1043" spans="2:27">
      <c r="B1043" s="47"/>
      <c r="C1043" s="35"/>
      <c r="D1043" s="53"/>
      <c r="E1043" s="53"/>
      <c r="F1043" s="48"/>
      <c r="G1043" s="243" t="e">
        <f>INDEX('calcolo base'!$B:$B, MATCH($A1043, 'calcolo base'!$A:$A, 0))</f>
        <v>#N/A</v>
      </c>
      <c r="H1043" s="54" t="e">
        <f t="shared" si="187"/>
        <v>#N/A</v>
      </c>
      <c r="I1043" s="259" t="e">
        <f>IF(  OR(      INDEX('calcolo base'!$D:$D, MATCH($A1043, 'calcolo base'!$A:$A, 0)) = 0,
      INDEX('calcolo base'!$D:$D, MATCH($A1043, 'calcolo base'!$A:$A, 0)) = ""   ),
   INDEX('calcolo base'!$K:$K, MATCH($A1043, 'calcolo base'!$A:$A, 0)),
   INDEX('calcolo base'!$J:$J, MATCH($A1043, 'calcolo base'!$A:$A, 0))
) / 1000</f>
        <v>#N/A</v>
      </c>
      <c r="J1043" s="50" t="e">
        <f t="shared" si="188"/>
        <v>#N/A</v>
      </c>
      <c r="K1043" s="50"/>
      <c r="L1043" s="267" t="e">
        <f>INDEX('calcolo base'!$H:$H, MATCH($A1043, 'calcolo base'!$A:$A, 0))</f>
        <v>#N/A</v>
      </c>
      <c r="M1043" s="50" t="e">
        <f t="shared" si="189"/>
        <v>#N/A</v>
      </c>
      <c r="N1043" s="50" t="e">
        <f t="shared" si="190"/>
        <v>#N/A</v>
      </c>
      <c r="O1043" s="50" t="e">
        <f t="shared" si="195"/>
        <v>#N/A</v>
      </c>
      <c r="P1043" s="50" t="e">
        <f t="shared" si="191"/>
        <v>#N/A</v>
      </c>
      <c r="Q1043" s="51" t="e">
        <f t="shared" si="192"/>
        <v>#N/A</v>
      </c>
      <c r="R1043" s="205" t="e">
        <f t="shared" si="193"/>
        <v>#N/A</v>
      </c>
      <c r="S1043" s="279" t="e">
        <f>IF(R1043="si",0,IF(E1043="si",0,IF(J1043&gt;K1043,0,+K1043-J1043)))+IF('calcolo base'!P1735="SI",('Commissioni De Angeli'!K1043-'Commissioni De Angeli'!J1043),0)</f>
        <v>#N/A</v>
      </c>
      <c r="T1043" s="117" t="e">
        <f t="shared" si="194"/>
        <v>#N/A</v>
      </c>
      <c r="U1043" s="272" t="e">
        <f>IF(Q1043=0,'calcolo base'!L3642,(T1043+Q1043))</f>
        <v>#N/A</v>
      </c>
      <c r="V1043" s="119"/>
      <c r="Z1043" s="118">
        <f t="shared" si="185"/>
        <v>0</v>
      </c>
      <c r="AA1043" s="118">
        <f t="shared" si="186"/>
        <v>0</v>
      </c>
    </row>
    <row r="1044" spans="2:27">
      <c r="B1044" s="47"/>
      <c r="C1044" s="35"/>
      <c r="D1044" s="53"/>
      <c r="E1044" s="53"/>
      <c r="F1044" s="48"/>
      <c r="G1044" s="243" t="e">
        <f>INDEX('calcolo base'!$B:$B, MATCH($A1044, 'calcolo base'!$A:$A, 0))</f>
        <v>#N/A</v>
      </c>
      <c r="H1044" s="54" t="e">
        <f t="shared" si="187"/>
        <v>#N/A</v>
      </c>
      <c r="I1044" s="259" t="e">
        <f>IF(  OR(      INDEX('calcolo base'!$D:$D, MATCH($A1044, 'calcolo base'!$A:$A, 0)) = 0,
      INDEX('calcolo base'!$D:$D, MATCH($A1044, 'calcolo base'!$A:$A, 0)) = ""   ),
   INDEX('calcolo base'!$K:$K, MATCH($A1044, 'calcolo base'!$A:$A, 0)),
   INDEX('calcolo base'!$J:$J, MATCH($A1044, 'calcolo base'!$A:$A, 0))
) / 1000</f>
        <v>#N/A</v>
      </c>
      <c r="J1044" s="50" t="e">
        <f t="shared" si="188"/>
        <v>#N/A</v>
      </c>
      <c r="K1044" s="50"/>
      <c r="L1044" s="267" t="e">
        <f>INDEX('calcolo base'!$H:$H, MATCH($A1044, 'calcolo base'!$A:$A, 0))</f>
        <v>#N/A</v>
      </c>
      <c r="M1044" s="50" t="e">
        <f t="shared" si="189"/>
        <v>#N/A</v>
      </c>
      <c r="N1044" s="50" t="e">
        <f t="shared" si="190"/>
        <v>#N/A</v>
      </c>
      <c r="O1044" s="50" t="e">
        <f t="shared" si="195"/>
        <v>#N/A</v>
      </c>
      <c r="P1044" s="50" t="e">
        <f t="shared" si="191"/>
        <v>#N/A</v>
      </c>
      <c r="Q1044" s="51" t="e">
        <f t="shared" si="192"/>
        <v>#N/A</v>
      </c>
      <c r="R1044" s="205" t="e">
        <f t="shared" si="193"/>
        <v>#N/A</v>
      </c>
      <c r="S1044" s="279" t="e">
        <f>IF(R1044="si",0,IF(E1044="si",0,IF(J1044&gt;K1044,0,+K1044-J1044)))+IF('calcolo base'!P1736="SI",('Commissioni De Angeli'!K1044-'Commissioni De Angeli'!J1044),0)</f>
        <v>#N/A</v>
      </c>
      <c r="T1044" s="117" t="e">
        <f t="shared" si="194"/>
        <v>#N/A</v>
      </c>
      <c r="U1044" s="272" t="e">
        <f>IF(Q1044=0,'calcolo base'!L3643,(T1044+Q1044))</f>
        <v>#N/A</v>
      </c>
      <c r="V1044" s="119"/>
      <c r="Z1044" s="118">
        <f t="shared" si="185"/>
        <v>0</v>
      </c>
      <c r="AA1044" s="118">
        <f t="shared" si="186"/>
        <v>0</v>
      </c>
    </row>
    <row r="1045" spans="2:27">
      <c r="B1045" s="47"/>
      <c r="C1045" s="35"/>
      <c r="D1045" s="53"/>
      <c r="E1045" s="53"/>
      <c r="F1045" s="48"/>
      <c r="G1045" s="243" t="e">
        <f>INDEX('calcolo base'!$B:$B, MATCH($A1045, 'calcolo base'!$A:$A, 0))</f>
        <v>#N/A</v>
      </c>
      <c r="H1045" s="54" t="e">
        <f t="shared" si="187"/>
        <v>#N/A</v>
      </c>
      <c r="I1045" s="259" t="e">
        <f>IF(  OR(      INDEX('calcolo base'!$D:$D, MATCH($A1045, 'calcolo base'!$A:$A, 0)) = 0,
      INDEX('calcolo base'!$D:$D, MATCH($A1045, 'calcolo base'!$A:$A, 0)) = ""   ),
   INDEX('calcolo base'!$K:$K, MATCH($A1045, 'calcolo base'!$A:$A, 0)),
   INDEX('calcolo base'!$J:$J, MATCH($A1045, 'calcolo base'!$A:$A, 0))
) / 1000</f>
        <v>#N/A</v>
      </c>
      <c r="J1045" s="50" t="e">
        <f t="shared" si="188"/>
        <v>#N/A</v>
      </c>
      <c r="K1045" s="50"/>
      <c r="L1045" s="267" t="e">
        <f>INDEX('calcolo base'!$H:$H, MATCH($A1045, 'calcolo base'!$A:$A, 0))</f>
        <v>#N/A</v>
      </c>
      <c r="M1045" s="50" t="e">
        <f t="shared" si="189"/>
        <v>#N/A</v>
      </c>
      <c r="N1045" s="50" t="e">
        <f t="shared" si="190"/>
        <v>#N/A</v>
      </c>
      <c r="O1045" s="50" t="e">
        <f t="shared" si="195"/>
        <v>#N/A</v>
      </c>
      <c r="P1045" s="50" t="e">
        <f t="shared" si="191"/>
        <v>#N/A</v>
      </c>
      <c r="Q1045" s="51" t="e">
        <f t="shared" si="192"/>
        <v>#N/A</v>
      </c>
      <c r="R1045" s="205" t="e">
        <f t="shared" si="193"/>
        <v>#N/A</v>
      </c>
      <c r="S1045" s="279" t="e">
        <f>IF(R1045="si",0,IF(E1045="si",0,IF(J1045&gt;K1045,0,+K1045-J1045)))+IF('calcolo base'!P1737="SI",('Commissioni De Angeli'!K1045-'Commissioni De Angeli'!J1045),0)</f>
        <v>#N/A</v>
      </c>
      <c r="T1045" s="117" t="e">
        <f t="shared" si="194"/>
        <v>#N/A</v>
      </c>
      <c r="U1045" s="272" t="e">
        <f>IF(Q1045=0,'calcolo base'!L3644,(T1045+Q1045))</f>
        <v>#N/A</v>
      </c>
      <c r="V1045" s="119"/>
      <c r="Z1045" s="118">
        <f t="shared" ref="Z1045:Z1108" si="196">IF(V1045="",0,MONTH(V1045))</f>
        <v>0</v>
      </c>
      <c r="AA1045" s="118">
        <f t="shared" ref="AA1045:AA1108" si="197">IF(V1045="",0,YEAR(V1045))</f>
        <v>0</v>
      </c>
    </row>
    <row r="1046" spans="2:27">
      <c r="B1046" s="47"/>
      <c r="C1046" s="35"/>
      <c r="D1046" s="53"/>
      <c r="E1046" s="53"/>
      <c r="F1046" s="48"/>
      <c r="G1046" s="243" t="e">
        <f>INDEX('calcolo base'!$B:$B, MATCH($A1046, 'calcolo base'!$A:$A, 0))</f>
        <v>#N/A</v>
      </c>
      <c r="H1046" s="54" t="e">
        <f t="shared" si="187"/>
        <v>#N/A</v>
      </c>
      <c r="I1046" s="259" t="e">
        <f>IF(  OR(      INDEX('calcolo base'!$D:$D, MATCH($A1046, 'calcolo base'!$A:$A, 0)) = 0,
      INDEX('calcolo base'!$D:$D, MATCH($A1046, 'calcolo base'!$A:$A, 0)) = ""   ),
   INDEX('calcolo base'!$K:$K, MATCH($A1046, 'calcolo base'!$A:$A, 0)),
   INDEX('calcolo base'!$J:$J, MATCH($A1046, 'calcolo base'!$A:$A, 0))
) / 1000</f>
        <v>#N/A</v>
      </c>
      <c r="J1046" s="50" t="e">
        <f t="shared" si="188"/>
        <v>#N/A</v>
      </c>
      <c r="K1046" s="50"/>
      <c r="L1046" s="267" t="e">
        <f>INDEX('calcolo base'!$H:$H, MATCH($A1046, 'calcolo base'!$A:$A, 0))</f>
        <v>#N/A</v>
      </c>
      <c r="M1046" s="50" t="e">
        <f t="shared" si="189"/>
        <v>#N/A</v>
      </c>
      <c r="N1046" s="50" t="e">
        <f t="shared" si="190"/>
        <v>#N/A</v>
      </c>
      <c r="O1046" s="50" t="e">
        <f t="shared" si="195"/>
        <v>#N/A</v>
      </c>
      <c r="P1046" s="50" t="e">
        <f t="shared" si="191"/>
        <v>#N/A</v>
      </c>
      <c r="Q1046" s="51" t="e">
        <f t="shared" si="192"/>
        <v>#N/A</v>
      </c>
      <c r="R1046" s="205" t="e">
        <f t="shared" si="193"/>
        <v>#N/A</v>
      </c>
      <c r="S1046" s="279" t="e">
        <f>IF(R1046="si",0,IF(E1046="si",0,IF(J1046&gt;K1046,0,+K1046-J1046)))+IF('calcolo base'!P1738="SI",('Commissioni De Angeli'!K1046-'Commissioni De Angeli'!J1046),0)</f>
        <v>#N/A</v>
      </c>
      <c r="T1046" s="117" t="e">
        <f t="shared" si="194"/>
        <v>#N/A</v>
      </c>
      <c r="U1046" s="272" t="e">
        <f>IF(Q1046=0,'calcolo base'!L3645,(T1046+Q1046))</f>
        <v>#N/A</v>
      </c>
      <c r="V1046" s="119"/>
      <c r="Z1046" s="118">
        <f t="shared" si="196"/>
        <v>0</v>
      </c>
      <c r="AA1046" s="118">
        <f t="shared" si="197"/>
        <v>0</v>
      </c>
    </row>
    <row r="1047" spans="2:27">
      <c r="B1047" s="47"/>
      <c r="C1047" s="35"/>
      <c r="D1047" s="53"/>
      <c r="E1047" s="53"/>
      <c r="F1047" s="48"/>
      <c r="G1047" s="243" t="e">
        <f>INDEX('calcolo base'!$B:$B, MATCH($A1047, 'calcolo base'!$A:$A, 0))</f>
        <v>#N/A</v>
      </c>
      <c r="H1047" s="54" t="e">
        <f t="shared" si="187"/>
        <v>#N/A</v>
      </c>
      <c r="I1047" s="259" t="e">
        <f>IF(  OR(      INDEX('calcolo base'!$D:$D, MATCH($A1047, 'calcolo base'!$A:$A, 0)) = 0,
      INDEX('calcolo base'!$D:$D, MATCH($A1047, 'calcolo base'!$A:$A, 0)) = ""   ),
   INDEX('calcolo base'!$K:$K, MATCH($A1047, 'calcolo base'!$A:$A, 0)),
   INDEX('calcolo base'!$J:$J, MATCH($A1047, 'calcolo base'!$A:$A, 0))
) / 1000</f>
        <v>#N/A</v>
      </c>
      <c r="J1047" s="50" t="e">
        <f t="shared" si="188"/>
        <v>#N/A</v>
      </c>
      <c r="K1047" s="50"/>
      <c r="L1047" s="267" t="e">
        <f>INDEX('calcolo base'!$H:$H, MATCH($A1047, 'calcolo base'!$A:$A, 0))</f>
        <v>#N/A</v>
      </c>
      <c r="M1047" s="50" t="e">
        <f t="shared" si="189"/>
        <v>#N/A</v>
      </c>
      <c r="N1047" s="50" t="e">
        <f t="shared" si="190"/>
        <v>#N/A</v>
      </c>
      <c r="O1047" s="50" t="e">
        <f t="shared" si="195"/>
        <v>#N/A</v>
      </c>
      <c r="P1047" s="50" t="e">
        <f t="shared" si="191"/>
        <v>#N/A</v>
      </c>
      <c r="Q1047" s="51" t="e">
        <f t="shared" si="192"/>
        <v>#N/A</v>
      </c>
      <c r="R1047" s="205" t="e">
        <f t="shared" si="193"/>
        <v>#N/A</v>
      </c>
      <c r="S1047" s="279" t="e">
        <f>IF(R1047="si",0,IF(E1047="si",0,IF(J1047&gt;K1047,0,+K1047-J1047)))+IF('calcolo base'!P1739="SI",('Commissioni De Angeli'!K1047-'Commissioni De Angeli'!J1047),0)</f>
        <v>#N/A</v>
      </c>
      <c r="T1047" s="117" t="e">
        <f t="shared" si="194"/>
        <v>#N/A</v>
      </c>
      <c r="U1047" s="272" t="e">
        <f>IF(Q1047=0,'calcolo base'!L3646,(T1047+Q1047))</f>
        <v>#N/A</v>
      </c>
      <c r="V1047" s="119"/>
      <c r="Z1047" s="118">
        <f t="shared" si="196"/>
        <v>0</v>
      </c>
      <c r="AA1047" s="118">
        <f t="shared" si="197"/>
        <v>0</v>
      </c>
    </row>
    <row r="1048" spans="2:27">
      <c r="B1048" s="47"/>
      <c r="C1048" s="35"/>
      <c r="D1048" s="53"/>
      <c r="E1048" s="53"/>
      <c r="F1048" s="48"/>
      <c r="G1048" s="243" t="e">
        <f>INDEX('calcolo base'!$B:$B, MATCH($A1048, 'calcolo base'!$A:$A, 0))</f>
        <v>#N/A</v>
      </c>
      <c r="H1048" s="54" t="e">
        <f t="shared" si="187"/>
        <v>#N/A</v>
      </c>
      <c r="I1048" s="259" t="e">
        <f>IF(  OR(      INDEX('calcolo base'!$D:$D, MATCH($A1048, 'calcolo base'!$A:$A, 0)) = 0,
      INDEX('calcolo base'!$D:$D, MATCH($A1048, 'calcolo base'!$A:$A, 0)) = ""   ),
   INDEX('calcolo base'!$K:$K, MATCH($A1048, 'calcolo base'!$A:$A, 0)),
   INDEX('calcolo base'!$J:$J, MATCH($A1048, 'calcolo base'!$A:$A, 0))
) / 1000</f>
        <v>#N/A</v>
      </c>
      <c r="J1048" s="50" t="e">
        <f t="shared" si="188"/>
        <v>#N/A</v>
      </c>
      <c r="K1048" s="50"/>
      <c r="L1048" s="267" t="e">
        <f>INDEX('calcolo base'!$H:$H, MATCH($A1048, 'calcolo base'!$A:$A, 0))</f>
        <v>#N/A</v>
      </c>
      <c r="M1048" s="50" t="e">
        <f t="shared" si="189"/>
        <v>#N/A</v>
      </c>
      <c r="N1048" s="50" t="e">
        <f t="shared" si="190"/>
        <v>#N/A</v>
      </c>
      <c r="O1048" s="50" t="e">
        <f t="shared" si="195"/>
        <v>#N/A</v>
      </c>
      <c r="P1048" s="50" t="e">
        <f t="shared" si="191"/>
        <v>#N/A</v>
      </c>
      <c r="Q1048" s="51" t="e">
        <f t="shared" si="192"/>
        <v>#N/A</v>
      </c>
      <c r="R1048" s="205" t="e">
        <f t="shared" si="193"/>
        <v>#N/A</v>
      </c>
      <c r="S1048" s="279" t="e">
        <f>IF(R1048="si",0,IF(E1048="si",0,IF(J1048&gt;K1048,0,+K1048-J1048)))+IF('calcolo base'!P1740="SI",('Commissioni De Angeli'!K1048-'Commissioni De Angeli'!J1048),0)</f>
        <v>#N/A</v>
      </c>
      <c r="T1048" s="117" t="e">
        <f t="shared" si="194"/>
        <v>#N/A</v>
      </c>
      <c r="U1048" s="272" t="e">
        <f>IF(Q1048=0,'calcolo base'!L3647,(T1048+Q1048))</f>
        <v>#N/A</v>
      </c>
      <c r="V1048" s="119"/>
      <c r="Z1048" s="118">
        <f t="shared" si="196"/>
        <v>0</v>
      </c>
      <c r="AA1048" s="118">
        <f t="shared" si="197"/>
        <v>0</v>
      </c>
    </row>
    <row r="1049" spans="2:27">
      <c r="B1049" s="47"/>
      <c r="C1049" s="35"/>
      <c r="D1049" s="53"/>
      <c r="E1049" s="53"/>
      <c r="F1049" s="48"/>
      <c r="G1049" s="243" t="e">
        <f>INDEX('calcolo base'!$B:$B, MATCH($A1049, 'calcolo base'!$A:$A, 0))</f>
        <v>#N/A</v>
      </c>
      <c r="H1049" s="54" t="e">
        <f t="shared" si="187"/>
        <v>#N/A</v>
      </c>
      <c r="I1049" s="259" t="e">
        <f>IF(  OR(      INDEX('calcolo base'!$D:$D, MATCH($A1049, 'calcolo base'!$A:$A, 0)) = 0,
      INDEX('calcolo base'!$D:$D, MATCH($A1049, 'calcolo base'!$A:$A, 0)) = ""   ),
   INDEX('calcolo base'!$K:$K, MATCH($A1049, 'calcolo base'!$A:$A, 0)),
   INDEX('calcolo base'!$J:$J, MATCH($A1049, 'calcolo base'!$A:$A, 0))
) / 1000</f>
        <v>#N/A</v>
      </c>
      <c r="J1049" s="50" t="e">
        <f t="shared" si="188"/>
        <v>#N/A</v>
      </c>
      <c r="K1049" s="50"/>
      <c r="L1049" s="267" t="e">
        <f>INDEX('calcolo base'!$H:$H, MATCH($A1049, 'calcolo base'!$A:$A, 0))</f>
        <v>#N/A</v>
      </c>
      <c r="M1049" s="50" t="e">
        <f t="shared" si="189"/>
        <v>#N/A</v>
      </c>
      <c r="N1049" s="50" t="e">
        <f t="shared" si="190"/>
        <v>#N/A</v>
      </c>
      <c r="O1049" s="50" t="e">
        <f t="shared" si="195"/>
        <v>#N/A</v>
      </c>
      <c r="P1049" s="50" t="e">
        <f t="shared" si="191"/>
        <v>#N/A</v>
      </c>
      <c r="Q1049" s="51" t="e">
        <f t="shared" si="192"/>
        <v>#N/A</v>
      </c>
      <c r="R1049" s="205" t="e">
        <f t="shared" si="193"/>
        <v>#N/A</v>
      </c>
      <c r="S1049" s="279" t="e">
        <f>IF(R1049="si",0,IF(E1049="si",0,IF(J1049&gt;K1049,0,+K1049-J1049)))+IF('calcolo base'!P1741="SI",('Commissioni De Angeli'!K1049-'Commissioni De Angeli'!J1049),0)</f>
        <v>#N/A</v>
      </c>
      <c r="T1049" s="117" t="e">
        <f t="shared" si="194"/>
        <v>#N/A</v>
      </c>
      <c r="U1049" s="272" t="e">
        <f>IF(Q1049=0,'calcolo base'!L3648,(T1049+Q1049))</f>
        <v>#N/A</v>
      </c>
      <c r="V1049" s="119"/>
      <c r="Z1049" s="118">
        <f t="shared" si="196"/>
        <v>0</v>
      </c>
      <c r="AA1049" s="118">
        <f t="shared" si="197"/>
        <v>0</v>
      </c>
    </row>
    <row r="1050" spans="2:27">
      <c r="B1050" s="47"/>
      <c r="C1050" s="35"/>
      <c r="D1050" s="53"/>
      <c r="E1050" s="53"/>
      <c r="F1050" s="48"/>
      <c r="G1050" s="243" t="e">
        <f>INDEX('calcolo base'!$B:$B, MATCH($A1050, 'calcolo base'!$A:$A, 0))</f>
        <v>#N/A</v>
      </c>
      <c r="H1050" s="54" t="e">
        <f t="shared" si="187"/>
        <v>#N/A</v>
      </c>
      <c r="I1050" s="259" t="e">
        <f>IF(  OR(      INDEX('calcolo base'!$D:$D, MATCH($A1050, 'calcolo base'!$A:$A, 0)) = 0,
      INDEX('calcolo base'!$D:$D, MATCH($A1050, 'calcolo base'!$A:$A, 0)) = ""   ),
   INDEX('calcolo base'!$K:$K, MATCH($A1050, 'calcolo base'!$A:$A, 0)),
   INDEX('calcolo base'!$J:$J, MATCH($A1050, 'calcolo base'!$A:$A, 0))
) / 1000</f>
        <v>#N/A</v>
      </c>
      <c r="J1050" s="50" t="e">
        <f t="shared" si="188"/>
        <v>#N/A</v>
      </c>
      <c r="K1050" s="50"/>
      <c r="L1050" s="267" t="e">
        <f>INDEX('calcolo base'!$H:$H, MATCH($A1050, 'calcolo base'!$A:$A, 0))</f>
        <v>#N/A</v>
      </c>
      <c r="M1050" s="50" t="e">
        <f t="shared" si="189"/>
        <v>#N/A</v>
      </c>
      <c r="N1050" s="50" t="e">
        <f t="shared" si="190"/>
        <v>#N/A</v>
      </c>
      <c r="O1050" s="50" t="e">
        <f t="shared" si="195"/>
        <v>#N/A</v>
      </c>
      <c r="P1050" s="50" t="e">
        <f t="shared" si="191"/>
        <v>#N/A</v>
      </c>
      <c r="Q1050" s="51" t="e">
        <f t="shared" si="192"/>
        <v>#N/A</v>
      </c>
      <c r="R1050" s="205" t="e">
        <f t="shared" si="193"/>
        <v>#N/A</v>
      </c>
      <c r="S1050" s="279" t="e">
        <f>IF(R1050="si",0,IF(E1050="si",0,IF(J1050&gt;K1050,0,+K1050-J1050)))+IF('calcolo base'!P1742="SI",('Commissioni De Angeli'!K1050-'Commissioni De Angeli'!J1050),0)</f>
        <v>#N/A</v>
      </c>
      <c r="T1050" s="117" t="e">
        <f t="shared" si="194"/>
        <v>#N/A</v>
      </c>
      <c r="U1050" s="272" t="e">
        <f>IF(Q1050=0,'calcolo base'!L3649,(T1050+Q1050))</f>
        <v>#N/A</v>
      </c>
      <c r="V1050" s="119"/>
      <c r="Z1050" s="118">
        <f t="shared" si="196"/>
        <v>0</v>
      </c>
      <c r="AA1050" s="118">
        <f t="shared" si="197"/>
        <v>0</v>
      </c>
    </row>
    <row r="1051" spans="2:27">
      <c r="B1051" s="47"/>
      <c r="C1051" s="35"/>
      <c r="D1051" s="53"/>
      <c r="E1051" s="53"/>
      <c r="F1051" s="48"/>
      <c r="G1051" s="243" t="e">
        <f>INDEX('calcolo base'!$B:$B, MATCH($A1051, 'calcolo base'!$A:$A, 0))</f>
        <v>#N/A</v>
      </c>
      <c r="H1051" s="54" t="e">
        <f t="shared" si="187"/>
        <v>#N/A</v>
      </c>
      <c r="I1051" s="259" t="e">
        <f>IF(  OR(      INDEX('calcolo base'!$D:$D, MATCH($A1051, 'calcolo base'!$A:$A, 0)) = 0,
      INDEX('calcolo base'!$D:$D, MATCH($A1051, 'calcolo base'!$A:$A, 0)) = ""   ),
   INDEX('calcolo base'!$K:$K, MATCH($A1051, 'calcolo base'!$A:$A, 0)),
   INDEX('calcolo base'!$J:$J, MATCH($A1051, 'calcolo base'!$A:$A, 0))
) / 1000</f>
        <v>#N/A</v>
      </c>
      <c r="J1051" s="50" t="e">
        <f t="shared" si="188"/>
        <v>#N/A</v>
      </c>
      <c r="K1051" s="50"/>
      <c r="L1051" s="267" t="e">
        <f>INDEX('calcolo base'!$H:$H, MATCH($A1051, 'calcolo base'!$A:$A, 0))</f>
        <v>#N/A</v>
      </c>
      <c r="M1051" s="50" t="e">
        <f t="shared" si="189"/>
        <v>#N/A</v>
      </c>
      <c r="N1051" s="50" t="e">
        <f t="shared" si="190"/>
        <v>#N/A</v>
      </c>
      <c r="O1051" s="50" t="e">
        <f t="shared" si="195"/>
        <v>#N/A</v>
      </c>
      <c r="P1051" s="50" t="e">
        <f t="shared" si="191"/>
        <v>#N/A</v>
      </c>
      <c r="Q1051" s="51" t="e">
        <f t="shared" si="192"/>
        <v>#N/A</v>
      </c>
      <c r="R1051" s="205" t="e">
        <f t="shared" si="193"/>
        <v>#N/A</v>
      </c>
      <c r="S1051" s="279" t="e">
        <f>IF(R1051="si",0,IF(E1051="si",0,IF(J1051&gt;K1051,0,+K1051-J1051)))+IF('calcolo base'!P1743="SI",('Commissioni De Angeli'!K1051-'Commissioni De Angeli'!J1051),0)</f>
        <v>#N/A</v>
      </c>
      <c r="T1051" s="117" t="e">
        <f t="shared" si="194"/>
        <v>#N/A</v>
      </c>
      <c r="U1051" s="272" t="e">
        <f>IF(Q1051=0,'calcolo base'!L3650,(T1051+Q1051))</f>
        <v>#N/A</v>
      </c>
      <c r="V1051" s="119"/>
      <c r="Z1051" s="118">
        <f t="shared" si="196"/>
        <v>0</v>
      </c>
      <c r="AA1051" s="118">
        <f t="shared" si="197"/>
        <v>0</v>
      </c>
    </row>
    <row r="1052" spans="2:27">
      <c r="B1052" s="47"/>
      <c r="C1052" s="35"/>
      <c r="D1052" s="53"/>
      <c r="E1052" s="53"/>
      <c r="F1052" s="48"/>
      <c r="G1052" s="243" t="e">
        <f>INDEX('calcolo base'!$B:$B, MATCH($A1052, 'calcolo base'!$A:$A, 0))</f>
        <v>#N/A</v>
      </c>
      <c r="H1052" s="54" t="e">
        <f t="shared" ref="H1052:H1115" si="198">IF(G1052=0,"",+G1052)</f>
        <v>#N/A</v>
      </c>
      <c r="I1052" s="259" t="e">
        <f>IF(  OR(      INDEX('calcolo base'!$D:$D, MATCH($A1052, 'calcolo base'!$A:$A, 0)) = 0,
      INDEX('calcolo base'!$D:$D, MATCH($A1052, 'calcolo base'!$A:$A, 0)) = ""   ),
   INDEX('calcolo base'!$K:$K, MATCH($A1052, 'calcolo base'!$A:$A, 0)),
   INDEX('calcolo base'!$J:$J, MATCH($A1052, 'calcolo base'!$A:$A, 0))
) / 1000</f>
        <v>#N/A</v>
      </c>
      <c r="J1052" s="50" t="e">
        <f t="shared" ref="J1052:J1115" si="199">+F1052+I1052</f>
        <v>#N/A</v>
      </c>
      <c r="K1052" s="50"/>
      <c r="L1052" s="267" t="e">
        <f>INDEX('calcolo base'!$H:$H, MATCH($A1052, 'calcolo base'!$A:$A, 0))</f>
        <v>#N/A</v>
      </c>
      <c r="M1052" s="50" t="e">
        <f t="shared" ref="M1052:M1115" si="200">IF(L1052=0,0,J1052*L1052)</f>
        <v>#N/A</v>
      </c>
      <c r="N1052" s="50" t="e">
        <f t="shared" ref="N1052:N1115" si="201">IF(E1052="si",K1052*1.5%,IF($L1052&gt;=5%,IF($I1052=0,0,(IF($G1052="RAME",($J1052)*1.5%,0)+IF($G1052="rame smaltato",($K1052)*1.5%,0))),0))</f>
        <v>#N/A</v>
      </c>
      <c r="O1052" s="50" t="e">
        <f t="shared" si="195"/>
        <v>#N/A</v>
      </c>
      <c r="P1052" s="50" t="e">
        <f t="shared" ref="P1052:P1115" si="202">IF(H1052="alluminio",0,IF(L1052&lt;5%,F1052*8%,0))</f>
        <v>#N/A</v>
      </c>
      <c r="Q1052" s="51" t="e">
        <f t="shared" ref="Q1052:Q1115" si="203">+(N1052*D1052)+(O1052*D1052)+(P1052*D1052)</f>
        <v>#N/A</v>
      </c>
      <c r="R1052" s="205" t="e">
        <f t="shared" ref="R1052:R1115" si="204">IF(H1052="ALLUMINIO",0,IF(L1052&lt;5%,"si",0))</f>
        <v>#N/A</v>
      </c>
      <c r="S1052" s="279" t="e">
        <f>IF(R1052="si",0,IF(E1052="si",0,IF(J1052&gt;K1052,0,+K1052-J1052)))+IF('calcolo base'!P1744="SI",('Commissioni De Angeli'!K1052-'Commissioni De Angeli'!J1052),0)</f>
        <v>#N/A</v>
      </c>
      <c r="T1052" s="117" t="e">
        <f t="shared" ref="T1052:T1115" si="205">+(S1052)*D1052*40%</f>
        <v>#N/A</v>
      </c>
      <c r="U1052" s="272" t="e">
        <f>IF(Q1052=0,'calcolo base'!L3651,(T1052+Q1052))</f>
        <v>#N/A</v>
      </c>
      <c r="V1052" s="119"/>
      <c r="Z1052" s="118">
        <f t="shared" si="196"/>
        <v>0</v>
      </c>
      <c r="AA1052" s="118">
        <f t="shared" si="197"/>
        <v>0</v>
      </c>
    </row>
    <row r="1053" spans="2:27">
      <c r="B1053" s="47"/>
      <c r="C1053" s="35"/>
      <c r="D1053" s="53"/>
      <c r="E1053" s="53"/>
      <c r="F1053" s="48"/>
      <c r="G1053" s="243" t="e">
        <f>INDEX('calcolo base'!$B:$B, MATCH($A1053, 'calcolo base'!$A:$A, 0))</f>
        <v>#N/A</v>
      </c>
      <c r="H1053" s="54" t="e">
        <f t="shared" si="198"/>
        <v>#N/A</v>
      </c>
      <c r="I1053" s="259" t="e">
        <f>IF(  OR(      INDEX('calcolo base'!$D:$D, MATCH($A1053, 'calcolo base'!$A:$A, 0)) = 0,
      INDEX('calcolo base'!$D:$D, MATCH($A1053, 'calcolo base'!$A:$A, 0)) = ""   ),
   INDEX('calcolo base'!$K:$K, MATCH($A1053, 'calcolo base'!$A:$A, 0)),
   INDEX('calcolo base'!$J:$J, MATCH($A1053, 'calcolo base'!$A:$A, 0))
) / 1000</f>
        <v>#N/A</v>
      </c>
      <c r="J1053" s="50" t="e">
        <f t="shared" si="199"/>
        <v>#N/A</v>
      </c>
      <c r="K1053" s="50"/>
      <c r="L1053" s="267" t="e">
        <f>INDEX('calcolo base'!$H:$H, MATCH($A1053, 'calcolo base'!$A:$A, 0))</f>
        <v>#N/A</v>
      </c>
      <c r="M1053" s="50" t="e">
        <f t="shared" si="200"/>
        <v>#N/A</v>
      </c>
      <c r="N1053" s="50" t="e">
        <f t="shared" si="201"/>
        <v>#N/A</v>
      </c>
      <c r="O1053" s="50" t="e">
        <f t="shared" si="195"/>
        <v>#N/A</v>
      </c>
      <c r="P1053" s="50" t="e">
        <f t="shared" si="202"/>
        <v>#N/A</v>
      </c>
      <c r="Q1053" s="51" t="e">
        <f t="shared" si="203"/>
        <v>#N/A</v>
      </c>
      <c r="R1053" s="205" t="e">
        <f t="shared" si="204"/>
        <v>#N/A</v>
      </c>
      <c r="S1053" s="279" t="e">
        <f>IF(R1053="si",0,IF(E1053="si",0,IF(J1053&gt;K1053,0,+K1053-J1053)))+IF('calcolo base'!P1745="SI",('Commissioni De Angeli'!K1053-'Commissioni De Angeli'!J1053),0)</f>
        <v>#N/A</v>
      </c>
      <c r="T1053" s="117" t="e">
        <f t="shared" si="205"/>
        <v>#N/A</v>
      </c>
      <c r="U1053" s="272" t="e">
        <f>IF(Q1053=0,'calcolo base'!L3652,(T1053+Q1053))</f>
        <v>#N/A</v>
      </c>
      <c r="V1053" s="119"/>
      <c r="Z1053" s="118">
        <f t="shared" si="196"/>
        <v>0</v>
      </c>
      <c r="AA1053" s="118">
        <f t="shared" si="197"/>
        <v>0</v>
      </c>
    </row>
    <row r="1054" spans="2:27">
      <c r="B1054" s="47"/>
      <c r="C1054" s="35"/>
      <c r="D1054" s="53"/>
      <c r="E1054" s="53"/>
      <c r="F1054" s="48"/>
      <c r="G1054" s="243" t="e">
        <f>INDEX('calcolo base'!$B:$B, MATCH($A1054, 'calcolo base'!$A:$A, 0))</f>
        <v>#N/A</v>
      </c>
      <c r="H1054" s="54" t="e">
        <f t="shared" si="198"/>
        <v>#N/A</v>
      </c>
      <c r="I1054" s="259" t="e">
        <f>IF(  OR(      INDEX('calcolo base'!$D:$D, MATCH($A1054, 'calcolo base'!$A:$A, 0)) = 0,
      INDEX('calcolo base'!$D:$D, MATCH($A1054, 'calcolo base'!$A:$A, 0)) = ""   ),
   INDEX('calcolo base'!$K:$K, MATCH($A1054, 'calcolo base'!$A:$A, 0)),
   INDEX('calcolo base'!$J:$J, MATCH($A1054, 'calcolo base'!$A:$A, 0))
) / 1000</f>
        <v>#N/A</v>
      </c>
      <c r="J1054" s="50" t="e">
        <f t="shared" si="199"/>
        <v>#N/A</v>
      </c>
      <c r="K1054" s="50"/>
      <c r="L1054" s="267" t="e">
        <f>INDEX('calcolo base'!$H:$H, MATCH($A1054, 'calcolo base'!$A:$A, 0))</f>
        <v>#N/A</v>
      </c>
      <c r="M1054" s="50" t="e">
        <f t="shared" si="200"/>
        <v>#N/A</v>
      </c>
      <c r="N1054" s="50" t="e">
        <f t="shared" si="201"/>
        <v>#N/A</v>
      </c>
      <c r="O1054" s="50" t="e">
        <f t="shared" si="195"/>
        <v>#N/A</v>
      </c>
      <c r="P1054" s="50" t="e">
        <f t="shared" si="202"/>
        <v>#N/A</v>
      </c>
      <c r="Q1054" s="51" t="e">
        <f t="shared" si="203"/>
        <v>#N/A</v>
      </c>
      <c r="R1054" s="205" t="e">
        <f t="shared" si="204"/>
        <v>#N/A</v>
      </c>
      <c r="S1054" s="279" t="e">
        <f>IF(R1054="si",0,IF(E1054="si",0,IF(J1054&gt;K1054,0,+K1054-J1054)))+IF('calcolo base'!P1746="SI",('Commissioni De Angeli'!K1054-'Commissioni De Angeli'!J1054),0)</f>
        <v>#N/A</v>
      </c>
      <c r="T1054" s="117" t="e">
        <f t="shared" si="205"/>
        <v>#N/A</v>
      </c>
      <c r="U1054" s="272" t="e">
        <f>IF(Q1054=0,'calcolo base'!L3653,(T1054+Q1054))</f>
        <v>#N/A</v>
      </c>
      <c r="V1054" s="119"/>
      <c r="Z1054" s="118">
        <f t="shared" si="196"/>
        <v>0</v>
      </c>
      <c r="AA1054" s="118">
        <f t="shared" si="197"/>
        <v>0</v>
      </c>
    </row>
    <row r="1055" spans="2:27">
      <c r="B1055" s="47"/>
      <c r="C1055" s="35"/>
      <c r="D1055" s="53"/>
      <c r="E1055" s="53"/>
      <c r="F1055" s="48"/>
      <c r="G1055" s="243" t="e">
        <f>INDEX('calcolo base'!$B:$B, MATCH($A1055, 'calcolo base'!$A:$A, 0))</f>
        <v>#N/A</v>
      </c>
      <c r="H1055" s="54" t="e">
        <f t="shared" si="198"/>
        <v>#N/A</v>
      </c>
      <c r="I1055" s="259" t="e">
        <f>IF(  OR(      INDEX('calcolo base'!$D:$D, MATCH($A1055, 'calcolo base'!$A:$A, 0)) = 0,
      INDEX('calcolo base'!$D:$D, MATCH($A1055, 'calcolo base'!$A:$A, 0)) = ""   ),
   INDEX('calcolo base'!$K:$K, MATCH($A1055, 'calcolo base'!$A:$A, 0)),
   INDEX('calcolo base'!$J:$J, MATCH($A1055, 'calcolo base'!$A:$A, 0))
) / 1000</f>
        <v>#N/A</v>
      </c>
      <c r="J1055" s="50" t="e">
        <f t="shared" si="199"/>
        <v>#N/A</v>
      </c>
      <c r="K1055" s="50"/>
      <c r="L1055" s="267" t="e">
        <f>INDEX('calcolo base'!$H:$H, MATCH($A1055, 'calcolo base'!$A:$A, 0))</f>
        <v>#N/A</v>
      </c>
      <c r="M1055" s="50" t="e">
        <f t="shared" si="200"/>
        <v>#N/A</v>
      </c>
      <c r="N1055" s="50" t="e">
        <f t="shared" si="201"/>
        <v>#N/A</v>
      </c>
      <c r="O1055" s="50" t="e">
        <f t="shared" si="195"/>
        <v>#N/A</v>
      </c>
      <c r="P1055" s="50" t="e">
        <f t="shared" si="202"/>
        <v>#N/A</v>
      </c>
      <c r="Q1055" s="51" t="e">
        <f t="shared" si="203"/>
        <v>#N/A</v>
      </c>
      <c r="R1055" s="205" t="e">
        <f t="shared" si="204"/>
        <v>#N/A</v>
      </c>
      <c r="S1055" s="279" t="e">
        <f>IF(R1055="si",0,IF(E1055="si",0,IF(J1055&gt;K1055,0,+K1055-J1055)))+IF('calcolo base'!P1747="SI",('Commissioni De Angeli'!K1055-'Commissioni De Angeli'!J1055),0)</f>
        <v>#N/A</v>
      </c>
      <c r="T1055" s="117" t="e">
        <f t="shared" si="205"/>
        <v>#N/A</v>
      </c>
      <c r="U1055" s="272" t="e">
        <f>IF(Q1055=0,'calcolo base'!L3654,(T1055+Q1055))</f>
        <v>#N/A</v>
      </c>
      <c r="V1055" s="119"/>
      <c r="Z1055" s="118">
        <f t="shared" si="196"/>
        <v>0</v>
      </c>
      <c r="AA1055" s="118">
        <f t="shared" si="197"/>
        <v>0</v>
      </c>
    </row>
    <row r="1056" spans="2:27">
      <c r="B1056" s="47"/>
      <c r="C1056" s="35"/>
      <c r="D1056" s="53"/>
      <c r="E1056" s="53"/>
      <c r="F1056" s="48"/>
      <c r="G1056" s="243" t="e">
        <f>INDEX('calcolo base'!$B:$B, MATCH($A1056, 'calcolo base'!$A:$A, 0))</f>
        <v>#N/A</v>
      </c>
      <c r="H1056" s="54" t="e">
        <f t="shared" si="198"/>
        <v>#N/A</v>
      </c>
      <c r="I1056" s="259" t="e">
        <f>IF(  OR(      INDEX('calcolo base'!$D:$D, MATCH($A1056, 'calcolo base'!$A:$A, 0)) = 0,
      INDEX('calcolo base'!$D:$D, MATCH($A1056, 'calcolo base'!$A:$A, 0)) = ""   ),
   INDEX('calcolo base'!$K:$K, MATCH($A1056, 'calcolo base'!$A:$A, 0)),
   INDEX('calcolo base'!$J:$J, MATCH($A1056, 'calcolo base'!$A:$A, 0))
) / 1000</f>
        <v>#N/A</v>
      </c>
      <c r="J1056" s="50" t="e">
        <f t="shared" si="199"/>
        <v>#N/A</v>
      </c>
      <c r="K1056" s="50"/>
      <c r="L1056" s="267" t="e">
        <f>INDEX('calcolo base'!$H:$H, MATCH($A1056, 'calcolo base'!$A:$A, 0))</f>
        <v>#N/A</v>
      </c>
      <c r="M1056" s="50" t="e">
        <f t="shared" si="200"/>
        <v>#N/A</v>
      </c>
      <c r="N1056" s="50" t="e">
        <f t="shared" si="201"/>
        <v>#N/A</v>
      </c>
      <c r="O1056" s="50" t="e">
        <f t="shared" si="195"/>
        <v>#N/A</v>
      </c>
      <c r="P1056" s="50" t="e">
        <f t="shared" si="202"/>
        <v>#N/A</v>
      </c>
      <c r="Q1056" s="51" t="e">
        <f t="shared" si="203"/>
        <v>#N/A</v>
      </c>
      <c r="R1056" s="205" t="e">
        <f t="shared" si="204"/>
        <v>#N/A</v>
      </c>
      <c r="S1056" s="279" t="e">
        <f>IF(R1056="si",0,IF(E1056="si",0,IF(J1056&gt;K1056,0,+K1056-J1056)))+IF('calcolo base'!P1748="SI",('Commissioni De Angeli'!K1056-'Commissioni De Angeli'!J1056),0)</f>
        <v>#N/A</v>
      </c>
      <c r="T1056" s="117" t="e">
        <f t="shared" si="205"/>
        <v>#N/A</v>
      </c>
      <c r="U1056" s="272" t="e">
        <f>IF(Q1056=0,'calcolo base'!L3655,(T1056+Q1056))</f>
        <v>#N/A</v>
      </c>
      <c r="V1056" s="119"/>
      <c r="Z1056" s="118">
        <f t="shared" si="196"/>
        <v>0</v>
      </c>
      <c r="AA1056" s="118">
        <f t="shared" si="197"/>
        <v>0</v>
      </c>
    </row>
    <row r="1057" spans="2:27">
      <c r="B1057" s="47"/>
      <c r="C1057" s="35"/>
      <c r="D1057" s="53"/>
      <c r="E1057" s="53"/>
      <c r="F1057" s="48"/>
      <c r="G1057" s="243" t="e">
        <f>INDEX('calcolo base'!$B:$B, MATCH($A1057, 'calcolo base'!$A:$A, 0))</f>
        <v>#N/A</v>
      </c>
      <c r="H1057" s="54" t="e">
        <f t="shared" si="198"/>
        <v>#N/A</v>
      </c>
      <c r="I1057" s="259" t="e">
        <f>IF(  OR(      INDEX('calcolo base'!$D:$D, MATCH($A1057, 'calcolo base'!$A:$A, 0)) = 0,
      INDEX('calcolo base'!$D:$D, MATCH($A1057, 'calcolo base'!$A:$A, 0)) = ""   ),
   INDEX('calcolo base'!$K:$K, MATCH($A1057, 'calcolo base'!$A:$A, 0)),
   INDEX('calcolo base'!$J:$J, MATCH($A1057, 'calcolo base'!$A:$A, 0))
) / 1000</f>
        <v>#N/A</v>
      </c>
      <c r="J1057" s="50" t="e">
        <f t="shared" si="199"/>
        <v>#N/A</v>
      </c>
      <c r="K1057" s="50"/>
      <c r="L1057" s="267" t="e">
        <f>INDEX('calcolo base'!$H:$H, MATCH($A1057, 'calcolo base'!$A:$A, 0))</f>
        <v>#N/A</v>
      </c>
      <c r="M1057" s="50" t="e">
        <f t="shared" si="200"/>
        <v>#N/A</v>
      </c>
      <c r="N1057" s="50" t="e">
        <f t="shared" si="201"/>
        <v>#N/A</v>
      </c>
      <c r="O1057" s="50" t="e">
        <f t="shared" si="195"/>
        <v>#N/A</v>
      </c>
      <c r="P1057" s="50" t="e">
        <f t="shared" si="202"/>
        <v>#N/A</v>
      </c>
      <c r="Q1057" s="51" t="e">
        <f t="shared" si="203"/>
        <v>#N/A</v>
      </c>
      <c r="R1057" s="205" t="e">
        <f t="shared" si="204"/>
        <v>#N/A</v>
      </c>
      <c r="S1057" s="279" t="e">
        <f>IF(R1057="si",0,IF(E1057="si",0,IF(J1057&gt;K1057,0,+K1057-J1057)))+IF('calcolo base'!P1749="SI",('Commissioni De Angeli'!K1057-'Commissioni De Angeli'!J1057),0)</f>
        <v>#N/A</v>
      </c>
      <c r="T1057" s="117" t="e">
        <f t="shared" si="205"/>
        <v>#N/A</v>
      </c>
      <c r="U1057" s="272" t="e">
        <f>IF(Q1057=0,'calcolo base'!L3656,(T1057+Q1057))</f>
        <v>#N/A</v>
      </c>
      <c r="V1057" s="119"/>
      <c r="Z1057" s="118">
        <f t="shared" si="196"/>
        <v>0</v>
      </c>
      <c r="AA1057" s="118">
        <f t="shared" si="197"/>
        <v>0</v>
      </c>
    </row>
    <row r="1058" spans="2:27">
      <c r="B1058" s="47"/>
      <c r="C1058" s="35"/>
      <c r="D1058" s="53"/>
      <c r="E1058" s="53"/>
      <c r="F1058" s="48"/>
      <c r="G1058" s="243" t="e">
        <f>INDEX('calcolo base'!$B:$B, MATCH($A1058, 'calcolo base'!$A:$A, 0))</f>
        <v>#N/A</v>
      </c>
      <c r="H1058" s="54" t="e">
        <f t="shared" si="198"/>
        <v>#N/A</v>
      </c>
      <c r="I1058" s="259" t="e">
        <f>IF(  OR(      INDEX('calcolo base'!$D:$D, MATCH($A1058, 'calcolo base'!$A:$A, 0)) = 0,
      INDEX('calcolo base'!$D:$D, MATCH($A1058, 'calcolo base'!$A:$A, 0)) = ""   ),
   INDEX('calcolo base'!$K:$K, MATCH($A1058, 'calcolo base'!$A:$A, 0)),
   INDEX('calcolo base'!$J:$J, MATCH($A1058, 'calcolo base'!$A:$A, 0))
) / 1000</f>
        <v>#N/A</v>
      </c>
      <c r="J1058" s="50" t="e">
        <f t="shared" si="199"/>
        <v>#N/A</v>
      </c>
      <c r="K1058" s="50"/>
      <c r="L1058" s="267" t="e">
        <f>INDEX('calcolo base'!$H:$H, MATCH($A1058, 'calcolo base'!$A:$A, 0))</f>
        <v>#N/A</v>
      </c>
      <c r="M1058" s="50" t="e">
        <f t="shared" si="200"/>
        <v>#N/A</v>
      </c>
      <c r="N1058" s="50" t="e">
        <f t="shared" si="201"/>
        <v>#N/A</v>
      </c>
      <c r="O1058" s="50" t="e">
        <f t="shared" si="195"/>
        <v>#N/A</v>
      </c>
      <c r="P1058" s="50" t="e">
        <f t="shared" si="202"/>
        <v>#N/A</v>
      </c>
      <c r="Q1058" s="51" t="e">
        <f t="shared" si="203"/>
        <v>#N/A</v>
      </c>
      <c r="R1058" s="205" t="e">
        <f t="shared" si="204"/>
        <v>#N/A</v>
      </c>
      <c r="S1058" s="279" t="e">
        <f>IF(R1058="si",0,IF(E1058="si",0,IF(J1058&gt;K1058,0,+K1058-J1058)))+IF('calcolo base'!P1750="SI",('Commissioni De Angeli'!K1058-'Commissioni De Angeli'!J1058),0)</f>
        <v>#N/A</v>
      </c>
      <c r="T1058" s="117" t="e">
        <f t="shared" si="205"/>
        <v>#N/A</v>
      </c>
      <c r="U1058" s="272" t="e">
        <f>IF(Q1058=0,'calcolo base'!L3657,(T1058+Q1058))</f>
        <v>#N/A</v>
      </c>
      <c r="V1058" s="119"/>
      <c r="Z1058" s="118">
        <f t="shared" si="196"/>
        <v>0</v>
      </c>
      <c r="AA1058" s="118">
        <f t="shared" si="197"/>
        <v>0</v>
      </c>
    </row>
    <row r="1059" spans="2:27">
      <c r="B1059" s="47"/>
      <c r="C1059" s="35"/>
      <c r="D1059" s="53"/>
      <c r="E1059" s="53"/>
      <c r="F1059" s="48"/>
      <c r="G1059" s="243" t="e">
        <f>INDEX('calcolo base'!$B:$B, MATCH($A1059, 'calcolo base'!$A:$A, 0))</f>
        <v>#N/A</v>
      </c>
      <c r="H1059" s="54" t="e">
        <f t="shared" si="198"/>
        <v>#N/A</v>
      </c>
      <c r="I1059" s="259" t="e">
        <f>IF(  OR(      INDEX('calcolo base'!$D:$D, MATCH($A1059, 'calcolo base'!$A:$A, 0)) = 0,
      INDEX('calcolo base'!$D:$D, MATCH($A1059, 'calcolo base'!$A:$A, 0)) = ""   ),
   INDEX('calcolo base'!$K:$K, MATCH($A1059, 'calcolo base'!$A:$A, 0)),
   INDEX('calcolo base'!$J:$J, MATCH($A1059, 'calcolo base'!$A:$A, 0))
) / 1000</f>
        <v>#N/A</v>
      </c>
      <c r="J1059" s="50" t="e">
        <f t="shared" si="199"/>
        <v>#N/A</v>
      </c>
      <c r="K1059" s="50"/>
      <c r="L1059" s="267" t="e">
        <f>INDEX('calcolo base'!$H:$H, MATCH($A1059, 'calcolo base'!$A:$A, 0))</f>
        <v>#N/A</v>
      </c>
      <c r="M1059" s="50" t="e">
        <f t="shared" si="200"/>
        <v>#N/A</v>
      </c>
      <c r="N1059" s="50" t="e">
        <f t="shared" si="201"/>
        <v>#N/A</v>
      </c>
      <c r="O1059" s="50" t="e">
        <f t="shared" si="195"/>
        <v>#N/A</v>
      </c>
      <c r="P1059" s="50" t="e">
        <f t="shared" si="202"/>
        <v>#N/A</v>
      </c>
      <c r="Q1059" s="51" t="e">
        <f t="shared" si="203"/>
        <v>#N/A</v>
      </c>
      <c r="R1059" s="205" t="e">
        <f t="shared" si="204"/>
        <v>#N/A</v>
      </c>
      <c r="S1059" s="279" t="e">
        <f>IF(R1059="si",0,IF(E1059="si",0,IF(J1059&gt;K1059,0,+K1059-J1059)))+IF('calcolo base'!P1751="SI",('Commissioni De Angeli'!K1059-'Commissioni De Angeli'!J1059),0)</f>
        <v>#N/A</v>
      </c>
      <c r="T1059" s="117" t="e">
        <f t="shared" si="205"/>
        <v>#N/A</v>
      </c>
      <c r="U1059" s="272" t="e">
        <f>IF(Q1059=0,'calcolo base'!L3658,(T1059+Q1059))</f>
        <v>#N/A</v>
      </c>
      <c r="V1059" s="119"/>
      <c r="Z1059" s="118">
        <f t="shared" si="196"/>
        <v>0</v>
      </c>
      <c r="AA1059" s="118">
        <f t="shared" si="197"/>
        <v>0</v>
      </c>
    </row>
    <row r="1060" spans="2:27">
      <c r="B1060" s="47"/>
      <c r="C1060" s="35"/>
      <c r="D1060" s="53"/>
      <c r="E1060" s="53"/>
      <c r="F1060" s="48"/>
      <c r="G1060" s="243" t="e">
        <f>INDEX('calcolo base'!$B:$B, MATCH($A1060, 'calcolo base'!$A:$A, 0))</f>
        <v>#N/A</v>
      </c>
      <c r="H1060" s="54" t="e">
        <f t="shared" si="198"/>
        <v>#N/A</v>
      </c>
      <c r="I1060" s="259" t="e">
        <f>IF(  OR(      INDEX('calcolo base'!$D:$D, MATCH($A1060, 'calcolo base'!$A:$A, 0)) = 0,
      INDEX('calcolo base'!$D:$D, MATCH($A1060, 'calcolo base'!$A:$A, 0)) = ""   ),
   INDEX('calcolo base'!$K:$K, MATCH($A1060, 'calcolo base'!$A:$A, 0)),
   INDEX('calcolo base'!$J:$J, MATCH($A1060, 'calcolo base'!$A:$A, 0))
) / 1000</f>
        <v>#N/A</v>
      </c>
      <c r="J1060" s="50" t="e">
        <f t="shared" si="199"/>
        <v>#N/A</v>
      </c>
      <c r="K1060" s="50"/>
      <c r="L1060" s="267" t="e">
        <f>INDEX('calcolo base'!$H:$H, MATCH($A1060, 'calcolo base'!$A:$A, 0))</f>
        <v>#N/A</v>
      </c>
      <c r="M1060" s="50" t="e">
        <f t="shared" si="200"/>
        <v>#N/A</v>
      </c>
      <c r="N1060" s="50" t="e">
        <f t="shared" si="201"/>
        <v>#N/A</v>
      </c>
      <c r="O1060" s="50" t="e">
        <f t="shared" si="195"/>
        <v>#N/A</v>
      </c>
      <c r="P1060" s="50" t="e">
        <f t="shared" si="202"/>
        <v>#N/A</v>
      </c>
      <c r="Q1060" s="51" t="e">
        <f t="shared" si="203"/>
        <v>#N/A</v>
      </c>
      <c r="R1060" s="205" t="e">
        <f t="shared" si="204"/>
        <v>#N/A</v>
      </c>
      <c r="S1060" s="279" t="e">
        <f>IF(R1060="si",0,IF(E1060="si",0,IF(J1060&gt;K1060,0,+K1060-J1060)))+IF('calcolo base'!P1752="SI",('Commissioni De Angeli'!K1060-'Commissioni De Angeli'!J1060),0)</f>
        <v>#N/A</v>
      </c>
      <c r="T1060" s="117" t="e">
        <f t="shared" si="205"/>
        <v>#N/A</v>
      </c>
      <c r="U1060" s="272" t="e">
        <f>IF(Q1060=0,'calcolo base'!L3659,(T1060+Q1060))</f>
        <v>#N/A</v>
      </c>
      <c r="V1060" s="119"/>
      <c r="Z1060" s="118">
        <f t="shared" si="196"/>
        <v>0</v>
      </c>
      <c r="AA1060" s="118">
        <f t="shared" si="197"/>
        <v>0</v>
      </c>
    </row>
    <row r="1061" spans="2:27">
      <c r="B1061" s="47"/>
      <c r="C1061" s="35"/>
      <c r="D1061" s="53"/>
      <c r="E1061" s="53"/>
      <c r="F1061" s="48"/>
      <c r="G1061" s="243" t="e">
        <f>INDEX('calcolo base'!$B:$B, MATCH($A1061, 'calcolo base'!$A:$A, 0))</f>
        <v>#N/A</v>
      </c>
      <c r="H1061" s="54" t="e">
        <f t="shared" si="198"/>
        <v>#N/A</v>
      </c>
      <c r="I1061" s="259" t="e">
        <f>IF(  OR(      INDEX('calcolo base'!$D:$D, MATCH($A1061, 'calcolo base'!$A:$A, 0)) = 0,
      INDEX('calcolo base'!$D:$D, MATCH($A1061, 'calcolo base'!$A:$A, 0)) = ""   ),
   INDEX('calcolo base'!$K:$K, MATCH($A1061, 'calcolo base'!$A:$A, 0)),
   INDEX('calcolo base'!$J:$J, MATCH($A1061, 'calcolo base'!$A:$A, 0))
) / 1000</f>
        <v>#N/A</v>
      </c>
      <c r="J1061" s="50" t="e">
        <f t="shared" si="199"/>
        <v>#N/A</v>
      </c>
      <c r="K1061" s="50"/>
      <c r="L1061" s="267" t="e">
        <f>INDEX('calcolo base'!$H:$H, MATCH($A1061, 'calcolo base'!$A:$A, 0))</f>
        <v>#N/A</v>
      </c>
      <c r="M1061" s="50" t="e">
        <f t="shared" si="200"/>
        <v>#N/A</v>
      </c>
      <c r="N1061" s="50" t="e">
        <f t="shared" si="201"/>
        <v>#N/A</v>
      </c>
      <c r="O1061" s="50" t="e">
        <f t="shared" si="195"/>
        <v>#N/A</v>
      </c>
      <c r="P1061" s="50" t="e">
        <f t="shared" si="202"/>
        <v>#N/A</v>
      </c>
      <c r="Q1061" s="51" t="e">
        <f t="shared" si="203"/>
        <v>#N/A</v>
      </c>
      <c r="R1061" s="205" t="e">
        <f t="shared" si="204"/>
        <v>#N/A</v>
      </c>
      <c r="S1061" s="279" t="e">
        <f>IF(R1061="si",0,IF(E1061="si",0,IF(J1061&gt;K1061,0,+K1061-J1061)))+IF('calcolo base'!P1753="SI",('Commissioni De Angeli'!K1061-'Commissioni De Angeli'!J1061),0)</f>
        <v>#N/A</v>
      </c>
      <c r="T1061" s="117" t="e">
        <f t="shared" si="205"/>
        <v>#N/A</v>
      </c>
      <c r="U1061" s="272" t="e">
        <f>IF(Q1061=0,'calcolo base'!L3660,(T1061+Q1061))</f>
        <v>#N/A</v>
      </c>
      <c r="V1061" s="119"/>
      <c r="Z1061" s="118">
        <f t="shared" si="196"/>
        <v>0</v>
      </c>
      <c r="AA1061" s="118">
        <f t="shared" si="197"/>
        <v>0</v>
      </c>
    </row>
    <row r="1062" spans="2:27">
      <c r="B1062" s="47"/>
      <c r="C1062" s="35"/>
      <c r="D1062" s="53"/>
      <c r="E1062" s="53"/>
      <c r="F1062" s="48"/>
      <c r="G1062" s="243" t="e">
        <f>INDEX('calcolo base'!$B:$B, MATCH($A1062, 'calcolo base'!$A:$A, 0))</f>
        <v>#N/A</v>
      </c>
      <c r="H1062" s="54" t="e">
        <f t="shared" si="198"/>
        <v>#N/A</v>
      </c>
      <c r="I1062" s="259" t="e">
        <f>IF(  OR(      INDEX('calcolo base'!$D:$D, MATCH($A1062, 'calcolo base'!$A:$A, 0)) = 0,
      INDEX('calcolo base'!$D:$D, MATCH($A1062, 'calcolo base'!$A:$A, 0)) = ""   ),
   INDEX('calcolo base'!$K:$K, MATCH($A1062, 'calcolo base'!$A:$A, 0)),
   INDEX('calcolo base'!$J:$J, MATCH($A1062, 'calcolo base'!$A:$A, 0))
) / 1000</f>
        <v>#N/A</v>
      </c>
      <c r="J1062" s="50" t="e">
        <f t="shared" si="199"/>
        <v>#N/A</v>
      </c>
      <c r="K1062" s="50"/>
      <c r="L1062" s="267" t="e">
        <f>INDEX('calcolo base'!$H:$H, MATCH($A1062, 'calcolo base'!$A:$A, 0))</f>
        <v>#N/A</v>
      </c>
      <c r="M1062" s="50" t="e">
        <f t="shared" si="200"/>
        <v>#N/A</v>
      </c>
      <c r="N1062" s="50" t="e">
        <f t="shared" si="201"/>
        <v>#N/A</v>
      </c>
      <c r="O1062" s="50" t="e">
        <f t="shared" si="195"/>
        <v>#N/A</v>
      </c>
      <c r="P1062" s="50" t="e">
        <f t="shared" si="202"/>
        <v>#N/A</v>
      </c>
      <c r="Q1062" s="51" t="e">
        <f t="shared" si="203"/>
        <v>#N/A</v>
      </c>
      <c r="R1062" s="205" t="e">
        <f t="shared" si="204"/>
        <v>#N/A</v>
      </c>
      <c r="S1062" s="279" t="e">
        <f>IF(R1062="si",0,IF(E1062="si",0,IF(J1062&gt;K1062,0,+K1062-J1062)))+IF('calcolo base'!P1754="SI",('Commissioni De Angeli'!K1062-'Commissioni De Angeli'!J1062),0)</f>
        <v>#N/A</v>
      </c>
      <c r="T1062" s="117" t="e">
        <f t="shared" si="205"/>
        <v>#N/A</v>
      </c>
      <c r="U1062" s="272" t="e">
        <f>IF(Q1062=0,'calcolo base'!L3661,(T1062+Q1062))</f>
        <v>#N/A</v>
      </c>
      <c r="V1062" s="119"/>
      <c r="Z1062" s="118">
        <f t="shared" si="196"/>
        <v>0</v>
      </c>
      <c r="AA1062" s="118">
        <f t="shared" si="197"/>
        <v>0</v>
      </c>
    </row>
    <row r="1063" spans="2:27">
      <c r="B1063" s="47"/>
      <c r="C1063" s="35"/>
      <c r="D1063" s="53"/>
      <c r="E1063" s="53"/>
      <c r="F1063" s="48"/>
      <c r="G1063" s="243" t="e">
        <f>INDEX('calcolo base'!$B:$B, MATCH($A1063, 'calcolo base'!$A:$A, 0))</f>
        <v>#N/A</v>
      </c>
      <c r="H1063" s="54" t="e">
        <f t="shared" si="198"/>
        <v>#N/A</v>
      </c>
      <c r="I1063" s="259" t="e">
        <f>IF(  OR(      INDEX('calcolo base'!$D:$D, MATCH($A1063, 'calcolo base'!$A:$A, 0)) = 0,
      INDEX('calcolo base'!$D:$D, MATCH($A1063, 'calcolo base'!$A:$A, 0)) = ""   ),
   INDEX('calcolo base'!$K:$K, MATCH($A1063, 'calcolo base'!$A:$A, 0)),
   INDEX('calcolo base'!$J:$J, MATCH($A1063, 'calcolo base'!$A:$A, 0))
) / 1000</f>
        <v>#N/A</v>
      </c>
      <c r="J1063" s="50" t="e">
        <f t="shared" si="199"/>
        <v>#N/A</v>
      </c>
      <c r="K1063" s="50"/>
      <c r="L1063" s="267" t="e">
        <f>INDEX('calcolo base'!$H:$H, MATCH($A1063, 'calcolo base'!$A:$A, 0))</f>
        <v>#N/A</v>
      </c>
      <c r="M1063" s="50" t="e">
        <f t="shared" si="200"/>
        <v>#N/A</v>
      </c>
      <c r="N1063" s="50" t="e">
        <f t="shared" si="201"/>
        <v>#N/A</v>
      </c>
      <c r="O1063" s="50" t="e">
        <f t="shared" si="195"/>
        <v>#N/A</v>
      </c>
      <c r="P1063" s="50" t="e">
        <f t="shared" si="202"/>
        <v>#N/A</v>
      </c>
      <c r="Q1063" s="51" t="e">
        <f t="shared" si="203"/>
        <v>#N/A</v>
      </c>
      <c r="R1063" s="205" t="e">
        <f t="shared" si="204"/>
        <v>#N/A</v>
      </c>
      <c r="S1063" s="279" t="e">
        <f>IF(R1063="si",0,IF(E1063="si",0,IF(J1063&gt;K1063,0,+K1063-J1063)))+IF('calcolo base'!P1755="SI",('Commissioni De Angeli'!K1063-'Commissioni De Angeli'!J1063),0)</f>
        <v>#N/A</v>
      </c>
      <c r="T1063" s="117" t="e">
        <f t="shared" si="205"/>
        <v>#N/A</v>
      </c>
      <c r="U1063" s="272" t="e">
        <f>IF(Q1063=0,'calcolo base'!L3662,(T1063+Q1063))</f>
        <v>#N/A</v>
      </c>
      <c r="V1063" s="119"/>
      <c r="Z1063" s="118">
        <f t="shared" si="196"/>
        <v>0</v>
      </c>
      <c r="AA1063" s="118">
        <f t="shared" si="197"/>
        <v>0</v>
      </c>
    </row>
    <row r="1064" spans="2:27">
      <c r="B1064" s="47"/>
      <c r="C1064" s="35"/>
      <c r="D1064" s="53"/>
      <c r="E1064" s="53"/>
      <c r="F1064" s="48"/>
      <c r="G1064" s="243" t="e">
        <f>INDEX('calcolo base'!$B:$B, MATCH($A1064, 'calcolo base'!$A:$A, 0))</f>
        <v>#N/A</v>
      </c>
      <c r="H1064" s="54" t="e">
        <f t="shared" si="198"/>
        <v>#N/A</v>
      </c>
      <c r="I1064" s="259" t="e">
        <f>IF(  OR(      INDEX('calcolo base'!$D:$D, MATCH($A1064, 'calcolo base'!$A:$A, 0)) = 0,
      INDEX('calcolo base'!$D:$D, MATCH($A1064, 'calcolo base'!$A:$A, 0)) = ""   ),
   INDEX('calcolo base'!$K:$K, MATCH($A1064, 'calcolo base'!$A:$A, 0)),
   INDEX('calcolo base'!$J:$J, MATCH($A1064, 'calcolo base'!$A:$A, 0))
) / 1000</f>
        <v>#N/A</v>
      </c>
      <c r="J1064" s="50" t="e">
        <f t="shared" si="199"/>
        <v>#N/A</v>
      </c>
      <c r="K1064" s="50"/>
      <c r="L1064" s="267" t="e">
        <f>INDEX('calcolo base'!$H:$H, MATCH($A1064, 'calcolo base'!$A:$A, 0))</f>
        <v>#N/A</v>
      </c>
      <c r="M1064" s="50" t="e">
        <f t="shared" si="200"/>
        <v>#N/A</v>
      </c>
      <c r="N1064" s="50" t="e">
        <f t="shared" si="201"/>
        <v>#N/A</v>
      </c>
      <c r="O1064" s="50" t="e">
        <f t="shared" si="195"/>
        <v>#N/A</v>
      </c>
      <c r="P1064" s="50" t="e">
        <f t="shared" si="202"/>
        <v>#N/A</v>
      </c>
      <c r="Q1064" s="51" t="e">
        <f t="shared" si="203"/>
        <v>#N/A</v>
      </c>
      <c r="R1064" s="205" t="e">
        <f t="shared" si="204"/>
        <v>#N/A</v>
      </c>
      <c r="S1064" s="279" t="e">
        <f>IF(R1064="si",0,IF(E1064="si",0,IF(J1064&gt;K1064,0,+K1064-J1064)))+IF('calcolo base'!P1756="SI",('Commissioni De Angeli'!K1064-'Commissioni De Angeli'!J1064),0)</f>
        <v>#N/A</v>
      </c>
      <c r="T1064" s="117" t="e">
        <f t="shared" si="205"/>
        <v>#N/A</v>
      </c>
      <c r="U1064" s="272" t="e">
        <f>IF(Q1064=0,'calcolo base'!L3663,(T1064+Q1064))</f>
        <v>#N/A</v>
      </c>
      <c r="V1064" s="119"/>
      <c r="Z1064" s="118">
        <f t="shared" si="196"/>
        <v>0</v>
      </c>
      <c r="AA1064" s="118">
        <f t="shared" si="197"/>
        <v>0</v>
      </c>
    </row>
    <row r="1065" spans="2:27">
      <c r="B1065" s="47"/>
      <c r="C1065" s="35"/>
      <c r="D1065" s="53"/>
      <c r="E1065" s="53"/>
      <c r="F1065" s="48"/>
      <c r="G1065" s="243" t="e">
        <f>INDEX('calcolo base'!$B:$B, MATCH($A1065, 'calcolo base'!$A:$A, 0))</f>
        <v>#N/A</v>
      </c>
      <c r="H1065" s="54" t="e">
        <f t="shared" si="198"/>
        <v>#N/A</v>
      </c>
      <c r="I1065" s="259" t="e">
        <f>IF(  OR(      INDEX('calcolo base'!$D:$D, MATCH($A1065, 'calcolo base'!$A:$A, 0)) = 0,
      INDEX('calcolo base'!$D:$D, MATCH($A1065, 'calcolo base'!$A:$A, 0)) = ""   ),
   INDEX('calcolo base'!$K:$K, MATCH($A1065, 'calcolo base'!$A:$A, 0)),
   INDEX('calcolo base'!$J:$J, MATCH($A1065, 'calcolo base'!$A:$A, 0))
) / 1000</f>
        <v>#N/A</v>
      </c>
      <c r="J1065" s="50" t="e">
        <f t="shared" si="199"/>
        <v>#N/A</v>
      </c>
      <c r="K1065" s="50"/>
      <c r="L1065" s="267" t="e">
        <f>INDEX('calcolo base'!$H:$H, MATCH($A1065, 'calcolo base'!$A:$A, 0))</f>
        <v>#N/A</v>
      </c>
      <c r="M1065" s="50" t="e">
        <f t="shared" si="200"/>
        <v>#N/A</v>
      </c>
      <c r="N1065" s="50" t="e">
        <f t="shared" si="201"/>
        <v>#N/A</v>
      </c>
      <c r="O1065" s="50" t="e">
        <f t="shared" si="195"/>
        <v>#N/A</v>
      </c>
      <c r="P1065" s="50" t="e">
        <f t="shared" si="202"/>
        <v>#N/A</v>
      </c>
      <c r="Q1065" s="51" t="e">
        <f t="shared" si="203"/>
        <v>#N/A</v>
      </c>
      <c r="R1065" s="205" t="e">
        <f t="shared" si="204"/>
        <v>#N/A</v>
      </c>
      <c r="S1065" s="279" t="e">
        <f>IF(R1065="si",0,IF(E1065="si",0,IF(J1065&gt;K1065,0,+K1065-J1065)))+IF('calcolo base'!P1757="SI",('Commissioni De Angeli'!K1065-'Commissioni De Angeli'!J1065),0)</f>
        <v>#N/A</v>
      </c>
      <c r="T1065" s="117" t="e">
        <f t="shared" si="205"/>
        <v>#N/A</v>
      </c>
      <c r="U1065" s="272" t="e">
        <f>IF(Q1065=0,'calcolo base'!L3664,(T1065+Q1065))</f>
        <v>#N/A</v>
      </c>
      <c r="V1065" s="119"/>
      <c r="Z1065" s="118">
        <f t="shared" si="196"/>
        <v>0</v>
      </c>
      <c r="AA1065" s="118">
        <f t="shared" si="197"/>
        <v>0</v>
      </c>
    </row>
    <row r="1066" spans="2:27">
      <c r="B1066" s="47"/>
      <c r="C1066" s="35"/>
      <c r="D1066" s="53"/>
      <c r="E1066" s="53"/>
      <c r="F1066" s="48"/>
      <c r="G1066" s="243" t="e">
        <f>INDEX('calcolo base'!$B:$B, MATCH($A1066, 'calcolo base'!$A:$A, 0))</f>
        <v>#N/A</v>
      </c>
      <c r="H1066" s="54" t="e">
        <f t="shared" si="198"/>
        <v>#N/A</v>
      </c>
      <c r="I1066" s="259" t="e">
        <f>IF(  OR(      INDEX('calcolo base'!$D:$D, MATCH($A1066, 'calcolo base'!$A:$A, 0)) = 0,
      INDEX('calcolo base'!$D:$D, MATCH($A1066, 'calcolo base'!$A:$A, 0)) = ""   ),
   INDEX('calcolo base'!$K:$K, MATCH($A1066, 'calcolo base'!$A:$A, 0)),
   INDEX('calcolo base'!$J:$J, MATCH($A1066, 'calcolo base'!$A:$A, 0))
) / 1000</f>
        <v>#N/A</v>
      </c>
      <c r="J1066" s="50" t="e">
        <f t="shared" si="199"/>
        <v>#N/A</v>
      </c>
      <c r="K1066" s="50"/>
      <c r="L1066" s="267" t="e">
        <f>INDEX('calcolo base'!$H:$H, MATCH($A1066, 'calcolo base'!$A:$A, 0))</f>
        <v>#N/A</v>
      </c>
      <c r="M1066" s="50" t="e">
        <f t="shared" si="200"/>
        <v>#N/A</v>
      </c>
      <c r="N1066" s="50" t="e">
        <f t="shared" si="201"/>
        <v>#N/A</v>
      </c>
      <c r="O1066" s="50" t="e">
        <f t="shared" si="195"/>
        <v>#N/A</v>
      </c>
      <c r="P1066" s="50" t="e">
        <f t="shared" si="202"/>
        <v>#N/A</v>
      </c>
      <c r="Q1066" s="51" t="e">
        <f t="shared" si="203"/>
        <v>#N/A</v>
      </c>
      <c r="R1066" s="205" t="e">
        <f t="shared" si="204"/>
        <v>#N/A</v>
      </c>
      <c r="S1066" s="279" t="e">
        <f>IF(R1066="si",0,IF(E1066="si",0,IF(J1066&gt;K1066,0,+K1066-J1066)))+IF('calcolo base'!P1758="SI",('Commissioni De Angeli'!K1066-'Commissioni De Angeli'!J1066),0)</f>
        <v>#N/A</v>
      </c>
      <c r="T1066" s="117" t="e">
        <f t="shared" si="205"/>
        <v>#N/A</v>
      </c>
      <c r="U1066" s="272" t="e">
        <f>IF(Q1066=0,'calcolo base'!L3665,(T1066+Q1066))</f>
        <v>#N/A</v>
      </c>
      <c r="V1066" s="119"/>
      <c r="Z1066" s="118">
        <f t="shared" si="196"/>
        <v>0</v>
      </c>
      <c r="AA1066" s="118">
        <f t="shared" si="197"/>
        <v>0</v>
      </c>
    </row>
    <row r="1067" spans="2:27">
      <c r="B1067" s="47"/>
      <c r="C1067" s="35"/>
      <c r="D1067" s="53"/>
      <c r="E1067" s="53"/>
      <c r="F1067" s="48"/>
      <c r="G1067" s="243" t="e">
        <f>INDEX('calcolo base'!$B:$B, MATCH($A1067, 'calcolo base'!$A:$A, 0))</f>
        <v>#N/A</v>
      </c>
      <c r="H1067" s="54" t="e">
        <f t="shared" si="198"/>
        <v>#N/A</v>
      </c>
      <c r="I1067" s="259" t="e">
        <f>IF(  OR(      INDEX('calcolo base'!$D:$D, MATCH($A1067, 'calcolo base'!$A:$A, 0)) = 0,
      INDEX('calcolo base'!$D:$D, MATCH($A1067, 'calcolo base'!$A:$A, 0)) = ""   ),
   INDEX('calcolo base'!$K:$K, MATCH($A1067, 'calcolo base'!$A:$A, 0)),
   INDEX('calcolo base'!$J:$J, MATCH($A1067, 'calcolo base'!$A:$A, 0))
) / 1000</f>
        <v>#N/A</v>
      </c>
      <c r="J1067" s="50" t="e">
        <f t="shared" si="199"/>
        <v>#N/A</v>
      </c>
      <c r="K1067" s="50"/>
      <c r="L1067" s="267" t="e">
        <f>INDEX('calcolo base'!$H:$H, MATCH($A1067, 'calcolo base'!$A:$A, 0))</f>
        <v>#N/A</v>
      </c>
      <c r="M1067" s="50" t="e">
        <f t="shared" si="200"/>
        <v>#N/A</v>
      </c>
      <c r="N1067" s="50" t="e">
        <f t="shared" si="201"/>
        <v>#N/A</v>
      </c>
      <c r="O1067" s="50" t="e">
        <f t="shared" si="195"/>
        <v>#N/A</v>
      </c>
      <c r="P1067" s="50" t="e">
        <f t="shared" si="202"/>
        <v>#N/A</v>
      </c>
      <c r="Q1067" s="51" t="e">
        <f t="shared" si="203"/>
        <v>#N/A</v>
      </c>
      <c r="R1067" s="205" t="e">
        <f t="shared" si="204"/>
        <v>#N/A</v>
      </c>
      <c r="S1067" s="279" t="e">
        <f>IF(R1067="si",0,IF(E1067="si",0,IF(J1067&gt;K1067,0,+K1067-J1067)))+IF('calcolo base'!P1759="SI",('Commissioni De Angeli'!K1067-'Commissioni De Angeli'!J1067),0)</f>
        <v>#N/A</v>
      </c>
      <c r="T1067" s="117" t="e">
        <f t="shared" si="205"/>
        <v>#N/A</v>
      </c>
      <c r="U1067" s="272" t="e">
        <f>IF(Q1067=0,'calcolo base'!L3666,(T1067+Q1067))</f>
        <v>#N/A</v>
      </c>
      <c r="V1067" s="119"/>
      <c r="Z1067" s="118">
        <f t="shared" si="196"/>
        <v>0</v>
      </c>
      <c r="AA1067" s="118">
        <f t="shared" si="197"/>
        <v>0</v>
      </c>
    </row>
    <row r="1068" spans="2:27">
      <c r="B1068" s="47"/>
      <c r="C1068" s="35"/>
      <c r="D1068" s="53"/>
      <c r="E1068" s="53"/>
      <c r="F1068" s="48"/>
      <c r="G1068" s="243" t="e">
        <f>INDEX('calcolo base'!$B:$B, MATCH($A1068, 'calcolo base'!$A:$A, 0))</f>
        <v>#N/A</v>
      </c>
      <c r="H1068" s="54" t="e">
        <f t="shared" si="198"/>
        <v>#N/A</v>
      </c>
      <c r="I1068" s="259" t="e">
        <f>IF(  OR(      INDEX('calcolo base'!$D:$D, MATCH($A1068, 'calcolo base'!$A:$A, 0)) = 0,
      INDEX('calcolo base'!$D:$D, MATCH($A1068, 'calcolo base'!$A:$A, 0)) = ""   ),
   INDEX('calcolo base'!$K:$K, MATCH($A1068, 'calcolo base'!$A:$A, 0)),
   INDEX('calcolo base'!$J:$J, MATCH($A1068, 'calcolo base'!$A:$A, 0))
) / 1000</f>
        <v>#N/A</v>
      </c>
      <c r="J1068" s="50" t="e">
        <f t="shared" si="199"/>
        <v>#N/A</v>
      </c>
      <c r="K1068" s="50"/>
      <c r="L1068" s="267" t="e">
        <f>INDEX('calcolo base'!$H:$H, MATCH($A1068, 'calcolo base'!$A:$A, 0))</f>
        <v>#N/A</v>
      </c>
      <c r="M1068" s="50" t="e">
        <f t="shared" si="200"/>
        <v>#N/A</v>
      </c>
      <c r="N1068" s="50" t="e">
        <f t="shared" si="201"/>
        <v>#N/A</v>
      </c>
      <c r="O1068" s="50" t="e">
        <f t="shared" si="195"/>
        <v>#N/A</v>
      </c>
      <c r="P1068" s="50" t="e">
        <f t="shared" si="202"/>
        <v>#N/A</v>
      </c>
      <c r="Q1068" s="51" t="e">
        <f t="shared" si="203"/>
        <v>#N/A</v>
      </c>
      <c r="R1068" s="205" t="e">
        <f t="shared" si="204"/>
        <v>#N/A</v>
      </c>
      <c r="S1068" s="279" t="e">
        <f>IF(R1068="si",0,IF(E1068="si",0,IF(J1068&gt;K1068,0,+K1068-J1068)))+IF('calcolo base'!P1760="SI",('Commissioni De Angeli'!K1068-'Commissioni De Angeli'!J1068),0)</f>
        <v>#N/A</v>
      </c>
      <c r="T1068" s="117" t="e">
        <f t="shared" si="205"/>
        <v>#N/A</v>
      </c>
      <c r="U1068" s="272" t="e">
        <f>IF(Q1068=0,'calcolo base'!L3667,(T1068+Q1068))</f>
        <v>#N/A</v>
      </c>
      <c r="V1068" s="119"/>
      <c r="Z1068" s="118">
        <f t="shared" si="196"/>
        <v>0</v>
      </c>
      <c r="AA1068" s="118">
        <f t="shared" si="197"/>
        <v>0</v>
      </c>
    </row>
    <row r="1069" spans="2:27">
      <c r="B1069" s="47"/>
      <c r="C1069" s="35"/>
      <c r="D1069" s="53"/>
      <c r="E1069" s="53"/>
      <c r="F1069" s="48"/>
      <c r="G1069" s="243" t="e">
        <f>INDEX('calcolo base'!$B:$B, MATCH($A1069, 'calcolo base'!$A:$A, 0))</f>
        <v>#N/A</v>
      </c>
      <c r="H1069" s="54" t="e">
        <f t="shared" si="198"/>
        <v>#N/A</v>
      </c>
      <c r="I1069" s="259" t="e">
        <f>IF(  OR(      INDEX('calcolo base'!$D:$D, MATCH($A1069, 'calcolo base'!$A:$A, 0)) = 0,
      INDEX('calcolo base'!$D:$D, MATCH($A1069, 'calcolo base'!$A:$A, 0)) = ""   ),
   INDEX('calcolo base'!$K:$K, MATCH($A1069, 'calcolo base'!$A:$A, 0)),
   INDEX('calcolo base'!$J:$J, MATCH($A1069, 'calcolo base'!$A:$A, 0))
) / 1000</f>
        <v>#N/A</v>
      </c>
      <c r="J1069" s="50" t="e">
        <f t="shared" si="199"/>
        <v>#N/A</v>
      </c>
      <c r="K1069" s="50"/>
      <c r="L1069" s="267" t="e">
        <f>INDEX('calcolo base'!$H:$H, MATCH($A1069, 'calcolo base'!$A:$A, 0))</f>
        <v>#N/A</v>
      </c>
      <c r="M1069" s="50" t="e">
        <f t="shared" si="200"/>
        <v>#N/A</v>
      </c>
      <c r="N1069" s="50" t="e">
        <f t="shared" si="201"/>
        <v>#N/A</v>
      </c>
      <c r="O1069" s="50" t="e">
        <f t="shared" ref="O1069:O1132" si="206">IF($I1069=0,0,(IF($G1069="alluminio",($J1069)*3%,0)+IF($G1069="alluminio smaltato",($K1069)*3%,0)))</f>
        <v>#N/A</v>
      </c>
      <c r="P1069" s="50" t="e">
        <f t="shared" si="202"/>
        <v>#N/A</v>
      </c>
      <c r="Q1069" s="51" t="e">
        <f t="shared" si="203"/>
        <v>#N/A</v>
      </c>
      <c r="R1069" s="205" t="e">
        <f t="shared" si="204"/>
        <v>#N/A</v>
      </c>
      <c r="S1069" s="279" t="e">
        <f>IF(R1069="si",0,IF(E1069="si",0,IF(J1069&gt;K1069,0,+K1069-J1069)))+IF('calcolo base'!P1761="SI",('Commissioni De Angeli'!K1069-'Commissioni De Angeli'!J1069),0)</f>
        <v>#N/A</v>
      </c>
      <c r="T1069" s="117" t="e">
        <f t="shared" si="205"/>
        <v>#N/A</v>
      </c>
      <c r="U1069" s="272" t="e">
        <f>IF(Q1069=0,'calcolo base'!L3668,(T1069+Q1069))</f>
        <v>#N/A</v>
      </c>
      <c r="V1069" s="119"/>
      <c r="Z1069" s="118">
        <f t="shared" si="196"/>
        <v>0</v>
      </c>
      <c r="AA1069" s="118">
        <f t="shared" si="197"/>
        <v>0</v>
      </c>
    </row>
    <row r="1070" spans="2:27">
      <c r="B1070" s="47"/>
      <c r="C1070" s="35"/>
      <c r="D1070" s="53"/>
      <c r="E1070" s="53"/>
      <c r="F1070" s="48"/>
      <c r="G1070" s="243" t="e">
        <f>INDEX('calcolo base'!$B:$B, MATCH($A1070, 'calcolo base'!$A:$A, 0))</f>
        <v>#N/A</v>
      </c>
      <c r="H1070" s="54" t="e">
        <f t="shared" si="198"/>
        <v>#N/A</v>
      </c>
      <c r="I1070" s="259" t="e">
        <f>IF(  OR(      INDEX('calcolo base'!$D:$D, MATCH($A1070, 'calcolo base'!$A:$A, 0)) = 0,
      INDEX('calcolo base'!$D:$D, MATCH($A1070, 'calcolo base'!$A:$A, 0)) = ""   ),
   INDEX('calcolo base'!$K:$K, MATCH($A1070, 'calcolo base'!$A:$A, 0)),
   INDEX('calcolo base'!$J:$J, MATCH($A1070, 'calcolo base'!$A:$A, 0))
) / 1000</f>
        <v>#N/A</v>
      </c>
      <c r="J1070" s="50" t="e">
        <f t="shared" si="199"/>
        <v>#N/A</v>
      </c>
      <c r="K1070" s="50"/>
      <c r="L1070" s="267" t="e">
        <f>INDEX('calcolo base'!$H:$H, MATCH($A1070, 'calcolo base'!$A:$A, 0))</f>
        <v>#N/A</v>
      </c>
      <c r="M1070" s="50" t="e">
        <f t="shared" si="200"/>
        <v>#N/A</v>
      </c>
      <c r="N1070" s="50" t="e">
        <f t="shared" si="201"/>
        <v>#N/A</v>
      </c>
      <c r="O1070" s="50" t="e">
        <f t="shared" si="206"/>
        <v>#N/A</v>
      </c>
      <c r="P1070" s="50" t="e">
        <f t="shared" si="202"/>
        <v>#N/A</v>
      </c>
      <c r="Q1070" s="51" t="e">
        <f t="shared" si="203"/>
        <v>#N/A</v>
      </c>
      <c r="R1070" s="205" t="e">
        <f t="shared" si="204"/>
        <v>#N/A</v>
      </c>
      <c r="S1070" s="279" t="e">
        <f>IF(R1070="si",0,IF(E1070="si",0,IF(J1070&gt;K1070,0,+K1070-J1070)))+IF('calcolo base'!P1762="SI",('Commissioni De Angeli'!K1070-'Commissioni De Angeli'!J1070),0)</f>
        <v>#N/A</v>
      </c>
      <c r="T1070" s="117" t="e">
        <f t="shared" si="205"/>
        <v>#N/A</v>
      </c>
      <c r="U1070" s="272" t="e">
        <f>IF(Q1070=0,'calcolo base'!L3669,(T1070+Q1070))</f>
        <v>#N/A</v>
      </c>
      <c r="V1070" s="119"/>
      <c r="Z1070" s="118">
        <f t="shared" si="196"/>
        <v>0</v>
      </c>
      <c r="AA1070" s="118">
        <f t="shared" si="197"/>
        <v>0</v>
      </c>
    </row>
    <row r="1071" spans="2:27">
      <c r="B1071" s="47"/>
      <c r="C1071" s="35"/>
      <c r="D1071" s="53"/>
      <c r="E1071" s="53"/>
      <c r="F1071" s="48"/>
      <c r="G1071" s="243" t="e">
        <f>INDEX('calcolo base'!$B:$B, MATCH($A1071, 'calcolo base'!$A:$A, 0))</f>
        <v>#N/A</v>
      </c>
      <c r="H1071" s="54" t="e">
        <f t="shared" si="198"/>
        <v>#N/A</v>
      </c>
      <c r="I1071" s="259" t="e">
        <f>IF(  OR(      INDEX('calcolo base'!$D:$D, MATCH($A1071, 'calcolo base'!$A:$A, 0)) = 0,
      INDEX('calcolo base'!$D:$D, MATCH($A1071, 'calcolo base'!$A:$A, 0)) = ""   ),
   INDEX('calcolo base'!$K:$K, MATCH($A1071, 'calcolo base'!$A:$A, 0)),
   INDEX('calcolo base'!$J:$J, MATCH($A1071, 'calcolo base'!$A:$A, 0))
) / 1000</f>
        <v>#N/A</v>
      </c>
      <c r="J1071" s="50" t="e">
        <f t="shared" si="199"/>
        <v>#N/A</v>
      </c>
      <c r="K1071" s="50"/>
      <c r="L1071" s="267" t="e">
        <f>INDEX('calcolo base'!$H:$H, MATCH($A1071, 'calcolo base'!$A:$A, 0))</f>
        <v>#N/A</v>
      </c>
      <c r="M1071" s="50" t="e">
        <f t="shared" si="200"/>
        <v>#N/A</v>
      </c>
      <c r="N1071" s="50" t="e">
        <f t="shared" si="201"/>
        <v>#N/A</v>
      </c>
      <c r="O1071" s="50" t="e">
        <f t="shared" si="206"/>
        <v>#N/A</v>
      </c>
      <c r="P1071" s="50" t="e">
        <f t="shared" si="202"/>
        <v>#N/A</v>
      </c>
      <c r="Q1071" s="51" t="e">
        <f t="shared" si="203"/>
        <v>#N/A</v>
      </c>
      <c r="R1071" s="205" t="e">
        <f t="shared" si="204"/>
        <v>#N/A</v>
      </c>
      <c r="S1071" s="279" t="e">
        <f>IF(R1071="si",0,IF(E1071="si",0,IF(J1071&gt;K1071,0,+K1071-J1071)))+IF('calcolo base'!P1763="SI",('Commissioni De Angeli'!K1071-'Commissioni De Angeli'!J1071),0)</f>
        <v>#N/A</v>
      </c>
      <c r="T1071" s="117" t="e">
        <f t="shared" si="205"/>
        <v>#N/A</v>
      </c>
      <c r="U1071" s="272" t="e">
        <f>IF(Q1071=0,'calcolo base'!L3670,(T1071+Q1071))</f>
        <v>#N/A</v>
      </c>
      <c r="V1071" s="119"/>
      <c r="Z1071" s="118">
        <f t="shared" si="196"/>
        <v>0</v>
      </c>
      <c r="AA1071" s="118">
        <f t="shared" si="197"/>
        <v>0</v>
      </c>
    </row>
    <row r="1072" spans="2:27">
      <c r="B1072" s="47"/>
      <c r="C1072" s="35"/>
      <c r="D1072" s="53"/>
      <c r="E1072" s="53"/>
      <c r="F1072" s="48"/>
      <c r="G1072" s="243" t="e">
        <f>INDEX('calcolo base'!$B:$B, MATCH($A1072, 'calcolo base'!$A:$A, 0))</f>
        <v>#N/A</v>
      </c>
      <c r="H1072" s="54" t="e">
        <f t="shared" si="198"/>
        <v>#N/A</v>
      </c>
      <c r="I1072" s="259" t="e">
        <f>IF(  OR(      INDEX('calcolo base'!$D:$D, MATCH($A1072, 'calcolo base'!$A:$A, 0)) = 0,
      INDEX('calcolo base'!$D:$D, MATCH($A1072, 'calcolo base'!$A:$A, 0)) = ""   ),
   INDEX('calcolo base'!$K:$K, MATCH($A1072, 'calcolo base'!$A:$A, 0)),
   INDEX('calcolo base'!$J:$J, MATCH($A1072, 'calcolo base'!$A:$A, 0))
) / 1000</f>
        <v>#N/A</v>
      </c>
      <c r="J1072" s="50" t="e">
        <f t="shared" si="199"/>
        <v>#N/A</v>
      </c>
      <c r="K1072" s="50"/>
      <c r="L1072" s="267" t="e">
        <f>INDEX('calcolo base'!$H:$H, MATCH($A1072, 'calcolo base'!$A:$A, 0))</f>
        <v>#N/A</v>
      </c>
      <c r="M1072" s="50" t="e">
        <f t="shared" si="200"/>
        <v>#N/A</v>
      </c>
      <c r="N1072" s="50" t="e">
        <f t="shared" si="201"/>
        <v>#N/A</v>
      </c>
      <c r="O1072" s="50" t="e">
        <f t="shared" si="206"/>
        <v>#N/A</v>
      </c>
      <c r="P1072" s="50" t="e">
        <f t="shared" si="202"/>
        <v>#N/A</v>
      </c>
      <c r="Q1072" s="51" t="e">
        <f t="shared" si="203"/>
        <v>#N/A</v>
      </c>
      <c r="R1072" s="205" t="e">
        <f t="shared" si="204"/>
        <v>#N/A</v>
      </c>
      <c r="S1072" s="279" t="e">
        <f>IF(R1072="si",0,IF(E1072="si",0,IF(J1072&gt;K1072,0,+K1072-J1072)))+IF('calcolo base'!P1764="SI",('Commissioni De Angeli'!K1072-'Commissioni De Angeli'!J1072),0)</f>
        <v>#N/A</v>
      </c>
      <c r="T1072" s="117" t="e">
        <f t="shared" si="205"/>
        <v>#N/A</v>
      </c>
      <c r="U1072" s="272" t="e">
        <f>IF(Q1072=0,'calcolo base'!L3671,(T1072+Q1072))</f>
        <v>#N/A</v>
      </c>
      <c r="V1072" s="119"/>
      <c r="Z1072" s="118">
        <f t="shared" si="196"/>
        <v>0</v>
      </c>
      <c r="AA1072" s="118">
        <f t="shared" si="197"/>
        <v>0</v>
      </c>
    </row>
    <row r="1073" spans="2:27">
      <c r="B1073" s="47"/>
      <c r="C1073" s="35"/>
      <c r="D1073" s="53"/>
      <c r="E1073" s="53"/>
      <c r="F1073" s="48"/>
      <c r="G1073" s="243" t="e">
        <f>INDEX('calcolo base'!$B:$B, MATCH($A1073, 'calcolo base'!$A:$A, 0))</f>
        <v>#N/A</v>
      </c>
      <c r="H1073" s="54" t="e">
        <f t="shared" si="198"/>
        <v>#N/A</v>
      </c>
      <c r="I1073" s="259" t="e">
        <f>IF(  OR(      INDEX('calcolo base'!$D:$D, MATCH($A1073, 'calcolo base'!$A:$A, 0)) = 0,
      INDEX('calcolo base'!$D:$D, MATCH($A1073, 'calcolo base'!$A:$A, 0)) = ""   ),
   INDEX('calcolo base'!$K:$K, MATCH($A1073, 'calcolo base'!$A:$A, 0)),
   INDEX('calcolo base'!$J:$J, MATCH($A1073, 'calcolo base'!$A:$A, 0))
) / 1000</f>
        <v>#N/A</v>
      </c>
      <c r="J1073" s="50" t="e">
        <f t="shared" si="199"/>
        <v>#N/A</v>
      </c>
      <c r="K1073" s="50"/>
      <c r="L1073" s="267" t="e">
        <f>INDEX('calcolo base'!$H:$H, MATCH($A1073, 'calcolo base'!$A:$A, 0))</f>
        <v>#N/A</v>
      </c>
      <c r="M1073" s="50" t="e">
        <f t="shared" si="200"/>
        <v>#N/A</v>
      </c>
      <c r="N1073" s="50" t="e">
        <f t="shared" si="201"/>
        <v>#N/A</v>
      </c>
      <c r="O1073" s="50" t="e">
        <f t="shared" si="206"/>
        <v>#N/A</v>
      </c>
      <c r="P1073" s="50" t="e">
        <f t="shared" si="202"/>
        <v>#N/A</v>
      </c>
      <c r="Q1073" s="51" t="e">
        <f t="shared" si="203"/>
        <v>#N/A</v>
      </c>
      <c r="R1073" s="205" t="e">
        <f t="shared" si="204"/>
        <v>#N/A</v>
      </c>
      <c r="S1073" s="279" t="e">
        <f>IF(R1073="si",0,IF(E1073="si",0,IF(J1073&gt;K1073,0,+K1073-J1073)))+IF('calcolo base'!P1765="SI",('Commissioni De Angeli'!K1073-'Commissioni De Angeli'!J1073),0)</f>
        <v>#N/A</v>
      </c>
      <c r="T1073" s="117" t="e">
        <f t="shared" si="205"/>
        <v>#N/A</v>
      </c>
      <c r="U1073" s="272" t="e">
        <f>IF(Q1073=0,'calcolo base'!L3672,(T1073+Q1073))</f>
        <v>#N/A</v>
      </c>
      <c r="V1073" s="119"/>
      <c r="Z1073" s="118">
        <f t="shared" si="196"/>
        <v>0</v>
      </c>
      <c r="AA1073" s="118">
        <f t="shared" si="197"/>
        <v>0</v>
      </c>
    </row>
    <row r="1074" spans="2:27">
      <c r="B1074" s="47"/>
      <c r="C1074" s="35"/>
      <c r="D1074" s="53"/>
      <c r="E1074" s="53"/>
      <c r="F1074" s="48"/>
      <c r="G1074" s="243" t="e">
        <f>INDEX('calcolo base'!$B:$B, MATCH($A1074, 'calcolo base'!$A:$A, 0))</f>
        <v>#N/A</v>
      </c>
      <c r="H1074" s="54" t="e">
        <f t="shared" si="198"/>
        <v>#N/A</v>
      </c>
      <c r="I1074" s="259" t="e">
        <f>IF(  OR(      INDEX('calcolo base'!$D:$D, MATCH($A1074, 'calcolo base'!$A:$A, 0)) = 0,
      INDEX('calcolo base'!$D:$D, MATCH($A1074, 'calcolo base'!$A:$A, 0)) = ""   ),
   INDEX('calcolo base'!$K:$K, MATCH($A1074, 'calcolo base'!$A:$A, 0)),
   INDEX('calcolo base'!$J:$J, MATCH($A1074, 'calcolo base'!$A:$A, 0))
) / 1000</f>
        <v>#N/A</v>
      </c>
      <c r="J1074" s="50" t="e">
        <f t="shared" si="199"/>
        <v>#N/A</v>
      </c>
      <c r="K1074" s="50"/>
      <c r="L1074" s="267" t="e">
        <f>INDEX('calcolo base'!$H:$H, MATCH($A1074, 'calcolo base'!$A:$A, 0))</f>
        <v>#N/A</v>
      </c>
      <c r="M1074" s="50" t="e">
        <f t="shared" si="200"/>
        <v>#N/A</v>
      </c>
      <c r="N1074" s="50" t="e">
        <f t="shared" si="201"/>
        <v>#N/A</v>
      </c>
      <c r="O1074" s="50" t="e">
        <f t="shared" si="206"/>
        <v>#N/A</v>
      </c>
      <c r="P1074" s="50" t="e">
        <f t="shared" si="202"/>
        <v>#N/A</v>
      </c>
      <c r="Q1074" s="51" t="e">
        <f t="shared" si="203"/>
        <v>#N/A</v>
      </c>
      <c r="R1074" s="205" t="e">
        <f t="shared" si="204"/>
        <v>#N/A</v>
      </c>
      <c r="S1074" s="279" t="e">
        <f>IF(R1074="si",0,IF(E1074="si",0,IF(J1074&gt;K1074,0,+K1074-J1074)))+IF('calcolo base'!P1766="SI",('Commissioni De Angeli'!K1074-'Commissioni De Angeli'!J1074),0)</f>
        <v>#N/A</v>
      </c>
      <c r="T1074" s="117" t="e">
        <f t="shared" si="205"/>
        <v>#N/A</v>
      </c>
      <c r="U1074" s="272" t="e">
        <f>IF(Q1074=0,'calcolo base'!L3673,(T1074+Q1074))</f>
        <v>#N/A</v>
      </c>
      <c r="V1074" s="119"/>
      <c r="Z1074" s="118">
        <f t="shared" si="196"/>
        <v>0</v>
      </c>
      <c r="AA1074" s="118">
        <f t="shared" si="197"/>
        <v>0</v>
      </c>
    </row>
    <row r="1075" spans="2:27">
      <c r="B1075" s="47"/>
      <c r="C1075" s="35"/>
      <c r="D1075" s="53"/>
      <c r="E1075" s="53"/>
      <c r="F1075" s="48"/>
      <c r="G1075" s="243" t="e">
        <f>INDEX('calcolo base'!$B:$B, MATCH($A1075, 'calcolo base'!$A:$A, 0))</f>
        <v>#N/A</v>
      </c>
      <c r="H1075" s="54" t="e">
        <f t="shared" si="198"/>
        <v>#N/A</v>
      </c>
      <c r="I1075" s="259" t="e">
        <f>IF(  OR(      INDEX('calcolo base'!$D:$D, MATCH($A1075, 'calcolo base'!$A:$A, 0)) = 0,
      INDEX('calcolo base'!$D:$D, MATCH($A1075, 'calcolo base'!$A:$A, 0)) = ""   ),
   INDEX('calcolo base'!$K:$K, MATCH($A1075, 'calcolo base'!$A:$A, 0)),
   INDEX('calcolo base'!$J:$J, MATCH($A1075, 'calcolo base'!$A:$A, 0))
) / 1000</f>
        <v>#N/A</v>
      </c>
      <c r="J1075" s="50" t="e">
        <f t="shared" si="199"/>
        <v>#N/A</v>
      </c>
      <c r="K1075" s="50"/>
      <c r="L1075" s="267" t="e">
        <f>INDEX('calcolo base'!$H:$H, MATCH($A1075, 'calcolo base'!$A:$A, 0))</f>
        <v>#N/A</v>
      </c>
      <c r="M1075" s="50" t="e">
        <f t="shared" si="200"/>
        <v>#N/A</v>
      </c>
      <c r="N1075" s="50" t="e">
        <f t="shared" si="201"/>
        <v>#N/A</v>
      </c>
      <c r="O1075" s="50" t="e">
        <f t="shared" si="206"/>
        <v>#N/A</v>
      </c>
      <c r="P1075" s="50" t="e">
        <f t="shared" si="202"/>
        <v>#N/A</v>
      </c>
      <c r="Q1075" s="51" t="e">
        <f t="shared" si="203"/>
        <v>#N/A</v>
      </c>
      <c r="R1075" s="205" t="e">
        <f t="shared" si="204"/>
        <v>#N/A</v>
      </c>
      <c r="S1075" s="279" t="e">
        <f>IF(R1075="si",0,IF(E1075="si",0,IF(J1075&gt;K1075,0,+K1075-J1075)))+IF('calcolo base'!P1767="SI",('Commissioni De Angeli'!K1075-'Commissioni De Angeli'!J1075),0)</f>
        <v>#N/A</v>
      </c>
      <c r="T1075" s="117" t="e">
        <f t="shared" si="205"/>
        <v>#N/A</v>
      </c>
      <c r="U1075" s="272" t="e">
        <f>IF(Q1075=0,'calcolo base'!L3674,(T1075+Q1075))</f>
        <v>#N/A</v>
      </c>
      <c r="V1075" s="119"/>
      <c r="Z1075" s="118">
        <f t="shared" si="196"/>
        <v>0</v>
      </c>
      <c r="AA1075" s="118">
        <f t="shared" si="197"/>
        <v>0</v>
      </c>
    </row>
    <row r="1076" spans="2:27">
      <c r="B1076" s="47"/>
      <c r="C1076" s="35"/>
      <c r="D1076" s="53"/>
      <c r="E1076" s="53"/>
      <c r="F1076" s="48"/>
      <c r="G1076" s="243" t="e">
        <f>INDEX('calcolo base'!$B:$B, MATCH($A1076, 'calcolo base'!$A:$A, 0))</f>
        <v>#N/A</v>
      </c>
      <c r="H1076" s="54" t="e">
        <f t="shared" si="198"/>
        <v>#N/A</v>
      </c>
      <c r="I1076" s="259" t="e">
        <f>IF(  OR(      INDEX('calcolo base'!$D:$D, MATCH($A1076, 'calcolo base'!$A:$A, 0)) = 0,
      INDEX('calcolo base'!$D:$D, MATCH($A1076, 'calcolo base'!$A:$A, 0)) = ""   ),
   INDEX('calcolo base'!$K:$K, MATCH($A1076, 'calcolo base'!$A:$A, 0)),
   INDEX('calcolo base'!$J:$J, MATCH($A1076, 'calcolo base'!$A:$A, 0))
) / 1000</f>
        <v>#N/A</v>
      </c>
      <c r="J1076" s="50" t="e">
        <f t="shared" si="199"/>
        <v>#N/A</v>
      </c>
      <c r="K1076" s="50"/>
      <c r="L1076" s="267" t="e">
        <f>INDEX('calcolo base'!$H:$H, MATCH($A1076, 'calcolo base'!$A:$A, 0))</f>
        <v>#N/A</v>
      </c>
      <c r="M1076" s="50" t="e">
        <f t="shared" si="200"/>
        <v>#N/A</v>
      </c>
      <c r="N1076" s="50" t="e">
        <f t="shared" si="201"/>
        <v>#N/A</v>
      </c>
      <c r="O1076" s="50" t="e">
        <f t="shared" si="206"/>
        <v>#N/A</v>
      </c>
      <c r="P1076" s="50" t="e">
        <f t="shared" si="202"/>
        <v>#N/A</v>
      </c>
      <c r="Q1076" s="51" t="e">
        <f t="shared" si="203"/>
        <v>#N/A</v>
      </c>
      <c r="R1076" s="205" t="e">
        <f t="shared" si="204"/>
        <v>#N/A</v>
      </c>
      <c r="S1076" s="279" t="e">
        <f>IF(R1076="si",0,IF(E1076="si",0,IF(J1076&gt;K1076,0,+K1076-J1076)))+IF('calcolo base'!P1768="SI",('Commissioni De Angeli'!K1076-'Commissioni De Angeli'!J1076),0)</f>
        <v>#N/A</v>
      </c>
      <c r="T1076" s="117" t="e">
        <f t="shared" si="205"/>
        <v>#N/A</v>
      </c>
      <c r="U1076" s="272" t="e">
        <f>IF(Q1076=0,'calcolo base'!L3675,(T1076+Q1076))</f>
        <v>#N/A</v>
      </c>
      <c r="V1076" s="119"/>
      <c r="Z1076" s="118">
        <f t="shared" si="196"/>
        <v>0</v>
      </c>
      <c r="AA1076" s="118">
        <f t="shared" si="197"/>
        <v>0</v>
      </c>
    </row>
    <row r="1077" spans="2:27">
      <c r="B1077" s="47"/>
      <c r="C1077" s="35"/>
      <c r="D1077" s="53"/>
      <c r="E1077" s="53"/>
      <c r="F1077" s="48"/>
      <c r="G1077" s="243" t="e">
        <f>INDEX('calcolo base'!$B:$B, MATCH($A1077, 'calcolo base'!$A:$A, 0))</f>
        <v>#N/A</v>
      </c>
      <c r="H1077" s="54" t="e">
        <f t="shared" si="198"/>
        <v>#N/A</v>
      </c>
      <c r="I1077" s="259" t="e">
        <f>IF(  OR(      INDEX('calcolo base'!$D:$D, MATCH($A1077, 'calcolo base'!$A:$A, 0)) = 0,
      INDEX('calcolo base'!$D:$D, MATCH($A1077, 'calcolo base'!$A:$A, 0)) = ""   ),
   INDEX('calcolo base'!$K:$K, MATCH($A1077, 'calcolo base'!$A:$A, 0)),
   INDEX('calcolo base'!$J:$J, MATCH($A1077, 'calcolo base'!$A:$A, 0))
) / 1000</f>
        <v>#N/A</v>
      </c>
      <c r="J1077" s="50" t="e">
        <f t="shared" si="199"/>
        <v>#N/A</v>
      </c>
      <c r="K1077" s="50"/>
      <c r="L1077" s="267" t="e">
        <f>INDEX('calcolo base'!$H:$H, MATCH($A1077, 'calcolo base'!$A:$A, 0))</f>
        <v>#N/A</v>
      </c>
      <c r="M1077" s="50" t="e">
        <f t="shared" si="200"/>
        <v>#N/A</v>
      </c>
      <c r="N1077" s="50" t="e">
        <f t="shared" si="201"/>
        <v>#N/A</v>
      </c>
      <c r="O1077" s="50" t="e">
        <f t="shared" si="206"/>
        <v>#N/A</v>
      </c>
      <c r="P1077" s="50" t="e">
        <f t="shared" si="202"/>
        <v>#N/A</v>
      </c>
      <c r="Q1077" s="51" t="e">
        <f t="shared" si="203"/>
        <v>#N/A</v>
      </c>
      <c r="R1077" s="205" t="e">
        <f t="shared" si="204"/>
        <v>#N/A</v>
      </c>
      <c r="S1077" s="279" t="e">
        <f>IF(R1077="si",0,IF(E1077="si",0,IF(J1077&gt;K1077,0,+K1077-J1077)))+IF('calcolo base'!P1769="SI",('Commissioni De Angeli'!K1077-'Commissioni De Angeli'!J1077),0)</f>
        <v>#N/A</v>
      </c>
      <c r="T1077" s="117" t="e">
        <f t="shared" si="205"/>
        <v>#N/A</v>
      </c>
      <c r="U1077" s="272" t="e">
        <f>IF(Q1077=0,'calcolo base'!L3676,(T1077+Q1077))</f>
        <v>#N/A</v>
      </c>
      <c r="V1077" s="119"/>
      <c r="Z1077" s="118">
        <f t="shared" si="196"/>
        <v>0</v>
      </c>
      <c r="AA1077" s="118">
        <f t="shared" si="197"/>
        <v>0</v>
      </c>
    </row>
    <row r="1078" spans="2:27">
      <c r="B1078" s="47"/>
      <c r="C1078" s="35"/>
      <c r="D1078" s="53"/>
      <c r="E1078" s="53"/>
      <c r="F1078" s="48"/>
      <c r="G1078" s="243" t="e">
        <f>INDEX('calcolo base'!$B:$B, MATCH($A1078, 'calcolo base'!$A:$A, 0))</f>
        <v>#N/A</v>
      </c>
      <c r="H1078" s="54" t="e">
        <f t="shared" si="198"/>
        <v>#N/A</v>
      </c>
      <c r="I1078" s="259" t="e">
        <f>IF(  OR(      INDEX('calcolo base'!$D:$D, MATCH($A1078, 'calcolo base'!$A:$A, 0)) = 0,
      INDEX('calcolo base'!$D:$D, MATCH($A1078, 'calcolo base'!$A:$A, 0)) = ""   ),
   INDEX('calcolo base'!$K:$K, MATCH($A1078, 'calcolo base'!$A:$A, 0)),
   INDEX('calcolo base'!$J:$J, MATCH($A1078, 'calcolo base'!$A:$A, 0))
) / 1000</f>
        <v>#N/A</v>
      </c>
      <c r="J1078" s="50" t="e">
        <f t="shared" si="199"/>
        <v>#N/A</v>
      </c>
      <c r="K1078" s="50"/>
      <c r="L1078" s="267" t="e">
        <f>INDEX('calcolo base'!$H:$H, MATCH($A1078, 'calcolo base'!$A:$A, 0))</f>
        <v>#N/A</v>
      </c>
      <c r="M1078" s="50" t="e">
        <f t="shared" si="200"/>
        <v>#N/A</v>
      </c>
      <c r="N1078" s="50" t="e">
        <f t="shared" si="201"/>
        <v>#N/A</v>
      </c>
      <c r="O1078" s="50" t="e">
        <f t="shared" si="206"/>
        <v>#N/A</v>
      </c>
      <c r="P1078" s="50" t="e">
        <f t="shared" si="202"/>
        <v>#N/A</v>
      </c>
      <c r="Q1078" s="51" t="e">
        <f t="shared" si="203"/>
        <v>#N/A</v>
      </c>
      <c r="R1078" s="205" t="e">
        <f t="shared" si="204"/>
        <v>#N/A</v>
      </c>
      <c r="S1078" s="279" t="e">
        <f>IF(R1078="si",0,IF(E1078="si",0,IF(J1078&gt;K1078,0,+K1078-J1078)))+IF('calcolo base'!P1770="SI",('Commissioni De Angeli'!K1078-'Commissioni De Angeli'!J1078),0)</f>
        <v>#N/A</v>
      </c>
      <c r="T1078" s="117" t="e">
        <f t="shared" si="205"/>
        <v>#N/A</v>
      </c>
      <c r="U1078" s="272" t="e">
        <f>IF(Q1078=0,'calcolo base'!L3677,(T1078+Q1078))</f>
        <v>#N/A</v>
      </c>
      <c r="V1078" s="119"/>
      <c r="Z1078" s="118">
        <f t="shared" si="196"/>
        <v>0</v>
      </c>
      <c r="AA1078" s="118">
        <f t="shared" si="197"/>
        <v>0</v>
      </c>
    </row>
    <row r="1079" spans="2:27">
      <c r="B1079" s="47"/>
      <c r="C1079" s="35"/>
      <c r="D1079" s="53"/>
      <c r="E1079" s="53"/>
      <c r="F1079" s="48"/>
      <c r="G1079" s="243" t="e">
        <f>INDEX('calcolo base'!$B:$B, MATCH($A1079, 'calcolo base'!$A:$A, 0))</f>
        <v>#N/A</v>
      </c>
      <c r="H1079" s="54" t="e">
        <f t="shared" si="198"/>
        <v>#N/A</v>
      </c>
      <c r="I1079" s="259" t="e">
        <f>IF(  OR(      INDEX('calcolo base'!$D:$D, MATCH($A1079, 'calcolo base'!$A:$A, 0)) = 0,
      INDEX('calcolo base'!$D:$D, MATCH($A1079, 'calcolo base'!$A:$A, 0)) = ""   ),
   INDEX('calcolo base'!$K:$K, MATCH($A1079, 'calcolo base'!$A:$A, 0)),
   INDEX('calcolo base'!$J:$J, MATCH($A1079, 'calcolo base'!$A:$A, 0))
) / 1000</f>
        <v>#N/A</v>
      </c>
      <c r="J1079" s="50" t="e">
        <f t="shared" si="199"/>
        <v>#N/A</v>
      </c>
      <c r="K1079" s="50"/>
      <c r="L1079" s="267" t="e">
        <f>INDEX('calcolo base'!$H:$H, MATCH($A1079, 'calcolo base'!$A:$A, 0))</f>
        <v>#N/A</v>
      </c>
      <c r="M1079" s="50" t="e">
        <f t="shared" si="200"/>
        <v>#N/A</v>
      </c>
      <c r="N1079" s="50" t="e">
        <f t="shared" si="201"/>
        <v>#N/A</v>
      </c>
      <c r="O1079" s="50" t="e">
        <f t="shared" si="206"/>
        <v>#N/A</v>
      </c>
      <c r="P1079" s="50" t="e">
        <f t="shared" si="202"/>
        <v>#N/A</v>
      </c>
      <c r="Q1079" s="51" t="e">
        <f t="shared" si="203"/>
        <v>#N/A</v>
      </c>
      <c r="R1079" s="205" t="e">
        <f t="shared" si="204"/>
        <v>#N/A</v>
      </c>
      <c r="S1079" s="279" t="e">
        <f>IF(R1079="si",0,IF(E1079="si",0,IF(J1079&gt;K1079,0,+K1079-J1079)))+IF('calcolo base'!P1771="SI",('Commissioni De Angeli'!K1079-'Commissioni De Angeli'!J1079),0)</f>
        <v>#N/A</v>
      </c>
      <c r="T1079" s="117" t="e">
        <f t="shared" si="205"/>
        <v>#N/A</v>
      </c>
      <c r="U1079" s="272" t="e">
        <f>IF(Q1079=0,'calcolo base'!L3678,(T1079+Q1079))</f>
        <v>#N/A</v>
      </c>
      <c r="V1079" s="119"/>
      <c r="Z1079" s="118">
        <f t="shared" si="196"/>
        <v>0</v>
      </c>
      <c r="AA1079" s="118">
        <f t="shared" si="197"/>
        <v>0</v>
      </c>
    </row>
    <row r="1080" spans="2:27">
      <c r="B1080" s="47"/>
      <c r="C1080" s="35"/>
      <c r="D1080" s="53"/>
      <c r="E1080" s="53"/>
      <c r="F1080" s="48"/>
      <c r="G1080" s="243" t="e">
        <f>INDEX('calcolo base'!$B:$B, MATCH($A1080, 'calcolo base'!$A:$A, 0))</f>
        <v>#N/A</v>
      </c>
      <c r="H1080" s="54" t="e">
        <f t="shared" si="198"/>
        <v>#N/A</v>
      </c>
      <c r="I1080" s="259" t="e">
        <f>IF(  OR(      INDEX('calcolo base'!$D:$D, MATCH($A1080, 'calcolo base'!$A:$A, 0)) = 0,
      INDEX('calcolo base'!$D:$D, MATCH($A1080, 'calcolo base'!$A:$A, 0)) = ""   ),
   INDEX('calcolo base'!$K:$K, MATCH($A1080, 'calcolo base'!$A:$A, 0)),
   INDEX('calcolo base'!$J:$J, MATCH($A1080, 'calcolo base'!$A:$A, 0))
) / 1000</f>
        <v>#N/A</v>
      </c>
      <c r="J1080" s="50" t="e">
        <f t="shared" si="199"/>
        <v>#N/A</v>
      </c>
      <c r="K1080" s="50"/>
      <c r="L1080" s="267" t="e">
        <f>INDEX('calcolo base'!$H:$H, MATCH($A1080, 'calcolo base'!$A:$A, 0))</f>
        <v>#N/A</v>
      </c>
      <c r="M1080" s="50" t="e">
        <f t="shared" si="200"/>
        <v>#N/A</v>
      </c>
      <c r="N1080" s="50" t="e">
        <f t="shared" si="201"/>
        <v>#N/A</v>
      </c>
      <c r="O1080" s="50" t="e">
        <f t="shared" si="206"/>
        <v>#N/A</v>
      </c>
      <c r="P1080" s="50" t="e">
        <f t="shared" si="202"/>
        <v>#N/A</v>
      </c>
      <c r="Q1080" s="51" t="e">
        <f t="shared" si="203"/>
        <v>#N/A</v>
      </c>
      <c r="R1080" s="205" t="e">
        <f t="shared" si="204"/>
        <v>#N/A</v>
      </c>
      <c r="S1080" s="279" t="e">
        <f>IF(R1080="si",0,IF(E1080="si",0,IF(J1080&gt;K1080,0,+K1080-J1080)))+IF('calcolo base'!P1772="SI",('Commissioni De Angeli'!K1080-'Commissioni De Angeli'!J1080),0)</f>
        <v>#N/A</v>
      </c>
      <c r="T1080" s="117" t="e">
        <f t="shared" si="205"/>
        <v>#N/A</v>
      </c>
      <c r="U1080" s="272" t="e">
        <f>IF(Q1080=0,'calcolo base'!L3679,(T1080+Q1080))</f>
        <v>#N/A</v>
      </c>
      <c r="V1080" s="119"/>
      <c r="Z1080" s="118">
        <f t="shared" si="196"/>
        <v>0</v>
      </c>
      <c r="AA1080" s="118">
        <f t="shared" si="197"/>
        <v>0</v>
      </c>
    </row>
    <row r="1081" spans="2:27">
      <c r="B1081" s="47"/>
      <c r="C1081" s="35"/>
      <c r="D1081" s="53"/>
      <c r="E1081" s="53"/>
      <c r="F1081" s="48"/>
      <c r="G1081" s="243" t="e">
        <f>INDEX('calcolo base'!$B:$B, MATCH($A1081, 'calcolo base'!$A:$A, 0))</f>
        <v>#N/A</v>
      </c>
      <c r="H1081" s="54" t="e">
        <f t="shared" si="198"/>
        <v>#N/A</v>
      </c>
      <c r="I1081" s="259" t="e">
        <f>IF(  OR(      INDEX('calcolo base'!$D:$D, MATCH($A1081, 'calcolo base'!$A:$A, 0)) = 0,
      INDEX('calcolo base'!$D:$D, MATCH($A1081, 'calcolo base'!$A:$A, 0)) = ""   ),
   INDEX('calcolo base'!$K:$K, MATCH($A1081, 'calcolo base'!$A:$A, 0)),
   INDEX('calcolo base'!$J:$J, MATCH($A1081, 'calcolo base'!$A:$A, 0))
) / 1000</f>
        <v>#N/A</v>
      </c>
      <c r="J1081" s="50" t="e">
        <f t="shared" si="199"/>
        <v>#N/A</v>
      </c>
      <c r="K1081" s="50"/>
      <c r="L1081" s="267" t="e">
        <f>INDEX('calcolo base'!$H:$H, MATCH($A1081, 'calcolo base'!$A:$A, 0))</f>
        <v>#N/A</v>
      </c>
      <c r="M1081" s="50" t="e">
        <f t="shared" si="200"/>
        <v>#N/A</v>
      </c>
      <c r="N1081" s="50" t="e">
        <f t="shared" si="201"/>
        <v>#N/A</v>
      </c>
      <c r="O1081" s="50" t="e">
        <f t="shared" si="206"/>
        <v>#N/A</v>
      </c>
      <c r="P1081" s="50" t="e">
        <f t="shared" si="202"/>
        <v>#N/A</v>
      </c>
      <c r="Q1081" s="51" t="e">
        <f t="shared" si="203"/>
        <v>#N/A</v>
      </c>
      <c r="R1081" s="205" t="e">
        <f t="shared" si="204"/>
        <v>#N/A</v>
      </c>
      <c r="S1081" s="279" t="e">
        <f>IF(R1081="si",0,IF(E1081="si",0,IF(J1081&gt;K1081,0,+K1081-J1081)))+IF('calcolo base'!P1773="SI",('Commissioni De Angeli'!K1081-'Commissioni De Angeli'!J1081),0)</f>
        <v>#N/A</v>
      </c>
      <c r="T1081" s="117" t="e">
        <f t="shared" si="205"/>
        <v>#N/A</v>
      </c>
      <c r="U1081" s="272" t="e">
        <f>IF(Q1081=0,'calcolo base'!L3680,(T1081+Q1081))</f>
        <v>#N/A</v>
      </c>
      <c r="V1081" s="119"/>
      <c r="Z1081" s="118">
        <f t="shared" si="196"/>
        <v>0</v>
      </c>
      <c r="AA1081" s="118">
        <f t="shared" si="197"/>
        <v>0</v>
      </c>
    </row>
    <row r="1082" spans="2:27">
      <c r="B1082" s="47"/>
      <c r="C1082" s="35"/>
      <c r="D1082" s="53"/>
      <c r="E1082" s="53"/>
      <c r="F1082" s="48"/>
      <c r="G1082" s="243" t="e">
        <f>INDEX('calcolo base'!$B:$B, MATCH($A1082, 'calcolo base'!$A:$A, 0))</f>
        <v>#N/A</v>
      </c>
      <c r="H1082" s="54" t="e">
        <f t="shared" si="198"/>
        <v>#N/A</v>
      </c>
      <c r="I1082" s="259" t="e">
        <f>IF(  OR(      INDEX('calcolo base'!$D:$D, MATCH($A1082, 'calcolo base'!$A:$A, 0)) = 0,
      INDEX('calcolo base'!$D:$D, MATCH($A1082, 'calcolo base'!$A:$A, 0)) = ""   ),
   INDEX('calcolo base'!$K:$K, MATCH($A1082, 'calcolo base'!$A:$A, 0)),
   INDEX('calcolo base'!$J:$J, MATCH($A1082, 'calcolo base'!$A:$A, 0))
) / 1000</f>
        <v>#N/A</v>
      </c>
      <c r="J1082" s="50" t="e">
        <f t="shared" si="199"/>
        <v>#N/A</v>
      </c>
      <c r="K1082" s="50"/>
      <c r="L1082" s="267" t="e">
        <f>INDEX('calcolo base'!$H:$H, MATCH($A1082, 'calcolo base'!$A:$A, 0))</f>
        <v>#N/A</v>
      </c>
      <c r="M1082" s="50" t="e">
        <f t="shared" si="200"/>
        <v>#N/A</v>
      </c>
      <c r="N1082" s="50" t="e">
        <f t="shared" si="201"/>
        <v>#N/A</v>
      </c>
      <c r="O1082" s="50" t="e">
        <f t="shared" si="206"/>
        <v>#N/A</v>
      </c>
      <c r="P1082" s="50" t="e">
        <f t="shared" si="202"/>
        <v>#N/A</v>
      </c>
      <c r="Q1082" s="51" t="e">
        <f t="shared" si="203"/>
        <v>#N/A</v>
      </c>
      <c r="R1082" s="205" t="e">
        <f t="shared" si="204"/>
        <v>#N/A</v>
      </c>
      <c r="S1082" s="279" t="e">
        <f>IF(R1082="si",0,IF(E1082="si",0,IF(J1082&gt;K1082,0,+K1082-J1082)))+IF('calcolo base'!P1774="SI",('Commissioni De Angeli'!K1082-'Commissioni De Angeli'!J1082),0)</f>
        <v>#N/A</v>
      </c>
      <c r="T1082" s="117" t="e">
        <f t="shared" si="205"/>
        <v>#N/A</v>
      </c>
      <c r="U1082" s="272" t="e">
        <f>IF(Q1082=0,'calcolo base'!L3681,(T1082+Q1082))</f>
        <v>#N/A</v>
      </c>
      <c r="V1082" s="119"/>
      <c r="Z1082" s="118">
        <f t="shared" si="196"/>
        <v>0</v>
      </c>
      <c r="AA1082" s="118">
        <f t="shared" si="197"/>
        <v>0</v>
      </c>
    </row>
    <row r="1083" spans="2:27">
      <c r="B1083" s="47"/>
      <c r="C1083" s="35"/>
      <c r="D1083" s="53"/>
      <c r="E1083" s="53"/>
      <c r="F1083" s="48"/>
      <c r="G1083" s="243" t="e">
        <f>INDEX('calcolo base'!$B:$B, MATCH($A1083, 'calcolo base'!$A:$A, 0))</f>
        <v>#N/A</v>
      </c>
      <c r="H1083" s="54" t="e">
        <f t="shared" si="198"/>
        <v>#N/A</v>
      </c>
      <c r="I1083" s="259" t="e">
        <f>IF(  OR(      INDEX('calcolo base'!$D:$D, MATCH($A1083, 'calcolo base'!$A:$A, 0)) = 0,
      INDEX('calcolo base'!$D:$D, MATCH($A1083, 'calcolo base'!$A:$A, 0)) = ""   ),
   INDEX('calcolo base'!$K:$K, MATCH($A1083, 'calcolo base'!$A:$A, 0)),
   INDEX('calcolo base'!$J:$J, MATCH($A1083, 'calcolo base'!$A:$A, 0))
) / 1000</f>
        <v>#N/A</v>
      </c>
      <c r="J1083" s="50" t="e">
        <f t="shared" si="199"/>
        <v>#N/A</v>
      </c>
      <c r="K1083" s="50"/>
      <c r="L1083" s="267" t="e">
        <f>INDEX('calcolo base'!$H:$H, MATCH($A1083, 'calcolo base'!$A:$A, 0))</f>
        <v>#N/A</v>
      </c>
      <c r="M1083" s="50" t="e">
        <f t="shared" si="200"/>
        <v>#N/A</v>
      </c>
      <c r="N1083" s="50" t="e">
        <f t="shared" si="201"/>
        <v>#N/A</v>
      </c>
      <c r="O1083" s="50" t="e">
        <f t="shared" si="206"/>
        <v>#N/A</v>
      </c>
      <c r="P1083" s="50" t="e">
        <f t="shared" si="202"/>
        <v>#N/A</v>
      </c>
      <c r="Q1083" s="51" t="e">
        <f t="shared" si="203"/>
        <v>#N/A</v>
      </c>
      <c r="R1083" s="205" t="e">
        <f t="shared" si="204"/>
        <v>#N/A</v>
      </c>
      <c r="S1083" s="279" t="e">
        <f>IF(R1083="si",0,IF(E1083="si",0,IF(J1083&gt;K1083,0,+K1083-J1083)))+IF('calcolo base'!P1775="SI",('Commissioni De Angeli'!K1083-'Commissioni De Angeli'!J1083),0)</f>
        <v>#N/A</v>
      </c>
      <c r="T1083" s="117" t="e">
        <f t="shared" si="205"/>
        <v>#N/A</v>
      </c>
      <c r="U1083" s="272" t="e">
        <f>IF(Q1083=0,'calcolo base'!L3682,(T1083+Q1083))</f>
        <v>#N/A</v>
      </c>
      <c r="V1083" s="119"/>
      <c r="Z1083" s="118">
        <f t="shared" si="196"/>
        <v>0</v>
      </c>
      <c r="AA1083" s="118">
        <f t="shared" si="197"/>
        <v>0</v>
      </c>
    </row>
    <row r="1084" spans="2:27">
      <c r="B1084" s="47"/>
      <c r="C1084" s="35"/>
      <c r="D1084" s="53"/>
      <c r="E1084" s="53"/>
      <c r="F1084" s="48"/>
      <c r="G1084" s="243" t="e">
        <f>INDEX('calcolo base'!$B:$B, MATCH($A1084, 'calcolo base'!$A:$A, 0))</f>
        <v>#N/A</v>
      </c>
      <c r="H1084" s="54" t="e">
        <f t="shared" si="198"/>
        <v>#N/A</v>
      </c>
      <c r="I1084" s="259" t="e">
        <f>IF(  OR(      INDEX('calcolo base'!$D:$D, MATCH($A1084, 'calcolo base'!$A:$A, 0)) = 0,
      INDEX('calcolo base'!$D:$D, MATCH($A1084, 'calcolo base'!$A:$A, 0)) = ""   ),
   INDEX('calcolo base'!$K:$K, MATCH($A1084, 'calcolo base'!$A:$A, 0)),
   INDEX('calcolo base'!$J:$J, MATCH($A1084, 'calcolo base'!$A:$A, 0))
) / 1000</f>
        <v>#N/A</v>
      </c>
      <c r="J1084" s="50" t="e">
        <f t="shared" si="199"/>
        <v>#N/A</v>
      </c>
      <c r="K1084" s="50"/>
      <c r="L1084" s="267" t="e">
        <f>INDEX('calcolo base'!$H:$H, MATCH($A1084, 'calcolo base'!$A:$A, 0))</f>
        <v>#N/A</v>
      </c>
      <c r="M1084" s="50" t="e">
        <f t="shared" si="200"/>
        <v>#N/A</v>
      </c>
      <c r="N1084" s="50" t="e">
        <f t="shared" si="201"/>
        <v>#N/A</v>
      </c>
      <c r="O1084" s="50" t="e">
        <f t="shared" si="206"/>
        <v>#N/A</v>
      </c>
      <c r="P1084" s="50" t="e">
        <f t="shared" si="202"/>
        <v>#N/A</v>
      </c>
      <c r="Q1084" s="51" t="e">
        <f t="shared" si="203"/>
        <v>#N/A</v>
      </c>
      <c r="R1084" s="205" t="e">
        <f t="shared" si="204"/>
        <v>#N/A</v>
      </c>
      <c r="S1084" s="279" t="e">
        <f>IF(R1084="si",0,IF(E1084="si",0,IF(J1084&gt;K1084,0,+K1084-J1084)))+IF('calcolo base'!P1776="SI",('Commissioni De Angeli'!K1084-'Commissioni De Angeli'!J1084),0)</f>
        <v>#N/A</v>
      </c>
      <c r="T1084" s="117" t="e">
        <f t="shared" si="205"/>
        <v>#N/A</v>
      </c>
      <c r="U1084" s="272" t="e">
        <f>IF(Q1084=0,'calcolo base'!L3683,(T1084+Q1084))</f>
        <v>#N/A</v>
      </c>
      <c r="V1084" s="119"/>
      <c r="Z1084" s="118">
        <f t="shared" si="196"/>
        <v>0</v>
      </c>
      <c r="AA1084" s="118">
        <f t="shared" si="197"/>
        <v>0</v>
      </c>
    </row>
    <row r="1085" spans="2:27">
      <c r="B1085" s="47"/>
      <c r="C1085" s="35"/>
      <c r="D1085" s="53"/>
      <c r="E1085" s="53"/>
      <c r="F1085" s="48"/>
      <c r="G1085" s="243" t="e">
        <f>INDEX('calcolo base'!$B:$B, MATCH($A1085, 'calcolo base'!$A:$A, 0))</f>
        <v>#N/A</v>
      </c>
      <c r="H1085" s="54" t="e">
        <f t="shared" si="198"/>
        <v>#N/A</v>
      </c>
      <c r="I1085" s="259" t="e">
        <f>IF(  OR(      INDEX('calcolo base'!$D:$D, MATCH($A1085, 'calcolo base'!$A:$A, 0)) = 0,
      INDEX('calcolo base'!$D:$D, MATCH($A1085, 'calcolo base'!$A:$A, 0)) = ""   ),
   INDEX('calcolo base'!$K:$K, MATCH($A1085, 'calcolo base'!$A:$A, 0)),
   INDEX('calcolo base'!$J:$J, MATCH($A1085, 'calcolo base'!$A:$A, 0))
) / 1000</f>
        <v>#N/A</v>
      </c>
      <c r="J1085" s="50" t="e">
        <f t="shared" si="199"/>
        <v>#N/A</v>
      </c>
      <c r="K1085" s="50"/>
      <c r="L1085" s="267" t="e">
        <f>INDEX('calcolo base'!$H:$H, MATCH($A1085, 'calcolo base'!$A:$A, 0))</f>
        <v>#N/A</v>
      </c>
      <c r="M1085" s="50" t="e">
        <f t="shared" si="200"/>
        <v>#N/A</v>
      </c>
      <c r="N1085" s="50" t="e">
        <f t="shared" si="201"/>
        <v>#N/A</v>
      </c>
      <c r="O1085" s="50" t="e">
        <f t="shared" si="206"/>
        <v>#N/A</v>
      </c>
      <c r="P1085" s="50" t="e">
        <f t="shared" si="202"/>
        <v>#N/A</v>
      </c>
      <c r="Q1085" s="51" t="e">
        <f t="shared" si="203"/>
        <v>#N/A</v>
      </c>
      <c r="R1085" s="205" t="e">
        <f t="shared" si="204"/>
        <v>#N/A</v>
      </c>
      <c r="S1085" s="279" t="e">
        <f>IF(R1085="si",0,IF(E1085="si",0,IF(J1085&gt;K1085,0,+K1085-J1085)))+IF('calcolo base'!P1777="SI",('Commissioni De Angeli'!K1085-'Commissioni De Angeli'!J1085),0)</f>
        <v>#N/A</v>
      </c>
      <c r="T1085" s="117" t="e">
        <f t="shared" si="205"/>
        <v>#N/A</v>
      </c>
      <c r="U1085" s="272" t="e">
        <f>IF(Q1085=0,'calcolo base'!L3684,(T1085+Q1085))</f>
        <v>#N/A</v>
      </c>
      <c r="V1085" s="119"/>
      <c r="Z1085" s="118">
        <f t="shared" si="196"/>
        <v>0</v>
      </c>
      <c r="AA1085" s="118">
        <f t="shared" si="197"/>
        <v>0</v>
      </c>
    </row>
    <row r="1086" spans="2:27">
      <c r="B1086" s="47"/>
      <c r="C1086" s="35"/>
      <c r="D1086" s="53"/>
      <c r="E1086" s="53"/>
      <c r="F1086" s="48"/>
      <c r="G1086" s="243" t="e">
        <f>INDEX('calcolo base'!$B:$B, MATCH($A1086, 'calcolo base'!$A:$A, 0))</f>
        <v>#N/A</v>
      </c>
      <c r="H1086" s="54" t="e">
        <f t="shared" si="198"/>
        <v>#N/A</v>
      </c>
      <c r="I1086" s="259" t="e">
        <f>IF(  OR(      INDEX('calcolo base'!$D:$D, MATCH($A1086, 'calcolo base'!$A:$A, 0)) = 0,
      INDEX('calcolo base'!$D:$D, MATCH($A1086, 'calcolo base'!$A:$A, 0)) = ""   ),
   INDEX('calcolo base'!$K:$K, MATCH($A1086, 'calcolo base'!$A:$A, 0)),
   INDEX('calcolo base'!$J:$J, MATCH($A1086, 'calcolo base'!$A:$A, 0))
) / 1000</f>
        <v>#N/A</v>
      </c>
      <c r="J1086" s="50" t="e">
        <f t="shared" si="199"/>
        <v>#N/A</v>
      </c>
      <c r="K1086" s="50"/>
      <c r="L1086" s="267" t="e">
        <f>INDEX('calcolo base'!$H:$H, MATCH($A1086, 'calcolo base'!$A:$A, 0))</f>
        <v>#N/A</v>
      </c>
      <c r="M1086" s="50" t="e">
        <f t="shared" si="200"/>
        <v>#N/A</v>
      </c>
      <c r="N1086" s="50" t="e">
        <f t="shared" si="201"/>
        <v>#N/A</v>
      </c>
      <c r="O1086" s="50" t="e">
        <f t="shared" si="206"/>
        <v>#N/A</v>
      </c>
      <c r="P1086" s="50" t="e">
        <f t="shared" si="202"/>
        <v>#N/A</v>
      </c>
      <c r="Q1086" s="51" t="e">
        <f t="shared" si="203"/>
        <v>#N/A</v>
      </c>
      <c r="R1086" s="205" t="e">
        <f t="shared" si="204"/>
        <v>#N/A</v>
      </c>
      <c r="S1086" s="279" t="e">
        <f>IF(R1086="si",0,IF(E1086="si",0,IF(J1086&gt;K1086,0,+K1086-J1086)))+IF('calcolo base'!P1778="SI",('Commissioni De Angeli'!K1086-'Commissioni De Angeli'!J1086),0)</f>
        <v>#N/A</v>
      </c>
      <c r="T1086" s="117" t="e">
        <f t="shared" si="205"/>
        <v>#N/A</v>
      </c>
      <c r="U1086" s="272" t="e">
        <f>IF(Q1086=0,'calcolo base'!L3685,(T1086+Q1086))</f>
        <v>#N/A</v>
      </c>
      <c r="V1086" s="119"/>
      <c r="Z1086" s="118">
        <f t="shared" si="196"/>
        <v>0</v>
      </c>
      <c r="AA1086" s="118">
        <f t="shared" si="197"/>
        <v>0</v>
      </c>
    </row>
    <row r="1087" spans="2:27">
      <c r="B1087" s="47"/>
      <c r="C1087" s="35"/>
      <c r="D1087" s="53"/>
      <c r="E1087" s="53"/>
      <c r="F1087" s="48"/>
      <c r="G1087" s="243" t="e">
        <f>INDEX('calcolo base'!$B:$B, MATCH($A1087, 'calcolo base'!$A:$A, 0))</f>
        <v>#N/A</v>
      </c>
      <c r="H1087" s="54" t="e">
        <f t="shared" si="198"/>
        <v>#N/A</v>
      </c>
      <c r="I1087" s="259" t="e">
        <f>IF(  OR(      INDEX('calcolo base'!$D:$D, MATCH($A1087, 'calcolo base'!$A:$A, 0)) = 0,
      INDEX('calcolo base'!$D:$D, MATCH($A1087, 'calcolo base'!$A:$A, 0)) = ""   ),
   INDEX('calcolo base'!$K:$K, MATCH($A1087, 'calcolo base'!$A:$A, 0)),
   INDEX('calcolo base'!$J:$J, MATCH($A1087, 'calcolo base'!$A:$A, 0))
) / 1000</f>
        <v>#N/A</v>
      </c>
      <c r="J1087" s="50" t="e">
        <f t="shared" si="199"/>
        <v>#N/A</v>
      </c>
      <c r="K1087" s="50"/>
      <c r="L1087" s="267" t="e">
        <f>INDEX('calcolo base'!$H:$H, MATCH($A1087, 'calcolo base'!$A:$A, 0))</f>
        <v>#N/A</v>
      </c>
      <c r="M1087" s="50" t="e">
        <f t="shared" si="200"/>
        <v>#N/A</v>
      </c>
      <c r="N1087" s="50" t="e">
        <f t="shared" si="201"/>
        <v>#N/A</v>
      </c>
      <c r="O1087" s="50" t="e">
        <f t="shared" si="206"/>
        <v>#N/A</v>
      </c>
      <c r="P1087" s="50" t="e">
        <f t="shared" si="202"/>
        <v>#N/A</v>
      </c>
      <c r="Q1087" s="51" t="e">
        <f t="shared" si="203"/>
        <v>#N/A</v>
      </c>
      <c r="R1087" s="205" t="e">
        <f t="shared" si="204"/>
        <v>#N/A</v>
      </c>
      <c r="S1087" s="279" t="e">
        <f>IF(R1087="si",0,IF(E1087="si",0,IF(J1087&gt;K1087,0,+K1087-J1087)))+IF('calcolo base'!P1779="SI",('Commissioni De Angeli'!K1087-'Commissioni De Angeli'!J1087),0)</f>
        <v>#N/A</v>
      </c>
      <c r="T1087" s="117" t="e">
        <f t="shared" si="205"/>
        <v>#N/A</v>
      </c>
      <c r="U1087" s="272" t="e">
        <f>IF(Q1087=0,'calcolo base'!L3686,(T1087+Q1087))</f>
        <v>#N/A</v>
      </c>
      <c r="V1087" s="119"/>
      <c r="Z1087" s="118">
        <f t="shared" si="196"/>
        <v>0</v>
      </c>
      <c r="AA1087" s="118">
        <f t="shared" si="197"/>
        <v>0</v>
      </c>
    </row>
    <row r="1088" spans="2:27">
      <c r="B1088" s="47"/>
      <c r="C1088" s="35"/>
      <c r="D1088" s="53"/>
      <c r="E1088" s="53"/>
      <c r="F1088" s="48"/>
      <c r="G1088" s="243" t="e">
        <f>INDEX('calcolo base'!$B:$B, MATCH($A1088, 'calcolo base'!$A:$A, 0))</f>
        <v>#N/A</v>
      </c>
      <c r="H1088" s="54" t="e">
        <f t="shared" si="198"/>
        <v>#N/A</v>
      </c>
      <c r="I1088" s="259" t="e">
        <f>IF(  OR(      INDEX('calcolo base'!$D:$D, MATCH($A1088, 'calcolo base'!$A:$A, 0)) = 0,
      INDEX('calcolo base'!$D:$D, MATCH($A1088, 'calcolo base'!$A:$A, 0)) = ""   ),
   INDEX('calcolo base'!$K:$K, MATCH($A1088, 'calcolo base'!$A:$A, 0)),
   INDEX('calcolo base'!$J:$J, MATCH($A1088, 'calcolo base'!$A:$A, 0))
) / 1000</f>
        <v>#N/A</v>
      </c>
      <c r="J1088" s="50" t="e">
        <f t="shared" si="199"/>
        <v>#N/A</v>
      </c>
      <c r="K1088" s="50"/>
      <c r="L1088" s="267" t="e">
        <f>INDEX('calcolo base'!$H:$H, MATCH($A1088, 'calcolo base'!$A:$A, 0))</f>
        <v>#N/A</v>
      </c>
      <c r="M1088" s="50" t="e">
        <f t="shared" si="200"/>
        <v>#N/A</v>
      </c>
      <c r="N1088" s="50" t="e">
        <f t="shared" si="201"/>
        <v>#N/A</v>
      </c>
      <c r="O1088" s="50" t="e">
        <f t="shared" si="206"/>
        <v>#N/A</v>
      </c>
      <c r="P1088" s="50" t="e">
        <f t="shared" si="202"/>
        <v>#N/A</v>
      </c>
      <c r="Q1088" s="51" t="e">
        <f t="shared" si="203"/>
        <v>#N/A</v>
      </c>
      <c r="R1088" s="205" t="e">
        <f t="shared" si="204"/>
        <v>#N/A</v>
      </c>
      <c r="S1088" s="279" t="e">
        <f>IF(R1088="si",0,IF(E1088="si",0,IF(J1088&gt;K1088,0,+K1088-J1088)))+IF('calcolo base'!P1780="SI",('Commissioni De Angeli'!K1088-'Commissioni De Angeli'!J1088),0)</f>
        <v>#N/A</v>
      </c>
      <c r="T1088" s="117" t="e">
        <f t="shared" si="205"/>
        <v>#N/A</v>
      </c>
      <c r="U1088" s="272" t="e">
        <f>IF(Q1088=0,'calcolo base'!L3687,(T1088+Q1088))</f>
        <v>#N/A</v>
      </c>
      <c r="V1088" s="119"/>
      <c r="Z1088" s="118">
        <f t="shared" si="196"/>
        <v>0</v>
      </c>
      <c r="AA1088" s="118">
        <f t="shared" si="197"/>
        <v>0</v>
      </c>
    </row>
    <row r="1089" spans="2:27">
      <c r="B1089" s="47"/>
      <c r="C1089" s="35"/>
      <c r="D1089" s="53"/>
      <c r="E1089" s="53"/>
      <c r="F1089" s="48"/>
      <c r="G1089" s="243" t="e">
        <f>INDEX('calcolo base'!$B:$B, MATCH($A1089, 'calcolo base'!$A:$A, 0))</f>
        <v>#N/A</v>
      </c>
      <c r="H1089" s="54" t="e">
        <f t="shared" si="198"/>
        <v>#N/A</v>
      </c>
      <c r="I1089" s="259" t="e">
        <f>IF(  OR(      INDEX('calcolo base'!$D:$D, MATCH($A1089, 'calcolo base'!$A:$A, 0)) = 0,
      INDEX('calcolo base'!$D:$D, MATCH($A1089, 'calcolo base'!$A:$A, 0)) = ""   ),
   INDEX('calcolo base'!$K:$K, MATCH($A1089, 'calcolo base'!$A:$A, 0)),
   INDEX('calcolo base'!$J:$J, MATCH($A1089, 'calcolo base'!$A:$A, 0))
) / 1000</f>
        <v>#N/A</v>
      </c>
      <c r="J1089" s="50" t="e">
        <f t="shared" si="199"/>
        <v>#N/A</v>
      </c>
      <c r="K1089" s="50"/>
      <c r="L1089" s="267" t="e">
        <f>INDEX('calcolo base'!$H:$H, MATCH($A1089, 'calcolo base'!$A:$A, 0))</f>
        <v>#N/A</v>
      </c>
      <c r="M1089" s="50" t="e">
        <f t="shared" si="200"/>
        <v>#N/A</v>
      </c>
      <c r="N1089" s="50" t="e">
        <f t="shared" si="201"/>
        <v>#N/A</v>
      </c>
      <c r="O1089" s="50" t="e">
        <f t="shared" si="206"/>
        <v>#N/A</v>
      </c>
      <c r="P1089" s="50" t="e">
        <f t="shared" si="202"/>
        <v>#N/A</v>
      </c>
      <c r="Q1089" s="51" t="e">
        <f t="shared" si="203"/>
        <v>#N/A</v>
      </c>
      <c r="R1089" s="205" t="e">
        <f t="shared" si="204"/>
        <v>#N/A</v>
      </c>
      <c r="S1089" s="279" t="e">
        <f>IF(R1089="si",0,IF(E1089="si",0,IF(J1089&gt;K1089,0,+K1089-J1089)))+IF('calcolo base'!P1781="SI",('Commissioni De Angeli'!K1089-'Commissioni De Angeli'!J1089),0)</f>
        <v>#N/A</v>
      </c>
      <c r="T1089" s="117" t="e">
        <f t="shared" si="205"/>
        <v>#N/A</v>
      </c>
      <c r="U1089" s="272" t="e">
        <f>IF(Q1089=0,'calcolo base'!L3688,(T1089+Q1089))</f>
        <v>#N/A</v>
      </c>
      <c r="V1089" s="119"/>
      <c r="Z1089" s="118">
        <f t="shared" si="196"/>
        <v>0</v>
      </c>
      <c r="AA1089" s="118">
        <f t="shared" si="197"/>
        <v>0</v>
      </c>
    </row>
    <row r="1090" spans="2:27">
      <c r="B1090" s="47"/>
      <c r="C1090" s="35"/>
      <c r="D1090" s="53"/>
      <c r="E1090" s="53"/>
      <c r="F1090" s="48"/>
      <c r="G1090" s="243" t="e">
        <f>INDEX('calcolo base'!$B:$B, MATCH($A1090, 'calcolo base'!$A:$A, 0))</f>
        <v>#N/A</v>
      </c>
      <c r="H1090" s="54" t="e">
        <f t="shared" si="198"/>
        <v>#N/A</v>
      </c>
      <c r="I1090" s="259" t="e">
        <f>IF(  OR(      INDEX('calcolo base'!$D:$D, MATCH($A1090, 'calcolo base'!$A:$A, 0)) = 0,
      INDEX('calcolo base'!$D:$D, MATCH($A1090, 'calcolo base'!$A:$A, 0)) = ""   ),
   INDEX('calcolo base'!$K:$K, MATCH($A1090, 'calcolo base'!$A:$A, 0)),
   INDEX('calcolo base'!$J:$J, MATCH($A1090, 'calcolo base'!$A:$A, 0))
) / 1000</f>
        <v>#N/A</v>
      </c>
      <c r="J1090" s="50" t="e">
        <f t="shared" si="199"/>
        <v>#N/A</v>
      </c>
      <c r="K1090" s="50"/>
      <c r="L1090" s="267" t="e">
        <f>INDEX('calcolo base'!$H:$H, MATCH($A1090, 'calcolo base'!$A:$A, 0))</f>
        <v>#N/A</v>
      </c>
      <c r="M1090" s="50" t="e">
        <f t="shared" si="200"/>
        <v>#N/A</v>
      </c>
      <c r="N1090" s="50" t="e">
        <f t="shared" si="201"/>
        <v>#N/A</v>
      </c>
      <c r="O1090" s="50" t="e">
        <f t="shared" si="206"/>
        <v>#N/A</v>
      </c>
      <c r="P1090" s="50" t="e">
        <f t="shared" si="202"/>
        <v>#N/A</v>
      </c>
      <c r="Q1090" s="51" t="e">
        <f t="shared" si="203"/>
        <v>#N/A</v>
      </c>
      <c r="R1090" s="205" t="e">
        <f t="shared" si="204"/>
        <v>#N/A</v>
      </c>
      <c r="S1090" s="279" t="e">
        <f>IF(R1090="si",0,IF(E1090="si",0,IF(J1090&gt;K1090,0,+K1090-J1090)))+IF('calcolo base'!P1782="SI",('Commissioni De Angeli'!K1090-'Commissioni De Angeli'!J1090),0)</f>
        <v>#N/A</v>
      </c>
      <c r="T1090" s="117" t="e">
        <f t="shared" si="205"/>
        <v>#N/A</v>
      </c>
      <c r="U1090" s="272" t="e">
        <f>IF(Q1090=0,'calcolo base'!L3689,(T1090+Q1090))</f>
        <v>#N/A</v>
      </c>
      <c r="V1090" s="119"/>
      <c r="Z1090" s="118">
        <f t="shared" si="196"/>
        <v>0</v>
      </c>
      <c r="AA1090" s="118">
        <f t="shared" si="197"/>
        <v>0</v>
      </c>
    </row>
    <row r="1091" spans="2:27">
      <c r="B1091" s="47"/>
      <c r="C1091" s="35"/>
      <c r="D1091" s="53"/>
      <c r="E1091" s="53"/>
      <c r="F1091" s="48"/>
      <c r="G1091" s="243" t="e">
        <f>INDEX('calcolo base'!$B:$B, MATCH($A1091, 'calcolo base'!$A:$A, 0))</f>
        <v>#N/A</v>
      </c>
      <c r="H1091" s="54" t="e">
        <f t="shared" si="198"/>
        <v>#N/A</v>
      </c>
      <c r="I1091" s="259" t="e">
        <f>IF(  OR(      INDEX('calcolo base'!$D:$D, MATCH($A1091, 'calcolo base'!$A:$A, 0)) = 0,
      INDEX('calcolo base'!$D:$D, MATCH($A1091, 'calcolo base'!$A:$A, 0)) = ""   ),
   INDEX('calcolo base'!$K:$K, MATCH($A1091, 'calcolo base'!$A:$A, 0)),
   INDEX('calcolo base'!$J:$J, MATCH($A1091, 'calcolo base'!$A:$A, 0))
) / 1000</f>
        <v>#N/A</v>
      </c>
      <c r="J1091" s="50" t="e">
        <f t="shared" si="199"/>
        <v>#N/A</v>
      </c>
      <c r="K1091" s="50"/>
      <c r="L1091" s="267" t="e">
        <f>INDEX('calcolo base'!$H:$H, MATCH($A1091, 'calcolo base'!$A:$A, 0))</f>
        <v>#N/A</v>
      </c>
      <c r="M1091" s="50" t="e">
        <f t="shared" si="200"/>
        <v>#N/A</v>
      </c>
      <c r="N1091" s="50" t="e">
        <f t="shared" si="201"/>
        <v>#N/A</v>
      </c>
      <c r="O1091" s="50" t="e">
        <f t="shared" si="206"/>
        <v>#N/A</v>
      </c>
      <c r="P1091" s="50" t="e">
        <f t="shared" si="202"/>
        <v>#N/A</v>
      </c>
      <c r="Q1091" s="51" t="e">
        <f t="shared" si="203"/>
        <v>#N/A</v>
      </c>
      <c r="R1091" s="205" t="e">
        <f t="shared" si="204"/>
        <v>#N/A</v>
      </c>
      <c r="S1091" s="279" t="e">
        <f>IF(R1091="si",0,IF(E1091="si",0,IF(J1091&gt;K1091,0,+K1091-J1091)))+IF('calcolo base'!P1783="SI",('Commissioni De Angeli'!K1091-'Commissioni De Angeli'!J1091),0)</f>
        <v>#N/A</v>
      </c>
      <c r="T1091" s="117" t="e">
        <f t="shared" si="205"/>
        <v>#N/A</v>
      </c>
      <c r="U1091" s="272" t="e">
        <f>IF(Q1091=0,'calcolo base'!L3690,(T1091+Q1091))</f>
        <v>#N/A</v>
      </c>
      <c r="V1091" s="119"/>
      <c r="Z1091" s="118">
        <f t="shared" si="196"/>
        <v>0</v>
      </c>
      <c r="AA1091" s="118">
        <f t="shared" si="197"/>
        <v>0</v>
      </c>
    </row>
    <row r="1092" spans="2:27">
      <c r="B1092" s="47"/>
      <c r="C1092" s="35"/>
      <c r="D1092" s="53"/>
      <c r="E1092" s="53"/>
      <c r="F1092" s="48"/>
      <c r="G1092" s="243" t="e">
        <f>INDEX('calcolo base'!$B:$B, MATCH($A1092, 'calcolo base'!$A:$A, 0))</f>
        <v>#N/A</v>
      </c>
      <c r="H1092" s="54" t="e">
        <f t="shared" si="198"/>
        <v>#N/A</v>
      </c>
      <c r="I1092" s="259" t="e">
        <f>IF(  OR(      INDEX('calcolo base'!$D:$D, MATCH($A1092, 'calcolo base'!$A:$A, 0)) = 0,
      INDEX('calcolo base'!$D:$D, MATCH($A1092, 'calcolo base'!$A:$A, 0)) = ""   ),
   INDEX('calcolo base'!$K:$K, MATCH($A1092, 'calcolo base'!$A:$A, 0)),
   INDEX('calcolo base'!$J:$J, MATCH($A1092, 'calcolo base'!$A:$A, 0))
) / 1000</f>
        <v>#N/A</v>
      </c>
      <c r="J1092" s="50" t="e">
        <f t="shared" si="199"/>
        <v>#N/A</v>
      </c>
      <c r="K1092" s="50"/>
      <c r="L1092" s="267" t="e">
        <f>INDEX('calcolo base'!$H:$H, MATCH($A1092, 'calcolo base'!$A:$A, 0))</f>
        <v>#N/A</v>
      </c>
      <c r="M1092" s="50" t="e">
        <f t="shared" si="200"/>
        <v>#N/A</v>
      </c>
      <c r="N1092" s="50" t="e">
        <f t="shared" si="201"/>
        <v>#N/A</v>
      </c>
      <c r="O1092" s="50" t="e">
        <f t="shared" si="206"/>
        <v>#N/A</v>
      </c>
      <c r="P1092" s="50" t="e">
        <f t="shared" si="202"/>
        <v>#N/A</v>
      </c>
      <c r="Q1092" s="51" t="e">
        <f t="shared" si="203"/>
        <v>#N/A</v>
      </c>
      <c r="R1092" s="205" t="e">
        <f t="shared" si="204"/>
        <v>#N/A</v>
      </c>
      <c r="S1092" s="279" t="e">
        <f>IF(R1092="si",0,IF(E1092="si",0,IF(J1092&gt;K1092,0,+K1092-J1092)))+IF('calcolo base'!P1784="SI",('Commissioni De Angeli'!K1092-'Commissioni De Angeli'!J1092),0)</f>
        <v>#N/A</v>
      </c>
      <c r="T1092" s="117" t="e">
        <f t="shared" si="205"/>
        <v>#N/A</v>
      </c>
      <c r="U1092" s="272" t="e">
        <f>IF(Q1092=0,'calcolo base'!L3691,(T1092+Q1092))</f>
        <v>#N/A</v>
      </c>
      <c r="V1092" s="119"/>
      <c r="Z1092" s="118">
        <f t="shared" si="196"/>
        <v>0</v>
      </c>
      <c r="AA1092" s="118">
        <f t="shared" si="197"/>
        <v>0</v>
      </c>
    </row>
    <row r="1093" spans="2:27">
      <c r="B1093" s="47"/>
      <c r="C1093" s="35"/>
      <c r="D1093" s="53"/>
      <c r="E1093" s="53"/>
      <c r="F1093" s="48"/>
      <c r="G1093" s="243" t="e">
        <f>INDEX('calcolo base'!$B:$B, MATCH($A1093, 'calcolo base'!$A:$A, 0))</f>
        <v>#N/A</v>
      </c>
      <c r="H1093" s="54" t="e">
        <f t="shared" si="198"/>
        <v>#N/A</v>
      </c>
      <c r="I1093" s="259" t="e">
        <f>IF(  OR(      INDEX('calcolo base'!$D:$D, MATCH($A1093, 'calcolo base'!$A:$A, 0)) = 0,
      INDEX('calcolo base'!$D:$D, MATCH($A1093, 'calcolo base'!$A:$A, 0)) = ""   ),
   INDEX('calcolo base'!$K:$K, MATCH($A1093, 'calcolo base'!$A:$A, 0)),
   INDEX('calcolo base'!$J:$J, MATCH($A1093, 'calcolo base'!$A:$A, 0))
) / 1000</f>
        <v>#N/A</v>
      </c>
      <c r="J1093" s="50" t="e">
        <f t="shared" si="199"/>
        <v>#N/A</v>
      </c>
      <c r="K1093" s="50"/>
      <c r="L1093" s="267" t="e">
        <f>INDEX('calcolo base'!$H:$H, MATCH($A1093, 'calcolo base'!$A:$A, 0))</f>
        <v>#N/A</v>
      </c>
      <c r="M1093" s="50" t="e">
        <f t="shared" si="200"/>
        <v>#N/A</v>
      </c>
      <c r="N1093" s="50" t="e">
        <f t="shared" si="201"/>
        <v>#N/A</v>
      </c>
      <c r="O1093" s="50" t="e">
        <f t="shared" si="206"/>
        <v>#N/A</v>
      </c>
      <c r="P1093" s="50" t="e">
        <f t="shared" si="202"/>
        <v>#N/A</v>
      </c>
      <c r="Q1093" s="51" t="e">
        <f t="shared" si="203"/>
        <v>#N/A</v>
      </c>
      <c r="R1093" s="205" t="e">
        <f t="shared" si="204"/>
        <v>#N/A</v>
      </c>
      <c r="S1093" s="279" t="e">
        <f>IF(R1093="si",0,IF(E1093="si",0,IF(J1093&gt;K1093,0,+K1093-J1093)))+IF('calcolo base'!P1785="SI",('Commissioni De Angeli'!K1093-'Commissioni De Angeli'!J1093),0)</f>
        <v>#N/A</v>
      </c>
      <c r="T1093" s="117" t="e">
        <f t="shared" si="205"/>
        <v>#N/A</v>
      </c>
      <c r="U1093" s="272" t="e">
        <f>IF(Q1093=0,'calcolo base'!L3692,(T1093+Q1093))</f>
        <v>#N/A</v>
      </c>
      <c r="V1093" s="119"/>
      <c r="Z1093" s="118">
        <f t="shared" si="196"/>
        <v>0</v>
      </c>
      <c r="AA1093" s="118">
        <f t="shared" si="197"/>
        <v>0</v>
      </c>
    </row>
    <row r="1094" spans="2:27">
      <c r="B1094" s="47"/>
      <c r="C1094" s="35"/>
      <c r="D1094" s="53"/>
      <c r="E1094" s="53"/>
      <c r="F1094" s="48"/>
      <c r="G1094" s="243" t="e">
        <f>INDEX('calcolo base'!$B:$B, MATCH($A1094, 'calcolo base'!$A:$A, 0))</f>
        <v>#N/A</v>
      </c>
      <c r="H1094" s="54" t="e">
        <f t="shared" si="198"/>
        <v>#N/A</v>
      </c>
      <c r="I1094" s="259" t="e">
        <f>IF(  OR(      INDEX('calcolo base'!$D:$D, MATCH($A1094, 'calcolo base'!$A:$A, 0)) = 0,
      INDEX('calcolo base'!$D:$D, MATCH($A1094, 'calcolo base'!$A:$A, 0)) = ""   ),
   INDEX('calcolo base'!$K:$K, MATCH($A1094, 'calcolo base'!$A:$A, 0)),
   INDEX('calcolo base'!$J:$J, MATCH($A1094, 'calcolo base'!$A:$A, 0))
) / 1000</f>
        <v>#N/A</v>
      </c>
      <c r="J1094" s="50" t="e">
        <f t="shared" si="199"/>
        <v>#N/A</v>
      </c>
      <c r="K1094" s="50"/>
      <c r="L1094" s="267" t="e">
        <f>INDEX('calcolo base'!$H:$H, MATCH($A1094, 'calcolo base'!$A:$A, 0))</f>
        <v>#N/A</v>
      </c>
      <c r="M1094" s="50" t="e">
        <f t="shared" si="200"/>
        <v>#N/A</v>
      </c>
      <c r="N1094" s="50" t="e">
        <f t="shared" si="201"/>
        <v>#N/A</v>
      </c>
      <c r="O1094" s="50" t="e">
        <f t="shared" si="206"/>
        <v>#N/A</v>
      </c>
      <c r="P1094" s="50" t="e">
        <f t="shared" si="202"/>
        <v>#N/A</v>
      </c>
      <c r="Q1094" s="51" t="e">
        <f t="shared" si="203"/>
        <v>#N/A</v>
      </c>
      <c r="R1094" s="205" t="e">
        <f t="shared" si="204"/>
        <v>#N/A</v>
      </c>
      <c r="S1094" s="279" t="e">
        <f>IF(R1094="si",0,IF(E1094="si",0,IF(J1094&gt;K1094,0,+K1094-J1094)))+IF('calcolo base'!P1786="SI",('Commissioni De Angeli'!K1094-'Commissioni De Angeli'!J1094),0)</f>
        <v>#N/A</v>
      </c>
      <c r="T1094" s="117" t="e">
        <f t="shared" si="205"/>
        <v>#N/A</v>
      </c>
      <c r="U1094" s="272" t="e">
        <f>IF(Q1094=0,'calcolo base'!L3693,(T1094+Q1094))</f>
        <v>#N/A</v>
      </c>
      <c r="V1094" s="119"/>
      <c r="Z1094" s="118">
        <f t="shared" si="196"/>
        <v>0</v>
      </c>
      <c r="AA1094" s="118">
        <f t="shared" si="197"/>
        <v>0</v>
      </c>
    </row>
    <row r="1095" spans="2:27">
      <c r="B1095" s="47"/>
      <c r="C1095" s="35"/>
      <c r="D1095" s="53"/>
      <c r="E1095" s="53"/>
      <c r="F1095" s="48"/>
      <c r="G1095" s="243" t="e">
        <f>INDEX('calcolo base'!$B:$B, MATCH($A1095, 'calcolo base'!$A:$A, 0))</f>
        <v>#N/A</v>
      </c>
      <c r="H1095" s="54" t="e">
        <f t="shared" si="198"/>
        <v>#N/A</v>
      </c>
      <c r="I1095" s="259" t="e">
        <f>IF(  OR(      INDEX('calcolo base'!$D:$D, MATCH($A1095, 'calcolo base'!$A:$A, 0)) = 0,
      INDEX('calcolo base'!$D:$D, MATCH($A1095, 'calcolo base'!$A:$A, 0)) = ""   ),
   INDEX('calcolo base'!$K:$K, MATCH($A1095, 'calcolo base'!$A:$A, 0)),
   INDEX('calcolo base'!$J:$J, MATCH($A1095, 'calcolo base'!$A:$A, 0))
) / 1000</f>
        <v>#N/A</v>
      </c>
      <c r="J1095" s="50" t="e">
        <f t="shared" si="199"/>
        <v>#N/A</v>
      </c>
      <c r="K1095" s="50"/>
      <c r="L1095" s="267" t="e">
        <f>INDEX('calcolo base'!$H:$H, MATCH($A1095, 'calcolo base'!$A:$A, 0))</f>
        <v>#N/A</v>
      </c>
      <c r="M1095" s="50" t="e">
        <f t="shared" si="200"/>
        <v>#N/A</v>
      </c>
      <c r="N1095" s="50" t="e">
        <f t="shared" si="201"/>
        <v>#N/A</v>
      </c>
      <c r="O1095" s="50" t="e">
        <f t="shared" si="206"/>
        <v>#N/A</v>
      </c>
      <c r="P1095" s="50" t="e">
        <f t="shared" si="202"/>
        <v>#N/A</v>
      </c>
      <c r="Q1095" s="51" t="e">
        <f t="shared" si="203"/>
        <v>#N/A</v>
      </c>
      <c r="R1095" s="205" t="e">
        <f t="shared" si="204"/>
        <v>#N/A</v>
      </c>
      <c r="S1095" s="279" t="e">
        <f>IF(R1095="si",0,IF(E1095="si",0,IF(J1095&gt;K1095,0,+K1095-J1095)))+IF('calcolo base'!P1787="SI",('Commissioni De Angeli'!K1095-'Commissioni De Angeli'!J1095),0)</f>
        <v>#N/A</v>
      </c>
      <c r="T1095" s="117" t="e">
        <f t="shared" si="205"/>
        <v>#N/A</v>
      </c>
      <c r="U1095" s="272" t="e">
        <f>IF(Q1095=0,'calcolo base'!L3694,(T1095+Q1095))</f>
        <v>#N/A</v>
      </c>
      <c r="V1095" s="119"/>
      <c r="Z1095" s="118">
        <f t="shared" si="196"/>
        <v>0</v>
      </c>
      <c r="AA1095" s="118">
        <f t="shared" si="197"/>
        <v>0</v>
      </c>
    </row>
    <row r="1096" spans="2:27">
      <c r="B1096" s="47"/>
      <c r="C1096" s="35"/>
      <c r="D1096" s="53"/>
      <c r="E1096" s="53"/>
      <c r="F1096" s="48"/>
      <c r="G1096" s="243" t="e">
        <f>INDEX('calcolo base'!$B:$B, MATCH($A1096, 'calcolo base'!$A:$A, 0))</f>
        <v>#N/A</v>
      </c>
      <c r="H1096" s="54" t="e">
        <f t="shared" si="198"/>
        <v>#N/A</v>
      </c>
      <c r="I1096" s="259" t="e">
        <f>IF(  OR(      INDEX('calcolo base'!$D:$D, MATCH($A1096, 'calcolo base'!$A:$A, 0)) = 0,
      INDEX('calcolo base'!$D:$D, MATCH($A1096, 'calcolo base'!$A:$A, 0)) = ""   ),
   INDEX('calcolo base'!$K:$K, MATCH($A1096, 'calcolo base'!$A:$A, 0)),
   INDEX('calcolo base'!$J:$J, MATCH($A1096, 'calcolo base'!$A:$A, 0))
) / 1000</f>
        <v>#N/A</v>
      </c>
      <c r="J1096" s="50" t="e">
        <f t="shared" si="199"/>
        <v>#N/A</v>
      </c>
      <c r="K1096" s="50"/>
      <c r="L1096" s="267" t="e">
        <f>INDEX('calcolo base'!$H:$H, MATCH($A1096, 'calcolo base'!$A:$A, 0))</f>
        <v>#N/A</v>
      </c>
      <c r="M1096" s="50" t="e">
        <f t="shared" si="200"/>
        <v>#N/A</v>
      </c>
      <c r="N1096" s="50" t="e">
        <f t="shared" si="201"/>
        <v>#N/A</v>
      </c>
      <c r="O1096" s="50" t="e">
        <f t="shared" si="206"/>
        <v>#N/A</v>
      </c>
      <c r="P1096" s="50" t="e">
        <f t="shared" si="202"/>
        <v>#N/A</v>
      </c>
      <c r="Q1096" s="51" t="e">
        <f t="shared" si="203"/>
        <v>#N/A</v>
      </c>
      <c r="R1096" s="205" t="e">
        <f t="shared" si="204"/>
        <v>#N/A</v>
      </c>
      <c r="S1096" s="279" t="e">
        <f>IF(R1096="si",0,IF(E1096="si",0,IF(J1096&gt;K1096,0,+K1096-J1096)))+IF('calcolo base'!P1788="SI",('Commissioni De Angeli'!K1096-'Commissioni De Angeli'!J1096),0)</f>
        <v>#N/A</v>
      </c>
      <c r="T1096" s="117" t="e">
        <f t="shared" si="205"/>
        <v>#N/A</v>
      </c>
      <c r="U1096" s="272" t="e">
        <f>IF(Q1096=0,'calcolo base'!L3695,(T1096+Q1096))</f>
        <v>#N/A</v>
      </c>
      <c r="V1096" s="119"/>
      <c r="Z1096" s="118">
        <f t="shared" si="196"/>
        <v>0</v>
      </c>
      <c r="AA1096" s="118">
        <f t="shared" si="197"/>
        <v>0</v>
      </c>
    </row>
    <row r="1097" spans="2:27">
      <c r="B1097" s="47"/>
      <c r="C1097" s="35"/>
      <c r="D1097" s="53"/>
      <c r="E1097" s="53"/>
      <c r="F1097" s="48"/>
      <c r="G1097" s="243" t="e">
        <f>INDEX('calcolo base'!$B:$B, MATCH($A1097, 'calcolo base'!$A:$A, 0))</f>
        <v>#N/A</v>
      </c>
      <c r="H1097" s="54" t="e">
        <f t="shared" si="198"/>
        <v>#N/A</v>
      </c>
      <c r="I1097" s="259" t="e">
        <f>IF(  OR(      INDEX('calcolo base'!$D:$D, MATCH($A1097, 'calcolo base'!$A:$A, 0)) = 0,
      INDEX('calcolo base'!$D:$D, MATCH($A1097, 'calcolo base'!$A:$A, 0)) = ""   ),
   INDEX('calcolo base'!$K:$K, MATCH($A1097, 'calcolo base'!$A:$A, 0)),
   INDEX('calcolo base'!$J:$J, MATCH($A1097, 'calcolo base'!$A:$A, 0))
) / 1000</f>
        <v>#N/A</v>
      </c>
      <c r="J1097" s="50" t="e">
        <f t="shared" si="199"/>
        <v>#N/A</v>
      </c>
      <c r="K1097" s="50"/>
      <c r="L1097" s="267" t="e">
        <f>INDEX('calcolo base'!$H:$H, MATCH($A1097, 'calcolo base'!$A:$A, 0))</f>
        <v>#N/A</v>
      </c>
      <c r="M1097" s="50" t="e">
        <f t="shared" si="200"/>
        <v>#N/A</v>
      </c>
      <c r="N1097" s="50" t="e">
        <f t="shared" si="201"/>
        <v>#N/A</v>
      </c>
      <c r="O1097" s="50" t="e">
        <f t="shared" si="206"/>
        <v>#N/A</v>
      </c>
      <c r="P1097" s="50" t="e">
        <f t="shared" si="202"/>
        <v>#N/A</v>
      </c>
      <c r="Q1097" s="51" t="e">
        <f t="shared" si="203"/>
        <v>#N/A</v>
      </c>
      <c r="R1097" s="205" t="e">
        <f t="shared" si="204"/>
        <v>#N/A</v>
      </c>
      <c r="S1097" s="279" t="e">
        <f>IF(R1097="si",0,IF(E1097="si",0,IF(J1097&gt;K1097,0,+K1097-J1097)))+IF('calcolo base'!P1789="SI",('Commissioni De Angeli'!K1097-'Commissioni De Angeli'!J1097),0)</f>
        <v>#N/A</v>
      </c>
      <c r="T1097" s="117" t="e">
        <f t="shared" si="205"/>
        <v>#N/A</v>
      </c>
      <c r="U1097" s="272" t="e">
        <f>IF(Q1097=0,'calcolo base'!L3696,(T1097+Q1097))</f>
        <v>#N/A</v>
      </c>
      <c r="V1097" s="119"/>
      <c r="Z1097" s="118">
        <f t="shared" si="196"/>
        <v>0</v>
      </c>
      <c r="AA1097" s="118">
        <f t="shared" si="197"/>
        <v>0</v>
      </c>
    </row>
    <row r="1098" spans="2:27">
      <c r="B1098" s="47"/>
      <c r="C1098" s="35"/>
      <c r="D1098" s="53"/>
      <c r="E1098" s="53"/>
      <c r="F1098" s="48"/>
      <c r="G1098" s="243" t="e">
        <f>INDEX('calcolo base'!$B:$B, MATCH($A1098, 'calcolo base'!$A:$A, 0))</f>
        <v>#N/A</v>
      </c>
      <c r="H1098" s="54" t="e">
        <f t="shared" si="198"/>
        <v>#N/A</v>
      </c>
      <c r="I1098" s="259" t="e">
        <f>IF(  OR(      INDEX('calcolo base'!$D:$D, MATCH($A1098, 'calcolo base'!$A:$A, 0)) = 0,
      INDEX('calcolo base'!$D:$D, MATCH($A1098, 'calcolo base'!$A:$A, 0)) = ""   ),
   INDEX('calcolo base'!$K:$K, MATCH($A1098, 'calcolo base'!$A:$A, 0)),
   INDEX('calcolo base'!$J:$J, MATCH($A1098, 'calcolo base'!$A:$A, 0))
) / 1000</f>
        <v>#N/A</v>
      </c>
      <c r="J1098" s="50" t="e">
        <f t="shared" si="199"/>
        <v>#N/A</v>
      </c>
      <c r="K1098" s="50"/>
      <c r="L1098" s="267" t="e">
        <f>INDEX('calcolo base'!$H:$H, MATCH($A1098, 'calcolo base'!$A:$A, 0))</f>
        <v>#N/A</v>
      </c>
      <c r="M1098" s="50" t="e">
        <f t="shared" si="200"/>
        <v>#N/A</v>
      </c>
      <c r="N1098" s="50" t="e">
        <f t="shared" si="201"/>
        <v>#N/A</v>
      </c>
      <c r="O1098" s="50" t="e">
        <f t="shared" si="206"/>
        <v>#N/A</v>
      </c>
      <c r="P1098" s="50" t="e">
        <f t="shared" si="202"/>
        <v>#N/A</v>
      </c>
      <c r="Q1098" s="51" t="e">
        <f t="shared" si="203"/>
        <v>#N/A</v>
      </c>
      <c r="R1098" s="205" t="e">
        <f t="shared" si="204"/>
        <v>#N/A</v>
      </c>
      <c r="S1098" s="279" t="e">
        <f>IF(R1098="si",0,IF(E1098="si",0,IF(J1098&gt;K1098,0,+K1098-J1098)))+IF('calcolo base'!P1790="SI",('Commissioni De Angeli'!K1098-'Commissioni De Angeli'!J1098),0)</f>
        <v>#N/A</v>
      </c>
      <c r="T1098" s="117" t="e">
        <f t="shared" si="205"/>
        <v>#N/A</v>
      </c>
      <c r="U1098" s="272" t="e">
        <f>IF(Q1098=0,'calcolo base'!L3697,(T1098+Q1098))</f>
        <v>#N/A</v>
      </c>
      <c r="V1098" s="119"/>
      <c r="Z1098" s="118">
        <f t="shared" si="196"/>
        <v>0</v>
      </c>
      <c r="AA1098" s="118">
        <f t="shared" si="197"/>
        <v>0</v>
      </c>
    </row>
    <row r="1099" spans="2:27">
      <c r="B1099" s="47"/>
      <c r="C1099" s="35"/>
      <c r="D1099" s="53"/>
      <c r="E1099" s="53"/>
      <c r="F1099" s="48"/>
      <c r="G1099" s="243" t="e">
        <f>INDEX('calcolo base'!$B:$B, MATCH($A1099, 'calcolo base'!$A:$A, 0))</f>
        <v>#N/A</v>
      </c>
      <c r="H1099" s="54" t="e">
        <f t="shared" si="198"/>
        <v>#N/A</v>
      </c>
      <c r="I1099" s="259" t="e">
        <f>IF(  OR(      INDEX('calcolo base'!$D:$D, MATCH($A1099, 'calcolo base'!$A:$A, 0)) = 0,
      INDEX('calcolo base'!$D:$D, MATCH($A1099, 'calcolo base'!$A:$A, 0)) = ""   ),
   INDEX('calcolo base'!$K:$K, MATCH($A1099, 'calcolo base'!$A:$A, 0)),
   INDEX('calcolo base'!$J:$J, MATCH($A1099, 'calcolo base'!$A:$A, 0))
) / 1000</f>
        <v>#N/A</v>
      </c>
      <c r="J1099" s="50" t="e">
        <f t="shared" si="199"/>
        <v>#N/A</v>
      </c>
      <c r="K1099" s="50"/>
      <c r="L1099" s="267" t="e">
        <f>INDEX('calcolo base'!$H:$H, MATCH($A1099, 'calcolo base'!$A:$A, 0))</f>
        <v>#N/A</v>
      </c>
      <c r="M1099" s="50" t="e">
        <f t="shared" si="200"/>
        <v>#N/A</v>
      </c>
      <c r="N1099" s="50" t="e">
        <f t="shared" si="201"/>
        <v>#N/A</v>
      </c>
      <c r="O1099" s="50" t="e">
        <f t="shared" si="206"/>
        <v>#N/A</v>
      </c>
      <c r="P1099" s="50" t="e">
        <f t="shared" si="202"/>
        <v>#N/A</v>
      </c>
      <c r="Q1099" s="51" t="e">
        <f t="shared" si="203"/>
        <v>#N/A</v>
      </c>
      <c r="R1099" s="205" t="e">
        <f t="shared" si="204"/>
        <v>#N/A</v>
      </c>
      <c r="S1099" s="279" t="e">
        <f>IF(R1099="si",0,IF(E1099="si",0,IF(J1099&gt;K1099,0,+K1099-J1099)))+IF('calcolo base'!P1791="SI",('Commissioni De Angeli'!K1099-'Commissioni De Angeli'!J1099),0)</f>
        <v>#N/A</v>
      </c>
      <c r="T1099" s="117" t="e">
        <f t="shared" si="205"/>
        <v>#N/A</v>
      </c>
      <c r="U1099" s="272" t="e">
        <f>IF(Q1099=0,'calcolo base'!L3698,(T1099+Q1099))</f>
        <v>#N/A</v>
      </c>
      <c r="V1099" s="119"/>
      <c r="Z1099" s="118">
        <f t="shared" si="196"/>
        <v>0</v>
      </c>
      <c r="AA1099" s="118">
        <f t="shared" si="197"/>
        <v>0</v>
      </c>
    </row>
    <row r="1100" spans="2:27">
      <c r="B1100" s="47"/>
      <c r="C1100" s="35"/>
      <c r="D1100" s="53"/>
      <c r="E1100" s="53"/>
      <c r="F1100" s="48"/>
      <c r="G1100" s="243" t="e">
        <f>INDEX('calcolo base'!$B:$B, MATCH($A1100, 'calcolo base'!$A:$A, 0))</f>
        <v>#N/A</v>
      </c>
      <c r="H1100" s="54" t="e">
        <f t="shared" si="198"/>
        <v>#N/A</v>
      </c>
      <c r="I1100" s="259" t="e">
        <f>IF(  OR(      INDEX('calcolo base'!$D:$D, MATCH($A1100, 'calcolo base'!$A:$A, 0)) = 0,
      INDEX('calcolo base'!$D:$D, MATCH($A1100, 'calcolo base'!$A:$A, 0)) = ""   ),
   INDEX('calcolo base'!$K:$K, MATCH($A1100, 'calcolo base'!$A:$A, 0)),
   INDEX('calcolo base'!$J:$J, MATCH($A1100, 'calcolo base'!$A:$A, 0))
) / 1000</f>
        <v>#N/A</v>
      </c>
      <c r="J1100" s="50" t="e">
        <f t="shared" si="199"/>
        <v>#N/A</v>
      </c>
      <c r="K1100" s="50"/>
      <c r="L1100" s="267" t="e">
        <f>INDEX('calcolo base'!$H:$H, MATCH($A1100, 'calcolo base'!$A:$A, 0))</f>
        <v>#N/A</v>
      </c>
      <c r="M1100" s="50" t="e">
        <f t="shared" si="200"/>
        <v>#N/A</v>
      </c>
      <c r="N1100" s="50" t="e">
        <f t="shared" si="201"/>
        <v>#N/A</v>
      </c>
      <c r="O1100" s="50" t="e">
        <f t="shared" si="206"/>
        <v>#N/A</v>
      </c>
      <c r="P1100" s="50" t="e">
        <f t="shared" si="202"/>
        <v>#N/A</v>
      </c>
      <c r="Q1100" s="51" t="e">
        <f t="shared" si="203"/>
        <v>#N/A</v>
      </c>
      <c r="R1100" s="205" t="e">
        <f t="shared" si="204"/>
        <v>#N/A</v>
      </c>
      <c r="S1100" s="279" t="e">
        <f>IF(R1100="si",0,IF(E1100="si",0,IF(J1100&gt;K1100,0,+K1100-J1100)))+IF('calcolo base'!P1792="SI",('Commissioni De Angeli'!K1100-'Commissioni De Angeli'!J1100),0)</f>
        <v>#N/A</v>
      </c>
      <c r="T1100" s="117" t="e">
        <f t="shared" si="205"/>
        <v>#N/A</v>
      </c>
      <c r="U1100" s="272" t="e">
        <f>IF(Q1100=0,'calcolo base'!L3699,(T1100+Q1100))</f>
        <v>#N/A</v>
      </c>
      <c r="V1100" s="119"/>
      <c r="Z1100" s="118">
        <f t="shared" si="196"/>
        <v>0</v>
      </c>
      <c r="AA1100" s="118">
        <f t="shared" si="197"/>
        <v>0</v>
      </c>
    </row>
    <row r="1101" spans="2:27">
      <c r="B1101" s="47"/>
      <c r="C1101" s="35"/>
      <c r="D1101" s="53"/>
      <c r="E1101" s="53"/>
      <c r="F1101" s="48"/>
      <c r="G1101" s="243" t="e">
        <f>INDEX('calcolo base'!$B:$B, MATCH($A1101, 'calcolo base'!$A:$A, 0))</f>
        <v>#N/A</v>
      </c>
      <c r="H1101" s="54" t="e">
        <f t="shared" si="198"/>
        <v>#N/A</v>
      </c>
      <c r="I1101" s="259" t="e">
        <f>IF(  OR(      INDEX('calcolo base'!$D:$D, MATCH($A1101, 'calcolo base'!$A:$A, 0)) = 0,
      INDEX('calcolo base'!$D:$D, MATCH($A1101, 'calcolo base'!$A:$A, 0)) = ""   ),
   INDEX('calcolo base'!$K:$K, MATCH($A1101, 'calcolo base'!$A:$A, 0)),
   INDEX('calcolo base'!$J:$J, MATCH($A1101, 'calcolo base'!$A:$A, 0))
) / 1000</f>
        <v>#N/A</v>
      </c>
      <c r="J1101" s="50" t="e">
        <f t="shared" si="199"/>
        <v>#N/A</v>
      </c>
      <c r="K1101" s="50"/>
      <c r="L1101" s="267" t="e">
        <f>INDEX('calcolo base'!$H:$H, MATCH($A1101, 'calcolo base'!$A:$A, 0))</f>
        <v>#N/A</v>
      </c>
      <c r="M1101" s="50" t="e">
        <f t="shared" si="200"/>
        <v>#N/A</v>
      </c>
      <c r="N1101" s="50" t="e">
        <f t="shared" si="201"/>
        <v>#N/A</v>
      </c>
      <c r="O1101" s="50" t="e">
        <f t="shared" si="206"/>
        <v>#N/A</v>
      </c>
      <c r="P1101" s="50" t="e">
        <f t="shared" si="202"/>
        <v>#N/A</v>
      </c>
      <c r="Q1101" s="51" t="e">
        <f t="shared" si="203"/>
        <v>#N/A</v>
      </c>
      <c r="R1101" s="205" t="e">
        <f t="shared" si="204"/>
        <v>#N/A</v>
      </c>
      <c r="S1101" s="279" t="e">
        <f>IF(R1101="si",0,IF(E1101="si",0,IF(J1101&gt;K1101,0,+K1101-J1101)))+IF('calcolo base'!P1793="SI",('Commissioni De Angeli'!K1101-'Commissioni De Angeli'!J1101),0)</f>
        <v>#N/A</v>
      </c>
      <c r="T1101" s="117" t="e">
        <f t="shared" si="205"/>
        <v>#N/A</v>
      </c>
      <c r="U1101" s="272" t="e">
        <f>IF(Q1101=0,'calcolo base'!L3700,(T1101+Q1101))</f>
        <v>#N/A</v>
      </c>
      <c r="V1101" s="119"/>
      <c r="Z1101" s="118">
        <f t="shared" si="196"/>
        <v>0</v>
      </c>
      <c r="AA1101" s="118">
        <f t="shared" si="197"/>
        <v>0</v>
      </c>
    </row>
    <row r="1102" spans="2:27">
      <c r="B1102" s="47"/>
      <c r="C1102" s="35"/>
      <c r="D1102" s="53"/>
      <c r="E1102" s="53"/>
      <c r="F1102" s="48"/>
      <c r="G1102" s="243" t="e">
        <f>INDEX('calcolo base'!$B:$B, MATCH($A1102, 'calcolo base'!$A:$A, 0))</f>
        <v>#N/A</v>
      </c>
      <c r="H1102" s="54" t="e">
        <f t="shared" si="198"/>
        <v>#N/A</v>
      </c>
      <c r="I1102" s="259" t="e">
        <f>IF(  OR(      INDEX('calcolo base'!$D:$D, MATCH($A1102, 'calcolo base'!$A:$A, 0)) = 0,
      INDEX('calcolo base'!$D:$D, MATCH($A1102, 'calcolo base'!$A:$A, 0)) = ""   ),
   INDEX('calcolo base'!$K:$K, MATCH($A1102, 'calcolo base'!$A:$A, 0)),
   INDEX('calcolo base'!$J:$J, MATCH($A1102, 'calcolo base'!$A:$A, 0))
) / 1000</f>
        <v>#N/A</v>
      </c>
      <c r="J1102" s="50" t="e">
        <f t="shared" si="199"/>
        <v>#N/A</v>
      </c>
      <c r="K1102" s="50"/>
      <c r="L1102" s="267" t="e">
        <f>INDEX('calcolo base'!$H:$H, MATCH($A1102, 'calcolo base'!$A:$A, 0))</f>
        <v>#N/A</v>
      </c>
      <c r="M1102" s="50" t="e">
        <f t="shared" si="200"/>
        <v>#N/A</v>
      </c>
      <c r="N1102" s="50" t="e">
        <f t="shared" si="201"/>
        <v>#N/A</v>
      </c>
      <c r="O1102" s="50" t="e">
        <f t="shared" si="206"/>
        <v>#N/A</v>
      </c>
      <c r="P1102" s="50" t="e">
        <f t="shared" si="202"/>
        <v>#N/A</v>
      </c>
      <c r="Q1102" s="51" t="e">
        <f t="shared" si="203"/>
        <v>#N/A</v>
      </c>
      <c r="R1102" s="205" t="e">
        <f t="shared" si="204"/>
        <v>#N/A</v>
      </c>
      <c r="S1102" s="279" t="e">
        <f>IF(R1102="si",0,IF(E1102="si",0,IF(J1102&gt;K1102,0,+K1102-J1102)))+IF('calcolo base'!P1794="SI",('Commissioni De Angeli'!K1102-'Commissioni De Angeli'!J1102),0)</f>
        <v>#N/A</v>
      </c>
      <c r="T1102" s="117" t="e">
        <f t="shared" si="205"/>
        <v>#N/A</v>
      </c>
      <c r="U1102" s="272" t="e">
        <f>IF(Q1102=0,'calcolo base'!L3701,(T1102+Q1102))</f>
        <v>#N/A</v>
      </c>
      <c r="V1102" s="119"/>
      <c r="Z1102" s="118">
        <f t="shared" si="196"/>
        <v>0</v>
      </c>
      <c r="AA1102" s="118">
        <f t="shared" si="197"/>
        <v>0</v>
      </c>
    </row>
    <row r="1103" spans="2:27">
      <c r="B1103" s="47"/>
      <c r="C1103" s="35"/>
      <c r="D1103" s="53"/>
      <c r="E1103" s="53"/>
      <c r="F1103" s="48"/>
      <c r="G1103" s="243" t="e">
        <f>INDEX('calcolo base'!$B:$B, MATCH($A1103, 'calcolo base'!$A:$A, 0))</f>
        <v>#N/A</v>
      </c>
      <c r="H1103" s="54" t="e">
        <f t="shared" si="198"/>
        <v>#N/A</v>
      </c>
      <c r="I1103" s="259" t="e">
        <f>IF(  OR(      INDEX('calcolo base'!$D:$D, MATCH($A1103, 'calcolo base'!$A:$A, 0)) = 0,
      INDEX('calcolo base'!$D:$D, MATCH($A1103, 'calcolo base'!$A:$A, 0)) = ""   ),
   INDEX('calcolo base'!$K:$K, MATCH($A1103, 'calcolo base'!$A:$A, 0)),
   INDEX('calcolo base'!$J:$J, MATCH($A1103, 'calcolo base'!$A:$A, 0))
) / 1000</f>
        <v>#N/A</v>
      </c>
      <c r="J1103" s="50" t="e">
        <f t="shared" si="199"/>
        <v>#N/A</v>
      </c>
      <c r="K1103" s="50"/>
      <c r="L1103" s="267" t="e">
        <f>INDEX('calcolo base'!$H:$H, MATCH($A1103, 'calcolo base'!$A:$A, 0))</f>
        <v>#N/A</v>
      </c>
      <c r="M1103" s="50" t="e">
        <f t="shared" si="200"/>
        <v>#N/A</v>
      </c>
      <c r="N1103" s="50" t="e">
        <f t="shared" si="201"/>
        <v>#N/A</v>
      </c>
      <c r="O1103" s="50" t="e">
        <f t="shared" si="206"/>
        <v>#N/A</v>
      </c>
      <c r="P1103" s="50" t="e">
        <f t="shared" si="202"/>
        <v>#N/A</v>
      </c>
      <c r="Q1103" s="51" t="e">
        <f t="shared" si="203"/>
        <v>#N/A</v>
      </c>
      <c r="R1103" s="205" t="e">
        <f t="shared" si="204"/>
        <v>#N/A</v>
      </c>
      <c r="S1103" s="279" t="e">
        <f>IF(R1103="si",0,IF(E1103="si",0,IF(J1103&gt;K1103,0,+K1103-J1103)))+IF('calcolo base'!P1795="SI",('Commissioni De Angeli'!K1103-'Commissioni De Angeli'!J1103),0)</f>
        <v>#N/A</v>
      </c>
      <c r="T1103" s="117" t="e">
        <f t="shared" si="205"/>
        <v>#N/A</v>
      </c>
      <c r="U1103" s="272" t="e">
        <f>IF(Q1103=0,'calcolo base'!L3702,(T1103+Q1103))</f>
        <v>#N/A</v>
      </c>
      <c r="V1103" s="119"/>
      <c r="Z1103" s="118">
        <f t="shared" si="196"/>
        <v>0</v>
      </c>
      <c r="AA1103" s="118">
        <f t="shared" si="197"/>
        <v>0</v>
      </c>
    </row>
    <row r="1104" spans="2:27">
      <c r="B1104" s="47"/>
      <c r="C1104" s="35"/>
      <c r="D1104" s="53"/>
      <c r="E1104" s="53"/>
      <c r="F1104" s="48"/>
      <c r="G1104" s="243" t="e">
        <f>INDEX('calcolo base'!$B:$B, MATCH($A1104, 'calcolo base'!$A:$A, 0))</f>
        <v>#N/A</v>
      </c>
      <c r="H1104" s="54" t="e">
        <f t="shared" si="198"/>
        <v>#N/A</v>
      </c>
      <c r="I1104" s="259" t="e">
        <f>IF(  OR(      INDEX('calcolo base'!$D:$D, MATCH($A1104, 'calcolo base'!$A:$A, 0)) = 0,
      INDEX('calcolo base'!$D:$D, MATCH($A1104, 'calcolo base'!$A:$A, 0)) = ""   ),
   INDEX('calcolo base'!$K:$K, MATCH($A1104, 'calcolo base'!$A:$A, 0)),
   INDEX('calcolo base'!$J:$J, MATCH($A1104, 'calcolo base'!$A:$A, 0))
) / 1000</f>
        <v>#N/A</v>
      </c>
      <c r="J1104" s="50" t="e">
        <f t="shared" si="199"/>
        <v>#N/A</v>
      </c>
      <c r="K1104" s="50"/>
      <c r="L1104" s="267" t="e">
        <f>INDEX('calcolo base'!$H:$H, MATCH($A1104, 'calcolo base'!$A:$A, 0))</f>
        <v>#N/A</v>
      </c>
      <c r="M1104" s="50" t="e">
        <f t="shared" si="200"/>
        <v>#N/A</v>
      </c>
      <c r="N1104" s="50" t="e">
        <f t="shared" si="201"/>
        <v>#N/A</v>
      </c>
      <c r="O1104" s="50" t="e">
        <f t="shared" si="206"/>
        <v>#N/A</v>
      </c>
      <c r="P1104" s="50" t="e">
        <f t="shared" si="202"/>
        <v>#N/A</v>
      </c>
      <c r="Q1104" s="51" t="e">
        <f t="shared" si="203"/>
        <v>#N/A</v>
      </c>
      <c r="R1104" s="205" t="e">
        <f t="shared" si="204"/>
        <v>#N/A</v>
      </c>
      <c r="S1104" s="279" t="e">
        <f>IF(R1104="si",0,IF(E1104="si",0,IF(J1104&gt;K1104,0,+K1104-J1104)))+IF('calcolo base'!P1796="SI",('Commissioni De Angeli'!K1104-'Commissioni De Angeli'!J1104),0)</f>
        <v>#N/A</v>
      </c>
      <c r="T1104" s="117" t="e">
        <f t="shared" si="205"/>
        <v>#N/A</v>
      </c>
      <c r="U1104" s="272" t="e">
        <f>IF(Q1104=0,'calcolo base'!L3703,(T1104+Q1104))</f>
        <v>#N/A</v>
      </c>
      <c r="V1104" s="119"/>
      <c r="Z1104" s="118">
        <f t="shared" si="196"/>
        <v>0</v>
      </c>
      <c r="AA1104" s="118">
        <f t="shared" si="197"/>
        <v>0</v>
      </c>
    </row>
    <row r="1105" spans="2:27">
      <c r="B1105" s="47"/>
      <c r="C1105" s="35"/>
      <c r="D1105" s="53"/>
      <c r="E1105" s="53"/>
      <c r="F1105" s="48"/>
      <c r="G1105" s="243" t="e">
        <f>INDEX('calcolo base'!$B:$B, MATCH($A1105, 'calcolo base'!$A:$A, 0))</f>
        <v>#N/A</v>
      </c>
      <c r="H1105" s="54" t="e">
        <f t="shared" si="198"/>
        <v>#N/A</v>
      </c>
      <c r="I1105" s="259" t="e">
        <f>IF(  OR(      INDEX('calcolo base'!$D:$D, MATCH($A1105, 'calcolo base'!$A:$A, 0)) = 0,
      INDEX('calcolo base'!$D:$D, MATCH($A1105, 'calcolo base'!$A:$A, 0)) = ""   ),
   INDEX('calcolo base'!$K:$K, MATCH($A1105, 'calcolo base'!$A:$A, 0)),
   INDEX('calcolo base'!$J:$J, MATCH($A1105, 'calcolo base'!$A:$A, 0))
) / 1000</f>
        <v>#N/A</v>
      </c>
      <c r="J1105" s="50" t="e">
        <f t="shared" si="199"/>
        <v>#N/A</v>
      </c>
      <c r="K1105" s="50"/>
      <c r="L1105" s="267" t="e">
        <f>INDEX('calcolo base'!$H:$H, MATCH($A1105, 'calcolo base'!$A:$A, 0))</f>
        <v>#N/A</v>
      </c>
      <c r="M1105" s="50" t="e">
        <f t="shared" si="200"/>
        <v>#N/A</v>
      </c>
      <c r="N1105" s="50" t="e">
        <f t="shared" si="201"/>
        <v>#N/A</v>
      </c>
      <c r="O1105" s="50" t="e">
        <f t="shared" si="206"/>
        <v>#N/A</v>
      </c>
      <c r="P1105" s="50" t="e">
        <f t="shared" si="202"/>
        <v>#N/A</v>
      </c>
      <c r="Q1105" s="51" t="e">
        <f t="shared" si="203"/>
        <v>#N/A</v>
      </c>
      <c r="R1105" s="205" t="e">
        <f t="shared" si="204"/>
        <v>#N/A</v>
      </c>
      <c r="S1105" s="279" t="e">
        <f>IF(R1105="si",0,IF(E1105="si",0,IF(J1105&gt;K1105,0,+K1105-J1105)))+IF('calcolo base'!P1797="SI",('Commissioni De Angeli'!K1105-'Commissioni De Angeli'!J1105),0)</f>
        <v>#N/A</v>
      </c>
      <c r="T1105" s="117" t="e">
        <f t="shared" si="205"/>
        <v>#N/A</v>
      </c>
      <c r="U1105" s="272" t="e">
        <f>IF(Q1105=0,'calcolo base'!L3704,(T1105+Q1105))</f>
        <v>#N/A</v>
      </c>
      <c r="V1105" s="119"/>
      <c r="Z1105" s="118">
        <f t="shared" si="196"/>
        <v>0</v>
      </c>
      <c r="AA1105" s="118">
        <f t="shared" si="197"/>
        <v>0</v>
      </c>
    </row>
    <row r="1106" spans="2:27">
      <c r="B1106" s="47"/>
      <c r="C1106" s="35"/>
      <c r="D1106" s="53"/>
      <c r="E1106" s="53"/>
      <c r="F1106" s="48"/>
      <c r="G1106" s="243" t="e">
        <f>INDEX('calcolo base'!$B:$B, MATCH($A1106, 'calcolo base'!$A:$A, 0))</f>
        <v>#N/A</v>
      </c>
      <c r="H1106" s="54" t="e">
        <f t="shared" si="198"/>
        <v>#N/A</v>
      </c>
      <c r="I1106" s="259" t="e">
        <f>IF(  OR(      INDEX('calcolo base'!$D:$D, MATCH($A1106, 'calcolo base'!$A:$A, 0)) = 0,
      INDEX('calcolo base'!$D:$D, MATCH($A1106, 'calcolo base'!$A:$A, 0)) = ""   ),
   INDEX('calcolo base'!$K:$K, MATCH($A1106, 'calcolo base'!$A:$A, 0)),
   INDEX('calcolo base'!$J:$J, MATCH($A1106, 'calcolo base'!$A:$A, 0))
) / 1000</f>
        <v>#N/A</v>
      </c>
      <c r="J1106" s="50" t="e">
        <f t="shared" si="199"/>
        <v>#N/A</v>
      </c>
      <c r="K1106" s="50"/>
      <c r="L1106" s="267" t="e">
        <f>INDEX('calcolo base'!$H:$H, MATCH($A1106, 'calcolo base'!$A:$A, 0))</f>
        <v>#N/A</v>
      </c>
      <c r="M1106" s="50" t="e">
        <f t="shared" si="200"/>
        <v>#N/A</v>
      </c>
      <c r="N1106" s="50" t="e">
        <f t="shared" si="201"/>
        <v>#N/A</v>
      </c>
      <c r="O1106" s="50" t="e">
        <f t="shared" si="206"/>
        <v>#N/A</v>
      </c>
      <c r="P1106" s="50" t="e">
        <f t="shared" si="202"/>
        <v>#N/A</v>
      </c>
      <c r="Q1106" s="51" t="e">
        <f t="shared" si="203"/>
        <v>#N/A</v>
      </c>
      <c r="R1106" s="205" t="e">
        <f t="shared" si="204"/>
        <v>#N/A</v>
      </c>
      <c r="S1106" s="279" t="e">
        <f>IF(R1106="si",0,IF(E1106="si",0,IF(J1106&gt;K1106,0,+K1106-J1106)))+IF('calcolo base'!P1798="SI",('Commissioni De Angeli'!K1106-'Commissioni De Angeli'!J1106),0)</f>
        <v>#N/A</v>
      </c>
      <c r="T1106" s="117" t="e">
        <f t="shared" si="205"/>
        <v>#N/A</v>
      </c>
      <c r="U1106" s="272" t="e">
        <f>IF(Q1106=0,'calcolo base'!L3705,(T1106+Q1106))</f>
        <v>#N/A</v>
      </c>
      <c r="V1106" s="119"/>
      <c r="Z1106" s="118">
        <f t="shared" si="196"/>
        <v>0</v>
      </c>
      <c r="AA1106" s="118">
        <f t="shared" si="197"/>
        <v>0</v>
      </c>
    </row>
    <row r="1107" spans="2:27">
      <c r="B1107" s="47"/>
      <c r="C1107" s="35"/>
      <c r="D1107" s="53"/>
      <c r="E1107" s="53"/>
      <c r="F1107" s="48"/>
      <c r="G1107" s="243" t="e">
        <f>INDEX('calcolo base'!$B:$B, MATCH($A1107, 'calcolo base'!$A:$A, 0))</f>
        <v>#N/A</v>
      </c>
      <c r="H1107" s="54" t="e">
        <f t="shared" si="198"/>
        <v>#N/A</v>
      </c>
      <c r="I1107" s="259" t="e">
        <f>IF(  OR(      INDEX('calcolo base'!$D:$D, MATCH($A1107, 'calcolo base'!$A:$A, 0)) = 0,
      INDEX('calcolo base'!$D:$D, MATCH($A1107, 'calcolo base'!$A:$A, 0)) = ""   ),
   INDEX('calcolo base'!$K:$K, MATCH($A1107, 'calcolo base'!$A:$A, 0)),
   INDEX('calcolo base'!$J:$J, MATCH($A1107, 'calcolo base'!$A:$A, 0))
) / 1000</f>
        <v>#N/A</v>
      </c>
      <c r="J1107" s="50" t="e">
        <f t="shared" si="199"/>
        <v>#N/A</v>
      </c>
      <c r="K1107" s="50"/>
      <c r="L1107" s="267" t="e">
        <f>INDEX('calcolo base'!$H:$H, MATCH($A1107, 'calcolo base'!$A:$A, 0))</f>
        <v>#N/A</v>
      </c>
      <c r="M1107" s="50" t="e">
        <f t="shared" si="200"/>
        <v>#N/A</v>
      </c>
      <c r="N1107" s="50" t="e">
        <f t="shared" si="201"/>
        <v>#N/A</v>
      </c>
      <c r="O1107" s="50" t="e">
        <f t="shared" si="206"/>
        <v>#N/A</v>
      </c>
      <c r="P1107" s="50" t="e">
        <f t="shared" si="202"/>
        <v>#N/A</v>
      </c>
      <c r="Q1107" s="51" t="e">
        <f t="shared" si="203"/>
        <v>#N/A</v>
      </c>
      <c r="R1107" s="205" t="e">
        <f t="shared" si="204"/>
        <v>#N/A</v>
      </c>
      <c r="S1107" s="279" t="e">
        <f>IF(R1107="si",0,IF(E1107="si",0,IF(J1107&gt;K1107,0,+K1107-J1107)))+IF('calcolo base'!P1799="SI",('Commissioni De Angeli'!K1107-'Commissioni De Angeli'!J1107),0)</f>
        <v>#N/A</v>
      </c>
      <c r="T1107" s="117" t="e">
        <f t="shared" si="205"/>
        <v>#N/A</v>
      </c>
      <c r="U1107" s="272" t="e">
        <f>IF(Q1107=0,'calcolo base'!L3706,(T1107+Q1107))</f>
        <v>#N/A</v>
      </c>
      <c r="V1107" s="119"/>
      <c r="Z1107" s="118">
        <f t="shared" si="196"/>
        <v>0</v>
      </c>
      <c r="AA1107" s="118">
        <f t="shared" si="197"/>
        <v>0</v>
      </c>
    </row>
    <row r="1108" spans="2:27">
      <c r="B1108" s="47"/>
      <c r="C1108" s="35"/>
      <c r="D1108" s="53"/>
      <c r="E1108" s="53"/>
      <c r="F1108" s="48"/>
      <c r="G1108" s="243" t="e">
        <f>INDEX('calcolo base'!$B:$B, MATCH($A1108, 'calcolo base'!$A:$A, 0))</f>
        <v>#N/A</v>
      </c>
      <c r="H1108" s="54" t="e">
        <f t="shared" si="198"/>
        <v>#N/A</v>
      </c>
      <c r="I1108" s="259" t="e">
        <f>IF(  OR(      INDEX('calcolo base'!$D:$D, MATCH($A1108, 'calcolo base'!$A:$A, 0)) = 0,
      INDEX('calcolo base'!$D:$D, MATCH($A1108, 'calcolo base'!$A:$A, 0)) = ""   ),
   INDEX('calcolo base'!$K:$K, MATCH($A1108, 'calcolo base'!$A:$A, 0)),
   INDEX('calcolo base'!$J:$J, MATCH($A1108, 'calcolo base'!$A:$A, 0))
) / 1000</f>
        <v>#N/A</v>
      </c>
      <c r="J1108" s="50" t="e">
        <f t="shared" si="199"/>
        <v>#N/A</v>
      </c>
      <c r="K1108" s="50"/>
      <c r="L1108" s="267" t="e">
        <f>INDEX('calcolo base'!$H:$H, MATCH($A1108, 'calcolo base'!$A:$A, 0))</f>
        <v>#N/A</v>
      </c>
      <c r="M1108" s="50" t="e">
        <f t="shared" si="200"/>
        <v>#N/A</v>
      </c>
      <c r="N1108" s="50" t="e">
        <f t="shared" si="201"/>
        <v>#N/A</v>
      </c>
      <c r="O1108" s="50" t="e">
        <f t="shared" si="206"/>
        <v>#N/A</v>
      </c>
      <c r="P1108" s="50" t="e">
        <f t="shared" si="202"/>
        <v>#N/A</v>
      </c>
      <c r="Q1108" s="51" t="e">
        <f t="shared" si="203"/>
        <v>#N/A</v>
      </c>
      <c r="R1108" s="205" t="e">
        <f t="shared" si="204"/>
        <v>#N/A</v>
      </c>
      <c r="S1108" s="279" t="e">
        <f>IF(R1108="si",0,IF(E1108="si",0,IF(J1108&gt;K1108,0,+K1108-J1108)))+IF('calcolo base'!P1800="SI",('Commissioni De Angeli'!K1108-'Commissioni De Angeli'!J1108),0)</f>
        <v>#N/A</v>
      </c>
      <c r="T1108" s="117" t="e">
        <f t="shared" si="205"/>
        <v>#N/A</v>
      </c>
      <c r="U1108" s="272" t="e">
        <f>IF(Q1108=0,'calcolo base'!L3707,(T1108+Q1108))</f>
        <v>#N/A</v>
      </c>
      <c r="V1108" s="119"/>
      <c r="Z1108" s="118">
        <f t="shared" si="196"/>
        <v>0</v>
      </c>
      <c r="AA1108" s="118">
        <f t="shared" si="197"/>
        <v>0</v>
      </c>
    </row>
    <row r="1109" spans="2:27">
      <c r="B1109" s="47"/>
      <c r="C1109" s="35"/>
      <c r="D1109" s="53"/>
      <c r="E1109" s="53"/>
      <c r="F1109" s="48"/>
      <c r="G1109" s="243" t="e">
        <f>INDEX('calcolo base'!$B:$B, MATCH($A1109, 'calcolo base'!$A:$A, 0))</f>
        <v>#N/A</v>
      </c>
      <c r="H1109" s="54" t="e">
        <f t="shared" si="198"/>
        <v>#N/A</v>
      </c>
      <c r="I1109" s="259" t="e">
        <f>IF(  OR(      INDEX('calcolo base'!$D:$D, MATCH($A1109, 'calcolo base'!$A:$A, 0)) = 0,
      INDEX('calcolo base'!$D:$D, MATCH($A1109, 'calcolo base'!$A:$A, 0)) = ""   ),
   INDEX('calcolo base'!$K:$K, MATCH($A1109, 'calcolo base'!$A:$A, 0)),
   INDEX('calcolo base'!$J:$J, MATCH($A1109, 'calcolo base'!$A:$A, 0))
) / 1000</f>
        <v>#N/A</v>
      </c>
      <c r="J1109" s="50" t="e">
        <f t="shared" si="199"/>
        <v>#N/A</v>
      </c>
      <c r="K1109" s="50"/>
      <c r="L1109" s="267" t="e">
        <f>INDEX('calcolo base'!$H:$H, MATCH($A1109, 'calcolo base'!$A:$A, 0))</f>
        <v>#N/A</v>
      </c>
      <c r="M1109" s="50" t="e">
        <f t="shared" si="200"/>
        <v>#N/A</v>
      </c>
      <c r="N1109" s="50" t="e">
        <f t="shared" si="201"/>
        <v>#N/A</v>
      </c>
      <c r="O1109" s="50" t="e">
        <f t="shared" si="206"/>
        <v>#N/A</v>
      </c>
      <c r="P1109" s="50" t="e">
        <f t="shared" si="202"/>
        <v>#N/A</v>
      </c>
      <c r="Q1109" s="51" t="e">
        <f t="shared" si="203"/>
        <v>#N/A</v>
      </c>
      <c r="R1109" s="205" t="e">
        <f t="shared" si="204"/>
        <v>#N/A</v>
      </c>
      <c r="S1109" s="279" t="e">
        <f>IF(R1109="si",0,IF(E1109="si",0,IF(J1109&gt;K1109,0,+K1109-J1109)))+IF('calcolo base'!P1801="SI",('Commissioni De Angeli'!K1109-'Commissioni De Angeli'!J1109),0)</f>
        <v>#N/A</v>
      </c>
      <c r="T1109" s="117" t="e">
        <f t="shared" si="205"/>
        <v>#N/A</v>
      </c>
      <c r="U1109" s="272" t="e">
        <f>IF(Q1109=0,'calcolo base'!L3708,(T1109+Q1109))</f>
        <v>#N/A</v>
      </c>
      <c r="V1109" s="119"/>
      <c r="Z1109" s="118">
        <f t="shared" ref="Z1109:Z1172" si="207">IF(V1109="",0,MONTH(V1109))</f>
        <v>0</v>
      </c>
      <c r="AA1109" s="118">
        <f t="shared" ref="AA1109:AA1172" si="208">IF(V1109="",0,YEAR(V1109))</f>
        <v>0</v>
      </c>
    </row>
    <row r="1110" spans="2:27">
      <c r="B1110" s="47"/>
      <c r="C1110" s="35"/>
      <c r="D1110" s="53"/>
      <c r="E1110" s="53"/>
      <c r="F1110" s="48"/>
      <c r="G1110" s="243" t="e">
        <f>INDEX('calcolo base'!$B:$B, MATCH($A1110, 'calcolo base'!$A:$A, 0))</f>
        <v>#N/A</v>
      </c>
      <c r="H1110" s="54" t="e">
        <f t="shared" si="198"/>
        <v>#N/A</v>
      </c>
      <c r="I1110" s="259" t="e">
        <f>IF(  OR(      INDEX('calcolo base'!$D:$D, MATCH($A1110, 'calcolo base'!$A:$A, 0)) = 0,
      INDEX('calcolo base'!$D:$D, MATCH($A1110, 'calcolo base'!$A:$A, 0)) = ""   ),
   INDEX('calcolo base'!$K:$K, MATCH($A1110, 'calcolo base'!$A:$A, 0)),
   INDEX('calcolo base'!$J:$J, MATCH($A1110, 'calcolo base'!$A:$A, 0))
) / 1000</f>
        <v>#N/A</v>
      </c>
      <c r="J1110" s="50" t="e">
        <f t="shared" si="199"/>
        <v>#N/A</v>
      </c>
      <c r="K1110" s="50"/>
      <c r="L1110" s="267" t="e">
        <f>INDEX('calcolo base'!$H:$H, MATCH($A1110, 'calcolo base'!$A:$A, 0))</f>
        <v>#N/A</v>
      </c>
      <c r="M1110" s="50" t="e">
        <f t="shared" si="200"/>
        <v>#N/A</v>
      </c>
      <c r="N1110" s="50" t="e">
        <f t="shared" si="201"/>
        <v>#N/A</v>
      </c>
      <c r="O1110" s="50" t="e">
        <f t="shared" si="206"/>
        <v>#N/A</v>
      </c>
      <c r="P1110" s="50" t="e">
        <f t="shared" si="202"/>
        <v>#N/A</v>
      </c>
      <c r="Q1110" s="51" t="e">
        <f t="shared" si="203"/>
        <v>#N/A</v>
      </c>
      <c r="R1110" s="205" t="e">
        <f t="shared" si="204"/>
        <v>#N/A</v>
      </c>
      <c r="S1110" s="279" t="e">
        <f>IF(R1110="si",0,IF(E1110="si",0,IF(J1110&gt;K1110,0,+K1110-J1110)))+IF('calcolo base'!P1802="SI",('Commissioni De Angeli'!K1110-'Commissioni De Angeli'!J1110),0)</f>
        <v>#N/A</v>
      </c>
      <c r="T1110" s="117" t="e">
        <f t="shared" si="205"/>
        <v>#N/A</v>
      </c>
      <c r="U1110" s="272" t="e">
        <f>IF(Q1110=0,'calcolo base'!L3709,(T1110+Q1110))</f>
        <v>#N/A</v>
      </c>
      <c r="V1110" s="119"/>
      <c r="Z1110" s="118">
        <f t="shared" si="207"/>
        <v>0</v>
      </c>
      <c r="AA1110" s="118">
        <f t="shared" si="208"/>
        <v>0</v>
      </c>
    </row>
    <row r="1111" spans="2:27">
      <c r="B1111" s="47"/>
      <c r="C1111" s="35"/>
      <c r="D1111" s="53"/>
      <c r="E1111" s="53"/>
      <c r="F1111" s="48"/>
      <c r="G1111" s="243" t="e">
        <f>INDEX('calcolo base'!$B:$B, MATCH($A1111, 'calcolo base'!$A:$A, 0))</f>
        <v>#N/A</v>
      </c>
      <c r="H1111" s="54" t="e">
        <f t="shared" si="198"/>
        <v>#N/A</v>
      </c>
      <c r="I1111" s="259" t="e">
        <f>IF(  OR(      INDEX('calcolo base'!$D:$D, MATCH($A1111, 'calcolo base'!$A:$A, 0)) = 0,
      INDEX('calcolo base'!$D:$D, MATCH($A1111, 'calcolo base'!$A:$A, 0)) = ""   ),
   INDEX('calcolo base'!$K:$K, MATCH($A1111, 'calcolo base'!$A:$A, 0)),
   INDEX('calcolo base'!$J:$J, MATCH($A1111, 'calcolo base'!$A:$A, 0))
) / 1000</f>
        <v>#N/A</v>
      </c>
      <c r="J1111" s="50" t="e">
        <f t="shared" si="199"/>
        <v>#N/A</v>
      </c>
      <c r="K1111" s="50"/>
      <c r="L1111" s="267" t="e">
        <f>INDEX('calcolo base'!$H:$H, MATCH($A1111, 'calcolo base'!$A:$A, 0))</f>
        <v>#N/A</v>
      </c>
      <c r="M1111" s="50" t="e">
        <f t="shared" si="200"/>
        <v>#N/A</v>
      </c>
      <c r="N1111" s="50" t="e">
        <f t="shared" si="201"/>
        <v>#N/A</v>
      </c>
      <c r="O1111" s="50" t="e">
        <f t="shared" si="206"/>
        <v>#N/A</v>
      </c>
      <c r="P1111" s="50" t="e">
        <f t="shared" si="202"/>
        <v>#N/A</v>
      </c>
      <c r="Q1111" s="51" t="e">
        <f t="shared" si="203"/>
        <v>#N/A</v>
      </c>
      <c r="R1111" s="205" t="e">
        <f t="shared" si="204"/>
        <v>#N/A</v>
      </c>
      <c r="S1111" s="279" t="e">
        <f>IF(R1111="si",0,IF(E1111="si",0,IF(J1111&gt;K1111,0,+K1111-J1111)))+IF('calcolo base'!P1803="SI",('Commissioni De Angeli'!K1111-'Commissioni De Angeli'!J1111),0)</f>
        <v>#N/A</v>
      </c>
      <c r="T1111" s="117" t="e">
        <f t="shared" si="205"/>
        <v>#N/A</v>
      </c>
      <c r="U1111" s="272" t="e">
        <f>IF(Q1111=0,'calcolo base'!L3710,(T1111+Q1111))</f>
        <v>#N/A</v>
      </c>
      <c r="V1111" s="119"/>
      <c r="Z1111" s="118">
        <f t="shared" si="207"/>
        <v>0</v>
      </c>
      <c r="AA1111" s="118">
        <f t="shared" si="208"/>
        <v>0</v>
      </c>
    </row>
    <row r="1112" spans="2:27">
      <c r="B1112" s="47"/>
      <c r="C1112" s="35"/>
      <c r="D1112" s="53"/>
      <c r="E1112" s="53"/>
      <c r="F1112" s="48"/>
      <c r="G1112" s="243" t="e">
        <f>INDEX('calcolo base'!$B:$B, MATCH($A1112, 'calcolo base'!$A:$A, 0))</f>
        <v>#N/A</v>
      </c>
      <c r="H1112" s="54" t="e">
        <f t="shared" si="198"/>
        <v>#N/A</v>
      </c>
      <c r="I1112" s="259" t="e">
        <f>IF(  OR(      INDEX('calcolo base'!$D:$D, MATCH($A1112, 'calcolo base'!$A:$A, 0)) = 0,
      INDEX('calcolo base'!$D:$D, MATCH($A1112, 'calcolo base'!$A:$A, 0)) = ""   ),
   INDEX('calcolo base'!$K:$K, MATCH($A1112, 'calcolo base'!$A:$A, 0)),
   INDEX('calcolo base'!$J:$J, MATCH($A1112, 'calcolo base'!$A:$A, 0))
) / 1000</f>
        <v>#N/A</v>
      </c>
      <c r="J1112" s="50" t="e">
        <f t="shared" si="199"/>
        <v>#N/A</v>
      </c>
      <c r="K1112" s="50"/>
      <c r="L1112" s="267" t="e">
        <f>INDEX('calcolo base'!$H:$H, MATCH($A1112, 'calcolo base'!$A:$A, 0))</f>
        <v>#N/A</v>
      </c>
      <c r="M1112" s="50" t="e">
        <f t="shared" si="200"/>
        <v>#N/A</v>
      </c>
      <c r="N1112" s="50" t="e">
        <f t="shared" si="201"/>
        <v>#N/A</v>
      </c>
      <c r="O1112" s="50" t="e">
        <f t="shared" si="206"/>
        <v>#N/A</v>
      </c>
      <c r="P1112" s="50" t="e">
        <f t="shared" si="202"/>
        <v>#N/A</v>
      </c>
      <c r="Q1112" s="51" t="e">
        <f t="shared" si="203"/>
        <v>#N/A</v>
      </c>
      <c r="R1112" s="205" t="e">
        <f t="shared" si="204"/>
        <v>#N/A</v>
      </c>
      <c r="S1112" s="279" t="e">
        <f>IF(R1112="si",0,IF(E1112="si",0,IF(J1112&gt;K1112,0,+K1112-J1112)))+IF('calcolo base'!P1804="SI",('Commissioni De Angeli'!K1112-'Commissioni De Angeli'!J1112),0)</f>
        <v>#N/A</v>
      </c>
      <c r="T1112" s="117" t="e">
        <f t="shared" si="205"/>
        <v>#N/A</v>
      </c>
      <c r="U1112" s="272" t="e">
        <f>IF(Q1112=0,'calcolo base'!L3711,(T1112+Q1112))</f>
        <v>#N/A</v>
      </c>
      <c r="V1112" s="119"/>
      <c r="Z1112" s="118">
        <f t="shared" si="207"/>
        <v>0</v>
      </c>
      <c r="AA1112" s="118">
        <f t="shared" si="208"/>
        <v>0</v>
      </c>
    </row>
    <row r="1113" spans="2:27">
      <c r="B1113" s="47"/>
      <c r="C1113" s="35"/>
      <c r="D1113" s="53"/>
      <c r="E1113" s="53"/>
      <c r="F1113" s="48"/>
      <c r="G1113" s="243" t="e">
        <f>INDEX('calcolo base'!$B:$B, MATCH($A1113, 'calcolo base'!$A:$A, 0))</f>
        <v>#N/A</v>
      </c>
      <c r="H1113" s="54" t="e">
        <f t="shared" si="198"/>
        <v>#N/A</v>
      </c>
      <c r="I1113" s="259" t="e">
        <f>IF(  OR(      INDEX('calcolo base'!$D:$D, MATCH($A1113, 'calcolo base'!$A:$A, 0)) = 0,
      INDEX('calcolo base'!$D:$D, MATCH($A1113, 'calcolo base'!$A:$A, 0)) = ""   ),
   INDEX('calcolo base'!$K:$K, MATCH($A1113, 'calcolo base'!$A:$A, 0)),
   INDEX('calcolo base'!$J:$J, MATCH($A1113, 'calcolo base'!$A:$A, 0))
) / 1000</f>
        <v>#N/A</v>
      </c>
      <c r="J1113" s="50" t="e">
        <f t="shared" si="199"/>
        <v>#N/A</v>
      </c>
      <c r="K1113" s="50"/>
      <c r="L1113" s="267" t="e">
        <f>INDEX('calcolo base'!$H:$H, MATCH($A1113, 'calcolo base'!$A:$A, 0))</f>
        <v>#N/A</v>
      </c>
      <c r="M1113" s="50" t="e">
        <f t="shared" si="200"/>
        <v>#N/A</v>
      </c>
      <c r="N1113" s="50" t="e">
        <f t="shared" si="201"/>
        <v>#N/A</v>
      </c>
      <c r="O1113" s="50" t="e">
        <f t="shared" si="206"/>
        <v>#N/A</v>
      </c>
      <c r="P1113" s="50" t="e">
        <f t="shared" si="202"/>
        <v>#N/A</v>
      </c>
      <c r="Q1113" s="51" t="e">
        <f t="shared" si="203"/>
        <v>#N/A</v>
      </c>
      <c r="R1113" s="205" t="e">
        <f t="shared" si="204"/>
        <v>#N/A</v>
      </c>
      <c r="S1113" s="279" t="e">
        <f>IF(R1113="si",0,IF(E1113="si",0,IF(J1113&gt;K1113,0,+K1113-J1113)))+IF('calcolo base'!P1805="SI",('Commissioni De Angeli'!K1113-'Commissioni De Angeli'!J1113),0)</f>
        <v>#N/A</v>
      </c>
      <c r="T1113" s="117" t="e">
        <f t="shared" si="205"/>
        <v>#N/A</v>
      </c>
      <c r="U1113" s="272" t="e">
        <f>IF(Q1113=0,'calcolo base'!L3712,(T1113+Q1113))</f>
        <v>#N/A</v>
      </c>
      <c r="V1113" s="119"/>
      <c r="Z1113" s="118">
        <f t="shared" si="207"/>
        <v>0</v>
      </c>
      <c r="AA1113" s="118">
        <f t="shared" si="208"/>
        <v>0</v>
      </c>
    </row>
    <row r="1114" spans="2:27">
      <c r="B1114" s="47"/>
      <c r="C1114" s="35"/>
      <c r="D1114" s="53"/>
      <c r="E1114" s="53"/>
      <c r="F1114" s="48"/>
      <c r="G1114" s="243" t="e">
        <f>INDEX('calcolo base'!$B:$B, MATCH($A1114, 'calcolo base'!$A:$A, 0))</f>
        <v>#N/A</v>
      </c>
      <c r="H1114" s="54" t="e">
        <f t="shared" si="198"/>
        <v>#N/A</v>
      </c>
      <c r="I1114" s="259" t="e">
        <f>IF(  OR(      INDEX('calcolo base'!$D:$D, MATCH($A1114, 'calcolo base'!$A:$A, 0)) = 0,
      INDEX('calcolo base'!$D:$D, MATCH($A1114, 'calcolo base'!$A:$A, 0)) = ""   ),
   INDEX('calcolo base'!$K:$K, MATCH($A1114, 'calcolo base'!$A:$A, 0)),
   INDEX('calcolo base'!$J:$J, MATCH($A1114, 'calcolo base'!$A:$A, 0))
) / 1000</f>
        <v>#N/A</v>
      </c>
      <c r="J1114" s="50" t="e">
        <f t="shared" si="199"/>
        <v>#N/A</v>
      </c>
      <c r="K1114" s="50"/>
      <c r="L1114" s="267" t="e">
        <f>INDEX('calcolo base'!$H:$H, MATCH($A1114, 'calcolo base'!$A:$A, 0))</f>
        <v>#N/A</v>
      </c>
      <c r="M1114" s="50" t="e">
        <f t="shared" si="200"/>
        <v>#N/A</v>
      </c>
      <c r="N1114" s="50" t="e">
        <f t="shared" si="201"/>
        <v>#N/A</v>
      </c>
      <c r="O1114" s="50" t="e">
        <f t="shared" si="206"/>
        <v>#N/A</v>
      </c>
      <c r="P1114" s="50" t="e">
        <f t="shared" si="202"/>
        <v>#N/A</v>
      </c>
      <c r="Q1114" s="51" t="e">
        <f t="shared" si="203"/>
        <v>#N/A</v>
      </c>
      <c r="R1114" s="205" t="e">
        <f t="shared" si="204"/>
        <v>#N/A</v>
      </c>
      <c r="S1114" s="279" t="e">
        <f>IF(R1114="si",0,IF(E1114="si",0,IF(J1114&gt;K1114,0,+K1114-J1114)))+IF('calcolo base'!P1806="SI",('Commissioni De Angeli'!K1114-'Commissioni De Angeli'!J1114),0)</f>
        <v>#N/A</v>
      </c>
      <c r="T1114" s="117" t="e">
        <f t="shared" si="205"/>
        <v>#N/A</v>
      </c>
      <c r="U1114" s="272" t="e">
        <f>IF(Q1114=0,'calcolo base'!L3713,(T1114+Q1114))</f>
        <v>#N/A</v>
      </c>
      <c r="V1114" s="119"/>
      <c r="Z1114" s="118">
        <f t="shared" si="207"/>
        <v>0</v>
      </c>
      <c r="AA1114" s="118">
        <f t="shared" si="208"/>
        <v>0</v>
      </c>
    </row>
    <row r="1115" spans="2:27">
      <c r="B1115" s="47"/>
      <c r="C1115" s="35"/>
      <c r="D1115" s="53"/>
      <c r="E1115" s="53"/>
      <c r="F1115" s="48"/>
      <c r="G1115" s="243" t="e">
        <f>INDEX('calcolo base'!$B:$B, MATCH($A1115, 'calcolo base'!$A:$A, 0))</f>
        <v>#N/A</v>
      </c>
      <c r="H1115" s="54" t="e">
        <f t="shared" si="198"/>
        <v>#N/A</v>
      </c>
      <c r="I1115" s="259" t="e">
        <f>IF(  OR(      INDEX('calcolo base'!$D:$D, MATCH($A1115, 'calcolo base'!$A:$A, 0)) = 0,
      INDEX('calcolo base'!$D:$D, MATCH($A1115, 'calcolo base'!$A:$A, 0)) = ""   ),
   INDEX('calcolo base'!$K:$K, MATCH($A1115, 'calcolo base'!$A:$A, 0)),
   INDEX('calcolo base'!$J:$J, MATCH($A1115, 'calcolo base'!$A:$A, 0))
) / 1000</f>
        <v>#N/A</v>
      </c>
      <c r="J1115" s="50" t="e">
        <f t="shared" si="199"/>
        <v>#N/A</v>
      </c>
      <c r="K1115" s="50"/>
      <c r="L1115" s="267" t="e">
        <f>INDEX('calcolo base'!$H:$H, MATCH($A1115, 'calcolo base'!$A:$A, 0))</f>
        <v>#N/A</v>
      </c>
      <c r="M1115" s="50" t="e">
        <f t="shared" si="200"/>
        <v>#N/A</v>
      </c>
      <c r="N1115" s="50" t="e">
        <f t="shared" si="201"/>
        <v>#N/A</v>
      </c>
      <c r="O1115" s="50" t="e">
        <f t="shared" si="206"/>
        <v>#N/A</v>
      </c>
      <c r="P1115" s="50" t="e">
        <f t="shared" si="202"/>
        <v>#N/A</v>
      </c>
      <c r="Q1115" s="51" t="e">
        <f t="shared" si="203"/>
        <v>#N/A</v>
      </c>
      <c r="R1115" s="205" t="e">
        <f t="shared" si="204"/>
        <v>#N/A</v>
      </c>
      <c r="S1115" s="279" t="e">
        <f>IF(R1115="si",0,IF(E1115="si",0,IF(J1115&gt;K1115,0,+K1115-J1115)))+IF('calcolo base'!P1807="SI",('Commissioni De Angeli'!K1115-'Commissioni De Angeli'!J1115),0)</f>
        <v>#N/A</v>
      </c>
      <c r="T1115" s="117" t="e">
        <f t="shared" si="205"/>
        <v>#N/A</v>
      </c>
      <c r="U1115" s="272" t="e">
        <f>IF(Q1115=0,'calcolo base'!L3714,(T1115+Q1115))</f>
        <v>#N/A</v>
      </c>
      <c r="V1115" s="119"/>
      <c r="Z1115" s="118">
        <f t="shared" si="207"/>
        <v>0</v>
      </c>
      <c r="AA1115" s="118">
        <f t="shared" si="208"/>
        <v>0</v>
      </c>
    </row>
    <row r="1116" spans="2:27">
      <c r="B1116" s="47"/>
      <c r="C1116" s="35"/>
      <c r="D1116" s="53"/>
      <c r="E1116" s="53"/>
      <c r="F1116" s="48"/>
      <c r="G1116" s="243" t="e">
        <f>INDEX('calcolo base'!$B:$B, MATCH($A1116, 'calcolo base'!$A:$A, 0))</f>
        <v>#N/A</v>
      </c>
      <c r="H1116" s="54" t="e">
        <f t="shared" ref="H1116:H1179" si="209">IF(G1116=0,"",+G1116)</f>
        <v>#N/A</v>
      </c>
      <c r="I1116" s="259" t="e">
        <f>IF(  OR(      INDEX('calcolo base'!$D:$D, MATCH($A1116, 'calcolo base'!$A:$A, 0)) = 0,
      INDEX('calcolo base'!$D:$D, MATCH($A1116, 'calcolo base'!$A:$A, 0)) = ""   ),
   INDEX('calcolo base'!$K:$K, MATCH($A1116, 'calcolo base'!$A:$A, 0)),
   INDEX('calcolo base'!$J:$J, MATCH($A1116, 'calcolo base'!$A:$A, 0))
) / 1000</f>
        <v>#N/A</v>
      </c>
      <c r="J1116" s="50" t="e">
        <f t="shared" ref="J1116:J1179" si="210">+F1116+I1116</f>
        <v>#N/A</v>
      </c>
      <c r="K1116" s="50"/>
      <c r="L1116" s="267" t="e">
        <f>INDEX('calcolo base'!$H:$H, MATCH($A1116, 'calcolo base'!$A:$A, 0))</f>
        <v>#N/A</v>
      </c>
      <c r="M1116" s="50" t="e">
        <f t="shared" ref="M1116:M1179" si="211">IF(L1116=0,0,J1116*L1116)</f>
        <v>#N/A</v>
      </c>
      <c r="N1116" s="50" t="e">
        <f t="shared" ref="N1116:N1179" si="212">IF(E1116="si",K1116*1.5%,IF($L1116&gt;=5%,IF($I1116=0,0,(IF($G1116="RAME",($J1116)*1.5%,0)+IF($G1116="rame smaltato",($K1116)*1.5%,0))),0))</f>
        <v>#N/A</v>
      </c>
      <c r="O1116" s="50" t="e">
        <f t="shared" si="206"/>
        <v>#N/A</v>
      </c>
      <c r="P1116" s="50" t="e">
        <f t="shared" ref="P1116:P1179" si="213">IF(H1116="alluminio",0,IF(L1116&lt;5%,F1116*8%,0))</f>
        <v>#N/A</v>
      </c>
      <c r="Q1116" s="51" t="e">
        <f t="shared" ref="Q1116:Q1179" si="214">+(N1116*D1116)+(O1116*D1116)+(P1116*D1116)</f>
        <v>#N/A</v>
      </c>
      <c r="R1116" s="205" t="e">
        <f t="shared" ref="R1116:R1179" si="215">IF(H1116="ALLUMINIO",0,IF(L1116&lt;5%,"si",0))</f>
        <v>#N/A</v>
      </c>
      <c r="S1116" s="279" t="e">
        <f>IF(R1116="si",0,IF(E1116="si",0,IF(J1116&gt;K1116,0,+K1116-J1116)))+IF('calcolo base'!P1808="SI",('Commissioni De Angeli'!K1116-'Commissioni De Angeli'!J1116),0)</f>
        <v>#N/A</v>
      </c>
      <c r="T1116" s="117" t="e">
        <f t="shared" ref="T1116:T1179" si="216">+(S1116)*D1116*40%</f>
        <v>#N/A</v>
      </c>
      <c r="U1116" s="272" t="e">
        <f>IF(Q1116=0,'calcolo base'!L3715,(T1116+Q1116))</f>
        <v>#N/A</v>
      </c>
      <c r="V1116" s="119"/>
      <c r="Z1116" s="118">
        <f t="shared" si="207"/>
        <v>0</v>
      </c>
      <c r="AA1116" s="118">
        <f t="shared" si="208"/>
        <v>0</v>
      </c>
    </row>
    <row r="1117" spans="2:27">
      <c r="B1117" s="47"/>
      <c r="C1117" s="35"/>
      <c r="D1117" s="53"/>
      <c r="E1117" s="53"/>
      <c r="F1117" s="48"/>
      <c r="G1117" s="243" t="e">
        <f>INDEX('calcolo base'!$B:$B, MATCH($A1117, 'calcolo base'!$A:$A, 0))</f>
        <v>#N/A</v>
      </c>
      <c r="H1117" s="54" t="e">
        <f t="shared" si="209"/>
        <v>#N/A</v>
      </c>
      <c r="I1117" s="259" t="e">
        <f>IF(  OR(      INDEX('calcolo base'!$D:$D, MATCH($A1117, 'calcolo base'!$A:$A, 0)) = 0,
      INDEX('calcolo base'!$D:$D, MATCH($A1117, 'calcolo base'!$A:$A, 0)) = ""   ),
   INDEX('calcolo base'!$K:$K, MATCH($A1117, 'calcolo base'!$A:$A, 0)),
   INDEX('calcolo base'!$J:$J, MATCH($A1117, 'calcolo base'!$A:$A, 0))
) / 1000</f>
        <v>#N/A</v>
      </c>
      <c r="J1117" s="50" t="e">
        <f t="shared" si="210"/>
        <v>#N/A</v>
      </c>
      <c r="K1117" s="50"/>
      <c r="L1117" s="267" t="e">
        <f>INDEX('calcolo base'!$H:$H, MATCH($A1117, 'calcolo base'!$A:$A, 0))</f>
        <v>#N/A</v>
      </c>
      <c r="M1117" s="50" t="e">
        <f t="shared" si="211"/>
        <v>#N/A</v>
      </c>
      <c r="N1117" s="50" t="e">
        <f t="shared" si="212"/>
        <v>#N/A</v>
      </c>
      <c r="O1117" s="50" t="e">
        <f t="shared" si="206"/>
        <v>#N/A</v>
      </c>
      <c r="P1117" s="50" t="e">
        <f t="shared" si="213"/>
        <v>#N/A</v>
      </c>
      <c r="Q1117" s="51" t="e">
        <f t="shared" si="214"/>
        <v>#N/A</v>
      </c>
      <c r="R1117" s="205" t="e">
        <f t="shared" si="215"/>
        <v>#N/A</v>
      </c>
      <c r="S1117" s="279" t="e">
        <f>IF(R1117="si",0,IF(E1117="si",0,IF(J1117&gt;K1117,0,+K1117-J1117)))+IF('calcolo base'!P1809="SI",('Commissioni De Angeli'!K1117-'Commissioni De Angeli'!J1117),0)</f>
        <v>#N/A</v>
      </c>
      <c r="T1117" s="117" t="e">
        <f t="shared" si="216"/>
        <v>#N/A</v>
      </c>
      <c r="U1117" s="272" t="e">
        <f>IF(Q1117=0,'calcolo base'!L3716,(T1117+Q1117))</f>
        <v>#N/A</v>
      </c>
      <c r="V1117" s="119"/>
      <c r="Z1117" s="118">
        <f t="shared" si="207"/>
        <v>0</v>
      </c>
      <c r="AA1117" s="118">
        <f t="shared" si="208"/>
        <v>0</v>
      </c>
    </row>
    <row r="1118" spans="2:27">
      <c r="B1118" s="47"/>
      <c r="C1118" s="35"/>
      <c r="D1118" s="53"/>
      <c r="E1118" s="53"/>
      <c r="F1118" s="48"/>
      <c r="G1118" s="243" t="e">
        <f>INDEX('calcolo base'!$B:$B, MATCH($A1118, 'calcolo base'!$A:$A, 0))</f>
        <v>#N/A</v>
      </c>
      <c r="H1118" s="54" t="e">
        <f t="shared" si="209"/>
        <v>#N/A</v>
      </c>
      <c r="I1118" s="259" t="e">
        <f>IF(  OR(      INDEX('calcolo base'!$D:$D, MATCH($A1118, 'calcolo base'!$A:$A, 0)) = 0,
      INDEX('calcolo base'!$D:$D, MATCH($A1118, 'calcolo base'!$A:$A, 0)) = ""   ),
   INDEX('calcolo base'!$K:$K, MATCH($A1118, 'calcolo base'!$A:$A, 0)),
   INDEX('calcolo base'!$J:$J, MATCH($A1118, 'calcolo base'!$A:$A, 0))
) / 1000</f>
        <v>#N/A</v>
      </c>
      <c r="J1118" s="50" t="e">
        <f t="shared" si="210"/>
        <v>#N/A</v>
      </c>
      <c r="K1118" s="50"/>
      <c r="L1118" s="267" t="e">
        <f>INDEX('calcolo base'!$H:$H, MATCH($A1118, 'calcolo base'!$A:$A, 0))</f>
        <v>#N/A</v>
      </c>
      <c r="M1118" s="50" t="e">
        <f t="shared" si="211"/>
        <v>#N/A</v>
      </c>
      <c r="N1118" s="50" t="e">
        <f t="shared" si="212"/>
        <v>#N/A</v>
      </c>
      <c r="O1118" s="50" t="e">
        <f t="shared" si="206"/>
        <v>#N/A</v>
      </c>
      <c r="P1118" s="50" t="e">
        <f t="shared" si="213"/>
        <v>#N/A</v>
      </c>
      <c r="Q1118" s="51" t="e">
        <f t="shared" si="214"/>
        <v>#N/A</v>
      </c>
      <c r="R1118" s="205" t="e">
        <f t="shared" si="215"/>
        <v>#N/A</v>
      </c>
      <c r="S1118" s="279" t="e">
        <f>IF(R1118="si",0,IF(E1118="si",0,IF(J1118&gt;K1118,0,+K1118-J1118)))+IF('calcolo base'!P1810="SI",('Commissioni De Angeli'!K1118-'Commissioni De Angeli'!J1118),0)</f>
        <v>#N/A</v>
      </c>
      <c r="T1118" s="117" t="e">
        <f t="shared" si="216"/>
        <v>#N/A</v>
      </c>
      <c r="U1118" s="272" t="e">
        <f>IF(Q1118=0,'calcolo base'!L3717,(T1118+Q1118))</f>
        <v>#N/A</v>
      </c>
      <c r="V1118" s="119"/>
      <c r="Z1118" s="118">
        <f t="shared" si="207"/>
        <v>0</v>
      </c>
      <c r="AA1118" s="118">
        <f t="shared" si="208"/>
        <v>0</v>
      </c>
    </row>
    <row r="1119" spans="2:27">
      <c r="B1119" s="47"/>
      <c r="C1119" s="35"/>
      <c r="D1119" s="53"/>
      <c r="E1119" s="53"/>
      <c r="F1119" s="48"/>
      <c r="G1119" s="243" t="e">
        <f>INDEX('calcolo base'!$B:$B, MATCH($A1119, 'calcolo base'!$A:$A, 0))</f>
        <v>#N/A</v>
      </c>
      <c r="H1119" s="54" t="e">
        <f t="shared" si="209"/>
        <v>#N/A</v>
      </c>
      <c r="I1119" s="259" t="e">
        <f>IF(  OR(      INDEX('calcolo base'!$D:$D, MATCH($A1119, 'calcolo base'!$A:$A, 0)) = 0,
      INDEX('calcolo base'!$D:$D, MATCH($A1119, 'calcolo base'!$A:$A, 0)) = ""   ),
   INDEX('calcolo base'!$K:$K, MATCH($A1119, 'calcolo base'!$A:$A, 0)),
   INDEX('calcolo base'!$J:$J, MATCH($A1119, 'calcolo base'!$A:$A, 0))
) / 1000</f>
        <v>#N/A</v>
      </c>
      <c r="J1119" s="50" t="e">
        <f t="shared" si="210"/>
        <v>#N/A</v>
      </c>
      <c r="K1119" s="50"/>
      <c r="L1119" s="267" t="e">
        <f>INDEX('calcolo base'!$H:$H, MATCH($A1119, 'calcolo base'!$A:$A, 0))</f>
        <v>#N/A</v>
      </c>
      <c r="M1119" s="50" t="e">
        <f t="shared" si="211"/>
        <v>#N/A</v>
      </c>
      <c r="N1119" s="50" t="e">
        <f t="shared" si="212"/>
        <v>#N/A</v>
      </c>
      <c r="O1119" s="50" t="e">
        <f t="shared" si="206"/>
        <v>#N/A</v>
      </c>
      <c r="P1119" s="50" t="e">
        <f t="shared" si="213"/>
        <v>#N/A</v>
      </c>
      <c r="Q1119" s="51" t="e">
        <f t="shared" si="214"/>
        <v>#N/A</v>
      </c>
      <c r="R1119" s="205" t="e">
        <f t="shared" si="215"/>
        <v>#N/A</v>
      </c>
      <c r="S1119" s="279" t="e">
        <f>IF(R1119="si",0,IF(E1119="si",0,IF(J1119&gt;K1119,0,+K1119-J1119)))+IF('calcolo base'!P1811="SI",('Commissioni De Angeli'!K1119-'Commissioni De Angeli'!J1119),0)</f>
        <v>#N/A</v>
      </c>
      <c r="T1119" s="117" t="e">
        <f t="shared" si="216"/>
        <v>#N/A</v>
      </c>
      <c r="U1119" s="272" t="e">
        <f>IF(Q1119=0,'calcolo base'!L3718,(T1119+Q1119))</f>
        <v>#N/A</v>
      </c>
      <c r="V1119" s="119"/>
      <c r="Z1119" s="118">
        <f t="shared" si="207"/>
        <v>0</v>
      </c>
      <c r="AA1119" s="118">
        <f t="shared" si="208"/>
        <v>0</v>
      </c>
    </row>
    <row r="1120" spans="2:27">
      <c r="B1120" s="47"/>
      <c r="C1120" s="35"/>
      <c r="D1120" s="53"/>
      <c r="E1120" s="53"/>
      <c r="F1120" s="48"/>
      <c r="G1120" s="243" t="e">
        <f>INDEX('calcolo base'!$B:$B, MATCH($A1120, 'calcolo base'!$A:$A, 0))</f>
        <v>#N/A</v>
      </c>
      <c r="H1120" s="54" t="e">
        <f t="shared" si="209"/>
        <v>#N/A</v>
      </c>
      <c r="I1120" s="259" t="e">
        <f>IF(  OR(      INDEX('calcolo base'!$D:$D, MATCH($A1120, 'calcolo base'!$A:$A, 0)) = 0,
      INDEX('calcolo base'!$D:$D, MATCH($A1120, 'calcolo base'!$A:$A, 0)) = ""   ),
   INDEX('calcolo base'!$K:$K, MATCH($A1120, 'calcolo base'!$A:$A, 0)),
   INDEX('calcolo base'!$J:$J, MATCH($A1120, 'calcolo base'!$A:$A, 0))
) / 1000</f>
        <v>#N/A</v>
      </c>
      <c r="J1120" s="50" t="e">
        <f t="shared" si="210"/>
        <v>#N/A</v>
      </c>
      <c r="K1120" s="50"/>
      <c r="L1120" s="267" t="e">
        <f>INDEX('calcolo base'!$H:$H, MATCH($A1120, 'calcolo base'!$A:$A, 0))</f>
        <v>#N/A</v>
      </c>
      <c r="M1120" s="50" t="e">
        <f t="shared" si="211"/>
        <v>#N/A</v>
      </c>
      <c r="N1120" s="50" t="e">
        <f t="shared" si="212"/>
        <v>#N/A</v>
      </c>
      <c r="O1120" s="50" t="e">
        <f t="shared" si="206"/>
        <v>#N/A</v>
      </c>
      <c r="P1120" s="50" t="e">
        <f t="shared" si="213"/>
        <v>#N/A</v>
      </c>
      <c r="Q1120" s="51" t="e">
        <f t="shared" si="214"/>
        <v>#N/A</v>
      </c>
      <c r="R1120" s="205" t="e">
        <f t="shared" si="215"/>
        <v>#N/A</v>
      </c>
      <c r="S1120" s="279" t="e">
        <f>IF(R1120="si",0,IF(E1120="si",0,IF(J1120&gt;K1120,0,+K1120-J1120)))+IF('calcolo base'!P1812="SI",('Commissioni De Angeli'!K1120-'Commissioni De Angeli'!J1120),0)</f>
        <v>#N/A</v>
      </c>
      <c r="T1120" s="117" t="e">
        <f t="shared" si="216"/>
        <v>#N/A</v>
      </c>
      <c r="U1120" s="272" t="e">
        <f>IF(Q1120=0,'calcolo base'!L3719,(T1120+Q1120))</f>
        <v>#N/A</v>
      </c>
      <c r="V1120" s="119"/>
      <c r="Z1120" s="118">
        <f t="shared" si="207"/>
        <v>0</v>
      </c>
      <c r="AA1120" s="118">
        <f t="shared" si="208"/>
        <v>0</v>
      </c>
    </row>
    <row r="1121" spans="2:27">
      <c r="B1121" s="47"/>
      <c r="C1121" s="35"/>
      <c r="D1121" s="53"/>
      <c r="E1121" s="53"/>
      <c r="F1121" s="48"/>
      <c r="G1121" s="243" t="e">
        <f>INDEX('calcolo base'!$B:$B, MATCH($A1121, 'calcolo base'!$A:$A, 0))</f>
        <v>#N/A</v>
      </c>
      <c r="H1121" s="54" t="e">
        <f t="shared" si="209"/>
        <v>#N/A</v>
      </c>
      <c r="I1121" s="259" t="e">
        <f>IF(  OR(      INDEX('calcolo base'!$D:$D, MATCH($A1121, 'calcolo base'!$A:$A, 0)) = 0,
      INDEX('calcolo base'!$D:$D, MATCH($A1121, 'calcolo base'!$A:$A, 0)) = ""   ),
   INDEX('calcolo base'!$K:$K, MATCH($A1121, 'calcolo base'!$A:$A, 0)),
   INDEX('calcolo base'!$J:$J, MATCH($A1121, 'calcolo base'!$A:$A, 0))
) / 1000</f>
        <v>#N/A</v>
      </c>
      <c r="J1121" s="50" t="e">
        <f t="shared" si="210"/>
        <v>#N/A</v>
      </c>
      <c r="K1121" s="50"/>
      <c r="L1121" s="267" t="e">
        <f>INDEX('calcolo base'!$H:$H, MATCH($A1121, 'calcolo base'!$A:$A, 0))</f>
        <v>#N/A</v>
      </c>
      <c r="M1121" s="50" t="e">
        <f t="shared" si="211"/>
        <v>#N/A</v>
      </c>
      <c r="N1121" s="50" t="e">
        <f t="shared" si="212"/>
        <v>#N/A</v>
      </c>
      <c r="O1121" s="50" t="e">
        <f t="shared" si="206"/>
        <v>#N/A</v>
      </c>
      <c r="P1121" s="50" t="e">
        <f t="shared" si="213"/>
        <v>#N/A</v>
      </c>
      <c r="Q1121" s="51" t="e">
        <f t="shared" si="214"/>
        <v>#N/A</v>
      </c>
      <c r="R1121" s="205" t="e">
        <f t="shared" si="215"/>
        <v>#N/A</v>
      </c>
      <c r="S1121" s="279" t="e">
        <f>IF(R1121="si",0,IF(E1121="si",0,IF(J1121&gt;K1121,0,+K1121-J1121)))+IF('calcolo base'!P1813="SI",('Commissioni De Angeli'!K1121-'Commissioni De Angeli'!J1121),0)</f>
        <v>#N/A</v>
      </c>
      <c r="T1121" s="117" t="e">
        <f t="shared" si="216"/>
        <v>#N/A</v>
      </c>
      <c r="U1121" s="272" t="e">
        <f>IF(Q1121=0,'calcolo base'!L3720,(T1121+Q1121))</f>
        <v>#N/A</v>
      </c>
      <c r="V1121" s="119"/>
      <c r="Z1121" s="118">
        <f t="shared" si="207"/>
        <v>0</v>
      </c>
      <c r="AA1121" s="118">
        <f t="shared" si="208"/>
        <v>0</v>
      </c>
    </row>
    <row r="1122" spans="2:27">
      <c r="B1122" s="47"/>
      <c r="C1122" s="35"/>
      <c r="D1122" s="53"/>
      <c r="E1122" s="53"/>
      <c r="F1122" s="48"/>
      <c r="G1122" s="243" t="e">
        <f>INDEX('calcolo base'!$B:$B, MATCH($A1122, 'calcolo base'!$A:$A, 0))</f>
        <v>#N/A</v>
      </c>
      <c r="H1122" s="54" t="e">
        <f t="shared" si="209"/>
        <v>#N/A</v>
      </c>
      <c r="I1122" s="259" t="e">
        <f>IF(  OR(      INDEX('calcolo base'!$D:$D, MATCH($A1122, 'calcolo base'!$A:$A, 0)) = 0,
      INDEX('calcolo base'!$D:$D, MATCH($A1122, 'calcolo base'!$A:$A, 0)) = ""   ),
   INDEX('calcolo base'!$K:$K, MATCH($A1122, 'calcolo base'!$A:$A, 0)),
   INDEX('calcolo base'!$J:$J, MATCH($A1122, 'calcolo base'!$A:$A, 0))
) / 1000</f>
        <v>#N/A</v>
      </c>
      <c r="J1122" s="50" t="e">
        <f t="shared" si="210"/>
        <v>#N/A</v>
      </c>
      <c r="K1122" s="50"/>
      <c r="L1122" s="267" t="e">
        <f>INDEX('calcolo base'!$H:$H, MATCH($A1122, 'calcolo base'!$A:$A, 0))</f>
        <v>#N/A</v>
      </c>
      <c r="M1122" s="50" t="e">
        <f t="shared" si="211"/>
        <v>#N/A</v>
      </c>
      <c r="N1122" s="50" t="e">
        <f t="shared" si="212"/>
        <v>#N/A</v>
      </c>
      <c r="O1122" s="50" t="e">
        <f t="shared" si="206"/>
        <v>#N/A</v>
      </c>
      <c r="P1122" s="50" t="e">
        <f t="shared" si="213"/>
        <v>#N/A</v>
      </c>
      <c r="Q1122" s="51" t="e">
        <f t="shared" si="214"/>
        <v>#N/A</v>
      </c>
      <c r="R1122" s="205" t="e">
        <f t="shared" si="215"/>
        <v>#N/A</v>
      </c>
      <c r="S1122" s="279" t="e">
        <f>IF(R1122="si",0,IF(E1122="si",0,IF(J1122&gt;K1122,0,+K1122-J1122)))+IF('calcolo base'!P1814="SI",('Commissioni De Angeli'!K1122-'Commissioni De Angeli'!J1122),0)</f>
        <v>#N/A</v>
      </c>
      <c r="T1122" s="117" t="e">
        <f t="shared" si="216"/>
        <v>#N/A</v>
      </c>
      <c r="U1122" s="272" t="e">
        <f>IF(Q1122=0,'calcolo base'!L3721,(T1122+Q1122))</f>
        <v>#N/A</v>
      </c>
      <c r="V1122" s="119"/>
      <c r="Z1122" s="118">
        <f t="shared" si="207"/>
        <v>0</v>
      </c>
      <c r="AA1122" s="118">
        <f t="shared" si="208"/>
        <v>0</v>
      </c>
    </row>
    <row r="1123" spans="2:27">
      <c r="B1123" s="47"/>
      <c r="C1123" s="35"/>
      <c r="D1123" s="53"/>
      <c r="E1123" s="53"/>
      <c r="F1123" s="48"/>
      <c r="G1123" s="243" t="e">
        <f>INDEX('calcolo base'!$B:$B, MATCH($A1123, 'calcolo base'!$A:$A, 0))</f>
        <v>#N/A</v>
      </c>
      <c r="H1123" s="54" t="e">
        <f t="shared" si="209"/>
        <v>#N/A</v>
      </c>
      <c r="I1123" s="259" t="e">
        <f>IF(  OR(      INDEX('calcolo base'!$D:$D, MATCH($A1123, 'calcolo base'!$A:$A, 0)) = 0,
      INDEX('calcolo base'!$D:$D, MATCH($A1123, 'calcolo base'!$A:$A, 0)) = ""   ),
   INDEX('calcolo base'!$K:$K, MATCH($A1123, 'calcolo base'!$A:$A, 0)),
   INDEX('calcolo base'!$J:$J, MATCH($A1123, 'calcolo base'!$A:$A, 0))
) / 1000</f>
        <v>#N/A</v>
      </c>
      <c r="J1123" s="50" t="e">
        <f t="shared" si="210"/>
        <v>#N/A</v>
      </c>
      <c r="K1123" s="50"/>
      <c r="L1123" s="267" t="e">
        <f>INDEX('calcolo base'!$H:$H, MATCH($A1123, 'calcolo base'!$A:$A, 0))</f>
        <v>#N/A</v>
      </c>
      <c r="M1123" s="50" t="e">
        <f t="shared" si="211"/>
        <v>#N/A</v>
      </c>
      <c r="N1123" s="50" t="e">
        <f t="shared" si="212"/>
        <v>#N/A</v>
      </c>
      <c r="O1123" s="50" t="e">
        <f t="shared" si="206"/>
        <v>#N/A</v>
      </c>
      <c r="P1123" s="50" t="e">
        <f t="shared" si="213"/>
        <v>#N/A</v>
      </c>
      <c r="Q1123" s="51" t="e">
        <f t="shared" si="214"/>
        <v>#N/A</v>
      </c>
      <c r="R1123" s="205" t="e">
        <f t="shared" si="215"/>
        <v>#N/A</v>
      </c>
      <c r="S1123" s="279" t="e">
        <f>IF(R1123="si",0,IF(E1123="si",0,IF(J1123&gt;K1123,0,+K1123-J1123)))+IF('calcolo base'!P1815="SI",('Commissioni De Angeli'!K1123-'Commissioni De Angeli'!J1123),0)</f>
        <v>#N/A</v>
      </c>
      <c r="T1123" s="117" t="e">
        <f t="shared" si="216"/>
        <v>#N/A</v>
      </c>
      <c r="U1123" s="272" t="e">
        <f>IF(Q1123=0,'calcolo base'!L3722,(T1123+Q1123))</f>
        <v>#N/A</v>
      </c>
      <c r="V1123" s="119"/>
      <c r="Z1123" s="118">
        <f t="shared" si="207"/>
        <v>0</v>
      </c>
      <c r="AA1123" s="118">
        <f t="shared" si="208"/>
        <v>0</v>
      </c>
    </row>
    <row r="1124" spans="2:27">
      <c r="B1124" s="47"/>
      <c r="C1124" s="35"/>
      <c r="D1124" s="53"/>
      <c r="E1124" s="53"/>
      <c r="F1124" s="48"/>
      <c r="G1124" s="243" t="e">
        <f>INDEX('calcolo base'!$B:$B, MATCH($A1124, 'calcolo base'!$A:$A, 0))</f>
        <v>#N/A</v>
      </c>
      <c r="H1124" s="54" t="e">
        <f t="shared" si="209"/>
        <v>#N/A</v>
      </c>
      <c r="I1124" s="259" t="e">
        <f>IF(  OR(      INDEX('calcolo base'!$D:$D, MATCH($A1124, 'calcolo base'!$A:$A, 0)) = 0,
      INDEX('calcolo base'!$D:$D, MATCH($A1124, 'calcolo base'!$A:$A, 0)) = ""   ),
   INDEX('calcolo base'!$K:$K, MATCH($A1124, 'calcolo base'!$A:$A, 0)),
   INDEX('calcolo base'!$J:$J, MATCH($A1124, 'calcolo base'!$A:$A, 0))
) / 1000</f>
        <v>#N/A</v>
      </c>
      <c r="J1124" s="50" t="e">
        <f t="shared" si="210"/>
        <v>#N/A</v>
      </c>
      <c r="K1124" s="50"/>
      <c r="L1124" s="267" t="e">
        <f>INDEX('calcolo base'!$H:$H, MATCH($A1124, 'calcolo base'!$A:$A, 0))</f>
        <v>#N/A</v>
      </c>
      <c r="M1124" s="50" t="e">
        <f t="shared" si="211"/>
        <v>#N/A</v>
      </c>
      <c r="N1124" s="50" t="e">
        <f t="shared" si="212"/>
        <v>#N/A</v>
      </c>
      <c r="O1124" s="50" t="e">
        <f t="shared" si="206"/>
        <v>#N/A</v>
      </c>
      <c r="P1124" s="50" t="e">
        <f t="shared" si="213"/>
        <v>#N/A</v>
      </c>
      <c r="Q1124" s="51" t="e">
        <f t="shared" si="214"/>
        <v>#N/A</v>
      </c>
      <c r="R1124" s="205" t="e">
        <f t="shared" si="215"/>
        <v>#N/A</v>
      </c>
      <c r="S1124" s="279" t="e">
        <f>IF(R1124="si",0,IF(E1124="si",0,IF(J1124&gt;K1124,0,+K1124-J1124)))+IF('calcolo base'!P1816="SI",('Commissioni De Angeli'!K1124-'Commissioni De Angeli'!J1124),0)</f>
        <v>#N/A</v>
      </c>
      <c r="T1124" s="117" t="e">
        <f t="shared" si="216"/>
        <v>#N/A</v>
      </c>
      <c r="U1124" s="272" t="e">
        <f>IF(Q1124=0,'calcolo base'!L3723,(T1124+Q1124))</f>
        <v>#N/A</v>
      </c>
      <c r="V1124" s="119"/>
      <c r="Z1124" s="118">
        <f t="shared" si="207"/>
        <v>0</v>
      </c>
      <c r="AA1124" s="118">
        <f t="shared" si="208"/>
        <v>0</v>
      </c>
    </row>
    <row r="1125" spans="2:27">
      <c r="B1125" s="47"/>
      <c r="C1125" s="35"/>
      <c r="D1125" s="53"/>
      <c r="E1125" s="53"/>
      <c r="F1125" s="48"/>
      <c r="G1125" s="243" t="e">
        <f>INDEX('calcolo base'!$B:$B, MATCH($A1125, 'calcolo base'!$A:$A, 0))</f>
        <v>#N/A</v>
      </c>
      <c r="H1125" s="54" t="e">
        <f t="shared" si="209"/>
        <v>#N/A</v>
      </c>
      <c r="I1125" s="259" t="e">
        <f>IF(  OR(      INDEX('calcolo base'!$D:$D, MATCH($A1125, 'calcolo base'!$A:$A, 0)) = 0,
      INDEX('calcolo base'!$D:$D, MATCH($A1125, 'calcolo base'!$A:$A, 0)) = ""   ),
   INDEX('calcolo base'!$K:$K, MATCH($A1125, 'calcolo base'!$A:$A, 0)),
   INDEX('calcolo base'!$J:$J, MATCH($A1125, 'calcolo base'!$A:$A, 0))
) / 1000</f>
        <v>#N/A</v>
      </c>
      <c r="J1125" s="50" t="e">
        <f t="shared" si="210"/>
        <v>#N/A</v>
      </c>
      <c r="K1125" s="50"/>
      <c r="L1125" s="267" t="e">
        <f>INDEX('calcolo base'!$H:$H, MATCH($A1125, 'calcolo base'!$A:$A, 0))</f>
        <v>#N/A</v>
      </c>
      <c r="M1125" s="50" t="e">
        <f t="shared" si="211"/>
        <v>#N/A</v>
      </c>
      <c r="N1125" s="50" t="e">
        <f t="shared" si="212"/>
        <v>#N/A</v>
      </c>
      <c r="O1125" s="50" t="e">
        <f t="shared" si="206"/>
        <v>#N/A</v>
      </c>
      <c r="P1125" s="50" t="e">
        <f t="shared" si="213"/>
        <v>#N/A</v>
      </c>
      <c r="Q1125" s="51" t="e">
        <f t="shared" si="214"/>
        <v>#N/A</v>
      </c>
      <c r="R1125" s="205" t="e">
        <f t="shared" si="215"/>
        <v>#N/A</v>
      </c>
      <c r="S1125" s="279" t="e">
        <f>IF(R1125="si",0,IF(E1125="si",0,IF(J1125&gt;K1125,0,+K1125-J1125)))+IF('calcolo base'!P1817="SI",('Commissioni De Angeli'!K1125-'Commissioni De Angeli'!J1125),0)</f>
        <v>#N/A</v>
      </c>
      <c r="T1125" s="117" t="e">
        <f t="shared" si="216"/>
        <v>#N/A</v>
      </c>
      <c r="U1125" s="272" t="e">
        <f>IF(Q1125=0,'calcolo base'!L3724,(T1125+Q1125))</f>
        <v>#N/A</v>
      </c>
      <c r="V1125" s="119"/>
      <c r="Z1125" s="118">
        <f t="shared" si="207"/>
        <v>0</v>
      </c>
      <c r="AA1125" s="118">
        <f t="shared" si="208"/>
        <v>0</v>
      </c>
    </row>
    <row r="1126" spans="2:27">
      <c r="B1126" s="47"/>
      <c r="C1126" s="35"/>
      <c r="D1126" s="53"/>
      <c r="E1126" s="53"/>
      <c r="F1126" s="48"/>
      <c r="G1126" s="243" t="e">
        <f>INDEX('calcolo base'!$B:$B, MATCH($A1126, 'calcolo base'!$A:$A, 0))</f>
        <v>#N/A</v>
      </c>
      <c r="H1126" s="54" t="e">
        <f t="shared" si="209"/>
        <v>#N/A</v>
      </c>
      <c r="I1126" s="259" t="e">
        <f>IF(  OR(      INDEX('calcolo base'!$D:$D, MATCH($A1126, 'calcolo base'!$A:$A, 0)) = 0,
      INDEX('calcolo base'!$D:$D, MATCH($A1126, 'calcolo base'!$A:$A, 0)) = ""   ),
   INDEX('calcolo base'!$K:$K, MATCH($A1126, 'calcolo base'!$A:$A, 0)),
   INDEX('calcolo base'!$J:$J, MATCH($A1126, 'calcolo base'!$A:$A, 0))
) / 1000</f>
        <v>#N/A</v>
      </c>
      <c r="J1126" s="50" t="e">
        <f t="shared" si="210"/>
        <v>#N/A</v>
      </c>
      <c r="K1126" s="50"/>
      <c r="L1126" s="267" t="e">
        <f>INDEX('calcolo base'!$H:$H, MATCH($A1126, 'calcolo base'!$A:$A, 0))</f>
        <v>#N/A</v>
      </c>
      <c r="M1126" s="50" t="e">
        <f t="shared" si="211"/>
        <v>#N/A</v>
      </c>
      <c r="N1126" s="50" t="e">
        <f t="shared" si="212"/>
        <v>#N/A</v>
      </c>
      <c r="O1126" s="50" t="e">
        <f t="shared" si="206"/>
        <v>#N/A</v>
      </c>
      <c r="P1126" s="50" t="e">
        <f t="shared" si="213"/>
        <v>#N/A</v>
      </c>
      <c r="Q1126" s="51" t="e">
        <f t="shared" si="214"/>
        <v>#N/A</v>
      </c>
      <c r="R1126" s="205" t="e">
        <f t="shared" si="215"/>
        <v>#N/A</v>
      </c>
      <c r="S1126" s="279" t="e">
        <f>IF(R1126="si",0,IF(E1126="si",0,IF(J1126&gt;K1126,0,+K1126-J1126)))+IF('calcolo base'!P1818="SI",('Commissioni De Angeli'!K1126-'Commissioni De Angeli'!J1126),0)</f>
        <v>#N/A</v>
      </c>
      <c r="T1126" s="117" t="e">
        <f t="shared" si="216"/>
        <v>#N/A</v>
      </c>
      <c r="U1126" s="272" t="e">
        <f>IF(Q1126=0,'calcolo base'!L3725,(T1126+Q1126))</f>
        <v>#N/A</v>
      </c>
      <c r="V1126" s="119"/>
      <c r="Z1126" s="118">
        <f t="shared" si="207"/>
        <v>0</v>
      </c>
      <c r="AA1126" s="118">
        <f t="shared" si="208"/>
        <v>0</v>
      </c>
    </row>
    <row r="1127" spans="2:27">
      <c r="B1127" s="47"/>
      <c r="C1127" s="35"/>
      <c r="D1127" s="53"/>
      <c r="E1127" s="53"/>
      <c r="F1127" s="48"/>
      <c r="G1127" s="243" t="e">
        <f>INDEX('calcolo base'!$B:$B, MATCH($A1127, 'calcolo base'!$A:$A, 0))</f>
        <v>#N/A</v>
      </c>
      <c r="H1127" s="54" t="e">
        <f t="shared" si="209"/>
        <v>#N/A</v>
      </c>
      <c r="I1127" s="259" t="e">
        <f>IF(  OR(      INDEX('calcolo base'!$D:$D, MATCH($A1127, 'calcolo base'!$A:$A, 0)) = 0,
      INDEX('calcolo base'!$D:$D, MATCH($A1127, 'calcolo base'!$A:$A, 0)) = ""   ),
   INDEX('calcolo base'!$K:$K, MATCH($A1127, 'calcolo base'!$A:$A, 0)),
   INDEX('calcolo base'!$J:$J, MATCH($A1127, 'calcolo base'!$A:$A, 0))
) / 1000</f>
        <v>#N/A</v>
      </c>
      <c r="J1127" s="50" t="e">
        <f t="shared" si="210"/>
        <v>#N/A</v>
      </c>
      <c r="K1127" s="50"/>
      <c r="L1127" s="267" t="e">
        <f>INDEX('calcolo base'!$H:$H, MATCH($A1127, 'calcolo base'!$A:$A, 0))</f>
        <v>#N/A</v>
      </c>
      <c r="M1127" s="50" t="e">
        <f t="shared" si="211"/>
        <v>#N/A</v>
      </c>
      <c r="N1127" s="50" t="e">
        <f t="shared" si="212"/>
        <v>#N/A</v>
      </c>
      <c r="O1127" s="50" t="e">
        <f t="shared" si="206"/>
        <v>#N/A</v>
      </c>
      <c r="P1127" s="50" t="e">
        <f t="shared" si="213"/>
        <v>#N/A</v>
      </c>
      <c r="Q1127" s="51" t="e">
        <f t="shared" si="214"/>
        <v>#N/A</v>
      </c>
      <c r="R1127" s="205" t="e">
        <f t="shared" si="215"/>
        <v>#N/A</v>
      </c>
      <c r="S1127" s="279" t="e">
        <f>IF(R1127="si",0,IF(E1127="si",0,IF(J1127&gt;K1127,0,+K1127-J1127)))+IF('calcolo base'!P1819="SI",('Commissioni De Angeli'!K1127-'Commissioni De Angeli'!J1127),0)</f>
        <v>#N/A</v>
      </c>
      <c r="T1127" s="117" t="e">
        <f t="shared" si="216"/>
        <v>#N/A</v>
      </c>
      <c r="U1127" s="272" t="e">
        <f>IF(Q1127=0,'calcolo base'!L3726,(T1127+Q1127))</f>
        <v>#N/A</v>
      </c>
      <c r="V1127" s="119"/>
      <c r="Z1127" s="118">
        <f t="shared" si="207"/>
        <v>0</v>
      </c>
      <c r="AA1127" s="118">
        <f t="shared" si="208"/>
        <v>0</v>
      </c>
    </row>
    <row r="1128" spans="2:27">
      <c r="B1128" s="47"/>
      <c r="C1128" s="35"/>
      <c r="D1128" s="53"/>
      <c r="E1128" s="53"/>
      <c r="F1128" s="48"/>
      <c r="G1128" s="243" t="e">
        <f>INDEX('calcolo base'!$B:$B, MATCH($A1128, 'calcolo base'!$A:$A, 0))</f>
        <v>#N/A</v>
      </c>
      <c r="H1128" s="54" t="e">
        <f t="shared" si="209"/>
        <v>#N/A</v>
      </c>
      <c r="I1128" s="259" t="e">
        <f>IF(  OR(      INDEX('calcolo base'!$D:$D, MATCH($A1128, 'calcolo base'!$A:$A, 0)) = 0,
      INDEX('calcolo base'!$D:$D, MATCH($A1128, 'calcolo base'!$A:$A, 0)) = ""   ),
   INDEX('calcolo base'!$K:$K, MATCH($A1128, 'calcolo base'!$A:$A, 0)),
   INDEX('calcolo base'!$J:$J, MATCH($A1128, 'calcolo base'!$A:$A, 0))
) / 1000</f>
        <v>#N/A</v>
      </c>
      <c r="J1128" s="50" t="e">
        <f t="shared" si="210"/>
        <v>#N/A</v>
      </c>
      <c r="K1128" s="50"/>
      <c r="L1128" s="267" t="e">
        <f>INDEX('calcolo base'!$H:$H, MATCH($A1128, 'calcolo base'!$A:$A, 0))</f>
        <v>#N/A</v>
      </c>
      <c r="M1128" s="50" t="e">
        <f t="shared" si="211"/>
        <v>#N/A</v>
      </c>
      <c r="N1128" s="50" t="e">
        <f t="shared" si="212"/>
        <v>#N/A</v>
      </c>
      <c r="O1128" s="50" t="e">
        <f t="shared" si="206"/>
        <v>#N/A</v>
      </c>
      <c r="P1128" s="50" t="e">
        <f t="shared" si="213"/>
        <v>#N/A</v>
      </c>
      <c r="Q1128" s="51" t="e">
        <f t="shared" si="214"/>
        <v>#N/A</v>
      </c>
      <c r="R1128" s="205" t="e">
        <f t="shared" si="215"/>
        <v>#N/A</v>
      </c>
      <c r="S1128" s="279" t="e">
        <f>IF(R1128="si",0,IF(E1128="si",0,IF(J1128&gt;K1128,0,+K1128-J1128)))+IF('calcolo base'!P1820="SI",('Commissioni De Angeli'!K1128-'Commissioni De Angeli'!J1128),0)</f>
        <v>#N/A</v>
      </c>
      <c r="T1128" s="117" t="e">
        <f t="shared" si="216"/>
        <v>#N/A</v>
      </c>
      <c r="U1128" s="272" t="e">
        <f>IF(Q1128=0,'calcolo base'!L3727,(T1128+Q1128))</f>
        <v>#N/A</v>
      </c>
      <c r="V1128" s="119"/>
      <c r="Z1128" s="118">
        <f t="shared" si="207"/>
        <v>0</v>
      </c>
      <c r="AA1128" s="118">
        <f t="shared" si="208"/>
        <v>0</v>
      </c>
    </row>
    <row r="1129" spans="2:27">
      <c r="B1129" s="47"/>
      <c r="C1129" s="35"/>
      <c r="D1129" s="53"/>
      <c r="E1129" s="53"/>
      <c r="F1129" s="48"/>
      <c r="G1129" s="243" t="e">
        <f>INDEX('calcolo base'!$B:$B, MATCH($A1129, 'calcolo base'!$A:$A, 0))</f>
        <v>#N/A</v>
      </c>
      <c r="H1129" s="54" t="e">
        <f t="shared" si="209"/>
        <v>#N/A</v>
      </c>
      <c r="I1129" s="259" t="e">
        <f>IF(  OR(      INDEX('calcolo base'!$D:$D, MATCH($A1129, 'calcolo base'!$A:$A, 0)) = 0,
      INDEX('calcolo base'!$D:$D, MATCH($A1129, 'calcolo base'!$A:$A, 0)) = ""   ),
   INDEX('calcolo base'!$K:$K, MATCH($A1129, 'calcolo base'!$A:$A, 0)),
   INDEX('calcolo base'!$J:$J, MATCH($A1129, 'calcolo base'!$A:$A, 0))
) / 1000</f>
        <v>#N/A</v>
      </c>
      <c r="J1129" s="50" t="e">
        <f t="shared" si="210"/>
        <v>#N/A</v>
      </c>
      <c r="K1129" s="50"/>
      <c r="L1129" s="267" t="e">
        <f>INDEX('calcolo base'!$H:$H, MATCH($A1129, 'calcolo base'!$A:$A, 0))</f>
        <v>#N/A</v>
      </c>
      <c r="M1129" s="50" t="e">
        <f t="shared" si="211"/>
        <v>#N/A</v>
      </c>
      <c r="N1129" s="50" t="e">
        <f t="shared" si="212"/>
        <v>#N/A</v>
      </c>
      <c r="O1129" s="50" t="e">
        <f t="shared" si="206"/>
        <v>#N/A</v>
      </c>
      <c r="P1129" s="50" t="e">
        <f t="shared" si="213"/>
        <v>#N/A</v>
      </c>
      <c r="Q1129" s="51" t="e">
        <f t="shared" si="214"/>
        <v>#N/A</v>
      </c>
      <c r="R1129" s="205" t="e">
        <f t="shared" si="215"/>
        <v>#N/A</v>
      </c>
      <c r="S1129" s="279" t="e">
        <f>IF(R1129="si",0,IF(E1129="si",0,IF(J1129&gt;K1129,0,+K1129-J1129)))+IF('calcolo base'!P1821="SI",('Commissioni De Angeli'!K1129-'Commissioni De Angeli'!J1129),0)</f>
        <v>#N/A</v>
      </c>
      <c r="T1129" s="117" t="e">
        <f t="shared" si="216"/>
        <v>#N/A</v>
      </c>
      <c r="U1129" s="272" t="e">
        <f>IF(Q1129=0,'calcolo base'!L3728,(T1129+Q1129))</f>
        <v>#N/A</v>
      </c>
      <c r="V1129" s="119"/>
      <c r="Z1129" s="118">
        <f t="shared" si="207"/>
        <v>0</v>
      </c>
      <c r="AA1129" s="118">
        <f t="shared" si="208"/>
        <v>0</v>
      </c>
    </row>
    <row r="1130" spans="2:27">
      <c r="B1130" s="47"/>
      <c r="C1130" s="35"/>
      <c r="D1130" s="53"/>
      <c r="E1130" s="53"/>
      <c r="F1130" s="48"/>
      <c r="G1130" s="243" t="e">
        <f>INDEX('calcolo base'!$B:$B, MATCH($A1130, 'calcolo base'!$A:$A, 0))</f>
        <v>#N/A</v>
      </c>
      <c r="H1130" s="54" t="e">
        <f t="shared" si="209"/>
        <v>#N/A</v>
      </c>
      <c r="I1130" s="259" t="e">
        <f>IF(  OR(      INDEX('calcolo base'!$D:$D, MATCH($A1130, 'calcolo base'!$A:$A, 0)) = 0,
      INDEX('calcolo base'!$D:$D, MATCH($A1130, 'calcolo base'!$A:$A, 0)) = ""   ),
   INDEX('calcolo base'!$K:$K, MATCH($A1130, 'calcolo base'!$A:$A, 0)),
   INDEX('calcolo base'!$J:$J, MATCH($A1130, 'calcolo base'!$A:$A, 0))
) / 1000</f>
        <v>#N/A</v>
      </c>
      <c r="J1130" s="50" t="e">
        <f t="shared" si="210"/>
        <v>#N/A</v>
      </c>
      <c r="K1130" s="50"/>
      <c r="L1130" s="267" t="e">
        <f>INDEX('calcolo base'!$H:$H, MATCH($A1130, 'calcolo base'!$A:$A, 0))</f>
        <v>#N/A</v>
      </c>
      <c r="M1130" s="50" t="e">
        <f t="shared" si="211"/>
        <v>#N/A</v>
      </c>
      <c r="N1130" s="50" t="e">
        <f t="shared" si="212"/>
        <v>#N/A</v>
      </c>
      <c r="O1130" s="50" t="e">
        <f t="shared" si="206"/>
        <v>#N/A</v>
      </c>
      <c r="P1130" s="50" t="e">
        <f t="shared" si="213"/>
        <v>#N/A</v>
      </c>
      <c r="Q1130" s="51" t="e">
        <f t="shared" si="214"/>
        <v>#N/A</v>
      </c>
      <c r="R1130" s="205" t="e">
        <f t="shared" si="215"/>
        <v>#N/A</v>
      </c>
      <c r="S1130" s="279" t="e">
        <f>IF(R1130="si",0,IF(E1130="si",0,IF(J1130&gt;K1130,0,+K1130-J1130)))+IF('calcolo base'!P1822="SI",('Commissioni De Angeli'!K1130-'Commissioni De Angeli'!J1130),0)</f>
        <v>#N/A</v>
      </c>
      <c r="T1130" s="117" t="e">
        <f t="shared" si="216"/>
        <v>#N/A</v>
      </c>
      <c r="U1130" s="272" t="e">
        <f>IF(Q1130=0,'calcolo base'!L3729,(T1130+Q1130))</f>
        <v>#N/A</v>
      </c>
      <c r="V1130" s="119"/>
      <c r="Z1130" s="118">
        <f t="shared" si="207"/>
        <v>0</v>
      </c>
      <c r="AA1130" s="118">
        <f t="shared" si="208"/>
        <v>0</v>
      </c>
    </row>
    <row r="1131" spans="2:27">
      <c r="B1131" s="47"/>
      <c r="C1131" s="35"/>
      <c r="D1131" s="53"/>
      <c r="E1131" s="53"/>
      <c r="F1131" s="48"/>
      <c r="G1131" s="243" t="e">
        <f>INDEX('calcolo base'!$B:$B, MATCH($A1131, 'calcolo base'!$A:$A, 0))</f>
        <v>#N/A</v>
      </c>
      <c r="H1131" s="54" t="e">
        <f t="shared" si="209"/>
        <v>#N/A</v>
      </c>
      <c r="I1131" s="259" t="e">
        <f>IF(  OR(      INDEX('calcolo base'!$D:$D, MATCH($A1131, 'calcolo base'!$A:$A, 0)) = 0,
      INDEX('calcolo base'!$D:$D, MATCH($A1131, 'calcolo base'!$A:$A, 0)) = ""   ),
   INDEX('calcolo base'!$K:$K, MATCH($A1131, 'calcolo base'!$A:$A, 0)),
   INDEX('calcolo base'!$J:$J, MATCH($A1131, 'calcolo base'!$A:$A, 0))
) / 1000</f>
        <v>#N/A</v>
      </c>
      <c r="J1131" s="50" t="e">
        <f t="shared" si="210"/>
        <v>#N/A</v>
      </c>
      <c r="K1131" s="50"/>
      <c r="L1131" s="267" t="e">
        <f>INDEX('calcolo base'!$H:$H, MATCH($A1131, 'calcolo base'!$A:$A, 0))</f>
        <v>#N/A</v>
      </c>
      <c r="M1131" s="50" t="e">
        <f t="shared" si="211"/>
        <v>#N/A</v>
      </c>
      <c r="N1131" s="50" t="e">
        <f t="shared" si="212"/>
        <v>#N/A</v>
      </c>
      <c r="O1131" s="50" t="e">
        <f t="shared" si="206"/>
        <v>#N/A</v>
      </c>
      <c r="P1131" s="50" t="e">
        <f t="shared" si="213"/>
        <v>#N/A</v>
      </c>
      <c r="Q1131" s="51" t="e">
        <f t="shared" si="214"/>
        <v>#N/A</v>
      </c>
      <c r="R1131" s="205" t="e">
        <f t="shared" si="215"/>
        <v>#N/A</v>
      </c>
      <c r="S1131" s="279" t="e">
        <f>IF(R1131="si",0,IF(E1131="si",0,IF(J1131&gt;K1131,0,+K1131-J1131)))+IF('calcolo base'!P1823="SI",('Commissioni De Angeli'!K1131-'Commissioni De Angeli'!J1131),0)</f>
        <v>#N/A</v>
      </c>
      <c r="T1131" s="117" t="e">
        <f t="shared" si="216"/>
        <v>#N/A</v>
      </c>
      <c r="U1131" s="272" t="e">
        <f>IF(Q1131=0,'calcolo base'!L3730,(T1131+Q1131))</f>
        <v>#N/A</v>
      </c>
      <c r="V1131" s="119"/>
      <c r="Z1131" s="118">
        <f t="shared" si="207"/>
        <v>0</v>
      </c>
      <c r="AA1131" s="118">
        <f t="shared" si="208"/>
        <v>0</v>
      </c>
    </row>
    <row r="1132" spans="2:27">
      <c r="B1132" s="47"/>
      <c r="C1132" s="35"/>
      <c r="D1132" s="53"/>
      <c r="E1132" s="53"/>
      <c r="F1132" s="48"/>
      <c r="G1132" s="243" t="e">
        <f>INDEX('calcolo base'!$B:$B, MATCH($A1132, 'calcolo base'!$A:$A, 0))</f>
        <v>#N/A</v>
      </c>
      <c r="H1132" s="54" t="e">
        <f t="shared" si="209"/>
        <v>#N/A</v>
      </c>
      <c r="I1132" s="259" t="e">
        <f>IF(  OR(      INDEX('calcolo base'!$D:$D, MATCH($A1132, 'calcolo base'!$A:$A, 0)) = 0,
      INDEX('calcolo base'!$D:$D, MATCH($A1132, 'calcolo base'!$A:$A, 0)) = ""   ),
   INDEX('calcolo base'!$K:$K, MATCH($A1132, 'calcolo base'!$A:$A, 0)),
   INDEX('calcolo base'!$J:$J, MATCH($A1132, 'calcolo base'!$A:$A, 0))
) / 1000</f>
        <v>#N/A</v>
      </c>
      <c r="J1132" s="50" t="e">
        <f t="shared" si="210"/>
        <v>#N/A</v>
      </c>
      <c r="K1132" s="50"/>
      <c r="L1132" s="267" t="e">
        <f>INDEX('calcolo base'!$H:$H, MATCH($A1132, 'calcolo base'!$A:$A, 0))</f>
        <v>#N/A</v>
      </c>
      <c r="M1132" s="50" t="e">
        <f t="shared" si="211"/>
        <v>#N/A</v>
      </c>
      <c r="N1132" s="50" t="e">
        <f t="shared" si="212"/>
        <v>#N/A</v>
      </c>
      <c r="O1132" s="50" t="e">
        <f t="shared" si="206"/>
        <v>#N/A</v>
      </c>
      <c r="P1132" s="50" t="e">
        <f t="shared" si="213"/>
        <v>#N/A</v>
      </c>
      <c r="Q1132" s="51" t="e">
        <f t="shared" si="214"/>
        <v>#N/A</v>
      </c>
      <c r="R1132" s="205" t="e">
        <f t="shared" si="215"/>
        <v>#N/A</v>
      </c>
      <c r="S1132" s="279" t="e">
        <f>IF(R1132="si",0,IF(E1132="si",0,IF(J1132&gt;K1132,0,+K1132-J1132)))+IF('calcolo base'!P1824="SI",('Commissioni De Angeli'!K1132-'Commissioni De Angeli'!J1132),0)</f>
        <v>#N/A</v>
      </c>
      <c r="T1132" s="117" t="e">
        <f t="shared" si="216"/>
        <v>#N/A</v>
      </c>
      <c r="U1132" s="272" t="e">
        <f>IF(Q1132=0,'calcolo base'!L3731,(T1132+Q1132))</f>
        <v>#N/A</v>
      </c>
      <c r="V1132" s="119"/>
      <c r="Z1132" s="118">
        <f t="shared" si="207"/>
        <v>0</v>
      </c>
      <c r="AA1132" s="118">
        <f t="shared" si="208"/>
        <v>0</v>
      </c>
    </row>
    <row r="1133" spans="2:27">
      <c r="B1133" s="47"/>
      <c r="C1133" s="35"/>
      <c r="D1133" s="53"/>
      <c r="E1133" s="53"/>
      <c r="F1133" s="48"/>
      <c r="G1133" s="243" t="e">
        <f>INDEX('calcolo base'!$B:$B, MATCH($A1133, 'calcolo base'!$A:$A, 0))</f>
        <v>#N/A</v>
      </c>
      <c r="H1133" s="54" t="e">
        <f t="shared" si="209"/>
        <v>#N/A</v>
      </c>
      <c r="I1133" s="259" t="e">
        <f>IF(  OR(      INDEX('calcolo base'!$D:$D, MATCH($A1133, 'calcolo base'!$A:$A, 0)) = 0,
      INDEX('calcolo base'!$D:$D, MATCH($A1133, 'calcolo base'!$A:$A, 0)) = ""   ),
   INDEX('calcolo base'!$K:$K, MATCH($A1133, 'calcolo base'!$A:$A, 0)),
   INDEX('calcolo base'!$J:$J, MATCH($A1133, 'calcolo base'!$A:$A, 0))
) / 1000</f>
        <v>#N/A</v>
      </c>
      <c r="J1133" s="50" t="e">
        <f t="shared" si="210"/>
        <v>#N/A</v>
      </c>
      <c r="K1133" s="50"/>
      <c r="L1133" s="267" t="e">
        <f>INDEX('calcolo base'!$H:$H, MATCH($A1133, 'calcolo base'!$A:$A, 0))</f>
        <v>#N/A</v>
      </c>
      <c r="M1133" s="50" t="e">
        <f t="shared" si="211"/>
        <v>#N/A</v>
      </c>
      <c r="N1133" s="50" t="e">
        <f t="shared" si="212"/>
        <v>#N/A</v>
      </c>
      <c r="O1133" s="50" t="e">
        <f t="shared" ref="O1133:O1196" si="217">IF($I1133=0,0,(IF($G1133="alluminio",($J1133)*3%,0)+IF($G1133="alluminio smaltato",($K1133)*3%,0)))</f>
        <v>#N/A</v>
      </c>
      <c r="P1133" s="50" t="e">
        <f t="shared" si="213"/>
        <v>#N/A</v>
      </c>
      <c r="Q1133" s="51" t="e">
        <f t="shared" si="214"/>
        <v>#N/A</v>
      </c>
      <c r="R1133" s="205" t="e">
        <f t="shared" si="215"/>
        <v>#N/A</v>
      </c>
      <c r="S1133" s="279" t="e">
        <f>IF(R1133="si",0,IF(E1133="si",0,IF(J1133&gt;K1133,0,+K1133-J1133)))+IF('calcolo base'!P1825="SI",('Commissioni De Angeli'!K1133-'Commissioni De Angeli'!J1133),0)</f>
        <v>#N/A</v>
      </c>
      <c r="T1133" s="117" t="e">
        <f t="shared" si="216"/>
        <v>#N/A</v>
      </c>
      <c r="U1133" s="272" t="e">
        <f>IF(Q1133=0,'calcolo base'!L3732,(T1133+Q1133))</f>
        <v>#N/A</v>
      </c>
      <c r="V1133" s="119"/>
      <c r="Z1133" s="118">
        <f t="shared" si="207"/>
        <v>0</v>
      </c>
      <c r="AA1133" s="118">
        <f t="shared" si="208"/>
        <v>0</v>
      </c>
    </row>
    <row r="1134" spans="2:27">
      <c r="B1134" s="47"/>
      <c r="C1134" s="35"/>
      <c r="D1134" s="53"/>
      <c r="E1134" s="53"/>
      <c r="F1134" s="48"/>
      <c r="G1134" s="243" t="e">
        <f>INDEX('calcolo base'!$B:$B, MATCH($A1134, 'calcolo base'!$A:$A, 0))</f>
        <v>#N/A</v>
      </c>
      <c r="H1134" s="54" t="e">
        <f t="shared" si="209"/>
        <v>#N/A</v>
      </c>
      <c r="I1134" s="259" t="e">
        <f>IF(  OR(      INDEX('calcolo base'!$D:$D, MATCH($A1134, 'calcolo base'!$A:$A, 0)) = 0,
      INDEX('calcolo base'!$D:$D, MATCH($A1134, 'calcolo base'!$A:$A, 0)) = ""   ),
   INDEX('calcolo base'!$K:$K, MATCH($A1134, 'calcolo base'!$A:$A, 0)),
   INDEX('calcolo base'!$J:$J, MATCH($A1134, 'calcolo base'!$A:$A, 0))
) / 1000</f>
        <v>#N/A</v>
      </c>
      <c r="J1134" s="50" t="e">
        <f t="shared" si="210"/>
        <v>#N/A</v>
      </c>
      <c r="K1134" s="50"/>
      <c r="L1134" s="267" t="e">
        <f>INDEX('calcolo base'!$H:$H, MATCH($A1134, 'calcolo base'!$A:$A, 0))</f>
        <v>#N/A</v>
      </c>
      <c r="M1134" s="50" t="e">
        <f t="shared" si="211"/>
        <v>#N/A</v>
      </c>
      <c r="N1134" s="50" t="e">
        <f t="shared" si="212"/>
        <v>#N/A</v>
      </c>
      <c r="O1134" s="50" t="e">
        <f t="shared" si="217"/>
        <v>#N/A</v>
      </c>
      <c r="P1134" s="50" t="e">
        <f t="shared" si="213"/>
        <v>#N/A</v>
      </c>
      <c r="Q1134" s="51" t="e">
        <f t="shared" si="214"/>
        <v>#N/A</v>
      </c>
      <c r="R1134" s="205" t="e">
        <f t="shared" si="215"/>
        <v>#N/A</v>
      </c>
      <c r="S1134" s="279" t="e">
        <f>IF(R1134="si",0,IF(E1134="si",0,IF(J1134&gt;K1134,0,+K1134-J1134)))+IF('calcolo base'!P1826="SI",('Commissioni De Angeli'!K1134-'Commissioni De Angeli'!J1134),0)</f>
        <v>#N/A</v>
      </c>
      <c r="T1134" s="117" t="e">
        <f t="shared" si="216"/>
        <v>#N/A</v>
      </c>
      <c r="U1134" s="272" t="e">
        <f>IF(Q1134=0,'calcolo base'!L3733,(T1134+Q1134))</f>
        <v>#N/A</v>
      </c>
      <c r="V1134" s="119"/>
      <c r="Z1134" s="118">
        <f t="shared" si="207"/>
        <v>0</v>
      </c>
      <c r="AA1134" s="118">
        <f t="shared" si="208"/>
        <v>0</v>
      </c>
    </row>
    <row r="1135" spans="2:27">
      <c r="B1135" s="47"/>
      <c r="C1135" s="35"/>
      <c r="D1135" s="53"/>
      <c r="E1135" s="53"/>
      <c r="F1135" s="48"/>
      <c r="G1135" s="243" t="e">
        <f>INDEX('calcolo base'!$B:$B, MATCH($A1135, 'calcolo base'!$A:$A, 0))</f>
        <v>#N/A</v>
      </c>
      <c r="H1135" s="54" t="e">
        <f t="shared" si="209"/>
        <v>#N/A</v>
      </c>
      <c r="I1135" s="259" t="e">
        <f>IF(  OR(      INDEX('calcolo base'!$D:$D, MATCH($A1135, 'calcolo base'!$A:$A, 0)) = 0,
      INDEX('calcolo base'!$D:$D, MATCH($A1135, 'calcolo base'!$A:$A, 0)) = ""   ),
   INDEX('calcolo base'!$K:$K, MATCH($A1135, 'calcolo base'!$A:$A, 0)),
   INDEX('calcolo base'!$J:$J, MATCH($A1135, 'calcolo base'!$A:$A, 0))
) / 1000</f>
        <v>#N/A</v>
      </c>
      <c r="J1135" s="50" t="e">
        <f t="shared" si="210"/>
        <v>#N/A</v>
      </c>
      <c r="K1135" s="50"/>
      <c r="L1135" s="267" t="e">
        <f>INDEX('calcolo base'!$H:$H, MATCH($A1135, 'calcolo base'!$A:$A, 0))</f>
        <v>#N/A</v>
      </c>
      <c r="M1135" s="50" t="e">
        <f t="shared" si="211"/>
        <v>#N/A</v>
      </c>
      <c r="N1135" s="50" t="e">
        <f t="shared" si="212"/>
        <v>#N/A</v>
      </c>
      <c r="O1135" s="50" t="e">
        <f t="shared" si="217"/>
        <v>#N/A</v>
      </c>
      <c r="P1135" s="50" t="e">
        <f t="shared" si="213"/>
        <v>#N/A</v>
      </c>
      <c r="Q1135" s="51" t="e">
        <f t="shared" si="214"/>
        <v>#N/A</v>
      </c>
      <c r="R1135" s="205" t="e">
        <f t="shared" si="215"/>
        <v>#N/A</v>
      </c>
      <c r="S1135" s="279" t="e">
        <f>IF(R1135="si",0,IF(E1135="si",0,IF(J1135&gt;K1135,0,+K1135-J1135)))+IF('calcolo base'!P1827="SI",('Commissioni De Angeli'!K1135-'Commissioni De Angeli'!J1135),0)</f>
        <v>#N/A</v>
      </c>
      <c r="T1135" s="117" t="e">
        <f t="shared" si="216"/>
        <v>#N/A</v>
      </c>
      <c r="U1135" s="272" t="e">
        <f>IF(Q1135=0,'calcolo base'!L3734,(T1135+Q1135))</f>
        <v>#N/A</v>
      </c>
      <c r="V1135" s="119"/>
      <c r="Z1135" s="118">
        <f t="shared" si="207"/>
        <v>0</v>
      </c>
      <c r="AA1135" s="118">
        <f t="shared" si="208"/>
        <v>0</v>
      </c>
    </row>
    <row r="1136" spans="2:27">
      <c r="B1136" s="47"/>
      <c r="C1136" s="35"/>
      <c r="D1136" s="53"/>
      <c r="E1136" s="53"/>
      <c r="F1136" s="48"/>
      <c r="G1136" s="243" t="e">
        <f>INDEX('calcolo base'!$B:$B, MATCH($A1136, 'calcolo base'!$A:$A, 0))</f>
        <v>#N/A</v>
      </c>
      <c r="H1136" s="54" t="e">
        <f t="shared" si="209"/>
        <v>#N/A</v>
      </c>
      <c r="I1136" s="259" t="e">
        <f>IF(  OR(      INDEX('calcolo base'!$D:$D, MATCH($A1136, 'calcolo base'!$A:$A, 0)) = 0,
      INDEX('calcolo base'!$D:$D, MATCH($A1136, 'calcolo base'!$A:$A, 0)) = ""   ),
   INDEX('calcolo base'!$K:$K, MATCH($A1136, 'calcolo base'!$A:$A, 0)),
   INDEX('calcolo base'!$J:$J, MATCH($A1136, 'calcolo base'!$A:$A, 0))
) / 1000</f>
        <v>#N/A</v>
      </c>
      <c r="J1136" s="50" t="e">
        <f t="shared" si="210"/>
        <v>#N/A</v>
      </c>
      <c r="K1136" s="50"/>
      <c r="L1136" s="267" t="e">
        <f>INDEX('calcolo base'!$H:$H, MATCH($A1136, 'calcolo base'!$A:$A, 0))</f>
        <v>#N/A</v>
      </c>
      <c r="M1136" s="50" t="e">
        <f t="shared" si="211"/>
        <v>#N/A</v>
      </c>
      <c r="N1136" s="50" t="e">
        <f t="shared" si="212"/>
        <v>#N/A</v>
      </c>
      <c r="O1136" s="50" t="e">
        <f t="shared" si="217"/>
        <v>#N/A</v>
      </c>
      <c r="P1136" s="50" t="e">
        <f t="shared" si="213"/>
        <v>#N/A</v>
      </c>
      <c r="Q1136" s="51" t="e">
        <f t="shared" si="214"/>
        <v>#N/A</v>
      </c>
      <c r="R1136" s="205" t="e">
        <f t="shared" si="215"/>
        <v>#N/A</v>
      </c>
      <c r="S1136" s="279" t="e">
        <f>IF(R1136="si",0,IF(E1136="si",0,IF(J1136&gt;K1136,0,+K1136-J1136)))+IF('calcolo base'!P1828="SI",('Commissioni De Angeli'!K1136-'Commissioni De Angeli'!J1136),0)</f>
        <v>#N/A</v>
      </c>
      <c r="T1136" s="117" t="e">
        <f t="shared" si="216"/>
        <v>#N/A</v>
      </c>
      <c r="U1136" s="272" t="e">
        <f>IF(Q1136=0,'calcolo base'!L3735,(T1136+Q1136))</f>
        <v>#N/A</v>
      </c>
      <c r="V1136" s="119"/>
      <c r="Z1136" s="118">
        <f t="shared" si="207"/>
        <v>0</v>
      </c>
      <c r="AA1136" s="118">
        <f t="shared" si="208"/>
        <v>0</v>
      </c>
    </row>
    <row r="1137" spans="2:27">
      <c r="B1137" s="47"/>
      <c r="C1137" s="35"/>
      <c r="D1137" s="53"/>
      <c r="E1137" s="53"/>
      <c r="F1137" s="48"/>
      <c r="G1137" s="243" t="e">
        <f>INDEX('calcolo base'!$B:$B, MATCH($A1137, 'calcolo base'!$A:$A, 0))</f>
        <v>#N/A</v>
      </c>
      <c r="H1137" s="54" t="e">
        <f t="shared" si="209"/>
        <v>#N/A</v>
      </c>
      <c r="I1137" s="259" t="e">
        <f>IF(  OR(      INDEX('calcolo base'!$D:$D, MATCH($A1137, 'calcolo base'!$A:$A, 0)) = 0,
      INDEX('calcolo base'!$D:$D, MATCH($A1137, 'calcolo base'!$A:$A, 0)) = ""   ),
   INDEX('calcolo base'!$K:$K, MATCH($A1137, 'calcolo base'!$A:$A, 0)),
   INDEX('calcolo base'!$J:$J, MATCH($A1137, 'calcolo base'!$A:$A, 0))
) / 1000</f>
        <v>#N/A</v>
      </c>
      <c r="J1137" s="50" t="e">
        <f t="shared" si="210"/>
        <v>#N/A</v>
      </c>
      <c r="K1137" s="50"/>
      <c r="L1137" s="267" t="e">
        <f>INDEX('calcolo base'!$H:$H, MATCH($A1137, 'calcolo base'!$A:$A, 0))</f>
        <v>#N/A</v>
      </c>
      <c r="M1137" s="50" t="e">
        <f t="shared" si="211"/>
        <v>#N/A</v>
      </c>
      <c r="N1137" s="50" t="e">
        <f t="shared" si="212"/>
        <v>#N/A</v>
      </c>
      <c r="O1137" s="50" t="e">
        <f t="shared" si="217"/>
        <v>#N/A</v>
      </c>
      <c r="P1137" s="50" t="e">
        <f t="shared" si="213"/>
        <v>#N/A</v>
      </c>
      <c r="Q1137" s="51" t="e">
        <f t="shared" si="214"/>
        <v>#N/A</v>
      </c>
      <c r="R1137" s="205" t="e">
        <f t="shared" si="215"/>
        <v>#N/A</v>
      </c>
      <c r="S1137" s="279" t="e">
        <f>IF(R1137="si",0,IF(E1137="si",0,IF(J1137&gt;K1137,0,+K1137-J1137)))+IF('calcolo base'!P1829="SI",('Commissioni De Angeli'!K1137-'Commissioni De Angeli'!J1137),0)</f>
        <v>#N/A</v>
      </c>
      <c r="T1137" s="117" t="e">
        <f t="shared" si="216"/>
        <v>#N/A</v>
      </c>
      <c r="U1137" s="272" t="e">
        <f>IF(Q1137=0,'calcolo base'!L3736,(T1137+Q1137))</f>
        <v>#N/A</v>
      </c>
      <c r="V1137" s="119"/>
      <c r="Z1137" s="118">
        <f t="shared" si="207"/>
        <v>0</v>
      </c>
      <c r="AA1137" s="118">
        <f t="shared" si="208"/>
        <v>0</v>
      </c>
    </row>
    <row r="1138" spans="2:27">
      <c r="B1138" s="47"/>
      <c r="C1138" s="35"/>
      <c r="D1138" s="53"/>
      <c r="E1138" s="53"/>
      <c r="F1138" s="48"/>
      <c r="G1138" s="243" t="e">
        <f>INDEX('calcolo base'!$B:$B, MATCH($A1138, 'calcolo base'!$A:$A, 0))</f>
        <v>#N/A</v>
      </c>
      <c r="H1138" s="54" t="e">
        <f t="shared" si="209"/>
        <v>#N/A</v>
      </c>
      <c r="I1138" s="259" t="e">
        <f>IF(  OR(      INDEX('calcolo base'!$D:$D, MATCH($A1138, 'calcolo base'!$A:$A, 0)) = 0,
      INDEX('calcolo base'!$D:$D, MATCH($A1138, 'calcolo base'!$A:$A, 0)) = ""   ),
   INDEX('calcolo base'!$K:$K, MATCH($A1138, 'calcolo base'!$A:$A, 0)),
   INDEX('calcolo base'!$J:$J, MATCH($A1138, 'calcolo base'!$A:$A, 0))
) / 1000</f>
        <v>#N/A</v>
      </c>
      <c r="J1138" s="50" t="e">
        <f t="shared" si="210"/>
        <v>#N/A</v>
      </c>
      <c r="K1138" s="50"/>
      <c r="L1138" s="267" t="e">
        <f>INDEX('calcolo base'!$H:$H, MATCH($A1138, 'calcolo base'!$A:$A, 0))</f>
        <v>#N/A</v>
      </c>
      <c r="M1138" s="50" t="e">
        <f t="shared" si="211"/>
        <v>#N/A</v>
      </c>
      <c r="N1138" s="50" t="e">
        <f t="shared" si="212"/>
        <v>#N/A</v>
      </c>
      <c r="O1138" s="50" t="e">
        <f t="shared" si="217"/>
        <v>#N/A</v>
      </c>
      <c r="P1138" s="50" t="e">
        <f t="shared" si="213"/>
        <v>#N/A</v>
      </c>
      <c r="Q1138" s="51" t="e">
        <f t="shared" si="214"/>
        <v>#N/A</v>
      </c>
      <c r="R1138" s="205" t="e">
        <f t="shared" si="215"/>
        <v>#N/A</v>
      </c>
      <c r="S1138" s="279" t="e">
        <f>IF(R1138="si",0,IF(E1138="si",0,IF(J1138&gt;K1138,0,+K1138-J1138)))+IF('calcolo base'!P1830="SI",('Commissioni De Angeli'!K1138-'Commissioni De Angeli'!J1138),0)</f>
        <v>#N/A</v>
      </c>
      <c r="T1138" s="117" t="e">
        <f t="shared" si="216"/>
        <v>#N/A</v>
      </c>
      <c r="U1138" s="272" t="e">
        <f>IF(Q1138=0,'calcolo base'!L3737,(T1138+Q1138))</f>
        <v>#N/A</v>
      </c>
      <c r="V1138" s="119"/>
      <c r="Z1138" s="118">
        <f t="shared" si="207"/>
        <v>0</v>
      </c>
      <c r="AA1138" s="118">
        <f t="shared" si="208"/>
        <v>0</v>
      </c>
    </row>
    <row r="1139" spans="2:27">
      <c r="B1139" s="47"/>
      <c r="C1139" s="35"/>
      <c r="D1139" s="53"/>
      <c r="E1139" s="53"/>
      <c r="F1139" s="48"/>
      <c r="G1139" s="243" t="e">
        <f>INDEX('calcolo base'!$B:$B, MATCH($A1139, 'calcolo base'!$A:$A, 0))</f>
        <v>#N/A</v>
      </c>
      <c r="H1139" s="54" t="e">
        <f t="shared" si="209"/>
        <v>#N/A</v>
      </c>
      <c r="I1139" s="259" t="e">
        <f>IF(  OR(      INDEX('calcolo base'!$D:$D, MATCH($A1139, 'calcolo base'!$A:$A, 0)) = 0,
      INDEX('calcolo base'!$D:$D, MATCH($A1139, 'calcolo base'!$A:$A, 0)) = ""   ),
   INDEX('calcolo base'!$K:$K, MATCH($A1139, 'calcolo base'!$A:$A, 0)),
   INDEX('calcolo base'!$J:$J, MATCH($A1139, 'calcolo base'!$A:$A, 0))
) / 1000</f>
        <v>#N/A</v>
      </c>
      <c r="J1139" s="50" t="e">
        <f t="shared" si="210"/>
        <v>#N/A</v>
      </c>
      <c r="K1139" s="50"/>
      <c r="L1139" s="267" t="e">
        <f>INDEX('calcolo base'!$H:$H, MATCH($A1139, 'calcolo base'!$A:$A, 0))</f>
        <v>#N/A</v>
      </c>
      <c r="M1139" s="50" t="e">
        <f t="shared" si="211"/>
        <v>#N/A</v>
      </c>
      <c r="N1139" s="50" t="e">
        <f t="shared" si="212"/>
        <v>#N/A</v>
      </c>
      <c r="O1139" s="50" t="e">
        <f t="shared" si="217"/>
        <v>#N/A</v>
      </c>
      <c r="P1139" s="50" t="e">
        <f t="shared" si="213"/>
        <v>#N/A</v>
      </c>
      <c r="Q1139" s="51" t="e">
        <f t="shared" si="214"/>
        <v>#N/A</v>
      </c>
      <c r="R1139" s="205" t="e">
        <f t="shared" si="215"/>
        <v>#N/A</v>
      </c>
      <c r="S1139" s="279" t="e">
        <f>IF(R1139="si",0,IF(E1139="si",0,IF(J1139&gt;K1139,0,+K1139-J1139)))+IF('calcolo base'!P1831="SI",('Commissioni De Angeli'!K1139-'Commissioni De Angeli'!J1139),0)</f>
        <v>#N/A</v>
      </c>
      <c r="T1139" s="117" t="e">
        <f t="shared" si="216"/>
        <v>#N/A</v>
      </c>
      <c r="U1139" s="272" t="e">
        <f>IF(Q1139=0,'calcolo base'!L3738,(T1139+Q1139))</f>
        <v>#N/A</v>
      </c>
      <c r="V1139" s="119"/>
      <c r="Z1139" s="118">
        <f t="shared" si="207"/>
        <v>0</v>
      </c>
      <c r="AA1139" s="118">
        <f t="shared" si="208"/>
        <v>0</v>
      </c>
    </row>
    <row r="1140" spans="2:27">
      <c r="B1140" s="47"/>
      <c r="C1140" s="35"/>
      <c r="D1140" s="53"/>
      <c r="E1140" s="53"/>
      <c r="F1140" s="48"/>
      <c r="G1140" s="243" t="e">
        <f>INDEX('calcolo base'!$B:$B, MATCH($A1140, 'calcolo base'!$A:$A, 0))</f>
        <v>#N/A</v>
      </c>
      <c r="H1140" s="54" t="e">
        <f t="shared" si="209"/>
        <v>#N/A</v>
      </c>
      <c r="I1140" s="259" t="e">
        <f>IF(  OR(      INDEX('calcolo base'!$D:$D, MATCH($A1140, 'calcolo base'!$A:$A, 0)) = 0,
      INDEX('calcolo base'!$D:$D, MATCH($A1140, 'calcolo base'!$A:$A, 0)) = ""   ),
   INDEX('calcolo base'!$K:$K, MATCH($A1140, 'calcolo base'!$A:$A, 0)),
   INDEX('calcolo base'!$J:$J, MATCH($A1140, 'calcolo base'!$A:$A, 0))
) / 1000</f>
        <v>#N/A</v>
      </c>
      <c r="J1140" s="50" t="e">
        <f t="shared" si="210"/>
        <v>#N/A</v>
      </c>
      <c r="K1140" s="50"/>
      <c r="L1140" s="267" t="e">
        <f>INDEX('calcolo base'!$H:$H, MATCH($A1140, 'calcolo base'!$A:$A, 0))</f>
        <v>#N/A</v>
      </c>
      <c r="M1140" s="50" t="e">
        <f t="shared" si="211"/>
        <v>#N/A</v>
      </c>
      <c r="N1140" s="50" t="e">
        <f t="shared" si="212"/>
        <v>#N/A</v>
      </c>
      <c r="O1140" s="50" t="e">
        <f t="shared" si="217"/>
        <v>#N/A</v>
      </c>
      <c r="P1140" s="50" t="e">
        <f t="shared" si="213"/>
        <v>#N/A</v>
      </c>
      <c r="Q1140" s="51" t="e">
        <f t="shared" si="214"/>
        <v>#N/A</v>
      </c>
      <c r="R1140" s="205" t="e">
        <f t="shared" si="215"/>
        <v>#N/A</v>
      </c>
      <c r="S1140" s="279" t="e">
        <f>IF(R1140="si",0,IF(E1140="si",0,IF(J1140&gt;K1140,0,+K1140-J1140)))+IF('calcolo base'!P1832="SI",('Commissioni De Angeli'!K1140-'Commissioni De Angeli'!J1140),0)</f>
        <v>#N/A</v>
      </c>
      <c r="T1140" s="117" t="e">
        <f t="shared" si="216"/>
        <v>#N/A</v>
      </c>
      <c r="U1140" s="272" t="e">
        <f>IF(Q1140=0,'calcolo base'!L3739,(T1140+Q1140))</f>
        <v>#N/A</v>
      </c>
      <c r="V1140" s="119"/>
      <c r="Z1140" s="118">
        <f t="shared" si="207"/>
        <v>0</v>
      </c>
      <c r="AA1140" s="118">
        <f t="shared" si="208"/>
        <v>0</v>
      </c>
    </row>
    <row r="1141" spans="2:27">
      <c r="B1141" s="47"/>
      <c r="C1141" s="35"/>
      <c r="D1141" s="53"/>
      <c r="E1141" s="53"/>
      <c r="F1141" s="48"/>
      <c r="G1141" s="243" t="e">
        <f>INDEX('calcolo base'!$B:$B, MATCH($A1141, 'calcolo base'!$A:$A, 0))</f>
        <v>#N/A</v>
      </c>
      <c r="H1141" s="54" t="e">
        <f t="shared" si="209"/>
        <v>#N/A</v>
      </c>
      <c r="I1141" s="259" t="e">
        <f>IF(  OR(      INDEX('calcolo base'!$D:$D, MATCH($A1141, 'calcolo base'!$A:$A, 0)) = 0,
      INDEX('calcolo base'!$D:$D, MATCH($A1141, 'calcolo base'!$A:$A, 0)) = ""   ),
   INDEX('calcolo base'!$K:$K, MATCH($A1141, 'calcolo base'!$A:$A, 0)),
   INDEX('calcolo base'!$J:$J, MATCH($A1141, 'calcolo base'!$A:$A, 0))
) / 1000</f>
        <v>#N/A</v>
      </c>
      <c r="J1141" s="50" t="e">
        <f t="shared" si="210"/>
        <v>#N/A</v>
      </c>
      <c r="K1141" s="50"/>
      <c r="L1141" s="267" t="e">
        <f>INDEX('calcolo base'!$H:$H, MATCH($A1141, 'calcolo base'!$A:$A, 0))</f>
        <v>#N/A</v>
      </c>
      <c r="M1141" s="50" t="e">
        <f t="shared" si="211"/>
        <v>#N/A</v>
      </c>
      <c r="N1141" s="50" t="e">
        <f t="shared" si="212"/>
        <v>#N/A</v>
      </c>
      <c r="O1141" s="50" t="e">
        <f t="shared" si="217"/>
        <v>#N/A</v>
      </c>
      <c r="P1141" s="50" t="e">
        <f t="shared" si="213"/>
        <v>#N/A</v>
      </c>
      <c r="Q1141" s="51" t="e">
        <f t="shared" si="214"/>
        <v>#N/A</v>
      </c>
      <c r="R1141" s="205" t="e">
        <f t="shared" si="215"/>
        <v>#N/A</v>
      </c>
      <c r="S1141" s="279" t="e">
        <f>IF(R1141="si",0,IF(E1141="si",0,IF(J1141&gt;K1141,0,+K1141-J1141)))+IF('calcolo base'!P1833="SI",('Commissioni De Angeli'!K1141-'Commissioni De Angeli'!J1141),0)</f>
        <v>#N/A</v>
      </c>
      <c r="T1141" s="117" t="e">
        <f t="shared" si="216"/>
        <v>#N/A</v>
      </c>
      <c r="U1141" s="272" t="e">
        <f>IF(Q1141=0,'calcolo base'!L3740,(T1141+Q1141))</f>
        <v>#N/A</v>
      </c>
      <c r="V1141" s="119"/>
      <c r="Z1141" s="118">
        <f t="shared" si="207"/>
        <v>0</v>
      </c>
      <c r="AA1141" s="118">
        <f t="shared" si="208"/>
        <v>0</v>
      </c>
    </row>
    <row r="1142" spans="2:27">
      <c r="B1142" s="47"/>
      <c r="C1142" s="35"/>
      <c r="D1142" s="53"/>
      <c r="E1142" s="53"/>
      <c r="F1142" s="48"/>
      <c r="G1142" s="243" t="e">
        <f>INDEX('calcolo base'!$B:$B, MATCH($A1142, 'calcolo base'!$A:$A, 0))</f>
        <v>#N/A</v>
      </c>
      <c r="H1142" s="54" t="e">
        <f t="shared" si="209"/>
        <v>#N/A</v>
      </c>
      <c r="I1142" s="259" t="e">
        <f>IF(  OR(      INDEX('calcolo base'!$D:$D, MATCH($A1142, 'calcolo base'!$A:$A, 0)) = 0,
      INDEX('calcolo base'!$D:$D, MATCH($A1142, 'calcolo base'!$A:$A, 0)) = ""   ),
   INDEX('calcolo base'!$K:$K, MATCH($A1142, 'calcolo base'!$A:$A, 0)),
   INDEX('calcolo base'!$J:$J, MATCH($A1142, 'calcolo base'!$A:$A, 0))
) / 1000</f>
        <v>#N/A</v>
      </c>
      <c r="J1142" s="50" t="e">
        <f t="shared" si="210"/>
        <v>#N/A</v>
      </c>
      <c r="K1142" s="50"/>
      <c r="L1142" s="267" t="e">
        <f>INDEX('calcolo base'!$H:$H, MATCH($A1142, 'calcolo base'!$A:$A, 0))</f>
        <v>#N/A</v>
      </c>
      <c r="M1142" s="50" t="e">
        <f t="shared" si="211"/>
        <v>#N/A</v>
      </c>
      <c r="N1142" s="50" t="e">
        <f t="shared" si="212"/>
        <v>#N/A</v>
      </c>
      <c r="O1142" s="50" t="e">
        <f t="shared" si="217"/>
        <v>#N/A</v>
      </c>
      <c r="P1142" s="50" t="e">
        <f t="shared" si="213"/>
        <v>#N/A</v>
      </c>
      <c r="Q1142" s="51" t="e">
        <f t="shared" si="214"/>
        <v>#N/A</v>
      </c>
      <c r="R1142" s="205" t="e">
        <f t="shared" si="215"/>
        <v>#N/A</v>
      </c>
      <c r="S1142" s="279" t="e">
        <f>IF(R1142="si",0,IF(E1142="si",0,IF(J1142&gt;K1142,0,+K1142-J1142)))+IF('calcolo base'!P1834="SI",('Commissioni De Angeli'!K1142-'Commissioni De Angeli'!J1142),0)</f>
        <v>#N/A</v>
      </c>
      <c r="T1142" s="117" t="e">
        <f t="shared" si="216"/>
        <v>#N/A</v>
      </c>
      <c r="U1142" s="272" t="e">
        <f>IF(Q1142=0,'calcolo base'!L3741,(T1142+Q1142))</f>
        <v>#N/A</v>
      </c>
      <c r="V1142" s="119"/>
      <c r="Z1142" s="118">
        <f t="shared" si="207"/>
        <v>0</v>
      </c>
      <c r="AA1142" s="118">
        <f t="shared" si="208"/>
        <v>0</v>
      </c>
    </row>
    <row r="1143" spans="2:27">
      <c r="B1143" s="47"/>
      <c r="C1143" s="35"/>
      <c r="D1143" s="53"/>
      <c r="E1143" s="53"/>
      <c r="F1143" s="48"/>
      <c r="G1143" s="243" t="e">
        <f>INDEX('calcolo base'!$B:$B, MATCH($A1143, 'calcolo base'!$A:$A, 0))</f>
        <v>#N/A</v>
      </c>
      <c r="H1143" s="54" t="e">
        <f t="shared" si="209"/>
        <v>#N/A</v>
      </c>
      <c r="I1143" s="259" t="e">
        <f>IF(  OR(      INDEX('calcolo base'!$D:$D, MATCH($A1143, 'calcolo base'!$A:$A, 0)) = 0,
      INDEX('calcolo base'!$D:$D, MATCH($A1143, 'calcolo base'!$A:$A, 0)) = ""   ),
   INDEX('calcolo base'!$K:$K, MATCH($A1143, 'calcolo base'!$A:$A, 0)),
   INDEX('calcolo base'!$J:$J, MATCH($A1143, 'calcolo base'!$A:$A, 0))
) / 1000</f>
        <v>#N/A</v>
      </c>
      <c r="J1143" s="50" t="e">
        <f t="shared" si="210"/>
        <v>#N/A</v>
      </c>
      <c r="K1143" s="50"/>
      <c r="L1143" s="267" t="e">
        <f>INDEX('calcolo base'!$H:$H, MATCH($A1143, 'calcolo base'!$A:$A, 0))</f>
        <v>#N/A</v>
      </c>
      <c r="M1143" s="50" t="e">
        <f t="shared" si="211"/>
        <v>#N/A</v>
      </c>
      <c r="N1143" s="50" t="e">
        <f t="shared" si="212"/>
        <v>#N/A</v>
      </c>
      <c r="O1143" s="50" t="e">
        <f t="shared" si="217"/>
        <v>#N/A</v>
      </c>
      <c r="P1143" s="50" t="e">
        <f t="shared" si="213"/>
        <v>#N/A</v>
      </c>
      <c r="Q1143" s="51" t="e">
        <f t="shared" si="214"/>
        <v>#N/A</v>
      </c>
      <c r="R1143" s="205" t="e">
        <f t="shared" si="215"/>
        <v>#N/A</v>
      </c>
      <c r="S1143" s="279" t="e">
        <f>IF(R1143="si",0,IF(E1143="si",0,IF(J1143&gt;K1143,0,+K1143-J1143)))+IF('calcolo base'!P1835="SI",('Commissioni De Angeli'!K1143-'Commissioni De Angeli'!J1143),0)</f>
        <v>#N/A</v>
      </c>
      <c r="T1143" s="117" t="e">
        <f t="shared" si="216"/>
        <v>#N/A</v>
      </c>
      <c r="U1143" s="272" t="e">
        <f>IF(Q1143=0,'calcolo base'!L3742,(T1143+Q1143))</f>
        <v>#N/A</v>
      </c>
      <c r="V1143" s="119"/>
      <c r="Z1143" s="118">
        <f t="shared" si="207"/>
        <v>0</v>
      </c>
      <c r="AA1143" s="118">
        <f t="shared" si="208"/>
        <v>0</v>
      </c>
    </row>
    <row r="1144" spans="2:27">
      <c r="B1144" s="47"/>
      <c r="C1144" s="35"/>
      <c r="D1144" s="53"/>
      <c r="E1144" s="53"/>
      <c r="F1144" s="48"/>
      <c r="G1144" s="243" t="e">
        <f>INDEX('calcolo base'!$B:$B, MATCH($A1144, 'calcolo base'!$A:$A, 0))</f>
        <v>#N/A</v>
      </c>
      <c r="H1144" s="54" t="e">
        <f t="shared" si="209"/>
        <v>#N/A</v>
      </c>
      <c r="I1144" s="259" t="e">
        <f>IF(  OR(      INDEX('calcolo base'!$D:$D, MATCH($A1144, 'calcolo base'!$A:$A, 0)) = 0,
      INDEX('calcolo base'!$D:$D, MATCH($A1144, 'calcolo base'!$A:$A, 0)) = ""   ),
   INDEX('calcolo base'!$K:$K, MATCH($A1144, 'calcolo base'!$A:$A, 0)),
   INDEX('calcolo base'!$J:$J, MATCH($A1144, 'calcolo base'!$A:$A, 0))
) / 1000</f>
        <v>#N/A</v>
      </c>
      <c r="J1144" s="50" t="e">
        <f t="shared" si="210"/>
        <v>#N/A</v>
      </c>
      <c r="K1144" s="50"/>
      <c r="L1144" s="267" t="e">
        <f>INDEX('calcolo base'!$H:$H, MATCH($A1144, 'calcolo base'!$A:$A, 0))</f>
        <v>#N/A</v>
      </c>
      <c r="M1144" s="50" t="e">
        <f t="shared" si="211"/>
        <v>#N/A</v>
      </c>
      <c r="N1144" s="50" t="e">
        <f t="shared" si="212"/>
        <v>#N/A</v>
      </c>
      <c r="O1144" s="50" t="e">
        <f t="shared" si="217"/>
        <v>#N/A</v>
      </c>
      <c r="P1144" s="50" t="e">
        <f t="shared" si="213"/>
        <v>#N/A</v>
      </c>
      <c r="Q1144" s="51" t="e">
        <f t="shared" si="214"/>
        <v>#N/A</v>
      </c>
      <c r="R1144" s="205" t="e">
        <f t="shared" si="215"/>
        <v>#N/A</v>
      </c>
      <c r="S1144" s="279" t="e">
        <f>IF(R1144="si",0,IF(E1144="si",0,IF(J1144&gt;K1144,0,+K1144-J1144)))+IF('calcolo base'!P1836="SI",('Commissioni De Angeli'!K1144-'Commissioni De Angeli'!J1144),0)</f>
        <v>#N/A</v>
      </c>
      <c r="T1144" s="117" t="e">
        <f t="shared" si="216"/>
        <v>#N/A</v>
      </c>
      <c r="U1144" s="272" t="e">
        <f>IF(Q1144=0,'calcolo base'!L3743,(T1144+Q1144))</f>
        <v>#N/A</v>
      </c>
      <c r="V1144" s="119"/>
      <c r="Z1144" s="118">
        <f t="shared" si="207"/>
        <v>0</v>
      </c>
      <c r="AA1144" s="118">
        <f t="shared" si="208"/>
        <v>0</v>
      </c>
    </row>
    <row r="1145" spans="2:27">
      <c r="B1145" s="47"/>
      <c r="C1145" s="35"/>
      <c r="D1145" s="53"/>
      <c r="E1145" s="53"/>
      <c r="F1145" s="48"/>
      <c r="G1145" s="243" t="e">
        <f>INDEX('calcolo base'!$B:$B, MATCH($A1145, 'calcolo base'!$A:$A, 0))</f>
        <v>#N/A</v>
      </c>
      <c r="H1145" s="54" t="e">
        <f t="shared" si="209"/>
        <v>#N/A</v>
      </c>
      <c r="I1145" s="259" t="e">
        <f>IF(  OR(      INDEX('calcolo base'!$D:$D, MATCH($A1145, 'calcolo base'!$A:$A, 0)) = 0,
      INDEX('calcolo base'!$D:$D, MATCH($A1145, 'calcolo base'!$A:$A, 0)) = ""   ),
   INDEX('calcolo base'!$K:$K, MATCH($A1145, 'calcolo base'!$A:$A, 0)),
   INDEX('calcolo base'!$J:$J, MATCH($A1145, 'calcolo base'!$A:$A, 0))
) / 1000</f>
        <v>#N/A</v>
      </c>
      <c r="J1145" s="50" t="e">
        <f t="shared" si="210"/>
        <v>#N/A</v>
      </c>
      <c r="K1145" s="50"/>
      <c r="L1145" s="267" t="e">
        <f>INDEX('calcolo base'!$H:$H, MATCH($A1145, 'calcolo base'!$A:$A, 0))</f>
        <v>#N/A</v>
      </c>
      <c r="M1145" s="50" t="e">
        <f t="shared" si="211"/>
        <v>#N/A</v>
      </c>
      <c r="N1145" s="50" t="e">
        <f t="shared" si="212"/>
        <v>#N/A</v>
      </c>
      <c r="O1145" s="50" t="e">
        <f t="shared" si="217"/>
        <v>#N/A</v>
      </c>
      <c r="P1145" s="50" t="e">
        <f t="shared" si="213"/>
        <v>#N/A</v>
      </c>
      <c r="Q1145" s="51" t="e">
        <f t="shared" si="214"/>
        <v>#N/A</v>
      </c>
      <c r="R1145" s="205" t="e">
        <f t="shared" si="215"/>
        <v>#N/A</v>
      </c>
      <c r="S1145" s="279" t="e">
        <f>IF(R1145="si",0,IF(E1145="si",0,IF(J1145&gt;K1145,0,+K1145-J1145)))+IF('calcolo base'!P1837="SI",('Commissioni De Angeli'!K1145-'Commissioni De Angeli'!J1145),0)</f>
        <v>#N/A</v>
      </c>
      <c r="T1145" s="117" t="e">
        <f t="shared" si="216"/>
        <v>#N/A</v>
      </c>
      <c r="U1145" s="272" t="e">
        <f>IF(Q1145=0,'calcolo base'!L3744,(T1145+Q1145))</f>
        <v>#N/A</v>
      </c>
      <c r="V1145" s="119"/>
      <c r="Z1145" s="118">
        <f t="shared" si="207"/>
        <v>0</v>
      </c>
      <c r="AA1145" s="118">
        <f t="shared" si="208"/>
        <v>0</v>
      </c>
    </row>
    <row r="1146" spans="2:27">
      <c r="B1146" s="47"/>
      <c r="C1146" s="35"/>
      <c r="D1146" s="53"/>
      <c r="E1146" s="53"/>
      <c r="F1146" s="48"/>
      <c r="G1146" s="243" t="e">
        <f>INDEX('calcolo base'!$B:$B, MATCH($A1146, 'calcolo base'!$A:$A, 0))</f>
        <v>#N/A</v>
      </c>
      <c r="H1146" s="54" t="e">
        <f t="shared" si="209"/>
        <v>#N/A</v>
      </c>
      <c r="I1146" s="259" t="e">
        <f>IF(  OR(      INDEX('calcolo base'!$D:$D, MATCH($A1146, 'calcolo base'!$A:$A, 0)) = 0,
      INDEX('calcolo base'!$D:$D, MATCH($A1146, 'calcolo base'!$A:$A, 0)) = ""   ),
   INDEX('calcolo base'!$K:$K, MATCH($A1146, 'calcolo base'!$A:$A, 0)),
   INDEX('calcolo base'!$J:$J, MATCH($A1146, 'calcolo base'!$A:$A, 0))
) / 1000</f>
        <v>#N/A</v>
      </c>
      <c r="J1146" s="50" t="e">
        <f t="shared" si="210"/>
        <v>#N/A</v>
      </c>
      <c r="K1146" s="50"/>
      <c r="L1146" s="267" t="e">
        <f>INDEX('calcolo base'!$H:$H, MATCH($A1146, 'calcolo base'!$A:$A, 0))</f>
        <v>#N/A</v>
      </c>
      <c r="M1146" s="50" t="e">
        <f t="shared" si="211"/>
        <v>#N/A</v>
      </c>
      <c r="N1146" s="50" t="e">
        <f t="shared" si="212"/>
        <v>#N/A</v>
      </c>
      <c r="O1146" s="50" t="e">
        <f t="shared" si="217"/>
        <v>#N/A</v>
      </c>
      <c r="P1146" s="50" t="e">
        <f t="shared" si="213"/>
        <v>#N/A</v>
      </c>
      <c r="Q1146" s="51" t="e">
        <f t="shared" si="214"/>
        <v>#N/A</v>
      </c>
      <c r="R1146" s="205" t="e">
        <f t="shared" si="215"/>
        <v>#N/A</v>
      </c>
      <c r="S1146" s="279" t="e">
        <f>IF(R1146="si",0,IF(E1146="si",0,IF(J1146&gt;K1146,0,+K1146-J1146)))+IF('calcolo base'!P1838="SI",('Commissioni De Angeli'!K1146-'Commissioni De Angeli'!J1146),0)</f>
        <v>#N/A</v>
      </c>
      <c r="T1146" s="117" t="e">
        <f t="shared" si="216"/>
        <v>#N/A</v>
      </c>
      <c r="U1146" s="272" t="e">
        <f>IF(Q1146=0,'calcolo base'!L3745,(T1146+Q1146))</f>
        <v>#N/A</v>
      </c>
      <c r="V1146" s="119"/>
      <c r="Z1146" s="118">
        <f t="shared" si="207"/>
        <v>0</v>
      </c>
      <c r="AA1146" s="118">
        <f t="shared" si="208"/>
        <v>0</v>
      </c>
    </row>
    <row r="1147" spans="2:27">
      <c r="B1147" s="47"/>
      <c r="C1147" s="35"/>
      <c r="D1147" s="53"/>
      <c r="E1147" s="53"/>
      <c r="F1147" s="48"/>
      <c r="G1147" s="243" t="e">
        <f>INDEX('calcolo base'!$B:$B, MATCH($A1147, 'calcolo base'!$A:$A, 0))</f>
        <v>#N/A</v>
      </c>
      <c r="H1147" s="54" t="e">
        <f t="shared" si="209"/>
        <v>#N/A</v>
      </c>
      <c r="I1147" s="259" t="e">
        <f>IF(  OR(      INDEX('calcolo base'!$D:$D, MATCH($A1147, 'calcolo base'!$A:$A, 0)) = 0,
      INDEX('calcolo base'!$D:$D, MATCH($A1147, 'calcolo base'!$A:$A, 0)) = ""   ),
   INDEX('calcolo base'!$K:$K, MATCH($A1147, 'calcolo base'!$A:$A, 0)),
   INDEX('calcolo base'!$J:$J, MATCH($A1147, 'calcolo base'!$A:$A, 0))
) / 1000</f>
        <v>#N/A</v>
      </c>
      <c r="J1147" s="50" t="e">
        <f t="shared" si="210"/>
        <v>#N/A</v>
      </c>
      <c r="K1147" s="50"/>
      <c r="L1147" s="267" t="e">
        <f>INDEX('calcolo base'!$H:$H, MATCH($A1147, 'calcolo base'!$A:$A, 0))</f>
        <v>#N/A</v>
      </c>
      <c r="M1147" s="50" t="e">
        <f t="shared" si="211"/>
        <v>#N/A</v>
      </c>
      <c r="N1147" s="50" t="e">
        <f t="shared" si="212"/>
        <v>#N/A</v>
      </c>
      <c r="O1147" s="50" t="e">
        <f t="shared" si="217"/>
        <v>#N/A</v>
      </c>
      <c r="P1147" s="50" t="e">
        <f t="shared" si="213"/>
        <v>#N/A</v>
      </c>
      <c r="Q1147" s="51" t="e">
        <f t="shared" si="214"/>
        <v>#N/A</v>
      </c>
      <c r="R1147" s="205" t="e">
        <f t="shared" si="215"/>
        <v>#N/A</v>
      </c>
      <c r="S1147" s="279" t="e">
        <f>IF(R1147="si",0,IF(E1147="si",0,IF(J1147&gt;K1147,0,+K1147-J1147)))+IF('calcolo base'!P1839="SI",('Commissioni De Angeli'!K1147-'Commissioni De Angeli'!J1147),0)</f>
        <v>#N/A</v>
      </c>
      <c r="T1147" s="117" t="e">
        <f t="shared" si="216"/>
        <v>#N/A</v>
      </c>
      <c r="U1147" s="272" t="e">
        <f>IF(Q1147=0,'calcolo base'!L3746,(T1147+Q1147))</f>
        <v>#N/A</v>
      </c>
      <c r="V1147" s="119"/>
      <c r="Z1147" s="118">
        <f t="shared" si="207"/>
        <v>0</v>
      </c>
      <c r="AA1147" s="118">
        <f t="shared" si="208"/>
        <v>0</v>
      </c>
    </row>
    <row r="1148" spans="2:27">
      <c r="B1148" s="47"/>
      <c r="C1148" s="35"/>
      <c r="D1148" s="53"/>
      <c r="E1148" s="53"/>
      <c r="F1148" s="48"/>
      <c r="G1148" s="243" t="e">
        <f>INDEX('calcolo base'!$B:$B, MATCH($A1148, 'calcolo base'!$A:$A, 0))</f>
        <v>#N/A</v>
      </c>
      <c r="H1148" s="54" t="e">
        <f t="shared" si="209"/>
        <v>#N/A</v>
      </c>
      <c r="I1148" s="259" t="e">
        <f>IF(  OR(      INDEX('calcolo base'!$D:$D, MATCH($A1148, 'calcolo base'!$A:$A, 0)) = 0,
      INDEX('calcolo base'!$D:$D, MATCH($A1148, 'calcolo base'!$A:$A, 0)) = ""   ),
   INDEX('calcolo base'!$K:$K, MATCH($A1148, 'calcolo base'!$A:$A, 0)),
   INDEX('calcolo base'!$J:$J, MATCH($A1148, 'calcolo base'!$A:$A, 0))
) / 1000</f>
        <v>#N/A</v>
      </c>
      <c r="J1148" s="50" t="e">
        <f t="shared" si="210"/>
        <v>#N/A</v>
      </c>
      <c r="K1148" s="50"/>
      <c r="L1148" s="267" t="e">
        <f>INDEX('calcolo base'!$H:$H, MATCH($A1148, 'calcolo base'!$A:$A, 0))</f>
        <v>#N/A</v>
      </c>
      <c r="M1148" s="50" t="e">
        <f t="shared" si="211"/>
        <v>#N/A</v>
      </c>
      <c r="N1148" s="50" t="e">
        <f t="shared" si="212"/>
        <v>#N/A</v>
      </c>
      <c r="O1148" s="50" t="e">
        <f t="shared" si="217"/>
        <v>#N/A</v>
      </c>
      <c r="P1148" s="50" t="e">
        <f t="shared" si="213"/>
        <v>#N/A</v>
      </c>
      <c r="Q1148" s="51" t="e">
        <f t="shared" si="214"/>
        <v>#N/A</v>
      </c>
      <c r="R1148" s="205" t="e">
        <f t="shared" si="215"/>
        <v>#N/A</v>
      </c>
      <c r="S1148" s="279" t="e">
        <f>IF(R1148="si",0,IF(E1148="si",0,IF(J1148&gt;K1148,0,+K1148-J1148)))+IF('calcolo base'!P1840="SI",('Commissioni De Angeli'!K1148-'Commissioni De Angeli'!J1148),0)</f>
        <v>#N/A</v>
      </c>
      <c r="T1148" s="117" t="e">
        <f t="shared" si="216"/>
        <v>#N/A</v>
      </c>
      <c r="U1148" s="272" t="e">
        <f>IF(Q1148=0,'calcolo base'!L3747,(T1148+Q1148))</f>
        <v>#N/A</v>
      </c>
      <c r="V1148" s="119"/>
      <c r="Z1148" s="118">
        <f t="shared" si="207"/>
        <v>0</v>
      </c>
      <c r="AA1148" s="118">
        <f t="shared" si="208"/>
        <v>0</v>
      </c>
    </row>
    <row r="1149" spans="2:27">
      <c r="B1149" s="47"/>
      <c r="C1149" s="35"/>
      <c r="D1149" s="53"/>
      <c r="E1149" s="53"/>
      <c r="F1149" s="48"/>
      <c r="G1149" s="243" t="e">
        <f>INDEX('calcolo base'!$B:$B, MATCH($A1149, 'calcolo base'!$A:$A, 0))</f>
        <v>#N/A</v>
      </c>
      <c r="H1149" s="54" t="e">
        <f t="shared" si="209"/>
        <v>#N/A</v>
      </c>
      <c r="I1149" s="259" t="e">
        <f>IF(  OR(      INDEX('calcolo base'!$D:$D, MATCH($A1149, 'calcolo base'!$A:$A, 0)) = 0,
      INDEX('calcolo base'!$D:$D, MATCH($A1149, 'calcolo base'!$A:$A, 0)) = ""   ),
   INDEX('calcolo base'!$K:$K, MATCH($A1149, 'calcolo base'!$A:$A, 0)),
   INDEX('calcolo base'!$J:$J, MATCH($A1149, 'calcolo base'!$A:$A, 0))
) / 1000</f>
        <v>#N/A</v>
      </c>
      <c r="J1149" s="50" t="e">
        <f t="shared" si="210"/>
        <v>#N/A</v>
      </c>
      <c r="K1149" s="50"/>
      <c r="L1149" s="267" t="e">
        <f>INDEX('calcolo base'!$H:$H, MATCH($A1149, 'calcolo base'!$A:$A, 0))</f>
        <v>#N/A</v>
      </c>
      <c r="M1149" s="50" t="e">
        <f t="shared" si="211"/>
        <v>#N/A</v>
      </c>
      <c r="N1149" s="50" t="e">
        <f t="shared" si="212"/>
        <v>#N/A</v>
      </c>
      <c r="O1149" s="50" t="e">
        <f t="shared" si="217"/>
        <v>#N/A</v>
      </c>
      <c r="P1149" s="50" t="e">
        <f t="shared" si="213"/>
        <v>#N/A</v>
      </c>
      <c r="Q1149" s="51" t="e">
        <f t="shared" si="214"/>
        <v>#N/A</v>
      </c>
      <c r="R1149" s="205" t="e">
        <f t="shared" si="215"/>
        <v>#N/A</v>
      </c>
      <c r="S1149" s="279" t="e">
        <f>IF(R1149="si",0,IF(E1149="si",0,IF(J1149&gt;K1149,0,+K1149-J1149)))+IF('calcolo base'!P1841="SI",('Commissioni De Angeli'!K1149-'Commissioni De Angeli'!J1149),0)</f>
        <v>#N/A</v>
      </c>
      <c r="T1149" s="117" t="e">
        <f t="shared" si="216"/>
        <v>#N/A</v>
      </c>
      <c r="U1149" s="272" t="e">
        <f>IF(Q1149=0,'calcolo base'!L3748,(T1149+Q1149))</f>
        <v>#N/A</v>
      </c>
      <c r="V1149" s="119"/>
      <c r="Z1149" s="118">
        <f t="shared" si="207"/>
        <v>0</v>
      </c>
      <c r="AA1149" s="118">
        <f t="shared" si="208"/>
        <v>0</v>
      </c>
    </row>
    <row r="1150" spans="2:27">
      <c r="B1150" s="47"/>
      <c r="C1150" s="35"/>
      <c r="D1150" s="53"/>
      <c r="E1150" s="53"/>
      <c r="F1150" s="48"/>
      <c r="G1150" s="243" t="e">
        <f>INDEX('calcolo base'!$B:$B, MATCH($A1150, 'calcolo base'!$A:$A, 0))</f>
        <v>#N/A</v>
      </c>
      <c r="H1150" s="54" t="e">
        <f t="shared" si="209"/>
        <v>#N/A</v>
      </c>
      <c r="I1150" s="259" t="e">
        <f>IF(  OR(      INDEX('calcolo base'!$D:$D, MATCH($A1150, 'calcolo base'!$A:$A, 0)) = 0,
      INDEX('calcolo base'!$D:$D, MATCH($A1150, 'calcolo base'!$A:$A, 0)) = ""   ),
   INDEX('calcolo base'!$K:$K, MATCH($A1150, 'calcolo base'!$A:$A, 0)),
   INDEX('calcolo base'!$J:$J, MATCH($A1150, 'calcolo base'!$A:$A, 0))
) / 1000</f>
        <v>#N/A</v>
      </c>
      <c r="J1150" s="50" t="e">
        <f t="shared" si="210"/>
        <v>#N/A</v>
      </c>
      <c r="K1150" s="50"/>
      <c r="L1150" s="267" t="e">
        <f>INDEX('calcolo base'!$H:$H, MATCH($A1150, 'calcolo base'!$A:$A, 0))</f>
        <v>#N/A</v>
      </c>
      <c r="M1150" s="50" t="e">
        <f t="shared" si="211"/>
        <v>#N/A</v>
      </c>
      <c r="N1150" s="50" t="e">
        <f t="shared" si="212"/>
        <v>#N/A</v>
      </c>
      <c r="O1150" s="50" t="e">
        <f t="shared" si="217"/>
        <v>#N/A</v>
      </c>
      <c r="P1150" s="50" t="e">
        <f t="shared" si="213"/>
        <v>#N/A</v>
      </c>
      <c r="Q1150" s="51" t="e">
        <f t="shared" si="214"/>
        <v>#N/A</v>
      </c>
      <c r="R1150" s="205" t="e">
        <f t="shared" si="215"/>
        <v>#N/A</v>
      </c>
      <c r="S1150" s="279" t="e">
        <f>IF(R1150="si",0,IF(E1150="si",0,IF(J1150&gt;K1150,0,+K1150-J1150)))+IF('calcolo base'!P1842="SI",('Commissioni De Angeli'!K1150-'Commissioni De Angeli'!J1150),0)</f>
        <v>#N/A</v>
      </c>
      <c r="T1150" s="117" t="e">
        <f t="shared" si="216"/>
        <v>#N/A</v>
      </c>
      <c r="U1150" s="272" t="e">
        <f>IF(Q1150=0,'calcolo base'!L3749,(T1150+Q1150))</f>
        <v>#N/A</v>
      </c>
      <c r="V1150" s="119"/>
      <c r="Z1150" s="118">
        <f t="shared" si="207"/>
        <v>0</v>
      </c>
      <c r="AA1150" s="118">
        <f t="shared" si="208"/>
        <v>0</v>
      </c>
    </row>
    <row r="1151" spans="2:27">
      <c r="B1151" s="47"/>
      <c r="C1151" s="35"/>
      <c r="D1151" s="53"/>
      <c r="E1151" s="53"/>
      <c r="F1151" s="48"/>
      <c r="G1151" s="243" t="e">
        <f>INDEX('calcolo base'!$B:$B, MATCH($A1151, 'calcolo base'!$A:$A, 0))</f>
        <v>#N/A</v>
      </c>
      <c r="H1151" s="54" t="e">
        <f t="shared" si="209"/>
        <v>#N/A</v>
      </c>
      <c r="I1151" s="259" t="e">
        <f>IF(  OR(      INDEX('calcolo base'!$D:$D, MATCH($A1151, 'calcolo base'!$A:$A, 0)) = 0,
      INDEX('calcolo base'!$D:$D, MATCH($A1151, 'calcolo base'!$A:$A, 0)) = ""   ),
   INDEX('calcolo base'!$K:$K, MATCH($A1151, 'calcolo base'!$A:$A, 0)),
   INDEX('calcolo base'!$J:$J, MATCH($A1151, 'calcolo base'!$A:$A, 0))
) / 1000</f>
        <v>#N/A</v>
      </c>
      <c r="J1151" s="50" t="e">
        <f t="shared" si="210"/>
        <v>#N/A</v>
      </c>
      <c r="K1151" s="50"/>
      <c r="L1151" s="267" t="e">
        <f>INDEX('calcolo base'!$H:$H, MATCH($A1151, 'calcolo base'!$A:$A, 0))</f>
        <v>#N/A</v>
      </c>
      <c r="M1151" s="50" t="e">
        <f t="shared" si="211"/>
        <v>#N/A</v>
      </c>
      <c r="N1151" s="50" t="e">
        <f t="shared" si="212"/>
        <v>#N/A</v>
      </c>
      <c r="O1151" s="50" t="e">
        <f t="shared" si="217"/>
        <v>#N/A</v>
      </c>
      <c r="P1151" s="50" t="e">
        <f t="shared" si="213"/>
        <v>#N/A</v>
      </c>
      <c r="Q1151" s="51" t="e">
        <f t="shared" si="214"/>
        <v>#N/A</v>
      </c>
      <c r="R1151" s="205" t="e">
        <f t="shared" si="215"/>
        <v>#N/A</v>
      </c>
      <c r="S1151" s="279" t="e">
        <f>IF(R1151="si",0,IF(E1151="si",0,IF(J1151&gt;K1151,0,+K1151-J1151)))+IF('calcolo base'!P1843="SI",('Commissioni De Angeli'!K1151-'Commissioni De Angeli'!J1151),0)</f>
        <v>#N/A</v>
      </c>
      <c r="T1151" s="117" t="e">
        <f t="shared" si="216"/>
        <v>#N/A</v>
      </c>
      <c r="U1151" s="272" t="e">
        <f>IF(Q1151=0,'calcolo base'!L3750,(T1151+Q1151))</f>
        <v>#N/A</v>
      </c>
      <c r="V1151" s="119"/>
      <c r="Z1151" s="118">
        <f t="shared" si="207"/>
        <v>0</v>
      </c>
      <c r="AA1151" s="118">
        <f t="shared" si="208"/>
        <v>0</v>
      </c>
    </row>
    <row r="1152" spans="2:27">
      <c r="B1152" s="47"/>
      <c r="C1152" s="35"/>
      <c r="D1152" s="53"/>
      <c r="E1152" s="53"/>
      <c r="F1152" s="48"/>
      <c r="G1152" s="243" t="e">
        <f>INDEX('calcolo base'!$B:$B, MATCH($A1152, 'calcolo base'!$A:$A, 0))</f>
        <v>#N/A</v>
      </c>
      <c r="H1152" s="54" t="e">
        <f t="shared" si="209"/>
        <v>#N/A</v>
      </c>
      <c r="I1152" s="259" t="e">
        <f>IF(  OR(      INDEX('calcolo base'!$D:$D, MATCH($A1152, 'calcolo base'!$A:$A, 0)) = 0,
      INDEX('calcolo base'!$D:$D, MATCH($A1152, 'calcolo base'!$A:$A, 0)) = ""   ),
   INDEX('calcolo base'!$K:$K, MATCH($A1152, 'calcolo base'!$A:$A, 0)),
   INDEX('calcolo base'!$J:$J, MATCH($A1152, 'calcolo base'!$A:$A, 0))
) / 1000</f>
        <v>#N/A</v>
      </c>
      <c r="J1152" s="50" t="e">
        <f t="shared" si="210"/>
        <v>#N/A</v>
      </c>
      <c r="K1152" s="50"/>
      <c r="L1152" s="267" t="e">
        <f>INDEX('calcolo base'!$H:$H, MATCH($A1152, 'calcolo base'!$A:$A, 0))</f>
        <v>#N/A</v>
      </c>
      <c r="M1152" s="50" t="e">
        <f t="shared" si="211"/>
        <v>#N/A</v>
      </c>
      <c r="N1152" s="50" t="e">
        <f t="shared" si="212"/>
        <v>#N/A</v>
      </c>
      <c r="O1152" s="50" t="e">
        <f t="shared" si="217"/>
        <v>#N/A</v>
      </c>
      <c r="P1152" s="50" t="e">
        <f t="shared" si="213"/>
        <v>#N/A</v>
      </c>
      <c r="Q1152" s="51" t="e">
        <f t="shared" si="214"/>
        <v>#N/A</v>
      </c>
      <c r="R1152" s="205" t="e">
        <f t="shared" si="215"/>
        <v>#N/A</v>
      </c>
      <c r="S1152" s="279" t="e">
        <f>IF(R1152="si",0,IF(E1152="si",0,IF(J1152&gt;K1152,0,+K1152-J1152)))+IF('calcolo base'!P1844="SI",('Commissioni De Angeli'!K1152-'Commissioni De Angeli'!J1152),0)</f>
        <v>#N/A</v>
      </c>
      <c r="T1152" s="117" t="e">
        <f t="shared" si="216"/>
        <v>#N/A</v>
      </c>
      <c r="U1152" s="272" t="e">
        <f>IF(Q1152=0,'calcolo base'!L3751,(T1152+Q1152))</f>
        <v>#N/A</v>
      </c>
      <c r="V1152" s="119"/>
      <c r="Z1152" s="118">
        <f t="shared" si="207"/>
        <v>0</v>
      </c>
      <c r="AA1152" s="118">
        <f t="shared" si="208"/>
        <v>0</v>
      </c>
    </row>
    <row r="1153" spans="2:27">
      <c r="B1153" s="47"/>
      <c r="C1153" s="35"/>
      <c r="D1153" s="53"/>
      <c r="E1153" s="53"/>
      <c r="F1153" s="48"/>
      <c r="G1153" s="243" t="e">
        <f>INDEX('calcolo base'!$B:$B, MATCH($A1153, 'calcolo base'!$A:$A, 0))</f>
        <v>#N/A</v>
      </c>
      <c r="H1153" s="54" t="e">
        <f t="shared" si="209"/>
        <v>#N/A</v>
      </c>
      <c r="I1153" s="259" t="e">
        <f>IF(  OR(      INDEX('calcolo base'!$D:$D, MATCH($A1153, 'calcolo base'!$A:$A, 0)) = 0,
      INDEX('calcolo base'!$D:$D, MATCH($A1153, 'calcolo base'!$A:$A, 0)) = ""   ),
   INDEX('calcolo base'!$K:$K, MATCH($A1153, 'calcolo base'!$A:$A, 0)),
   INDEX('calcolo base'!$J:$J, MATCH($A1153, 'calcolo base'!$A:$A, 0))
) / 1000</f>
        <v>#N/A</v>
      </c>
      <c r="J1153" s="50" t="e">
        <f t="shared" si="210"/>
        <v>#N/A</v>
      </c>
      <c r="K1153" s="50"/>
      <c r="L1153" s="267" t="e">
        <f>INDEX('calcolo base'!$H:$H, MATCH($A1153, 'calcolo base'!$A:$A, 0))</f>
        <v>#N/A</v>
      </c>
      <c r="M1153" s="50" t="e">
        <f t="shared" si="211"/>
        <v>#N/A</v>
      </c>
      <c r="N1153" s="50" t="e">
        <f t="shared" si="212"/>
        <v>#N/A</v>
      </c>
      <c r="O1153" s="50" t="e">
        <f t="shared" si="217"/>
        <v>#N/A</v>
      </c>
      <c r="P1153" s="50" t="e">
        <f t="shared" si="213"/>
        <v>#N/A</v>
      </c>
      <c r="Q1153" s="51" t="e">
        <f t="shared" si="214"/>
        <v>#N/A</v>
      </c>
      <c r="R1153" s="205" t="e">
        <f t="shared" si="215"/>
        <v>#N/A</v>
      </c>
      <c r="S1153" s="279" t="e">
        <f>IF(R1153="si",0,IF(E1153="si",0,IF(J1153&gt;K1153,0,+K1153-J1153)))+IF('calcolo base'!P1845="SI",('Commissioni De Angeli'!K1153-'Commissioni De Angeli'!J1153),0)</f>
        <v>#N/A</v>
      </c>
      <c r="T1153" s="117" t="e">
        <f t="shared" si="216"/>
        <v>#N/A</v>
      </c>
      <c r="U1153" s="272" t="e">
        <f>IF(Q1153=0,'calcolo base'!L3752,(T1153+Q1153))</f>
        <v>#N/A</v>
      </c>
      <c r="V1153" s="119"/>
      <c r="Z1153" s="118">
        <f t="shared" si="207"/>
        <v>0</v>
      </c>
      <c r="AA1153" s="118">
        <f t="shared" si="208"/>
        <v>0</v>
      </c>
    </row>
    <row r="1154" spans="2:27">
      <c r="B1154" s="47"/>
      <c r="C1154" s="35"/>
      <c r="D1154" s="53"/>
      <c r="E1154" s="53"/>
      <c r="F1154" s="48"/>
      <c r="G1154" s="243" t="e">
        <f>INDEX('calcolo base'!$B:$B, MATCH($A1154, 'calcolo base'!$A:$A, 0))</f>
        <v>#N/A</v>
      </c>
      <c r="H1154" s="54" t="e">
        <f t="shared" si="209"/>
        <v>#N/A</v>
      </c>
      <c r="I1154" s="259" t="e">
        <f>IF(  OR(      INDEX('calcolo base'!$D:$D, MATCH($A1154, 'calcolo base'!$A:$A, 0)) = 0,
      INDEX('calcolo base'!$D:$D, MATCH($A1154, 'calcolo base'!$A:$A, 0)) = ""   ),
   INDEX('calcolo base'!$K:$K, MATCH($A1154, 'calcolo base'!$A:$A, 0)),
   INDEX('calcolo base'!$J:$J, MATCH($A1154, 'calcolo base'!$A:$A, 0))
) / 1000</f>
        <v>#N/A</v>
      </c>
      <c r="J1154" s="50" t="e">
        <f t="shared" si="210"/>
        <v>#N/A</v>
      </c>
      <c r="K1154" s="50"/>
      <c r="L1154" s="267" t="e">
        <f>INDEX('calcolo base'!$H:$H, MATCH($A1154, 'calcolo base'!$A:$A, 0))</f>
        <v>#N/A</v>
      </c>
      <c r="M1154" s="50" t="e">
        <f t="shared" si="211"/>
        <v>#N/A</v>
      </c>
      <c r="N1154" s="50" t="e">
        <f t="shared" si="212"/>
        <v>#N/A</v>
      </c>
      <c r="O1154" s="50" t="e">
        <f t="shared" si="217"/>
        <v>#N/A</v>
      </c>
      <c r="P1154" s="50" t="e">
        <f t="shared" si="213"/>
        <v>#N/A</v>
      </c>
      <c r="Q1154" s="51" t="e">
        <f t="shared" si="214"/>
        <v>#N/A</v>
      </c>
      <c r="R1154" s="205" t="e">
        <f t="shared" si="215"/>
        <v>#N/A</v>
      </c>
      <c r="S1154" s="279" t="e">
        <f>IF(R1154="si",0,IF(E1154="si",0,IF(J1154&gt;K1154,0,+K1154-J1154)))+IF('calcolo base'!P1846="SI",('Commissioni De Angeli'!K1154-'Commissioni De Angeli'!J1154),0)</f>
        <v>#N/A</v>
      </c>
      <c r="T1154" s="117" t="e">
        <f t="shared" si="216"/>
        <v>#N/A</v>
      </c>
      <c r="U1154" s="272" t="e">
        <f>IF(Q1154=0,'calcolo base'!L3753,(T1154+Q1154))</f>
        <v>#N/A</v>
      </c>
      <c r="V1154" s="119"/>
      <c r="Z1154" s="118">
        <f t="shared" si="207"/>
        <v>0</v>
      </c>
      <c r="AA1154" s="118">
        <f t="shared" si="208"/>
        <v>0</v>
      </c>
    </row>
    <row r="1155" spans="2:27">
      <c r="B1155" s="47"/>
      <c r="C1155" s="35"/>
      <c r="D1155" s="53"/>
      <c r="E1155" s="53"/>
      <c r="F1155" s="48"/>
      <c r="G1155" s="243" t="e">
        <f>INDEX('calcolo base'!$B:$B, MATCH($A1155, 'calcolo base'!$A:$A, 0))</f>
        <v>#N/A</v>
      </c>
      <c r="H1155" s="54" t="e">
        <f t="shared" si="209"/>
        <v>#N/A</v>
      </c>
      <c r="I1155" s="259" t="e">
        <f>IF(  OR(      INDEX('calcolo base'!$D:$D, MATCH($A1155, 'calcolo base'!$A:$A, 0)) = 0,
      INDEX('calcolo base'!$D:$D, MATCH($A1155, 'calcolo base'!$A:$A, 0)) = ""   ),
   INDEX('calcolo base'!$K:$K, MATCH($A1155, 'calcolo base'!$A:$A, 0)),
   INDEX('calcolo base'!$J:$J, MATCH($A1155, 'calcolo base'!$A:$A, 0))
) / 1000</f>
        <v>#N/A</v>
      </c>
      <c r="J1155" s="50" t="e">
        <f t="shared" si="210"/>
        <v>#N/A</v>
      </c>
      <c r="K1155" s="50"/>
      <c r="L1155" s="267" t="e">
        <f>INDEX('calcolo base'!$H:$H, MATCH($A1155, 'calcolo base'!$A:$A, 0))</f>
        <v>#N/A</v>
      </c>
      <c r="M1155" s="50" t="e">
        <f t="shared" si="211"/>
        <v>#N/A</v>
      </c>
      <c r="N1155" s="50" t="e">
        <f t="shared" si="212"/>
        <v>#N/A</v>
      </c>
      <c r="O1155" s="50" t="e">
        <f t="shared" si="217"/>
        <v>#N/A</v>
      </c>
      <c r="P1155" s="50" t="e">
        <f t="shared" si="213"/>
        <v>#N/A</v>
      </c>
      <c r="Q1155" s="51" t="e">
        <f t="shared" si="214"/>
        <v>#N/A</v>
      </c>
      <c r="R1155" s="205" t="e">
        <f t="shared" si="215"/>
        <v>#N/A</v>
      </c>
      <c r="S1155" s="279" t="e">
        <f>IF(R1155="si",0,IF(E1155="si",0,IF(J1155&gt;K1155,0,+K1155-J1155)))+IF('calcolo base'!P1847="SI",('Commissioni De Angeli'!K1155-'Commissioni De Angeli'!J1155),0)</f>
        <v>#N/A</v>
      </c>
      <c r="T1155" s="117" t="e">
        <f t="shared" si="216"/>
        <v>#N/A</v>
      </c>
      <c r="U1155" s="272" t="e">
        <f>IF(Q1155=0,'calcolo base'!L3754,(T1155+Q1155))</f>
        <v>#N/A</v>
      </c>
      <c r="V1155" s="119"/>
      <c r="Z1155" s="118">
        <f t="shared" si="207"/>
        <v>0</v>
      </c>
      <c r="AA1155" s="118">
        <f t="shared" si="208"/>
        <v>0</v>
      </c>
    </row>
    <row r="1156" spans="2:27">
      <c r="B1156" s="47"/>
      <c r="C1156" s="35"/>
      <c r="D1156" s="53"/>
      <c r="E1156" s="53"/>
      <c r="F1156" s="48"/>
      <c r="G1156" s="243" t="e">
        <f>INDEX('calcolo base'!$B:$B, MATCH($A1156, 'calcolo base'!$A:$A, 0))</f>
        <v>#N/A</v>
      </c>
      <c r="H1156" s="54" t="e">
        <f t="shared" si="209"/>
        <v>#N/A</v>
      </c>
      <c r="I1156" s="259" t="e">
        <f>IF(  OR(      INDEX('calcolo base'!$D:$D, MATCH($A1156, 'calcolo base'!$A:$A, 0)) = 0,
      INDEX('calcolo base'!$D:$D, MATCH($A1156, 'calcolo base'!$A:$A, 0)) = ""   ),
   INDEX('calcolo base'!$K:$K, MATCH($A1156, 'calcolo base'!$A:$A, 0)),
   INDEX('calcolo base'!$J:$J, MATCH($A1156, 'calcolo base'!$A:$A, 0))
) / 1000</f>
        <v>#N/A</v>
      </c>
      <c r="J1156" s="50" t="e">
        <f t="shared" si="210"/>
        <v>#N/A</v>
      </c>
      <c r="K1156" s="50"/>
      <c r="L1156" s="267" t="e">
        <f>INDEX('calcolo base'!$H:$H, MATCH($A1156, 'calcolo base'!$A:$A, 0))</f>
        <v>#N/A</v>
      </c>
      <c r="M1156" s="50" t="e">
        <f t="shared" si="211"/>
        <v>#N/A</v>
      </c>
      <c r="N1156" s="50" t="e">
        <f t="shared" si="212"/>
        <v>#N/A</v>
      </c>
      <c r="O1156" s="50" t="e">
        <f t="shared" si="217"/>
        <v>#N/A</v>
      </c>
      <c r="P1156" s="50" t="e">
        <f t="shared" si="213"/>
        <v>#N/A</v>
      </c>
      <c r="Q1156" s="51" t="e">
        <f t="shared" si="214"/>
        <v>#N/A</v>
      </c>
      <c r="R1156" s="205" t="e">
        <f t="shared" si="215"/>
        <v>#N/A</v>
      </c>
      <c r="S1156" s="279" t="e">
        <f>IF(R1156="si",0,IF(E1156="si",0,IF(J1156&gt;K1156,0,+K1156-J1156)))+IF('calcolo base'!P1848="SI",('Commissioni De Angeli'!K1156-'Commissioni De Angeli'!J1156),0)</f>
        <v>#N/A</v>
      </c>
      <c r="T1156" s="117" t="e">
        <f t="shared" si="216"/>
        <v>#N/A</v>
      </c>
      <c r="U1156" s="272" t="e">
        <f>IF(Q1156=0,'calcolo base'!L3755,(T1156+Q1156))</f>
        <v>#N/A</v>
      </c>
      <c r="V1156" s="119"/>
      <c r="Z1156" s="118">
        <f t="shared" si="207"/>
        <v>0</v>
      </c>
      <c r="AA1156" s="118">
        <f t="shared" si="208"/>
        <v>0</v>
      </c>
    </row>
    <row r="1157" spans="2:27">
      <c r="B1157" s="47"/>
      <c r="C1157" s="35"/>
      <c r="D1157" s="53"/>
      <c r="E1157" s="53"/>
      <c r="F1157" s="48"/>
      <c r="G1157" s="243" t="e">
        <f>INDEX('calcolo base'!$B:$B, MATCH($A1157, 'calcolo base'!$A:$A, 0))</f>
        <v>#N/A</v>
      </c>
      <c r="H1157" s="54" t="e">
        <f t="shared" si="209"/>
        <v>#N/A</v>
      </c>
      <c r="I1157" s="259" t="e">
        <f>IF(  OR(      INDEX('calcolo base'!$D:$D, MATCH($A1157, 'calcolo base'!$A:$A, 0)) = 0,
      INDEX('calcolo base'!$D:$D, MATCH($A1157, 'calcolo base'!$A:$A, 0)) = ""   ),
   INDEX('calcolo base'!$K:$K, MATCH($A1157, 'calcolo base'!$A:$A, 0)),
   INDEX('calcolo base'!$J:$J, MATCH($A1157, 'calcolo base'!$A:$A, 0))
) / 1000</f>
        <v>#N/A</v>
      </c>
      <c r="J1157" s="50" t="e">
        <f t="shared" si="210"/>
        <v>#N/A</v>
      </c>
      <c r="K1157" s="50"/>
      <c r="L1157" s="267" t="e">
        <f>INDEX('calcolo base'!$H:$H, MATCH($A1157, 'calcolo base'!$A:$A, 0))</f>
        <v>#N/A</v>
      </c>
      <c r="M1157" s="50" t="e">
        <f t="shared" si="211"/>
        <v>#N/A</v>
      </c>
      <c r="N1157" s="50" t="e">
        <f t="shared" si="212"/>
        <v>#N/A</v>
      </c>
      <c r="O1157" s="50" t="e">
        <f t="shared" si="217"/>
        <v>#N/A</v>
      </c>
      <c r="P1157" s="50" t="e">
        <f t="shared" si="213"/>
        <v>#N/A</v>
      </c>
      <c r="Q1157" s="51" t="e">
        <f t="shared" si="214"/>
        <v>#N/A</v>
      </c>
      <c r="R1157" s="205" t="e">
        <f t="shared" si="215"/>
        <v>#N/A</v>
      </c>
      <c r="S1157" s="279" t="e">
        <f>IF(R1157="si",0,IF(E1157="si",0,IF(J1157&gt;K1157,0,+K1157-J1157)))+IF('calcolo base'!P1849="SI",('Commissioni De Angeli'!K1157-'Commissioni De Angeli'!J1157),0)</f>
        <v>#N/A</v>
      </c>
      <c r="T1157" s="117" t="e">
        <f t="shared" si="216"/>
        <v>#N/A</v>
      </c>
      <c r="U1157" s="272" t="e">
        <f>IF(Q1157=0,'calcolo base'!L3756,(T1157+Q1157))</f>
        <v>#N/A</v>
      </c>
      <c r="V1157" s="119"/>
      <c r="Z1157" s="118">
        <f t="shared" si="207"/>
        <v>0</v>
      </c>
      <c r="AA1157" s="118">
        <f t="shared" si="208"/>
        <v>0</v>
      </c>
    </row>
    <row r="1158" spans="2:27">
      <c r="B1158" s="47"/>
      <c r="C1158" s="35"/>
      <c r="D1158" s="53"/>
      <c r="E1158" s="53"/>
      <c r="F1158" s="48"/>
      <c r="G1158" s="243" t="e">
        <f>INDEX('calcolo base'!$B:$B, MATCH($A1158, 'calcolo base'!$A:$A, 0))</f>
        <v>#N/A</v>
      </c>
      <c r="H1158" s="54" t="e">
        <f t="shared" si="209"/>
        <v>#N/A</v>
      </c>
      <c r="I1158" s="259" t="e">
        <f>IF(  OR(      INDEX('calcolo base'!$D:$D, MATCH($A1158, 'calcolo base'!$A:$A, 0)) = 0,
      INDEX('calcolo base'!$D:$D, MATCH($A1158, 'calcolo base'!$A:$A, 0)) = ""   ),
   INDEX('calcolo base'!$K:$K, MATCH($A1158, 'calcolo base'!$A:$A, 0)),
   INDEX('calcolo base'!$J:$J, MATCH($A1158, 'calcolo base'!$A:$A, 0))
) / 1000</f>
        <v>#N/A</v>
      </c>
      <c r="J1158" s="50" t="e">
        <f t="shared" si="210"/>
        <v>#N/A</v>
      </c>
      <c r="K1158" s="50"/>
      <c r="L1158" s="267" t="e">
        <f>INDEX('calcolo base'!$H:$H, MATCH($A1158, 'calcolo base'!$A:$A, 0))</f>
        <v>#N/A</v>
      </c>
      <c r="M1158" s="50" t="e">
        <f t="shared" si="211"/>
        <v>#N/A</v>
      </c>
      <c r="N1158" s="50" t="e">
        <f t="shared" si="212"/>
        <v>#N/A</v>
      </c>
      <c r="O1158" s="50" t="e">
        <f t="shared" si="217"/>
        <v>#N/A</v>
      </c>
      <c r="P1158" s="50" t="e">
        <f t="shared" si="213"/>
        <v>#N/A</v>
      </c>
      <c r="Q1158" s="51" t="e">
        <f t="shared" si="214"/>
        <v>#N/A</v>
      </c>
      <c r="R1158" s="205" t="e">
        <f t="shared" si="215"/>
        <v>#N/A</v>
      </c>
      <c r="S1158" s="279" t="e">
        <f>IF(R1158="si",0,IF(E1158="si",0,IF(J1158&gt;K1158,0,+K1158-J1158)))+IF('calcolo base'!P1850="SI",('Commissioni De Angeli'!K1158-'Commissioni De Angeli'!J1158),0)</f>
        <v>#N/A</v>
      </c>
      <c r="T1158" s="117" t="e">
        <f t="shared" si="216"/>
        <v>#N/A</v>
      </c>
      <c r="U1158" s="272" t="e">
        <f>IF(Q1158=0,'calcolo base'!L3757,(T1158+Q1158))</f>
        <v>#N/A</v>
      </c>
      <c r="V1158" s="119"/>
      <c r="Z1158" s="118">
        <f t="shared" si="207"/>
        <v>0</v>
      </c>
      <c r="AA1158" s="118">
        <f t="shared" si="208"/>
        <v>0</v>
      </c>
    </row>
    <row r="1159" spans="2:27">
      <c r="B1159" s="47"/>
      <c r="C1159" s="35"/>
      <c r="D1159" s="53"/>
      <c r="E1159" s="53"/>
      <c r="F1159" s="48"/>
      <c r="G1159" s="243" t="e">
        <f>INDEX('calcolo base'!$B:$B, MATCH($A1159, 'calcolo base'!$A:$A, 0))</f>
        <v>#N/A</v>
      </c>
      <c r="H1159" s="54" t="e">
        <f t="shared" si="209"/>
        <v>#N/A</v>
      </c>
      <c r="I1159" s="259" t="e">
        <f>IF(  OR(      INDEX('calcolo base'!$D:$D, MATCH($A1159, 'calcolo base'!$A:$A, 0)) = 0,
      INDEX('calcolo base'!$D:$D, MATCH($A1159, 'calcolo base'!$A:$A, 0)) = ""   ),
   INDEX('calcolo base'!$K:$K, MATCH($A1159, 'calcolo base'!$A:$A, 0)),
   INDEX('calcolo base'!$J:$J, MATCH($A1159, 'calcolo base'!$A:$A, 0))
) / 1000</f>
        <v>#N/A</v>
      </c>
      <c r="J1159" s="50" t="e">
        <f t="shared" si="210"/>
        <v>#N/A</v>
      </c>
      <c r="K1159" s="50"/>
      <c r="L1159" s="267" t="e">
        <f>INDEX('calcolo base'!$H:$H, MATCH($A1159, 'calcolo base'!$A:$A, 0))</f>
        <v>#N/A</v>
      </c>
      <c r="M1159" s="50" t="e">
        <f t="shared" si="211"/>
        <v>#N/A</v>
      </c>
      <c r="N1159" s="50" t="e">
        <f t="shared" si="212"/>
        <v>#N/A</v>
      </c>
      <c r="O1159" s="50" t="e">
        <f t="shared" si="217"/>
        <v>#N/A</v>
      </c>
      <c r="P1159" s="50" t="e">
        <f t="shared" si="213"/>
        <v>#N/A</v>
      </c>
      <c r="Q1159" s="51" t="e">
        <f t="shared" si="214"/>
        <v>#N/A</v>
      </c>
      <c r="R1159" s="205" t="e">
        <f t="shared" si="215"/>
        <v>#N/A</v>
      </c>
      <c r="S1159" s="279" t="e">
        <f>IF(R1159="si",0,IF(E1159="si",0,IF(J1159&gt;K1159,0,+K1159-J1159)))+IF('calcolo base'!P1851="SI",('Commissioni De Angeli'!K1159-'Commissioni De Angeli'!J1159),0)</f>
        <v>#N/A</v>
      </c>
      <c r="T1159" s="117" t="e">
        <f t="shared" si="216"/>
        <v>#N/A</v>
      </c>
      <c r="U1159" s="272" t="e">
        <f>IF(Q1159=0,'calcolo base'!L3758,(T1159+Q1159))</f>
        <v>#N/A</v>
      </c>
      <c r="V1159" s="119"/>
      <c r="Z1159" s="118">
        <f t="shared" si="207"/>
        <v>0</v>
      </c>
      <c r="AA1159" s="118">
        <f t="shared" si="208"/>
        <v>0</v>
      </c>
    </row>
    <row r="1160" spans="2:27">
      <c r="B1160" s="47"/>
      <c r="C1160" s="35"/>
      <c r="D1160" s="53"/>
      <c r="E1160" s="53"/>
      <c r="F1160" s="48"/>
      <c r="G1160" s="243" t="e">
        <f>INDEX('calcolo base'!$B:$B, MATCH($A1160, 'calcolo base'!$A:$A, 0))</f>
        <v>#N/A</v>
      </c>
      <c r="H1160" s="54" t="e">
        <f t="shared" si="209"/>
        <v>#N/A</v>
      </c>
      <c r="I1160" s="259" t="e">
        <f>IF(  OR(      INDEX('calcolo base'!$D:$D, MATCH($A1160, 'calcolo base'!$A:$A, 0)) = 0,
      INDEX('calcolo base'!$D:$D, MATCH($A1160, 'calcolo base'!$A:$A, 0)) = ""   ),
   INDEX('calcolo base'!$K:$K, MATCH($A1160, 'calcolo base'!$A:$A, 0)),
   INDEX('calcolo base'!$J:$J, MATCH($A1160, 'calcolo base'!$A:$A, 0))
) / 1000</f>
        <v>#N/A</v>
      </c>
      <c r="J1160" s="50" t="e">
        <f t="shared" si="210"/>
        <v>#N/A</v>
      </c>
      <c r="K1160" s="50"/>
      <c r="L1160" s="267" t="e">
        <f>INDEX('calcolo base'!$H:$H, MATCH($A1160, 'calcolo base'!$A:$A, 0))</f>
        <v>#N/A</v>
      </c>
      <c r="M1160" s="50" t="e">
        <f t="shared" si="211"/>
        <v>#N/A</v>
      </c>
      <c r="N1160" s="50" t="e">
        <f t="shared" si="212"/>
        <v>#N/A</v>
      </c>
      <c r="O1160" s="50" t="e">
        <f t="shared" si="217"/>
        <v>#N/A</v>
      </c>
      <c r="P1160" s="50" t="e">
        <f t="shared" si="213"/>
        <v>#N/A</v>
      </c>
      <c r="Q1160" s="51" t="e">
        <f t="shared" si="214"/>
        <v>#N/A</v>
      </c>
      <c r="R1160" s="205" t="e">
        <f t="shared" si="215"/>
        <v>#N/A</v>
      </c>
      <c r="S1160" s="279" t="e">
        <f>IF(R1160="si",0,IF(E1160="si",0,IF(J1160&gt;K1160,0,+K1160-J1160)))+IF('calcolo base'!P1852="SI",('Commissioni De Angeli'!K1160-'Commissioni De Angeli'!J1160),0)</f>
        <v>#N/A</v>
      </c>
      <c r="T1160" s="117" t="e">
        <f t="shared" si="216"/>
        <v>#N/A</v>
      </c>
      <c r="U1160" s="272" t="e">
        <f>IF(Q1160=0,'calcolo base'!L3759,(T1160+Q1160))</f>
        <v>#N/A</v>
      </c>
      <c r="V1160" s="119"/>
      <c r="Z1160" s="118">
        <f t="shared" si="207"/>
        <v>0</v>
      </c>
      <c r="AA1160" s="118">
        <f t="shared" si="208"/>
        <v>0</v>
      </c>
    </row>
    <row r="1161" spans="2:27">
      <c r="B1161" s="47"/>
      <c r="C1161" s="35"/>
      <c r="D1161" s="53"/>
      <c r="E1161" s="53"/>
      <c r="F1161" s="48"/>
      <c r="G1161" s="243" t="e">
        <f>INDEX('calcolo base'!$B:$B, MATCH($A1161, 'calcolo base'!$A:$A, 0))</f>
        <v>#N/A</v>
      </c>
      <c r="H1161" s="54" t="e">
        <f t="shared" si="209"/>
        <v>#N/A</v>
      </c>
      <c r="I1161" s="259" t="e">
        <f>IF(  OR(      INDEX('calcolo base'!$D:$D, MATCH($A1161, 'calcolo base'!$A:$A, 0)) = 0,
      INDEX('calcolo base'!$D:$D, MATCH($A1161, 'calcolo base'!$A:$A, 0)) = ""   ),
   INDEX('calcolo base'!$K:$K, MATCH($A1161, 'calcolo base'!$A:$A, 0)),
   INDEX('calcolo base'!$J:$J, MATCH($A1161, 'calcolo base'!$A:$A, 0))
) / 1000</f>
        <v>#N/A</v>
      </c>
      <c r="J1161" s="50" t="e">
        <f t="shared" si="210"/>
        <v>#N/A</v>
      </c>
      <c r="K1161" s="50"/>
      <c r="L1161" s="267" t="e">
        <f>INDEX('calcolo base'!$H:$H, MATCH($A1161, 'calcolo base'!$A:$A, 0))</f>
        <v>#N/A</v>
      </c>
      <c r="M1161" s="50" t="e">
        <f t="shared" si="211"/>
        <v>#N/A</v>
      </c>
      <c r="N1161" s="50" t="e">
        <f t="shared" si="212"/>
        <v>#N/A</v>
      </c>
      <c r="O1161" s="50" t="e">
        <f t="shared" si="217"/>
        <v>#N/A</v>
      </c>
      <c r="P1161" s="50" t="e">
        <f t="shared" si="213"/>
        <v>#N/A</v>
      </c>
      <c r="Q1161" s="51" t="e">
        <f t="shared" si="214"/>
        <v>#N/A</v>
      </c>
      <c r="R1161" s="205" t="e">
        <f t="shared" si="215"/>
        <v>#N/A</v>
      </c>
      <c r="S1161" s="279" t="e">
        <f>IF(R1161="si",0,IF(E1161="si",0,IF(J1161&gt;K1161,0,+K1161-J1161)))+IF('calcolo base'!P1853="SI",('Commissioni De Angeli'!K1161-'Commissioni De Angeli'!J1161),0)</f>
        <v>#N/A</v>
      </c>
      <c r="T1161" s="117" t="e">
        <f t="shared" si="216"/>
        <v>#N/A</v>
      </c>
      <c r="U1161" s="272" t="e">
        <f>IF(Q1161=0,'calcolo base'!L3760,(T1161+Q1161))</f>
        <v>#N/A</v>
      </c>
      <c r="V1161" s="119"/>
      <c r="Z1161" s="118">
        <f t="shared" si="207"/>
        <v>0</v>
      </c>
      <c r="AA1161" s="118">
        <f t="shared" si="208"/>
        <v>0</v>
      </c>
    </row>
    <row r="1162" spans="2:27">
      <c r="B1162" s="47"/>
      <c r="C1162" s="35"/>
      <c r="D1162" s="53"/>
      <c r="E1162" s="53"/>
      <c r="F1162" s="48"/>
      <c r="G1162" s="243" t="e">
        <f>INDEX('calcolo base'!$B:$B, MATCH($A1162, 'calcolo base'!$A:$A, 0))</f>
        <v>#N/A</v>
      </c>
      <c r="H1162" s="54" t="e">
        <f t="shared" si="209"/>
        <v>#N/A</v>
      </c>
      <c r="I1162" s="259" t="e">
        <f>IF(  OR(      INDEX('calcolo base'!$D:$D, MATCH($A1162, 'calcolo base'!$A:$A, 0)) = 0,
      INDEX('calcolo base'!$D:$D, MATCH($A1162, 'calcolo base'!$A:$A, 0)) = ""   ),
   INDEX('calcolo base'!$K:$K, MATCH($A1162, 'calcolo base'!$A:$A, 0)),
   INDEX('calcolo base'!$J:$J, MATCH($A1162, 'calcolo base'!$A:$A, 0))
) / 1000</f>
        <v>#N/A</v>
      </c>
      <c r="J1162" s="50" t="e">
        <f t="shared" si="210"/>
        <v>#N/A</v>
      </c>
      <c r="K1162" s="50"/>
      <c r="L1162" s="267" t="e">
        <f>INDEX('calcolo base'!$H:$H, MATCH($A1162, 'calcolo base'!$A:$A, 0))</f>
        <v>#N/A</v>
      </c>
      <c r="M1162" s="50" t="e">
        <f t="shared" si="211"/>
        <v>#N/A</v>
      </c>
      <c r="N1162" s="50" t="e">
        <f t="shared" si="212"/>
        <v>#N/A</v>
      </c>
      <c r="O1162" s="50" t="e">
        <f t="shared" si="217"/>
        <v>#N/A</v>
      </c>
      <c r="P1162" s="50" t="e">
        <f t="shared" si="213"/>
        <v>#N/A</v>
      </c>
      <c r="Q1162" s="51" t="e">
        <f t="shared" si="214"/>
        <v>#N/A</v>
      </c>
      <c r="R1162" s="205" t="e">
        <f t="shared" si="215"/>
        <v>#N/A</v>
      </c>
      <c r="S1162" s="279" t="e">
        <f>IF(R1162="si",0,IF(E1162="si",0,IF(J1162&gt;K1162,0,+K1162-J1162)))+IF('calcolo base'!P1854="SI",('Commissioni De Angeli'!K1162-'Commissioni De Angeli'!J1162),0)</f>
        <v>#N/A</v>
      </c>
      <c r="T1162" s="117" t="e">
        <f t="shared" si="216"/>
        <v>#N/A</v>
      </c>
      <c r="U1162" s="272" t="e">
        <f>IF(Q1162=0,'calcolo base'!L3761,(T1162+Q1162))</f>
        <v>#N/A</v>
      </c>
      <c r="V1162" s="119"/>
      <c r="Z1162" s="118">
        <f t="shared" si="207"/>
        <v>0</v>
      </c>
      <c r="AA1162" s="118">
        <f t="shared" si="208"/>
        <v>0</v>
      </c>
    </row>
    <row r="1163" spans="2:27">
      <c r="B1163" s="47"/>
      <c r="C1163" s="35"/>
      <c r="D1163" s="53"/>
      <c r="E1163" s="53"/>
      <c r="F1163" s="48"/>
      <c r="G1163" s="243" t="e">
        <f>INDEX('calcolo base'!$B:$B, MATCH($A1163, 'calcolo base'!$A:$A, 0))</f>
        <v>#N/A</v>
      </c>
      <c r="H1163" s="54" t="e">
        <f t="shared" si="209"/>
        <v>#N/A</v>
      </c>
      <c r="I1163" s="259" t="e">
        <f>IF(  OR(      INDEX('calcolo base'!$D:$D, MATCH($A1163, 'calcolo base'!$A:$A, 0)) = 0,
      INDEX('calcolo base'!$D:$D, MATCH($A1163, 'calcolo base'!$A:$A, 0)) = ""   ),
   INDEX('calcolo base'!$K:$K, MATCH($A1163, 'calcolo base'!$A:$A, 0)),
   INDEX('calcolo base'!$J:$J, MATCH($A1163, 'calcolo base'!$A:$A, 0))
) / 1000</f>
        <v>#N/A</v>
      </c>
      <c r="J1163" s="50" t="e">
        <f t="shared" si="210"/>
        <v>#N/A</v>
      </c>
      <c r="K1163" s="50"/>
      <c r="L1163" s="267" t="e">
        <f>INDEX('calcolo base'!$H:$H, MATCH($A1163, 'calcolo base'!$A:$A, 0))</f>
        <v>#N/A</v>
      </c>
      <c r="M1163" s="50" t="e">
        <f t="shared" si="211"/>
        <v>#N/A</v>
      </c>
      <c r="N1163" s="50" t="e">
        <f t="shared" si="212"/>
        <v>#N/A</v>
      </c>
      <c r="O1163" s="50" t="e">
        <f t="shared" si="217"/>
        <v>#N/A</v>
      </c>
      <c r="P1163" s="50" t="e">
        <f t="shared" si="213"/>
        <v>#N/A</v>
      </c>
      <c r="Q1163" s="51" t="e">
        <f t="shared" si="214"/>
        <v>#N/A</v>
      </c>
      <c r="R1163" s="205" t="e">
        <f t="shared" si="215"/>
        <v>#N/A</v>
      </c>
      <c r="S1163" s="279" t="e">
        <f>IF(R1163="si",0,IF(E1163="si",0,IF(J1163&gt;K1163,0,+K1163-J1163)))+IF('calcolo base'!P1855="SI",('Commissioni De Angeli'!K1163-'Commissioni De Angeli'!J1163),0)</f>
        <v>#N/A</v>
      </c>
      <c r="T1163" s="117" t="e">
        <f t="shared" si="216"/>
        <v>#N/A</v>
      </c>
      <c r="U1163" s="272" t="e">
        <f>IF(Q1163=0,'calcolo base'!L3762,(T1163+Q1163))</f>
        <v>#N/A</v>
      </c>
      <c r="V1163" s="119"/>
      <c r="Z1163" s="118">
        <f t="shared" si="207"/>
        <v>0</v>
      </c>
      <c r="AA1163" s="118">
        <f t="shared" si="208"/>
        <v>0</v>
      </c>
    </row>
    <row r="1164" spans="2:27">
      <c r="B1164" s="47"/>
      <c r="C1164" s="35"/>
      <c r="D1164" s="53"/>
      <c r="E1164" s="53"/>
      <c r="F1164" s="48"/>
      <c r="G1164" s="243" t="e">
        <f>INDEX('calcolo base'!$B:$B, MATCH($A1164, 'calcolo base'!$A:$A, 0))</f>
        <v>#N/A</v>
      </c>
      <c r="H1164" s="54" t="e">
        <f t="shared" si="209"/>
        <v>#N/A</v>
      </c>
      <c r="I1164" s="259" t="e">
        <f>IF(  OR(      INDEX('calcolo base'!$D:$D, MATCH($A1164, 'calcolo base'!$A:$A, 0)) = 0,
      INDEX('calcolo base'!$D:$D, MATCH($A1164, 'calcolo base'!$A:$A, 0)) = ""   ),
   INDEX('calcolo base'!$K:$K, MATCH($A1164, 'calcolo base'!$A:$A, 0)),
   INDEX('calcolo base'!$J:$J, MATCH($A1164, 'calcolo base'!$A:$A, 0))
) / 1000</f>
        <v>#N/A</v>
      </c>
      <c r="J1164" s="50" t="e">
        <f t="shared" si="210"/>
        <v>#N/A</v>
      </c>
      <c r="K1164" s="50"/>
      <c r="L1164" s="267" t="e">
        <f>INDEX('calcolo base'!$H:$H, MATCH($A1164, 'calcolo base'!$A:$A, 0))</f>
        <v>#N/A</v>
      </c>
      <c r="M1164" s="50" t="e">
        <f t="shared" si="211"/>
        <v>#N/A</v>
      </c>
      <c r="N1164" s="50" t="e">
        <f t="shared" si="212"/>
        <v>#N/A</v>
      </c>
      <c r="O1164" s="50" t="e">
        <f t="shared" si="217"/>
        <v>#N/A</v>
      </c>
      <c r="P1164" s="50" t="e">
        <f t="shared" si="213"/>
        <v>#N/A</v>
      </c>
      <c r="Q1164" s="51" t="e">
        <f t="shared" si="214"/>
        <v>#N/A</v>
      </c>
      <c r="R1164" s="205" t="e">
        <f t="shared" si="215"/>
        <v>#N/A</v>
      </c>
      <c r="S1164" s="279" t="e">
        <f>IF(R1164="si",0,IF(E1164="si",0,IF(J1164&gt;K1164,0,+K1164-J1164)))+IF('calcolo base'!P1856="SI",('Commissioni De Angeli'!K1164-'Commissioni De Angeli'!J1164),0)</f>
        <v>#N/A</v>
      </c>
      <c r="T1164" s="117" t="e">
        <f t="shared" si="216"/>
        <v>#N/A</v>
      </c>
      <c r="U1164" s="272" t="e">
        <f>IF(Q1164=0,'calcolo base'!L3763,(T1164+Q1164))</f>
        <v>#N/A</v>
      </c>
      <c r="V1164" s="119"/>
      <c r="Z1164" s="118">
        <f t="shared" si="207"/>
        <v>0</v>
      </c>
      <c r="AA1164" s="118">
        <f t="shared" si="208"/>
        <v>0</v>
      </c>
    </row>
    <row r="1165" spans="2:27">
      <c r="B1165" s="47"/>
      <c r="C1165" s="35"/>
      <c r="D1165" s="53"/>
      <c r="E1165" s="53"/>
      <c r="F1165" s="48"/>
      <c r="G1165" s="243" t="e">
        <f>INDEX('calcolo base'!$B:$B, MATCH($A1165, 'calcolo base'!$A:$A, 0))</f>
        <v>#N/A</v>
      </c>
      <c r="H1165" s="54" t="e">
        <f t="shared" si="209"/>
        <v>#N/A</v>
      </c>
      <c r="I1165" s="259" t="e">
        <f>IF(  OR(      INDEX('calcolo base'!$D:$D, MATCH($A1165, 'calcolo base'!$A:$A, 0)) = 0,
      INDEX('calcolo base'!$D:$D, MATCH($A1165, 'calcolo base'!$A:$A, 0)) = ""   ),
   INDEX('calcolo base'!$K:$K, MATCH($A1165, 'calcolo base'!$A:$A, 0)),
   INDEX('calcolo base'!$J:$J, MATCH($A1165, 'calcolo base'!$A:$A, 0))
) / 1000</f>
        <v>#N/A</v>
      </c>
      <c r="J1165" s="50" t="e">
        <f t="shared" si="210"/>
        <v>#N/A</v>
      </c>
      <c r="K1165" s="50"/>
      <c r="L1165" s="267" t="e">
        <f>INDEX('calcolo base'!$H:$H, MATCH($A1165, 'calcolo base'!$A:$A, 0))</f>
        <v>#N/A</v>
      </c>
      <c r="M1165" s="50" t="e">
        <f t="shared" si="211"/>
        <v>#N/A</v>
      </c>
      <c r="N1165" s="50" t="e">
        <f t="shared" si="212"/>
        <v>#N/A</v>
      </c>
      <c r="O1165" s="50" t="e">
        <f t="shared" si="217"/>
        <v>#N/A</v>
      </c>
      <c r="P1165" s="50" t="e">
        <f t="shared" si="213"/>
        <v>#N/A</v>
      </c>
      <c r="Q1165" s="51" t="e">
        <f t="shared" si="214"/>
        <v>#N/A</v>
      </c>
      <c r="R1165" s="205" t="e">
        <f t="shared" si="215"/>
        <v>#N/A</v>
      </c>
      <c r="S1165" s="279" t="e">
        <f>IF(R1165="si",0,IF(E1165="si",0,IF(J1165&gt;K1165,0,+K1165-J1165)))+IF('calcolo base'!P1857="SI",('Commissioni De Angeli'!K1165-'Commissioni De Angeli'!J1165),0)</f>
        <v>#N/A</v>
      </c>
      <c r="T1165" s="117" t="e">
        <f t="shared" si="216"/>
        <v>#N/A</v>
      </c>
      <c r="U1165" s="272" t="e">
        <f>IF(Q1165=0,'calcolo base'!L3764,(T1165+Q1165))</f>
        <v>#N/A</v>
      </c>
      <c r="V1165" s="119"/>
      <c r="Z1165" s="118">
        <f t="shared" si="207"/>
        <v>0</v>
      </c>
      <c r="AA1165" s="118">
        <f t="shared" si="208"/>
        <v>0</v>
      </c>
    </row>
    <row r="1166" spans="2:27">
      <c r="B1166" s="47"/>
      <c r="C1166" s="35"/>
      <c r="D1166" s="53"/>
      <c r="E1166" s="53"/>
      <c r="F1166" s="48"/>
      <c r="G1166" s="243" t="e">
        <f>INDEX('calcolo base'!$B:$B, MATCH($A1166, 'calcolo base'!$A:$A, 0))</f>
        <v>#N/A</v>
      </c>
      <c r="H1166" s="54" t="e">
        <f t="shared" si="209"/>
        <v>#N/A</v>
      </c>
      <c r="I1166" s="259" t="e">
        <f>IF(  OR(      INDEX('calcolo base'!$D:$D, MATCH($A1166, 'calcolo base'!$A:$A, 0)) = 0,
      INDEX('calcolo base'!$D:$D, MATCH($A1166, 'calcolo base'!$A:$A, 0)) = ""   ),
   INDEX('calcolo base'!$K:$K, MATCH($A1166, 'calcolo base'!$A:$A, 0)),
   INDEX('calcolo base'!$J:$J, MATCH($A1166, 'calcolo base'!$A:$A, 0))
) / 1000</f>
        <v>#N/A</v>
      </c>
      <c r="J1166" s="50" t="e">
        <f t="shared" si="210"/>
        <v>#N/A</v>
      </c>
      <c r="K1166" s="50"/>
      <c r="L1166" s="267" t="e">
        <f>INDEX('calcolo base'!$H:$H, MATCH($A1166, 'calcolo base'!$A:$A, 0))</f>
        <v>#N/A</v>
      </c>
      <c r="M1166" s="50" t="e">
        <f t="shared" si="211"/>
        <v>#N/A</v>
      </c>
      <c r="N1166" s="50" t="e">
        <f t="shared" si="212"/>
        <v>#N/A</v>
      </c>
      <c r="O1166" s="50" t="e">
        <f t="shared" si="217"/>
        <v>#N/A</v>
      </c>
      <c r="P1166" s="50" t="e">
        <f t="shared" si="213"/>
        <v>#N/A</v>
      </c>
      <c r="Q1166" s="51" t="e">
        <f t="shared" si="214"/>
        <v>#N/A</v>
      </c>
      <c r="R1166" s="205" t="e">
        <f t="shared" si="215"/>
        <v>#N/A</v>
      </c>
      <c r="S1166" s="279" t="e">
        <f>IF(R1166="si",0,IF(E1166="si",0,IF(J1166&gt;K1166,0,+K1166-J1166)))+IF('calcolo base'!P1858="SI",('Commissioni De Angeli'!K1166-'Commissioni De Angeli'!J1166),0)</f>
        <v>#N/A</v>
      </c>
      <c r="T1166" s="117" t="e">
        <f t="shared" si="216"/>
        <v>#N/A</v>
      </c>
      <c r="U1166" s="272" t="e">
        <f>IF(Q1166=0,'calcolo base'!L3765,(T1166+Q1166))</f>
        <v>#N/A</v>
      </c>
      <c r="V1166" s="119"/>
      <c r="Z1166" s="118">
        <f t="shared" si="207"/>
        <v>0</v>
      </c>
      <c r="AA1166" s="118">
        <f t="shared" si="208"/>
        <v>0</v>
      </c>
    </row>
    <row r="1167" spans="2:27">
      <c r="B1167" s="47"/>
      <c r="C1167" s="35"/>
      <c r="D1167" s="53"/>
      <c r="E1167" s="53"/>
      <c r="F1167" s="48"/>
      <c r="G1167" s="243" t="e">
        <f>INDEX('calcolo base'!$B:$B, MATCH($A1167, 'calcolo base'!$A:$A, 0))</f>
        <v>#N/A</v>
      </c>
      <c r="H1167" s="54" t="e">
        <f t="shared" si="209"/>
        <v>#N/A</v>
      </c>
      <c r="I1167" s="259" t="e">
        <f>IF(  OR(      INDEX('calcolo base'!$D:$D, MATCH($A1167, 'calcolo base'!$A:$A, 0)) = 0,
      INDEX('calcolo base'!$D:$D, MATCH($A1167, 'calcolo base'!$A:$A, 0)) = ""   ),
   INDEX('calcolo base'!$K:$K, MATCH($A1167, 'calcolo base'!$A:$A, 0)),
   INDEX('calcolo base'!$J:$J, MATCH($A1167, 'calcolo base'!$A:$A, 0))
) / 1000</f>
        <v>#N/A</v>
      </c>
      <c r="J1167" s="50" t="e">
        <f t="shared" si="210"/>
        <v>#N/A</v>
      </c>
      <c r="K1167" s="50"/>
      <c r="L1167" s="267" t="e">
        <f>INDEX('calcolo base'!$H:$H, MATCH($A1167, 'calcolo base'!$A:$A, 0))</f>
        <v>#N/A</v>
      </c>
      <c r="M1167" s="50" t="e">
        <f t="shared" si="211"/>
        <v>#N/A</v>
      </c>
      <c r="N1167" s="50" t="e">
        <f t="shared" si="212"/>
        <v>#N/A</v>
      </c>
      <c r="O1167" s="50" t="e">
        <f t="shared" si="217"/>
        <v>#N/A</v>
      </c>
      <c r="P1167" s="50" t="e">
        <f t="shared" si="213"/>
        <v>#N/A</v>
      </c>
      <c r="Q1167" s="51" t="e">
        <f t="shared" si="214"/>
        <v>#N/A</v>
      </c>
      <c r="R1167" s="205" t="e">
        <f t="shared" si="215"/>
        <v>#N/A</v>
      </c>
      <c r="S1167" s="279" t="e">
        <f>IF(R1167="si",0,IF(E1167="si",0,IF(J1167&gt;K1167,0,+K1167-J1167)))+IF('calcolo base'!P1859="SI",('Commissioni De Angeli'!K1167-'Commissioni De Angeli'!J1167),0)</f>
        <v>#N/A</v>
      </c>
      <c r="T1167" s="117" t="e">
        <f t="shared" si="216"/>
        <v>#N/A</v>
      </c>
      <c r="U1167" s="272" t="e">
        <f>IF(Q1167=0,'calcolo base'!L3766,(T1167+Q1167))</f>
        <v>#N/A</v>
      </c>
      <c r="V1167" s="119"/>
      <c r="Z1167" s="118">
        <f t="shared" si="207"/>
        <v>0</v>
      </c>
      <c r="AA1167" s="118">
        <f t="shared" si="208"/>
        <v>0</v>
      </c>
    </row>
    <row r="1168" spans="2:27">
      <c r="B1168" s="47"/>
      <c r="C1168" s="35"/>
      <c r="D1168" s="53"/>
      <c r="E1168" s="53"/>
      <c r="F1168" s="48"/>
      <c r="G1168" s="243" t="e">
        <f>INDEX('calcolo base'!$B:$B, MATCH($A1168, 'calcolo base'!$A:$A, 0))</f>
        <v>#N/A</v>
      </c>
      <c r="H1168" s="54" t="e">
        <f t="shared" si="209"/>
        <v>#N/A</v>
      </c>
      <c r="I1168" s="259" t="e">
        <f>IF(  OR(      INDEX('calcolo base'!$D:$D, MATCH($A1168, 'calcolo base'!$A:$A, 0)) = 0,
      INDEX('calcolo base'!$D:$D, MATCH($A1168, 'calcolo base'!$A:$A, 0)) = ""   ),
   INDEX('calcolo base'!$K:$K, MATCH($A1168, 'calcolo base'!$A:$A, 0)),
   INDEX('calcolo base'!$J:$J, MATCH($A1168, 'calcolo base'!$A:$A, 0))
) / 1000</f>
        <v>#N/A</v>
      </c>
      <c r="J1168" s="50" t="e">
        <f t="shared" si="210"/>
        <v>#N/A</v>
      </c>
      <c r="K1168" s="50"/>
      <c r="L1168" s="267" t="e">
        <f>INDEX('calcolo base'!$H:$H, MATCH($A1168, 'calcolo base'!$A:$A, 0))</f>
        <v>#N/A</v>
      </c>
      <c r="M1168" s="50" t="e">
        <f t="shared" si="211"/>
        <v>#N/A</v>
      </c>
      <c r="N1168" s="50" t="e">
        <f t="shared" si="212"/>
        <v>#N/A</v>
      </c>
      <c r="O1168" s="50" t="e">
        <f t="shared" si="217"/>
        <v>#N/A</v>
      </c>
      <c r="P1168" s="50" t="e">
        <f t="shared" si="213"/>
        <v>#N/A</v>
      </c>
      <c r="Q1168" s="51" t="e">
        <f t="shared" si="214"/>
        <v>#N/A</v>
      </c>
      <c r="R1168" s="205" t="e">
        <f t="shared" si="215"/>
        <v>#N/A</v>
      </c>
      <c r="S1168" s="279" t="e">
        <f>IF(R1168="si",0,IF(E1168="si",0,IF(J1168&gt;K1168,0,+K1168-J1168)))+IF('calcolo base'!P1860="SI",('Commissioni De Angeli'!K1168-'Commissioni De Angeli'!J1168),0)</f>
        <v>#N/A</v>
      </c>
      <c r="T1168" s="117" t="e">
        <f t="shared" si="216"/>
        <v>#N/A</v>
      </c>
      <c r="U1168" s="272" t="e">
        <f>IF(Q1168=0,'calcolo base'!L3767,(T1168+Q1168))</f>
        <v>#N/A</v>
      </c>
      <c r="V1168" s="119"/>
      <c r="Z1168" s="118">
        <f t="shared" si="207"/>
        <v>0</v>
      </c>
      <c r="AA1168" s="118">
        <f t="shared" si="208"/>
        <v>0</v>
      </c>
    </row>
    <row r="1169" spans="2:27">
      <c r="B1169" s="47"/>
      <c r="C1169" s="35"/>
      <c r="D1169" s="53"/>
      <c r="E1169" s="53"/>
      <c r="F1169" s="48"/>
      <c r="G1169" s="243" t="e">
        <f>INDEX('calcolo base'!$B:$B, MATCH($A1169, 'calcolo base'!$A:$A, 0))</f>
        <v>#N/A</v>
      </c>
      <c r="H1169" s="54" t="e">
        <f t="shared" si="209"/>
        <v>#N/A</v>
      </c>
      <c r="I1169" s="259" t="e">
        <f>IF(  OR(      INDEX('calcolo base'!$D:$D, MATCH($A1169, 'calcolo base'!$A:$A, 0)) = 0,
      INDEX('calcolo base'!$D:$D, MATCH($A1169, 'calcolo base'!$A:$A, 0)) = ""   ),
   INDEX('calcolo base'!$K:$K, MATCH($A1169, 'calcolo base'!$A:$A, 0)),
   INDEX('calcolo base'!$J:$J, MATCH($A1169, 'calcolo base'!$A:$A, 0))
) / 1000</f>
        <v>#N/A</v>
      </c>
      <c r="J1169" s="50" t="e">
        <f t="shared" si="210"/>
        <v>#N/A</v>
      </c>
      <c r="K1169" s="50"/>
      <c r="L1169" s="267" t="e">
        <f>INDEX('calcolo base'!$H:$H, MATCH($A1169, 'calcolo base'!$A:$A, 0))</f>
        <v>#N/A</v>
      </c>
      <c r="M1169" s="50" t="e">
        <f t="shared" si="211"/>
        <v>#N/A</v>
      </c>
      <c r="N1169" s="50" t="e">
        <f t="shared" si="212"/>
        <v>#N/A</v>
      </c>
      <c r="O1169" s="50" t="e">
        <f t="shared" si="217"/>
        <v>#N/A</v>
      </c>
      <c r="P1169" s="50" t="e">
        <f t="shared" si="213"/>
        <v>#N/A</v>
      </c>
      <c r="Q1169" s="51" t="e">
        <f t="shared" si="214"/>
        <v>#N/A</v>
      </c>
      <c r="R1169" s="205" t="e">
        <f t="shared" si="215"/>
        <v>#N/A</v>
      </c>
      <c r="S1169" s="279" t="e">
        <f>IF(R1169="si",0,IF(E1169="si",0,IF(J1169&gt;K1169,0,+K1169-J1169)))+IF('calcolo base'!P1861="SI",('Commissioni De Angeli'!K1169-'Commissioni De Angeli'!J1169),0)</f>
        <v>#N/A</v>
      </c>
      <c r="T1169" s="117" t="e">
        <f t="shared" si="216"/>
        <v>#N/A</v>
      </c>
      <c r="U1169" s="272" t="e">
        <f>IF(Q1169=0,'calcolo base'!L3768,(T1169+Q1169))</f>
        <v>#N/A</v>
      </c>
      <c r="V1169" s="119"/>
      <c r="Z1169" s="118">
        <f t="shared" si="207"/>
        <v>0</v>
      </c>
      <c r="AA1169" s="118">
        <f t="shared" si="208"/>
        <v>0</v>
      </c>
    </row>
    <row r="1170" spans="2:27">
      <c r="B1170" s="47"/>
      <c r="C1170" s="35"/>
      <c r="D1170" s="53"/>
      <c r="E1170" s="53"/>
      <c r="F1170" s="48"/>
      <c r="G1170" s="243" t="e">
        <f>INDEX('calcolo base'!$B:$B, MATCH($A1170, 'calcolo base'!$A:$A, 0))</f>
        <v>#N/A</v>
      </c>
      <c r="H1170" s="54" t="e">
        <f t="shared" si="209"/>
        <v>#N/A</v>
      </c>
      <c r="I1170" s="259" t="e">
        <f>IF(  OR(      INDEX('calcolo base'!$D:$D, MATCH($A1170, 'calcolo base'!$A:$A, 0)) = 0,
      INDEX('calcolo base'!$D:$D, MATCH($A1170, 'calcolo base'!$A:$A, 0)) = ""   ),
   INDEX('calcolo base'!$K:$K, MATCH($A1170, 'calcolo base'!$A:$A, 0)),
   INDEX('calcolo base'!$J:$J, MATCH($A1170, 'calcolo base'!$A:$A, 0))
) / 1000</f>
        <v>#N/A</v>
      </c>
      <c r="J1170" s="50" t="e">
        <f t="shared" si="210"/>
        <v>#N/A</v>
      </c>
      <c r="K1170" s="50"/>
      <c r="L1170" s="267" t="e">
        <f>INDEX('calcolo base'!$H:$H, MATCH($A1170, 'calcolo base'!$A:$A, 0))</f>
        <v>#N/A</v>
      </c>
      <c r="M1170" s="50" t="e">
        <f t="shared" si="211"/>
        <v>#N/A</v>
      </c>
      <c r="N1170" s="50" t="e">
        <f t="shared" si="212"/>
        <v>#N/A</v>
      </c>
      <c r="O1170" s="50" t="e">
        <f t="shared" si="217"/>
        <v>#N/A</v>
      </c>
      <c r="P1170" s="50" t="e">
        <f t="shared" si="213"/>
        <v>#N/A</v>
      </c>
      <c r="Q1170" s="51" t="e">
        <f t="shared" si="214"/>
        <v>#N/A</v>
      </c>
      <c r="R1170" s="205" t="e">
        <f t="shared" si="215"/>
        <v>#N/A</v>
      </c>
      <c r="S1170" s="279" t="e">
        <f>IF(R1170="si",0,IF(E1170="si",0,IF(J1170&gt;K1170,0,+K1170-J1170)))+IF('calcolo base'!P1862="SI",('Commissioni De Angeli'!K1170-'Commissioni De Angeli'!J1170),0)</f>
        <v>#N/A</v>
      </c>
      <c r="T1170" s="117" t="e">
        <f t="shared" si="216"/>
        <v>#N/A</v>
      </c>
      <c r="U1170" s="272" t="e">
        <f>IF(Q1170=0,'calcolo base'!L3769,(T1170+Q1170))</f>
        <v>#N/A</v>
      </c>
      <c r="V1170" s="119"/>
      <c r="Z1170" s="118">
        <f t="shared" si="207"/>
        <v>0</v>
      </c>
      <c r="AA1170" s="118">
        <f t="shared" si="208"/>
        <v>0</v>
      </c>
    </row>
    <row r="1171" spans="2:27">
      <c r="B1171" s="47"/>
      <c r="C1171" s="35"/>
      <c r="D1171" s="53"/>
      <c r="E1171" s="53"/>
      <c r="F1171" s="48"/>
      <c r="G1171" s="243" t="e">
        <f>INDEX('calcolo base'!$B:$B, MATCH($A1171, 'calcolo base'!$A:$A, 0))</f>
        <v>#N/A</v>
      </c>
      <c r="H1171" s="54" t="e">
        <f t="shared" si="209"/>
        <v>#N/A</v>
      </c>
      <c r="I1171" s="259" t="e">
        <f>IF(  OR(      INDEX('calcolo base'!$D:$D, MATCH($A1171, 'calcolo base'!$A:$A, 0)) = 0,
      INDEX('calcolo base'!$D:$D, MATCH($A1171, 'calcolo base'!$A:$A, 0)) = ""   ),
   INDEX('calcolo base'!$K:$K, MATCH($A1171, 'calcolo base'!$A:$A, 0)),
   INDEX('calcolo base'!$J:$J, MATCH($A1171, 'calcolo base'!$A:$A, 0))
) / 1000</f>
        <v>#N/A</v>
      </c>
      <c r="J1171" s="50" t="e">
        <f t="shared" si="210"/>
        <v>#N/A</v>
      </c>
      <c r="K1171" s="50"/>
      <c r="L1171" s="267" t="e">
        <f>INDEX('calcolo base'!$H:$H, MATCH($A1171, 'calcolo base'!$A:$A, 0))</f>
        <v>#N/A</v>
      </c>
      <c r="M1171" s="50" t="e">
        <f t="shared" si="211"/>
        <v>#N/A</v>
      </c>
      <c r="N1171" s="50" t="e">
        <f t="shared" si="212"/>
        <v>#N/A</v>
      </c>
      <c r="O1171" s="50" t="e">
        <f t="shared" si="217"/>
        <v>#N/A</v>
      </c>
      <c r="P1171" s="50" t="e">
        <f t="shared" si="213"/>
        <v>#N/A</v>
      </c>
      <c r="Q1171" s="51" t="e">
        <f t="shared" si="214"/>
        <v>#N/A</v>
      </c>
      <c r="R1171" s="205" t="e">
        <f t="shared" si="215"/>
        <v>#N/A</v>
      </c>
      <c r="S1171" s="279" t="e">
        <f>IF(R1171="si",0,IF(E1171="si",0,IF(J1171&gt;K1171,0,+K1171-J1171)))+IF('calcolo base'!P1863="SI",('Commissioni De Angeli'!K1171-'Commissioni De Angeli'!J1171),0)</f>
        <v>#N/A</v>
      </c>
      <c r="T1171" s="117" t="e">
        <f t="shared" si="216"/>
        <v>#N/A</v>
      </c>
      <c r="U1171" s="272" t="e">
        <f>IF(Q1171=0,'calcolo base'!L3770,(T1171+Q1171))</f>
        <v>#N/A</v>
      </c>
      <c r="V1171" s="119"/>
      <c r="Z1171" s="118">
        <f t="shared" si="207"/>
        <v>0</v>
      </c>
      <c r="AA1171" s="118">
        <f t="shared" si="208"/>
        <v>0</v>
      </c>
    </row>
    <row r="1172" spans="2:27">
      <c r="B1172" s="47"/>
      <c r="C1172" s="35"/>
      <c r="D1172" s="53"/>
      <c r="E1172" s="53"/>
      <c r="F1172" s="48"/>
      <c r="G1172" s="243" t="e">
        <f>INDEX('calcolo base'!$B:$B, MATCH($A1172, 'calcolo base'!$A:$A, 0))</f>
        <v>#N/A</v>
      </c>
      <c r="H1172" s="54" t="e">
        <f t="shared" si="209"/>
        <v>#N/A</v>
      </c>
      <c r="I1172" s="259" t="e">
        <f>IF(  OR(      INDEX('calcolo base'!$D:$D, MATCH($A1172, 'calcolo base'!$A:$A, 0)) = 0,
      INDEX('calcolo base'!$D:$D, MATCH($A1172, 'calcolo base'!$A:$A, 0)) = ""   ),
   INDEX('calcolo base'!$K:$K, MATCH($A1172, 'calcolo base'!$A:$A, 0)),
   INDEX('calcolo base'!$J:$J, MATCH($A1172, 'calcolo base'!$A:$A, 0))
) / 1000</f>
        <v>#N/A</v>
      </c>
      <c r="J1172" s="50" t="e">
        <f t="shared" si="210"/>
        <v>#N/A</v>
      </c>
      <c r="K1172" s="50"/>
      <c r="L1172" s="267" t="e">
        <f>INDEX('calcolo base'!$H:$H, MATCH($A1172, 'calcolo base'!$A:$A, 0))</f>
        <v>#N/A</v>
      </c>
      <c r="M1172" s="50" t="e">
        <f t="shared" si="211"/>
        <v>#N/A</v>
      </c>
      <c r="N1172" s="50" t="e">
        <f t="shared" si="212"/>
        <v>#N/A</v>
      </c>
      <c r="O1172" s="50" t="e">
        <f t="shared" si="217"/>
        <v>#N/A</v>
      </c>
      <c r="P1172" s="50" t="e">
        <f t="shared" si="213"/>
        <v>#N/A</v>
      </c>
      <c r="Q1172" s="51" t="e">
        <f t="shared" si="214"/>
        <v>#N/A</v>
      </c>
      <c r="R1172" s="205" t="e">
        <f t="shared" si="215"/>
        <v>#N/A</v>
      </c>
      <c r="S1172" s="279" t="e">
        <f>IF(R1172="si",0,IF(E1172="si",0,IF(J1172&gt;K1172,0,+K1172-J1172)))+IF('calcolo base'!P1864="SI",('Commissioni De Angeli'!K1172-'Commissioni De Angeli'!J1172),0)</f>
        <v>#N/A</v>
      </c>
      <c r="T1172" s="117" t="e">
        <f t="shared" si="216"/>
        <v>#N/A</v>
      </c>
      <c r="U1172" s="272" t="e">
        <f>IF(Q1172=0,'calcolo base'!L3771,(T1172+Q1172))</f>
        <v>#N/A</v>
      </c>
      <c r="V1172" s="119"/>
      <c r="Z1172" s="118">
        <f t="shared" si="207"/>
        <v>0</v>
      </c>
      <c r="AA1172" s="118">
        <f t="shared" si="208"/>
        <v>0</v>
      </c>
    </row>
    <row r="1173" spans="2:27">
      <c r="B1173" s="47"/>
      <c r="C1173" s="35"/>
      <c r="D1173" s="53"/>
      <c r="E1173" s="53"/>
      <c r="F1173" s="48"/>
      <c r="G1173" s="243" t="e">
        <f>INDEX('calcolo base'!$B:$B, MATCH($A1173, 'calcolo base'!$A:$A, 0))</f>
        <v>#N/A</v>
      </c>
      <c r="H1173" s="54" t="e">
        <f t="shared" si="209"/>
        <v>#N/A</v>
      </c>
      <c r="I1173" s="259" t="e">
        <f>IF(  OR(      INDEX('calcolo base'!$D:$D, MATCH($A1173, 'calcolo base'!$A:$A, 0)) = 0,
      INDEX('calcolo base'!$D:$D, MATCH($A1173, 'calcolo base'!$A:$A, 0)) = ""   ),
   INDEX('calcolo base'!$K:$K, MATCH($A1173, 'calcolo base'!$A:$A, 0)),
   INDEX('calcolo base'!$J:$J, MATCH($A1173, 'calcolo base'!$A:$A, 0))
) / 1000</f>
        <v>#N/A</v>
      </c>
      <c r="J1173" s="50" t="e">
        <f t="shared" si="210"/>
        <v>#N/A</v>
      </c>
      <c r="K1173" s="50"/>
      <c r="L1173" s="267" t="e">
        <f>INDEX('calcolo base'!$H:$H, MATCH($A1173, 'calcolo base'!$A:$A, 0))</f>
        <v>#N/A</v>
      </c>
      <c r="M1173" s="50" t="e">
        <f t="shared" si="211"/>
        <v>#N/A</v>
      </c>
      <c r="N1173" s="50" t="e">
        <f t="shared" si="212"/>
        <v>#N/A</v>
      </c>
      <c r="O1173" s="50" t="e">
        <f t="shared" si="217"/>
        <v>#N/A</v>
      </c>
      <c r="P1173" s="50" t="e">
        <f t="shared" si="213"/>
        <v>#N/A</v>
      </c>
      <c r="Q1173" s="51" t="e">
        <f t="shared" si="214"/>
        <v>#N/A</v>
      </c>
      <c r="R1173" s="205" t="e">
        <f t="shared" si="215"/>
        <v>#N/A</v>
      </c>
      <c r="S1173" s="279" t="e">
        <f>IF(R1173="si",0,IF(E1173="si",0,IF(J1173&gt;K1173,0,+K1173-J1173)))+IF('calcolo base'!P1865="SI",('Commissioni De Angeli'!K1173-'Commissioni De Angeli'!J1173),0)</f>
        <v>#N/A</v>
      </c>
      <c r="T1173" s="117" t="e">
        <f t="shared" si="216"/>
        <v>#N/A</v>
      </c>
      <c r="U1173" s="272" t="e">
        <f>IF(Q1173=0,'calcolo base'!L3772,(T1173+Q1173))</f>
        <v>#N/A</v>
      </c>
      <c r="V1173" s="119"/>
      <c r="Z1173" s="118">
        <f t="shared" ref="Z1173:Z1236" si="218">IF(V1173="",0,MONTH(V1173))</f>
        <v>0</v>
      </c>
      <c r="AA1173" s="118">
        <f t="shared" ref="AA1173:AA1236" si="219">IF(V1173="",0,YEAR(V1173))</f>
        <v>0</v>
      </c>
    </row>
    <row r="1174" spans="2:27">
      <c r="B1174" s="47"/>
      <c r="C1174" s="35"/>
      <c r="D1174" s="53"/>
      <c r="E1174" s="53"/>
      <c r="F1174" s="48"/>
      <c r="G1174" s="243" t="e">
        <f>INDEX('calcolo base'!$B:$B, MATCH($A1174, 'calcolo base'!$A:$A, 0))</f>
        <v>#N/A</v>
      </c>
      <c r="H1174" s="54" t="e">
        <f t="shared" si="209"/>
        <v>#N/A</v>
      </c>
      <c r="I1174" s="259" t="e">
        <f>IF(  OR(      INDEX('calcolo base'!$D:$D, MATCH($A1174, 'calcolo base'!$A:$A, 0)) = 0,
      INDEX('calcolo base'!$D:$D, MATCH($A1174, 'calcolo base'!$A:$A, 0)) = ""   ),
   INDEX('calcolo base'!$K:$K, MATCH($A1174, 'calcolo base'!$A:$A, 0)),
   INDEX('calcolo base'!$J:$J, MATCH($A1174, 'calcolo base'!$A:$A, 0))
) / 1000</f>
        <v>#N/A</v>
      </c>
      <c r="J1174" s="50" t="e">
        <f t="shared" si="210"/>
        <v>#N/A</v>
      </c>
      <c r="K1174" s="50"/>
      <c r="L1174" s="267" t="e">
        <f>INDEX('calcolo base'!$H:$H, MATCH($A1174, 'calcolo base'!$A:$A, 0))</f>
        <v>#N/A</v>
      </c>
      <c r="M1174" s="50" t="e">
        <f t="shared" si="211"/>
        <v>#N/A</v>
      </c>
      <c r="N1174" s="50" t="e">
        <f t="shared" si="212"/>
        <v>#N/A</v>
      </c>
      <c r="O1174" s="50" t="e">
        <f t="shared" si="217"/>
        <v>#N/A</v>
      </c>
      <c r="P1174" s="50" t="e">
        <f t="shared" si="213"/>
        <v>#N/A</v>
      </c>
      <c r="Q1174" s="51" t="e">
        <f t="shared" si="214"/>
        <v>#N/A</v>
      </c>
      <c r="R1174" s="205" t="e">
        <f t="shared" si="215"/>
        <v>#N/A</v>
      </c>
      <c r="S1174" s="279" t="e">
        <f>IF(R1174="si",0,IF(E1174="si",0,IF(J1174&gt;K1174,0,+K1174-J1174)))+IF('calcolo base'!P1866="SI",('Commissioni De Angeli'!K1174-'Commissioni De Angeli'!J1174),0)</f>
        <v>#N/A</v>
      </c>
      <c r="T1174" s="117" t="e">
        <f t="shared" si="216"/>
        <v>#N/A</v>
      </c>
      <c r="U1174" s="272" t="e">
        <f>IF(Q1174=0,'calcolo base'!L3773,(T1174+Q1174))</f>
        <v>#N/A</v>
      </c>
      <c r="V1174" s="119"/>
      <c r="Z1174" s="118">
        <f t="shared" si="218"/>
        <v>0</v>
      </c>
      <c r="AA1174" s="118">
        <f t="shared" si="219"/>
        <v>0</v>
      </c>
    </row>
    <row r="1175" spans="2:27">
      <c r="B1175" s="47"/>
      <c r="C1175" s="35"/>
      <c r="D1175" s="53"/>
      <c r="E1175" s="53"/>
      <c r="F1175" s="48"/>
      <c r="G1175" s="243" t="e">
        <f>INDEX('calcolo base'!$B:$B, MATCH($A1175, 'calcolo base'!$A:$A, 0))</f>
        <v>#N/A</v>
      </c>
      <c r="H1175" s="54" t="e">
        <f t="shared" si="209"/>
        <v>#N/A</v>
      </c>
      <c r="I1175" s="259" t="e">
        <f>IF(  OR(      INDEX('calcolo base'!$D:$D, MATCH($A1175, 'calcolo base'!$A:$A, 0)) = 0,
      INDEX('calcolo base'!$D:$D, MATCH($A1175, 'calcolo base'!$A:$A, 0)) = ""   ),
   INDEX('calcolo base'!$K:$K, MATCH($A1175, 'calcolo base'!$A:$A, 0)),
   INDEX('calcolo base'!$J:$J, MATCH($A1175, 'calcolo base'!$A:$A, 0))
) / 1000</f>
        <v>#N/A</v>
      </c>
      <c r="J1175" s="50" t="e">
        <f t="shared" si="210"/>
        <v>#N/A</v>
      </c>
      <c r="K1175" s="50"/>
      <c r="L1175" s="267" t="e">
        <f>INDEX('calcolo base'!$H:$H, MATCH($A1175, 'calcolo base'!$A:$A, 0))</f>
        <v>#N/A</v>
      </c>
      <c r="M1175" s="50" t="e">
        <f t="shared" si="211"/>
        <v>#N/A</v>
      </c>
      <c r="N1175" s="50" t="e">
        <f t="shared" si="212"/>
        <v>#N/A</v>
      </c>
      <c r="O1175" s="50" t="e">
        <f t="shared" si="217"/>
        <v>#N/A</v>
      </c>
      <c r="P1175" s="50" t="e">
        <f t="shared" si="213"/>
        <v>#N/A</v>
      </c>
      <c r="Q1175" s="51" t="e">
        <f t="shared" si="214"/>
        <v>#N/A</v>
      </c>
      <c r="R1175" s="205" t="e">
        <f t="shared" si="215"/>
        <v>#N/A</v>
      </c>
      <c r="S1175" s="279" t="e">
        <f>IF(R1175="si",0,IF(E1175="si",0,IF(J1175&gt;K1175,0,+K1175-J1175)))+IF('calcolo base'!P1867="SI",('Commissioni De Angeli'!K1175-'Commissioni De Angeli'!J1175),0)</f>
        <v>#N/A</v>
      </c>
      <c r="T1175" s="117" t="e">
        <f t="shared" si="216"/>
        <v>#N/A</v>
      </c>
      <c r="U1175" s="272" t="e">
        <f>IF(Q1175=0,'calcolo base'!L3774,(T1175+Q1175))</f>
        <v>#N/A</v>
      </c>
      <c r="V1175" s="119"/>
      <c r="Z1175" s="118">
        <f t="shared" si="218"/>
        <v>0</v>
      </c>
      <c r="AA1175" s="118">
        <f t="shared" si="219"/>
        <v>0</v>
      </c>
    </row>
    <row r="1176" spans="2:27">
      <c r="B1176" s="47"/>
      <c r="C1176" s="35"/>
      <c r="D1176" s="53"/>
      <c r="E1176" s="53"/>
      <c r="F1176" s="48"/>
      <c r="G1176" s="243" t="e">
        <f>INDEX('calcolo base'!$B:$B, MATCH($A1176, 'calcolo base'!$A:$A, 0))</f>
        <v>#N/A</v>
      </c>
      <c r="H1176" s="54" t="e">
        <f t="shared" si="209"/>
        <v>#N/A</v>
      </c>
      <c r="I1176" s="259" t="e">
        <f>IF(  OR(      INDEX('calcolo base'!$D:$D, MATCH($A1176, 'calcolo base'!$A:$A, 0)) = 0,
      INDEX('calcolo base'!$D:$D, MATCH($A1176, 'calcolo base'!$A:$A, 0)) = ""   ),
   INDEX('calcolo base'!$K:$K, MATCH($A1176, 'calcolo base'!$A:$A, 0)),
   INDEX('calcolo base'!$J:$J, MATCH($A1176, 'calcolo base'!$A:$A, 0))
) / 1000</f>
        <v>#N/A</v>
      </c>
      <c r="J1176" s="50" t="e">
        <f t="shared" si="210"/>
        <v>#N/A</v>
      </c>
      <c r="K1176" s="50"/>
      <c r="L1176" s="267" t="e">
        <f>INDEX('calcolo base'!$H:$H, MATCH($A1176, 'calcolo base'!$A:$A, 0))</f>
        <v>#N/A</v>
      </c>
      <c r="M1176" s="50" t="e">
        <f t="shared" si="211"/>
        <v>#N/A</v>
      </c>
      <c r="N1176" s="50" t="e">
        <f t="shared" si="212"/>
        <v>#N/A</v>
      </c>
      <c r="O1176" s="50" t="e">
        <f t="shared" si="217"/>
        <v>#N/A</v>
      </c>
      <c r="P1176" s="50" t="e">
        <f t="shared" si="213"/>
        <v>#N/A</v>
      </c>
      <c r="Q1176" s="51" t="e">
        <f t="shared" si="214"/>
        <v>#N/A</v>
      </c>
      <c r="R1176" s="205" t="e">
        <f t="shared" si="215"/>
        <v>#N/A</v>
      </c>
      <c r="S1176" s="279" t="e">
        <f>IF(R1176="si",0,IF(E1176="si",0,IF(J1176&gt;K1176,0,+K1176-J1176)))+IF('calcolo base'!P1868="SI",('Commissioni De Angeli'!K1176-'Commissioni De Angeli'!J1176),0)</f>
        <v>#N/A</v>
      </c>
      <c r="T1176" s="117" t="e">
        <f t="shared" si="216"/>
        <v>#N/A</v>
      </c>
      <c r="U1176" s="272" t="e">
        <f>IF(Q1176=0,'calcolo base'!L3775,(T1176+Q1176))</f>
        <v>#N/A</v>
      </c>
      <c r="V1176" s="119"/>
      <c r="Z1176" s="118">
        <f t="shared" si="218"/>
        <v>0</v>
      </c>
      <c r="AA1176" s="118">
        <f t="shared" si="219"/>
        <v>0</v>
      </c>
    </row>
    <row r="1177" spans="2:27">
      <c r="B1177" s="47"/>
      <c r="C1177" s="35"/>
      <c r="D1177" s="53"/>
      <c r="E1177" s="53"/>
      <c r="F1177" s="48"/>
      <c r="G1177" s="243" t="e">
        <f>INDEX('calcolo base'!$B:$B, MATCH($A1177, 'calcolo base'!$A:$A, 0))</f>
        <v>#N/A</v>
      </c>
      <c r="H1177" s="54" t="e">
        <f t="shared" si="209"/>
        <v>#N/A</v>
      </c>
      <c r="I1177" s="259" t="e">
        <f>IF(  OR(      INDEX('calcolo base'!$D:$D, MATCH($A1177, 'calcolo base'!$A:$A, 0)) = 0,
      INDEX('calcolo base'!$D:$D, MATCH($A1177, 'calcolo base'!$A:$A, 0)) = ""   ),
   INDEX('calcolo base'!$K:$K, MATCH($A1177, 'calcolo base'!$A:$A, 0)),
   INDEX('calcolo base'!$J:$J, MATCH($A1177, 'calcolo base'!$A:$A, 0))
) / 1000</f>
        <v>#N/A</v>
      </c>
      <c r="J1177" s="50" t="e">
        <f t="shared" si="210"/>
        <v>#N/A</v>
      </c>
      <c r="K1177" s="50"/>
      <c r="L1177" s="267" t="e">
        <f>INDEX('calcolo base'!$H:$H, MATCH($A1177, 'calcolo base'!$A:$A, 0))</f>
        <v>#N/A</v>
      </c>
      <c r="M1177" s="50" t="e">
        <f t="shared" si="211"/>
        <v>#N/A</v>
      </c>
      <c r="N1177" s="50" t="e">
        <f t="shared" si="212"/>
        <v>#N/A</v>
      </c>
      <c r="O1177" s="50" t="e">
        <f t="shared" si="217"/>
        <v>#N/A</v>
      </c>
      <c r="P1177" s="50" t="e">
        <f t="shared" si="213"/>
        <v>#N/A</v>
      </c>
      <c r="Q1177" s="51" t="e">
        <f t="shared" si="214"/>
        <v>#N/A</v>
      </c>
      <c r="R1177" s="205" t="e">
        <f t="shared" si="215"/>
        <v>#N/A</v>
      </c>
      <c r="S1177" s="279" t="e">
        <f>IF(R1177="si",0,IF(E1177="si",0,IF(J1177&gt;K1177,0,+K1177-J1177)))+IF('calcolo base'!P1869="SI",('Commissioni De Angeli'!K1177-'Commissioni De Angeli'!J1177),0)</f>
        <v>#N/A</v>
      </c>
      <c r="T1177" s="117" t="e">
        <f t="shared" si="216"/>
        <v>#N/A</v>
      </c>
      <c r="U1177" s="272" t="e">
        <f>IF(Q1177=0,'calcolo base'!L3776,(T1177+Q1177))</f>
        <v>#N/A</v>
      </c>
      <c r="V1177" s="119"/>
      <c r="Z1177" s="118">
        <f t="shared" si="218"/>
        <v>0</v>
      </c>
      <c r="AA1177" s="118">
        <f t="shared" si="219"/>
        <v>0</v>
      </c>
    </row>
    <row r="1178" spans="2:27">
      <c r="B1178" s="47"/>
      <c r="C1178" s="35"/>
      <c r="D1178" s="53"/>
      <c r="E1178" s="53"/>
      <c r="F1178" s="48"/>
      <c r="G1178" s="243" t="e">
        <f>INDEX('calcolo base'!$B:$B, MATCH($A1178, 'calcolo base'!$A:$A, 0))</f>
        <v>#N/A</v>
      </c>
      <c r="H1178" s="54" t="e">
        <f t="shared" si="209"/>
        <v>#N/A</v>
      </c>
      <c r="I1178" s="259" t="e">
        <f>IF(  OR(      INDEX('calcolo base'!$D:$D, MATCH($A1178, 'calcolo base'!$A:$A, 0)) = 0,
      INDEX('calcolo base'!$D:$D, MATCH($A1178, 'calcolo base'!$A:$A, 0)) = ""   ),
   INDEX('calcolo base'!$K:$K, MATCH($A1178, 'calcolo base'!$A:$A, 0)),
   INDEX('calcolo base'!$J:$J, MATCH($A1178, 'calcolo base'!$A:$A, 0))
) / 1000</f>
        <v>#N/A</v>
      </c>
      <c r="J1178" s="50" t="e">
        <f t="shared" si="210"/>
        <v>#N/A</v>
      </c>
      <c r="K1178" s="50"/>
      <c r="L1178" s="267" t="e">
        <f>INDEX('calcolo base'!$H:$H, MATCH($A1178, 'calcolo base'!$A:$A, 0))</f>
        <v>#N/A</v>
      </c>
      <c r="M1178" s="50" t="e">
        <f t="shared" si="211"/>
        <v>#N/A</v>
      </c>
      <c r="N1178" s="50" t="e">
        <f t="shared" si="212"/>
        <v>#N/A</v>
      </c>
      <c r="O1178" s="50" t="e">
        <f t="shared" si="217"/>
        <v>#N/A</v>
      </c>
      <c r="P1178" s="50" t="e">
        <f t="shared" si="213"/>
        <v>#N/A</v>
      </c>
      <c r="Q1178" s="51" t="e">
        <f t="shared" si="214"/>
        <v>#N/A</v>
      </c>
      <c r="R1178" s="205" t="e">
        <f t="shared" si="215"/>
        <v>#N/A</v>
      </c>
      <c r="S1178" s="279" t="e">
        <f>IF(R1178="si",0,IF(E1178="si",0,IF(J1178&gt;K1178,0,+K1178-J1178)))+IF('calcolo base'!P1870="SI",('Commissioni De Angeli'!K1178-'Commissioni De Angeli'!J1178),0)</f>
        <v>#N/A</v>
      </c>
      <c r="T1178" s="117" t="e">
        <f t="shared" si="216"/>
        <v>#N/A</v>
      </c>
      <c r="U1178" s="272" t="e">
        <f>IF(Q1178=0,'calcolo base'!L3777,(T1178+Q1178))</f>
        <v>#N/A</v>
      </c>
      <c r="V1178" s="119"/>
      <c r="Z1178" s="118">
        <f t="shared" si="218"/>
        <v>0</v>
      </c>
      <c r="AA1178" s="118">
        <f t="shared" si="219"/>
        <v>0</v>
      </c>
    </row>
    <row r="1179" spans="2:27">
      <c r="B1179" s="47"/>
      <c r="C1179" s="35"/>
      <c r="D1179" s="53"/>
      <c r="E1179" s="53"/>
      <c r="F1179" s="48"/>
      <c r="G1179" s="243" t="e">
        <f>INDEX('calcolo base'!$B:$B, MATCH($A1179, 'calcolo base'!$A:$A, 0))</f>
        <v>#N/A</v>
      </c>
      <c r="H1179" s="54" t="e">
        <f t="shared" si="209"/>
        <v>#N/A</v>
      </c>
      <c r="I1179" s="259" t="e">
        <f>IF(  OR(      INDEX('calcolo base'!$D:$D, MATCH($A1179, 'calcolo base'!$A:$A, 0)) = 0,
      INDEX('calcolo base'!$D:$D, MATCH($A1179, 'calcolo base'!$A:$A, 0)) = ""   ),
   INDEX('calcolo base'!$K:$K, MATCH($A1179, 'calcolo base'!$A:$A, 0)),
   INDEX('calcolo base'!$J:$J, MATCH($A1179, 'calcolo base'!$A:$A, 0))
) / 1000</f>
        <v>#N/A</v>
      </c>
      <c r="J1179" s="50" t="e">
        <f t="shared" si="210"/>
        <v>#N/A</v>
      </c>
      <c r="K1179" s="50"/>
      <c r="L1179" s="267" t="e">
        <f>INDEX('calcolo base'!$H:$H, MATCH($A1179, 'calcolo base'!$A:$A, 0))</f>
        <v>#N/A</v>
      </c>
      <c r="M1179" s="50" t="e">
        <f t="shared" si="211"/>
        <v>#N/A</v>
      </c>
      <c r="N1179" s="50" t="e">
        <f t="shared" si="212"/>
        <v>#N/A</v>
      </c>
      <c r="O1179" s="50" t="e">
        <f t="shared" si="217"/>
        <v>#N/A</v>
      </c>
      <c r="P1179" s="50" t="e">
        <f t="shared" si="213"/>
        <v>#N/A</v>
      </c>
      <c r="Q1179" s="51" t="e">
        <f t="shared" si="214"/>
        <v>#N/A</v>
      </c>
      <c r="R1179" s="205" t="e">
        <f t="shared" si="215"/>
        <v>#N/A</v>
      </c>
      <c r="S1179" s="279" t="e">
        <f>IF(R1179="si",0,IF(E1179="si",0,IF(J1179&gt;K1179,0,+K1179-J1179)))+IF('calcolo base'!P1871="SI",('Commissioni De Angeli'!K1179-'Commissioni De Angeli'!J1179),0)</f>
        <v>#N/A</v>
      </c>
      <c r="T1179" s="117" t="e">
        <f t="shared" si="216"/>
        <v>#N/A</v>
      </c>
      <c r="U1179" s="272" t="e">
        <f>IF(Q1179=0,'calcolo base'!L3778,(T1179+Q1179))</f>
        <v>#N/A</v>
      </c>
      <c r="V1179" s="119"/>
      <c r="Z1179" s="118">
        <f t="shared" si="218"/>
        <v>0</v>
      </c>
      <c r="AA1179" s="118">
        <f t="shared" si="219"/>
        <v>0</v>
      </c>
    </row>
    <row r="1180" spans="2:27">
      <c r="B1180" s="47"/>
      <c r="C1180" s="35"/>
      <c r="D1180" s="53"/>
      <c r="E1180" s="53"/>
      <c r="F1180" s="48"/>
      <c r="G1180" s="243" t="e">
        <f>INDEX('calcolo base'!$B:$B, MATCH($A1180, 'calcolo base'!$A:$A, 0))</f>
        <v>#N/A</v>
      </c>
      <c r="H1180" s="54" t="e">
        <f t="shared" ref="H1180:H1243" si="220">IF(G1180=0,"",+G1180)</f>
        <v>#N/A</v>
      </c>
      <c r="I1180" s="259" t="e">
        <f>IF(  OR(      INDEX('calcolo base'!$D:$D, MATCH($A1180, 'calcolo base'!$A:$A, 0)) = 0,
      INDEX('calcolo base'!$D:$D, MATCH($A1180, 'calcolo base'!$A:$A, 0)) = ""   ),
   INDEX('calcolo base'!$K:$K, MATCH($A1180, 'calcolo base'!$A:$A, 0)),
   INDEX('calcolo base'!$J:$J, MATCH($A1180, 'calcolo base'!$A:$A, 0))
) / 1000</f>
        <v>#N/A</v>
      </c>
      <c r="J1180" s="50" t="e">
        <f t="shared" ref="J1180:J1243" si="221">+F1180+I1180</f>
        <v>#N/A</v>
      </c>
      <c r="K1180" s="50"/>
      <c r="L1180" s="267" t="e">
        <f>INDEX('calcolo base'!$H:$H, MATCH($A1180, 'calcolo base'!$A:$A, 0))</f>
        <v>#N/A</v>
      </c>
      <c r="M1180" s="50" t="e">
        <f t="shared" ref="M1180:M1243" si="222">IF(L1180=0,0,J1180*L1180)</f>
        <v>#N/A</v>
      </c>
      <c r="N1180" s="50" t="e">
        <f t="shared" ref="N1180:N1243" si="223">IF(E1180="si",K1180*1.5%,IF($L1180&gt;=5%,IF($I1180=0,0,(IF($G1180="RAME",($J1180)*1.5%,0)+IF($G1180="rame smaltato",($K1180)*1.5%,0))),0))</f>
        <v>#N/A</v>
      </c>
      <c r="O1180" s="50" t="e">
        <f t="shared" si="217"/>
        <v>#N/A</v>
      </c>
      <c r="P1180" s="50" t="e">
        <f t="shared" ref="P1180:P1243" si="224">IF(H1180="alluminio",0,IF(L1180&lt;5%,F1180*8%,0))</f>
        <v>#N/A</v>
      </c>
      <c r="Q1180" s="51" t="e">
        <f t="shared" ref="Q1180:Q1243" si="225">+(N1180*D1180)+(O1180*D1180)+(P1180*D1180)</f>
        <v>#N/A</v>
      </c>
      <c r="R1180" s="205" t="e">
        <f t="shared" ref="R1180:R1243" si="226">IF(H1180="ALLUMINIO",0,IF(L1180&lt;5%,"si",0))</f>
        <v>#N/A</v>
      </c>
      <c r="S1180" s="279" t="e">
        <f>IF(R1180="si",0,IF(E1180="si",0,IF(J1180&gt;K1180,0,+K1180-J1180)))+IF('calcolo base'!P1872="SI",('Commissioni De Angeli'!K1180-'Commissioni De Angeli'!J1180),0)</f>
        <v>#N/A</v>
      </c>
      <c r="T1180" s="117" t="e">
        <f t="shared" ref="T1180:T1243" si="227">+(S1180)*D1180*40%</f>
        <v>#N/A</v>
      </c>
      <c r="U1180" s="272" t="e">
        <f>IF(Q1180=0,'calcolo base'!L3779,(T1180+Q1180))</f>
        <v>#N/A</v>
      </c>
      <c r="V1180" s="119"/>
      <c r="Z1180" s="118">
        <f t="shared" si="218"/>
        <v>0</v>
      </c>
      <c r="AA1180" s="118">
        <f t="shared" si="219"/>
        <v>0</v>
      </c>
    </row>
    <row r="1181" spans="2:27">
      <c r="B1181" s="47"/>
      <c r="C1181" s="35"/>
      <c r="D1181" s="53"/>
      <c r="E1181" s="53"/>
      <c r="F1181" s="48"/>
      <c r="G1181" s="243" t="e">
        <f>INDEX('calcolo base'!$B:$B, MATCH($A1181, 'calcolo base'!$A:$A, 0))</f>
        <v>#N/A</v>
      </c>
      <c r="H1181" s="54" t="e">
        <f t="shared" si="220"/>
        <v>#N/A</v>
      </c>
      <c r="I1181" s="259" t="e">
        <f>IF(  OR(      INDEX('calcolo base'!$D:$D, MATCH($A1181, 'calcolo base'!$A:$A, 0)) = 0,
      INDEX('calcolo base'!$D:$D, MATCH($A1181, 'calcolo base'!$A:$A, 0)) = ""   ),
   INDEX('calcolo base'!$K:$K, MATCH($A1181, 'calcolo base'!$A:$A, 0)),
   INDEX('calcolo base'!$J:$J, MATCH($A1181, 'calcolo base'!$A:$A, 0))
) / 1000</f>
        <v>#N/A</v>
      </c>
      <c r="J1181" s="50" t="e">
        <f t="shared" si="221"/>
        <v>#N/A</v>
      </c>
      <c r="K1181" s="50"/>
      <c r="L1181" s="267" t="e">
        <f>INDEX('calcolo base'!$H:$H, MATCH($A1181, 'calcolo base'!$A:$A, 0))</f>
        <v>#N/A</v>
      </c>
      <c r="M1181" s="50" t="e">
        <f t="shared" si="222"/>
        <v>#N/A</v>
      </c>
      <c r="N1181" s="50" t="e">
        <f t="shared" si="223"/>
        <v>#N/A</v>
      </c>
      <c r="O1181" s="50" t="e">
        <f t="shared" si="217"/>
        <v>#N/A</v>
      </c>
      <c r="P1181" s="50" t="e">
        <f t="shared" si="224"/>
        <v>#N/A</v>
      </c>
      <c r="Q1181" s="51" t="e">
        <f t="shared" si="225"/>
        <v>#N/A</v>
      </c>
      <c r="R1181" s="205" t="e">
        <f t="shared" si="226"/>
        <v>#N/A</v>
      </c>
      <c r="S1181" s="279" t="e">
        <f>IF(R1181="si",0,IF(E1181="si",0,IF(J1181&gt;K1181,0,+K1181-J1181)))+IF('calcolo base'!P1873="SI",('Commissioni De Angeli'!K1181-'Commissioni De Angeli'!J1181),0)</f>
        <v>#N/A</v>
      </c>
      <c r="T1181" s="117" t="e">
        <f t="shared" si="227"/>
        <v>#N/A</v>
      </c>
      <c r="U1181" s="272" t="e">
        <f>IF(Q1181=0,'calcolo base'!L3780,(T1181+Q1181))</f>
        <v>#N/A</v>
      </c>
      <c r="V1181" s="119"/>
      <c r="Z1181" s="118">
        <f t="shared" si="218"/>
        <v>0</v>
      </c>
      <c r="AA1181" s="118">
        <f t="shared" si="219"/>
        <v>0</v>
      </c>
    </row>
    <row r="1182" spans="2:27">
      <c r="B1182" s="47"/>
      <c r="C1182" s="35"/>
      <c r="D1182" s="53"/>
      <c r="E1182" s="53"/>
      <c r="F1182" s="48"/>
      <c r="G1182" s="243" t="e">
        <f>INDEX('calcolo base'!$B:$B, MATCH($A1182, 'calcolo base'!$A:$A, 0))</f>
        <v>#N/A</v>
      </c>
      <c r="H1182" s="54" t="e">
        <f t="shared" si="220"/>
        <v>#N/A</v>
      </c>
      <c r="I1182" s="259" t="e">
        <f>IF(  OR(      INDEX('calcolo base'!$D:$D, MATCH($A1182, 'calcolo base'!$A:$A, 0)) = 0,
      INDEX('calcolo base'!$D:$D, MATCH($A1182, 'calcolo base'!$A:$A, 0)) = ""   ),
   INDEX('calcolo base'!$K:$K, MATCH($A1182, 'calcolo base'!$A:$A, 0)),
   INDEX('calcolo base'!$J:$J, MATCH($A1182, 'calcolo base'!$A:$A, 0))
) / 1000</f>
        <v>#N/A</v>
      </c>
      <c r="J1182" s="50" t="e">
        <f t="shared" si="221"/>
        <v>#N/A</v>
      </c>
      <c r="K1182" s="50"/>
      <c r="L1182" s="267" t="e">
        <f>INDEX('calcolo base'!$H:$H, MATCH($A1182, 'calcolo base'!$A:$A, 0))</f>
        <v>#N/A</v>
      </c>
      <c r="M1182" s="50" t="e">
        <f t="shared" si="222"/>
        <v>#N/A</v>
      </c>
      <c r="N1182" s="50" t="e">
        <f t="shared" si="223"/>
        <v>#N/A</v>
      </c>
      <c r="O1182" s="50" t="e">
        <f t="shared" si="217"/>
        <v>#N/A</v>
      </c>
      <c r="P1182" s="50" t="e">
        <f t="shared" si="224"/>
        <v>#N/A</v>
      </c>
      <c r="Q1182" s="51" t="e">
        <f t="shared" si="225"/>
        <v>#N/A</v>
      </c>
      <c r="R1182" s="205" t="e">
        <f t="shared" si="226"/>
        <v>#N/A</v>
      </c>
      <c r="S1182" s="279" t="e">
        <f>IF(R1182="si",0,IF(E1182="si",0,IF(J1182&gt;K1182,0,+K1182-J1182)))+IF('calcolo base'!P1874="SI",('Commissioni De Angeli'!K1182-'Commissioni De Angeli'!J1182),0)</f>
        <v>#N/A</v>
      </c>
      <c r="T1182" s="117" t="e">
        <f t="shared" si="227"/>
        <v>#N/A</v>
      </c>
      <c r="U1182" s="272" t="e">
        <f>IF(Q1182=0,'calcolo base'!L3781,(T1182+Q1182))</f>
        <v>#N/A</v>
      </c>
      <c r="V1182" s="119"/>
      <c r="Z1182" s="118">
        <f t="shared" si="218"/>
        <v>0</v>
      </c>
      <c r="AA1182" s="118">
        <f t="shared" si="219"/>
        <v>0</v>
      </c>
    </row>
    <row r="1183" spans="2:27">
      <c r="B1183" s="47"/>
      <c r="C1183" s="35"/>
      <c r="D1183" s="53"/>
      <c r="E1183" s="53"/>
      <c r="F1183" s="48"/>
      <c r="G1183" s="243" t="e">
        <f>INDEX('calcolo base'!$B:$B, MATCH($A1183, 'calcolo base'!$A:$A, 0))</f>
        <v>#N/A</v>
      </c>
      <c r="H1183" s="54" t="e">
        <f t="shared" si="220"/>
        <v>#N/A</v>
      </c>
      <c r="I1183" s="259" t="e">
        <f>IF(  OR(      INDEX('calcolo base'!$D:$D, MATCH($A1183, 'calcolo base'!$A:$A, 0)) = 0,
      INDEX('calcolo base'!$D:$D, MATCH($A1183, 'calcolo base'!$A:$A, 0)) = ""   ),
   INDEX('calcolo base'!$K:$K, MATCH($A1183, 'calcolo base'!$A:$A, 0)),
   INDEX('calcolo base'!$J:$J, MATCH($A1183, 'calcolo base'!$A:$A, 0))
) / 1000</f>
        <v>#N/A</v>
      </c>
      <c r="J1183" s="50" t="e">
        <f t="shared" si="221"/>
        <v>#N/A</v>
      </c>
      <c r="K1183" s="50"/>
      <c r="L1183" s="267" t="e">
        <f>INDEX('calcolo base'!$H:$H, MATCH($A1183, 'calcolo base'!$A:$A, 0))</f>
        <v>#N/A</v>
      </c>
      <c r="M1183" s="50" t="e">
        <f t="shared" si="222"/>
        <v>#N/A</v>
      </c>
      <c r="N1183" s="50" t="e">
        <f t="shared" si="223"/>
        <v>#N/A</v>
      </c>
      <c r="O1183" s="50" t="e">
        <f t="shared" si="217"/>
        <v>#N/A</v>
      </c>
      <c r="P1183" s="50" t="e">
        <f t="shared" si="224"/>
        <v>#N/A</v>
      </c>
      <c r="Q1183" s="51" t="e">
        <f t="shared" si="225"/>
        <v>#N/A</v>
      </c>
      <c r="R1183" s="205" t="e">
        <f t="shared" si="226"/>
        <v>#N/A</v>
      </c>
      <c r="S1183" s="279" t="e">
        <f>IF(R1183="si",0,IF(E1183="si",0,IF(J1183&gt;K1183,0,+K1183-J1183)))+IF('calcolo base'!P1875="SI",('Commissioni De Angeli'!K1183-'Commissioni De Angeli'!J1183),0)</f>
        <v>#N/A</v>
      </c>
      <c r="T1183" s="117" t="e">
        <f t="shared" si="227"/>
        <v>#N/A</v>
      </c>
      <c r="U1183" s="272" t="e">
        <f>IF(Q1183=0,'calcolo base'!L3782,(T1183+Q1183))</f>
        <v>#N/A</v>
      </c>
      <c r="V1183" s="119"/>
      <c r="Z1183" s="118">
        <f t="shared" si="218"/>
        <v>0</v>
      </c>
      <c r="AA1183" s="118">
        <f t="shared" si="219"/>
        <v>0</v>
      </c>
    </row>
    <row r="1184" spans="2:27">
      <c r="B1184" s="47"/>
      <c r="C1184" s="35"/>
      <c r="D1184" s="53"/>
      <c r="E1184" s="53"/>
      <c r="F1184" s="48"/>
      <c r="G1184" s="243" t="e">
        <f>INDEX('calcolo base'!$B:$B, MATCH($A1184, 'calcolo base'!$A:$A, 0))</f>
        <v>#N/A</v>
      </c>
      <c r="H1184" s="54" t="e">
        <f t="shared" si="220"/>
        <v>#N/A</v>
      </c>
      <c r="I1184" s="259" t="e">
        <f>IF(  OR(      INDEX('calcolo base'!$D:$D, MATCH($A1184, 'calcolo base'!$A:$A, 0)) = 0,
      INDEX('calcolo base'!$D:$D, MATCH($A1184, 'calcolo base'!$A:$A, 0)) = ""   ),
   INDEX('calcolo base'!$K:$K, MATCH($A1184, 'calcolo base'!$A:$A, 0)),
   INDEX('calcolo base'!$J:$J, MATCH($A1184, 'calcolo base'!$A:$A, 0))
) / 1000</f>
        <v>#N/A</v>
      </c>
      <c r="J1184" s="50" t="e">
        <f t="shared" si="221"/>
        <v>#N/A</v>
      </c>
      <c r="K1184" s="50"/>
      <c r="L1184" s="267" t="e">
        <f>INDEX('calcolo base'!$H:$H, MATCH($A1184, 'calcolo base'!$A:$A, 0))</f>
        <v>#N/A</v>
      </c>
      <c r="M1184" s="50" t="e">
        <f t="shared" si="222"/>
        <v>#N/A</v>
      </c>
      <c r="N1184" s="50" t="e">
        <f t="shared" si="223"/>
        <v>#N/A</v>
      </c>
      <c r="O1184" s="50" t="e">
        <f t="shared" si="217"/>
        <v>#N/A</v>
      </c>
      <c r="P1184" s="50" t="e">
        <f t="shared" si="224"/>
        <v>#N/A</v>
      </c>
      <c r="Q1184" s="51" t="e">
        <f t="shared" si="225"/>
        <v>#N/A</v>
      </c>
      <c r="R1184" s="205" t="e">
        <f t="shared" si="226"/>
        <v>#N/A</v>
      </c>
      <c r="S1184" s="279" t="e">
        <f>IF(R1184="si",0,IF(E1184="si",0,IF(J1184&gt;K1184,0,+K1184-J1184)))+IF('calcolo base'!P1876="SI",('Commissioni De Angeli'!K1184-'Commissioni De Angeli'!J1184),0)</f>
        <v>#N/A</v>
      </c>
      <c r="T1184" s="117" t="e">
        <f t="shared" si="227"/>
        <v>#N/A</v>
      </c>
      <c r="U1184" s="272" t="e">
        <f>IF(Q1184=0,'calcolo base'!L3783,(T1184+Q1184))</f>
        <v>#N/A</v>
      </c>
      <c r="V1184" s="119"/>
      <c r="Z1184" s="118">
        <f t="shared" si="218"/>
        <v>0</v>
      </c>
      <c r="AA1184" s="118">
        <f t="shared" si="219"/>
        <v>0</v>
      </c>
    </row>
    <row r="1185" spans="2:27">
      <c r="B1185" s="47"/>
      <c r="C1185" s="35"/>
      <c r="D1185" s="53"/>
      <c r="E1185" s="53"/>
      <c r="F1185" s="48"/>
      <c r="G1185" s="243" t="e">
        <f>INDEX('calcolo base'!$B:$B, MATCH($A1185, 'calcolo base'!$A:$A, 0))</f>
        <v>#N/A</v>
      </c>
      <c r="H1185" s="54" t="e">
        <f t="shared" si="220"/>
        <v>#N/A</v>
      </c>
      <c r="I1185" s="259" t="e">
        <f>IF(  OR(      INDEX('calcolo base'!$D:$D, MATCH($A1185, 'calcolo base'!$A:$A, 0)) = 0,
      INDEX('calcolo base'!$D:$D, MATCH($A1185, 'calcolo base'!$A:$A, 0)) = ""   ),
   INDEX('calcolo base'!$K:$K, MATCH($A1185, 'calcolo base'!$A:$A, 0)),
   INDEX('calcolo base'!$J:$J, MATCH($A1185, 'calcolo base'!$A:$A, 0))
) / 1000</f>
        <v>#N/A</v>
      </c>
      <c r="J1185" s="50" t="e">
        <f t="shared" si="221"/>
        <v>#N/A</v>
      </c>
      <c r="K1185" s="50"/>
      <c r="L1185" s="267" t="e">
        <f>INDEX('calcolo base'!$H:$H, MATCH($A1185, 'calcolo base'!$A:$A, 0))</f>
        <v>#N/A</v>
      </c>
      <c r="M1185" s="50" t="e">
        <f t="shared" si="222"/>
        <v>#N/A</v>
      </c>
      <c r="N1185" s="50" t="e">
        <f t="shared" si="223"/>
        <v>#N/A</v>
      </c>
      <c r="O1185" s="50" t="e">
        <f t="shared" si="217"/>
        <v>#N/A</v>
      </c>
      <c r="P1185" s="50" t="e">
        <f t="shared" si="224"/>
        <v>#N/A</v>
      </c>
      <c r="Q1185" s="51" t="e">
        <f t="shared" si="225"/>
        <v>#N/A</v>
      </c>
      <c r="R1185" s="205" t="e">
        <f t="shared" si="226"/>
        <v>#N/A</v>
      </c>
      <c r="S1185" s="279" t="e">
        <f>IF(R1185="si",0,IF(E1185="si",0,IF(J1185&gt;K1185,0,+K1185-J1185)))+IF('calcolo base'!P1877="SI",('Commissioni De Angeli'!K1185-'Commissioni De Angeli'!J1185),0)</f>
        <v>#N/A</v>
      </c>
      <c r="T1185" s="117" t="e">
        <f t="shared" si="227"/>
        <v>#N/A</v>
      </c>
      <c r="U1185" s="272" t="e">
        <f>IF(Q1185=0,'calcolo base'!L3784,(T1185+Q1185))</f>
        <v>#N/A</v>
      </c>
      <c r="V1185" s="119"/>
      <c r="Z1185" s="118">
        <f t="shared" si="218"/>
        <v>0</v>
      </c>
      <c r="AA1185" s="118">
        <f t="shared" si="219"/>
        <v>0</v>
      </c>
    </row>
    <row r="1186" spans="2:27">
      <c r="B1186" s="47"/>
      <c r="C1186" s="35"/>
      <c r="D1186" s="53"/>
      <c r="E1186" s="53"/>
      <c r="F1186" s="48"/>
      <c r="G1186" s="243" t="e">
        <f>INDEX('calcolo base'!$B:$B, MATCH($A1186, 'calcolo base'!$A:$A, 0))</f>
        <v>#N/A</v>
      </c>
      <c r="H1186" s="54" t="e">
        <f t="shared" si="220"/>
        <v>#N/A</v>
      </c>
      <c r="I1186" s="259" t="e">
        <f>IF(  OR(      INDEX('calcolo base'!$D:$D, MATCH($A1186, 'calcolo base'!$A:$A, 0)) = 0,
      INDEX('calcolo base'!$D:$D, MATCH($A1186, 'calcolo base'!$A:$A, 0)) = ""   ),
   INDEX('calcolo base'!$K:$K, MATCH($A1186, 'calcolo base'!$A:$A, 0)),
   INDEX('calcolo base'!$J:$J, MATCH($A1186, 'calcolo base'!$A:$A, 0))
) / 1000</f>
        <v>#N/A</v>
      </c>
      <c r="J1186" s="50" t="e">
        <f t="shared" si="221"/>
        <v>#N/A</v>
      </c>
      <c r="K1186" s="50"/>
      <c r="L1186" s="267" t="e">
        <f>INDEX('calcolo base'!$H:$H, MATCH($A1186, 'calcolo base'!$A:$A, 0))</f>
        <v>#N/A</v>
      </c>
      <c r="M1186" s="50" t="e">
        <f t="shared" si="222"/>
        <v>#N/A</v>
      </c>
      <c r="N1186" s="50" t="e">
        <f t="shared" si="223"/>
        <v>#N/A</v>
      </c>
      <c r="O1186" s="50" t="e">
        <f t="shared" si="217"/>
        <v>#N/A</v>
      </c>
      <c r="P1186" s="50" t="e">
        <f t="shared" si="224"/>
        <v>#N/A</v>
      </c>
      <c r="Q1186" s="51" t="e">
        <f t="shared" si="225"/>
        <v>#N/A</v>
      </c>
      <c r="R1186" s="205" t="e">
        <f t="shared" si="226"/>
        <v>#N/A</v>
      </c>
      <c r="S1186" s="279" t="e">
        <f>IF(R1186="si",0,IF(E1186="si",0,IF(J1186&gt;K1186,0,+K1186-J1186)))+IF('calcolo base'!P1878="SI",('Commissioni De Angeli'!K1186-'Commissioni De Angeli'!J1186),0)</f>
        <v>#N/A</v>
      </c>
      <c r="T1186" s="117" t="e">
        <f t="shared" si="227"/>
        <v>#N/A</v>
      </c>
      <c r="U1186" s="272" t="e">
        <f>IF(Q1186=0,'calcolo base'!L3785,(T1186+Q1186))</f>
        <v>#N/A</v>
      </c>
      <c r="V1186" s="119"/>
      <c r="Z1186" s="118">
        <f t="shared" si="218"/>
        <v>0</v>
      </c>
      <c r="AA1186" s="118">
        <f t="shared" si="219"/>
        <v>0</v>
      </c>
    </row>
    <row r="1187" spans="2:27">
      <c r="B1187" s="47"/>
      <c r="C1187" s="35"/>
      <c r="D1187" s="53"/>
      <c r="E1187" s="53"/>
      <c r="F1187" s="48"/>
      <c r="G1187" s="243" t="e">
        <f>INDEX('calcolo base'!$B:$B, MATCH($A1187, 'calcolo base'!$A:$A, 0))</f>
        <v>#N/A</v>
      </c>
      <c r="H1187" s="54" t="e">
        <f t="shared" si="220"/>
        <v>#N/A</v>
      </c>
      <c r="I1187" s="259" t="e">
        <f>IF(  OR(      INDEX('calcolo base'!$D:$D, MATCH($A1187, 'calcolo base'!$A:$A, 0)) = 0,
      INDEX('calcolo base'!$D:$D, MATCH($A1187, 'calcolo base'!$A:$A, 0)) = ""   ),
   INDEX('calcolo base'!$K:$K, MATCH($A1187, 'calcolo base'!$A:$A, 0)),
   INDEX('calcolo base'!$J:$J, MATCH($A1187, 'calcolo base'!$A:$A, 0))
) / 1000</f>
        <v>#N/A</v>
      </c>
      <c r="J1187" s="50" t="e">
        <f t="shared" si="221"/>
        <v>#N/A</v>
      </c>
      <c r="K1187" s="50"/>
      <c r="L1187" s="267" t="e">
        <f>INDEX('calcolo base'!$H:$H, MATCH($A1187, 'calcolo base'!$A:$A, 0))</f>
        <v>#N/A</v>
      </c>
      <c r="M1187" s="50" t="e">
        <f t="shared" si="222"/>
        <v>#N/A</v>
      </c>
      <c r="N1187" s="50" t="e">
        <f t="shared" si="223"/>
        <v>#N/A</v>
      </c>
      <c r="O1187" s="50" t="e">
        <f t="shared" si="217"/>
        <v>#N/A</v>
      </c>
      <c r="P1187" s="50" t="e">
        <f t="shared" si="224"/>
        <v>#N/A</v>
      </c>
      <c r="Q1187" s="51" t="e">
        <f t="shared" si="225"/>
        <v>#N/A</v>
      </c>
      <c r="R1187" s="205" t="e">
        <f t="shared" si="226"/>
        <v>#N/A</v>
      </c>
      <c r="S1187" s="279" t="e">
        <f>IF(R1187="si",0,IF(E1187="si",0,IF(J1187&gt;K1187,0,+K1187-J1187)))+IF('calcolo base'!P1879="SI",('Commissioni De Angeli'!K1187-'Commissioni De Angeli'!J1187),0)</f>
        <v>#N/A</v>
      </c>
      <c r="T1187" s="117" t="e">
        <f t="shared" si="227"/>
        <v>#N/A</v>
      </c>
      <c r="U1187" s="272" t="e">
        <f>IF(Q1187=0,'calcolo base'!L3786,(T1187+Q1187))</f>
        <v>#N/A</v>
      </c>
      <c r="V1187" s="119"/>
      <c r="Z1187" s="118">
        <f t="shared" si="218"/>
        <v>0</v>
      </c>
      <c r="AA1187" s="118">
        <f t="shared" si="219"/>
        <v>0</v>
      </c>
    </row>
    <row r="1188" spans="2:27">
      <c r="B1188" s="47"/>
      <c r="C1188" s="35"/>
      <c r="D1188" s="53"/>
      <c r="E1188" s="53"/>
      <c r="F1188" s="48"/>
      <c r="G1188" s="243" t="e">
        <f>INDEX('calcolo base'!$B:$B, MATCH($A1188, 'calcolo base'!$A:$A, 0))</f>
        <v>#N/A</v>
      </c>
      <c r="H1188" s="54" t="e">
        <f t="shared" si="220"/>
        <v>#N/A</v>
      </c>
      <c r="I1188" s="259" t="e">
        <f>IF(  OR(      INDEX('calcolo base'!$D:$D, MATCH($A1188, 'calcolo base'!$A:$A, 0)) = 0,
      INDEX('calcolo base'!$D:$D, MATCH($A1188, 'calcolo base'!$A:$A, 0)) = ""   ),
   INDEX('calcolo base'!$K:$K, MATCH($A1188, 'calcolo base'!$A:$A, 0)),
   INDEX('calcolo base'!$J:$J, MATCH($A1188, 'calcolo base'!$A:$A, 0))
) / 1000</f>
        <v>#N/A</v>
      </c>
      <c r="J1188" s="50" t="e">
        <f t="shared" si="221"/>
        <v>#N/A</v>
      </c>
      <c r="K1188" s="50"/>
      <c r="L1188" s="267" t="e">
        <f>INDEX('calcolo base'!$H:$H, MATCH($A1188, 'calcolo base'!$A:$A, 0))</f>
        <v>#N/A</v>
      </c>
      <c r="M1188" s="50" t="e">
        <f t="shared" si="222"/>
        <v>#N/A</v>
      </c>
      <c r="N1188" s="50" t="e">
        <f t="shared" si="223"/>
        <v>#N/A</v>
      </c>
      <c r="O1188" s="50" t="e">
        <f t="shared" si="217"/>
        <v>#N/A</v>
      </c>
      <c r="P1188" s="50" t="e">
        <f t="shared" si="224"/>
        <v>#N/A</v>
      </c>
      <c r="Q1188" s="51" t="e">
        <f t="shared" si="225"/>
        <v>#N/A</v>
      </c>
      <c r="R1188" s="205" t="e">
        <f t="shared" si="226"/>
        <v>#N/A</v>
      </c>
      <c r="S1188" s="279" t="e">
        <f>IF(R1188="si",0,IF(E1188="si",0,IF(J1188&gt;K1188,0,+K1188-J1188)))+IF('calcolo base'!P1880="SI",('Commissioni De Angeli'!K1188-'Commissioni De Angeli'!J1188),0)</f>
        <v>#N/A</v>
      </c>
      <c r="T1188" s="117" t="e">
        <f t="shared" si="227"/>
        <v>#N/A</v>
      </c>
      <c r="U1188" s="272" t="e">
        <f>IF(Q1188=0,'calcolo base'!L3787,(T1188+Q1188))</f>
        <v>#N/A</v>
      </c>
      <c r="V1188" s="119"/>
      <c r="Z1188" s="118">
        <f t="shared" si="218"/>
        <v>0</v>
      </c>
      <c r="AA1188" s="118">
        <f t="shared" si="219"/>
        <v>0</v>
      </c>
    </row>
    <row r="1189" spans="2:27">
      <c r="B1189" s="47"/>
      <c r="C1189" s="35"/>
      <c r="D1189" s="53"/>
      <c r="E1189" s="53"/>
      <c r="F1189" s="48"/>
      <c r="G1189" s="243" t="e">
        <f>INDEX('calcolo base'!$B:$B, MATCH($A1189, 'calcolo base'!$A:$A, 0))</f>
        <v>#N/A</v>
      </c>
      <c r="H1189" s="54" t="e">
        <f t="shared" si="220"/>
        <v>#N/A</v>
      </c>
      <c r="I1189" s="259" t="e">
        <f>IF(  OR(      INDEX('calcolo base'!$D:$D, MATCH($A1189, 'calcolo base'!$A:$A, 0)) = 0,
      INDEX('calcolo base'!$D:$D, MATCH($A1189, 'calcolo base'!$A:$A, 0)) = ""   ),
   INDEX('calcolo base'!$K:$K, MATCH($A1189, 'calcolo base'!$A:$A, 0)),
   INDEX('calcolo base'!$J:$J, MATCH($A1189, 'calcolo base'!$A:$A, 0))
) / 1000</f>
        <v>#N/A</v>
      </c>
      <c r="J1189" s="50" t="e">
        <f t="shared" si="221"/>
        <v>#N/A</v>
      </c>
      <c r="K1189" s="50"/>
      <c r="L1189" s="267" t="e">
        <f>INDEX('calcolo base'!$H:$H, MATCH($A1189, 'calcolo base'!$A:$A, 0))</f>
        <v>#N/A</v>
      </c>
      <c r="M1189" s="50" t="e">
        <f t="shared" si="222"/>
        <v>#N/A</v>
      </c>
      <c r="N1189" s="50" t="e">
        <f t="shared" si="223"/>
        <v>#N/A</v>
      </c>
      <c r="O1189" s="50" t="e">
        <f t="shared" si="217"/>
        <v>#N/A</v>
      </c>
      <c r="P1189" s="50" t="e">
        <f t="shared" si="224"/>
        <v>#N/A</v>
      </c>
      <c r="Q1189" s="51" t="e">
        <f t="shared" si="225"/>
        <v>#N/A</v>
      </c>
      <c r="R1189" s="205" t="e">
        <f t="shared" si="226"/>
        <v>#N/A</v>
      </c>
      <c r="S1189" s="279" t="e">
        <f>IF(R1189="si",0,IF(E1189="si",0,IF(J1189&gt;K1189,0,+K1189-J1189)))+IF('calcolo base'!P1881="SI",('Commissioni De Angeli'!K1189-'Commissioni De Angeli'!J1189),0)</f>
        <v>#N/A</v>
      </c>
      <c r="T1189" s="117" t="e">
        <f t="shared" si="227"/>
        <v>#N/A</v>
      </c>
      <c r="U1189" s="272" t="e">
        <f>IF(Q1189=0,'calcolo base'!L3788,(T1189+Q1189))</f>
        <v>#N/A</v>
      </c>
      <c r="V1189" s="119"/>
      <c r="Z1189" s="118">
        <f t="shared" si="218"/>
        <v>0</v>
      </c>
      <c r="AA1189" s="118">
        <f t="shared" si="219"/>
        <v>0</v>
      </c>
    </row>
    <row r="1190" spans="2:27">
      <c r="B1190" s="47"/>
      <c r="C1190" s="35"/>
      <c r="D1190" s="53"/>
      <c r="E1190" s="53"/>
      <c r="F1190" s="48"/>
      <c r="G1190" s="243" t="e">
        <f>INDEX('calcolo base'!$B:$B, MATCH($A1190, 'calcolo base'!$A:$A, 0))</f>
        <v>#N/A</v>
      </c>
      <c r="H1190" s="54" t="e">
        <f t="shared" si="220"/>
        <v>#N/A</v>
      </c>
      <c r="I1190" s="259" t="e">
        <f>IF(  OR(      INDEX('calcolo base'!$D:$D, MATCH($A1190, 'calcolo base'!$A:$A, 0)) = 0,
      INDEX('calcolo base'!$D:$D, MATCH($A1190, 'calcolo base'!$A:$A, 0)) = ""   ),
   INDEX('calcolo base'!$K:$K, MATCH($A1190, 'calcolo base'!$A:$A, 0)),
   INDEX('calcolo base'!$J:$J, MATCH($A1190, 'calcolo base'!$A:$A, 0))
) / 1000</f>
        <v>#N/A</v>
      </c>
      <c r="J1190" s="50" t="e">
        <f t="shared" si="221"/>
        <v>#N/A</v>
      </c>
      <c r="K1190" s="50"/>
      <c r="L1190" s="267" t="e">
        <f>INDEX('calcolo base'!$H:$H, MATCH($A1190, 'calcolo base'!$A:$A, 0))</f>
        <v>#N/A</v>
      </c>
      <c r="M1190" s="50" t="e">
        <f t="shared" si="222"/>
        <v>#N/A</v>
      </c>
      <c r="N1190" s="50" t="e">
        <f t="shared" si="223"/>
        <v>#N/A</v>
      </c>
      <c r="O1190" s="50" t="e">
        <f t="shared" si="217"/>
        <v>#N/A</v>
      </c>
      <c r="P1190" s="50" t="e">
        <f t="shared" si="224"/>
        <v>#N/A</v>
      </c>
      <c r="Q1190" s="51" t="e">
        <f t="shared" si="225"/>
        <v>#N/A</v>
      </c>
      <c r="R1190" s="205" t="e">
        <f t="shared" si="226"/>
        <v>#N/A</v>
      </c>
      <c r="S1190" s="279" t="e">
        <f>IF(R1190="si",0,IF(E1190="si",0,IF(J1190&gt;K1190,0,+K1190-J1190)))+IF('calcolo base'!P1882="SI",('Commissioni De Angeli'!K1190-'Commissioni De Angeli'!J1190),0)</f>
        <v>#N/A</v>
      </c>
      <c r="T1190" s="117" t="e">
        <f t="shared" si="227"/>
        <v>#N/A</v>
      </c>
      <c r="U1190" s="272" t="e">
        <f>IF(Q1190=0,'calcolo base'!L3789,(T1190+Q1190))</f>
        <v>#N/A</v>
      </c>
      <c r="V1190" s="119"/>
      <c r="Z1190" s="118">
        <f t="shared" si="218"/>
        <v>0</v>
      </c>
      <c r="AA1190" s="118">
        <f t="shared" si="219"/>
        <v>0</v>
      </c>
    </row>
    <row r="1191" spans="2:27">
      <c r="B1191" s="47"/>
      <c r="C1191" s="35"/>
      <c r="D1191" s="53"/>
      <c r="E1191" s="53"/>
      <c r="F1191" s="48"/>
      <c r="G1191" s="243" t="e">
        <f>INDEX('calcolo base'!$B:$B, MATCH($A1191, 'calcolo base'!$A:$A, 0))</f>
        <v>#N/A</v>
      </c>
      <c r="H1191" s="54" t="e">
        <f t="shared" si="220"/>
        <v>#N/A</v>
      </c>
      <c r="I1191" s="259" t="e">
        <f>IF(  OR(      INDEX('calcolo base'!$D:$D, MATCH($A1191, 'calcolo base'!$A:$A, 0)) = 0,
      INDEX('calcolo base'!$D:$D, MATCH($A1191, 'calcolo base'!$A:$A, 0)) = ""   ),
   INDEX('calcolo base'!$K:$K, MATCH($A1191, 'calcolo base'!$A:$A, 0)),
   INDEX('calcolo base'!$J:$J, MATCH($A1191, 'calcolo base'!$A:$A, 0))
) / 1000</f>
        <v>#N/A</v>
      </c>
      <c r="J1191" s="50" t="e">
        <f t="shared" si="221"/>
        <v>#N/A</v>
      </c>
      <c r="K1191" s="50"/>
      <c r="L1191" s="267" t="e">
        <f>INDEX('calcolo base'!$H:$H, MATCH($A1191, 'calcolo base'!$A:$A, 0))</f>
        <v>#N/A</v>
      </c>
      <c r="M1191" s="50" t="e">
        <f t="shared" si="222"/>
        <v>#N/A</v>
      </c>
      <c r="N1191" s="50" t="e">
        <f t="shared" si="223"/>
        <v>#N/A</v>
      </c>
      <c r="O1191" s="50" t="e">
        <f t="shared" si="217"/>
        <v>#N/A</v>
      </c>
      <c r="P1191" s="50" t="e">
        <f t="shared" si="224"/>
        <v>#N/A</v>
      </c>
      <c r="Q1191" s="51" t="e">
        <f t="shared" si="225"/>
        <v>#N/A</v>
      </c>
      <c r="R1191" s="205" t="e">
        <f t="shared" si="226"/>
        <v>#N/A</v>
      </c>
      <c r="S1191" s="279" t="e">
        <f>IF(R1191="si",0,IF(E1191="si",0,IF(J1191&gt;K1191,0,+K1191-J1191)))+IF('calcolo base'!P1883="SI",('Commissioni De Angeli'!K1191-'Commissioni De Angeli'!J1191),0)</f>
        <v>#N/A</v>
      </c>
      <c r="T1191" s="117" t="e">
        <f t="shared" si="227"/>
        <v>#N/A</v>
      </c>
      <c r="U1191" s="272" t="e">
        <f>IF(Q1191=0,'calcolo base'!L3790,(T1191+Q1191))</f>
        <v>#N/A</v>
      </c>
      <c r="V1191" s="119"/>
      <c r="Z1191" s="118">
        <f t="shared" si="218"/>
        <v>0</v>
      </c>
      <c r="AA1191" s="118">
        <f t="shared" si="219"/>
        <v>0</v>
      </c>
    </row>
    <row r="1192" spans="2:27">
      <c r="B1192" s="47"/>
      <c r="C1192" s="35"/>
      <c r="D1192" s="53"/>
      <c r="E1192" s="53"/>
      <c r="F1192" s="48"/>
      <c r="G1192" s="243" t="e">
        <f>INDEX('calcolo base'!$B:$B, MATCH($A1192, 'calcolo base'!$A:$A, 0))</f>
        <v>#N/A</v>
      </c>
      <c r="H1192" s="54" t="e">
        <f t="shared" si="220"/>
        <v>#N/A</v>
      </c>
      <c r="I1192" s="259" t="e">
        <f>IF(  OR(      INDEX('calcolo base'!$D:$D, MATCH($A1192, 'calcolo base'!$A:$A, 0)) = 0,
      INDEX('calcolo base'!$D:$D, MATCH($A1192, 'calcolo base'!$A:$A, 0)) = ""   ),
   INDEX('calcolo base'!$K:$K, MATCH($A1192, 'calcolo base'!$A:$A, 0)),
   INDEX('calcolo base'!$J:$J, MATCH($A1192, 'calcolo base'!$A:$A, 0))
) / 1000</f>
        <v>#N/A</v>
      </c>
      <c r="J1192" s="50" t="e">
        <f t="shared" si="221"/>
        <v>#N/A</v>
      </c>
      <c r="K1192" s="50"/>
      <c r="L1192" s="267" t="e">
        <f>INDEX('calcolo base'!$H:$H, MATCH($A1192, 'calcolo base'!$A:$A, 0))</f>
        <v>#N/A</v>
      </c>
      <c r="M1192" s="50" t="e">
        <f t="shared" si="222"/>
        <v>#N/A</v>
      </c>
      <c r="N1192" s="50" t="e">
        <f t="shared" si="223"/>
        <v>#N/A</v>
      </c>
      <c r="O1192" s="50" t="e">
        <f t="shared" si="217"/>
        <v>#N/A</v>
      </c>
      <c r="P1192" s="50" t="e">
        <f t="shared" si="224"/>
        <v>#N/A</v>
      </c>
      <c r="Q1192" s="51" t="e">
        <f t="shared" si="225"/>
        <v>#N/A</v>
      </c>
      <c r="R1192" s="205" t="e">
        <f t="shared" si="226"/>
        <v>#N/A</v>
      </c>
      <c r="S1192" s="279" t="e">
        <f>IF(R1192="si",0,IF(E1192="si",0,IF(J1192&gt;K1192,0,+K1192-J1192)))+IF('calcolo base'!P1884="SI",('Commissioni De Angeli'!K1192-'Commissioni De Angeli'!J1192),0)</f>
        <v>#N/A</v>
      </c>
      <c r="T1192" s="117" t="e">
        <f t="shared" si="227"/>
        <v>#N/A</v>
      </c>
      <c r="U1192" s="272" t="e">
        <f>IF(Q1192=0,'calcolo base'!L3791,(T1192+Q1192))</f>
        <v>#N/A</v>
      </c>
      <c r="V1192" s="119"/>
      <c r="Z1192" s="118">
        <f t="shared" si="218"/>
        <v>0</v>
      </c>
      <c r="AA1192" s="118">
        <f t="shared" si="219"/>
        <v>0</v>
      </c>
    </row>
    <row r="1193" spans="2:27">
      <c r="B1193" s="47"/>
      <c r="C1193" s="35"/>
      <c r="D1193" s="53"/>
      <c r="E1193" s="53"/>
      <c r="F1193" s="48"/>
      <c r="G1193" s="243" t="e">
        <f>INDEX('calcolo base'!$B:$B, MATCH($A1193, 'calcolo base'!$A:$A, 0))</f>
        <v>#N/A</v>
      </c>
      <c r="H1193" s="54" t="e">
        <f t="shared" si="220"/>
        <v>#N/A</v>
      </c>
      <c r="I1193" s="259" t="e">
        <f>IF(  OR(      INDEX('calcolo base'!$D:$D, MATCH($A1193, 'calcolo base'!$A:$A, 0)) = 0,
      INDEX('calcolo base'!$D:$D, MATCH($A1193, 'calcolo base'!$A:$A, 0)) = ""   ),
   INDEX('calcolo base'!$K:$K, MATCH($A1193, 'calcolo base'!$A:$A, 0)),
   INDEX('calcolo base'!$J:$J, MATCH($A1193, 'calcolo base'!$A:$A, 0))
) / 1000</f>
        <v>#N/A</v>
      </c>
      <c r="J1193" s="50" t="e">
        <f t="shared" si="221"/>
        <v>#N/A</v>
      </c>
      <c r="K1193" s="50"/>
      <c r="L1193" s="267" t="e">
        <f>INDEX('calcolo base'!$H:$H, MATCH($A1193, 'calcolo base'!$A:$A, 0))</f>
        <v>#N/A</v>
      </c>
      <c r="M1193" s="50" t="e">
        <f t="shared" si="222"/>
        <v>#N/A</v>
      </c>
      <c r="N1193" s="50" t="e">
        <f t="shared" si="223"/>
        <v>#N/A</v>
      </c>
      <c r="O1193" s="50" t="e">
        <f t="shared" si="217"/>
        <v>#N/A</v>
      </c>
      <c r="P1193" s="50" t="e">
        <f t="shared" si="224"/>
        <v>#N/A</v>
      </c>
      <c r="Q1193" s="51" t="e">
        <f t="shared" si="225"/>
        <v>#N/A</v>
      </c>
      <c r="R1193" s="205" t="e">
        <f t="shared" si="226"/>
        <v>#N/A</v>
      </c>
      <c r="S1193" s="279" t="e">
        <f>IF(R1193="si",0,IF(E1193="si",0,IF(J1193&gt;K1193,0,+K1193-J1193)))+IF('calcolo base'!P1885="SI",('Commissioni De Angeli'!K1193-'Commissioni De Angeli'!J1193),0)</f>
        <v>#N/A</v>
      </c>
      <c r="T1193" s="117" t="e">
        <f t="shared" si="227"/>
        <v>#N/A</v>
      </c>
      <c r="U1193" s="272" t="e">
        <f>IF(Q1193=0,'calcolo base'!L3792,(T1193+Q1193))</f>
        <v>#N/A</v>
      </c>
      <c r="V1193" s="119"/>
      <c r="Z1193" s="118">
        <f t="shared" si="218"/>
        <v>0</v>
      </c>
      <c r="AA1193" s="118">
        <f t="shared" si="219"/>
        <v>0</v>
      </c>
    </row>
    <row r="1194" spans="2:27">
      <c r="B1194" s="47"/>
      <c r="C1194" s="35"/>
      <c r="D1194" s="53"/>
      <c r="E1194" s="53"/>
      <c r="F1194" s="48"/>
      <c r="G1194" s="243" t="e">
        <f>INDEX('calcolo base'!$B:$B, MATCH($A1194, 'calcolo base'!$A:$A, 0))</f>
        <v>#N/A</v>
      </c>
      <c r="H1194" s="54" t="e">
        <f t="shared" si="220"/>
        <v>#N/A</v>
      </c>
      <c r="I1194" s="259" t="e">
        <f>IF(  OR(      INDEX('calcolo base'!$D:$D, MATCH($A1194, 'calcolo base'!$A:$A, 0)) = 0,
      INDEX('calcolo base'!$D:$D, MATCH($A1194, 'calcolo base'!$A:$A, 0)) = ""   ),
   INDEX('calcolo base'!$K:$K, MATCH($A1194, 'calcolo base'!$A:$A, 0)),
   INDEX('calcolo base'!$J:$J, MATCH($A1194, 'calcolo base'!$A:$A, 0))
) / 1000</f>
        <v>#N/A</v>
      </c>
      <c r="J1194" s="50" t="e">
        <f t="shared" si="221"/>
        <v>#N/A</v>
      </c>
      <c r="K1194" s="50"/>
      <c r="L1194" s="267" t="e">
        <f>INDEX('calcolo base'!$H:$H, MATCH($A1194, 'calcolo base'!$A:$A, 0))</f>
        <v>#N/A</v>
      </c>
      <c r="M1194" s="50" t="e">
        <f t="shared" si="222"/>
        <v>#N/A</v>
      </c>
      <c r="N1194" s="50" t="e">
        <f t="shared" si="223"/>
        <v>#N/A</v>
      </c>
      <c r="O1194" s="50" t="e">
        <f t="shared" si="217"/>
        <v>#N/A</v>
      </c>
      <c r="P1194" s="50" t="e">
        <f t="shared" si="224"/>
        <v>#N/A</v>
      </c>
      <c r="Q1194" s="51" t="e">
        <f t="shared" si="225"/>
        <v>#N/A</v>
      </c>
      <c r="R1194" s="205" t="e">
        <f t="shared" si="226"/>
        <v>#N/A</v>
      </c>
      <c r="S1194" s="279" t="e">
        <f>IF(R1194="si",0,IF(E1194="si",0,IF(J1194&gt;K1194,0,+K1194-J1194)))+IF('calcolo base'!P1886="SI",('Commissioni De Angeli'!K1194-'Commissioni De Angeli'!J1194),0)</f>
        <v>#N/A</v>
      </c>
      <c r="T1194" s="117" t="e">
        <f t="shared" si="227"/>
        <v>#N/A</v>
      </c>
      <c r="U1194" s="272" t="e">
        <f>IF(Q1194=0,'calcolo base'!L3793,(T1194+Q1194))</f>
        <v>#N/A</v>
      </c>
      <c r="V1194" s="119"/>
      <c r="Z1194" s="118">
        <f t="shared" si="218"/>
        <v>0</v>
      </c>
      <c r="AA1194" s="118">
        <f t="shared" si="219"/>
        <v>0</v>
      </c>
    </row>
    <row r="1195" spans="2:27">
      <c r="B1195" s="47"/>
      <c r="C1195" s="35"/>
      <c r="D1195" s="53"/>
      <c r="E1195" s="53"/>
      <c r="F1195" s="48"/>
      <c r="G1195" s="243" t="e">
        <f>INDEX('calcolo base'!$B:$B, MATCH($A1195, 'calcolo base'!$A:$A, 0))</f>
        <v>#N/A</v>
      </c>
      <c r="H1195" s="54" t="e">
        <f t="shared" si="220"/>
        <v>#N/A</v>
      </c>
      <c r="I1195" s="259" t="e">
        <f>IF(  OR(      INDEX('calcolo base'!$D:$D, MATCH($A1195, 'calcolo base'!$A:$A, 0)) = 0,
      INDEX('calcolo base'!$D:$D, MATCH($A1195, 'calcolo base'!$A:$A, 0)) = ""   ),
   INDEX('calcolo base'!$K:$K, MATCH($A1195, 'calcolo base'!$A:$A, 0)),
   INDEX('calcolo base'!$J:$J, MATCH($A1195, 'calcolo base'!$A:$A, 0))
) / 1000</f>
        <v>#N/A</v>
      </c>
      <c r="J1195" s="50" t="e">
        <f t="shared" si="221"/>
        <v>#N/A</v>
      </c>
      <c r="K1195" s="50"/>
      <c r="L1195" s="267" t="e">
        <f>INDEX('calcolo base'!$H:$H, MATCH($A1195, 'calcolo base'!$A:$A, 0))</f>
        <v>#N/A</v>
      </c>
      <c r="M1195" s="50" t="e">
        <f t="shared" si="222"/>
        <v>#N/A</v>
      </c>
      <c r="N1195" s="50" t="e">
        <f t="shared" si="223"/>
        <v>#N/A</v>
      </c>
      <c r="O1195" s="50" t="e">
        <f t="shared" si="217"/>
        <v>#N/A</v>
      </c>
      <c r="P1195" s="50" t="e">
        <f t="shared" si="224"/>
        <v>#N/A</v>
      </c>
      <c r="Q1195" s="51" t="e">
        <f t="shared" si="225"/>
        <v>#N/A</v>
      </c>
      <c r="R1195" s="205" t="e">
        <f t="shared" si="226"/>
        <v>#N/A</v>
      </c>
      <c r="S1195" s="279" t="e">
        <f>IF(R1195="si",0,IF(E1195="si",0,IF(J1195&gt;K1195,0,+K1195-J1195)))+IF('calcolo base'!P1887="SI",('Commissioni De Angeli'!K1195-'Commissioni De Angeli'!J1195),0)</f>
        <v>#N/A</v>
      </c>
      <c r="T1195" s="117" t="e">
        <f t="shared" si="227"/>
        <v>#N/A</v>
      </c>
      <c r="U1195" s="272" t="e">
        <f>IF(Q1195=0,'calcolo base'!L3794,(T1195+Q1195))</f>
        <v>#N/A</v>
      </c>
      <c r="V1195" s="119"/>
      <c r="Z1195" s="118">
        <f t="shared" si="218"/>
        <v>0</v>
      </c>
      <c r="AA1195" s="118">
        <f t="shared" si="219"/>
        <v>0</v>
      </c>
    </row>
    <row r="1196" spans="2:27">
      <c r="B1196" s="47"/>
      <c r="C1196" s="35"/>
      <c r="D1196" s="53"/>
      <c r="E1196" s="53"/>
      <c r="F1196" s="48"/>
      <c r="G1196" s="243" t="e">
        <f>INDEX('calcolo base'!$B:$B, MATCH($A1196, 'calcolo base'!$A:$A, 0))</f>
        <v>#N/A</v>
      </c>
      <c r="H1196" s="54" t="e">
        <f t="shared" si="220"/>
        <v>#N/A</v>
      </c>
      <c r="I1196" s="259" t="e">
        <f>IF(  OR(      INDEX('calcolo base'!$D:$D, MATCH($A1196, 'calcolo base'!$A:$A, 0)) = 0,
      INDEX('calcolo base'!$D:$D, MATCH($A1196, 'calcolo base'!$A:$A, 0)) = ""   ),
   INDEX('calcolo base'!$K:$K, MATCH($A1196, 'calcolo base'!$A:$A, 0)),
   INDEX('calcolo base'!$J:$J, MATCH($A1196, 'calcolo base'!$A:$A, 0))
) / 1000</f>
        <v>#N/A</v>
      </c>
      <c r="J1196" s="50" t="e">
        <f t="shared" si="221"/>
        <v>#N/A</v>
      </c>
      <c r="K1196" s="50"/>
      <c r="L1196" s="267" t="e">
        <f>INDEX('calcolo base'!$H:$H, MATCH($A1196, 'calcolo base'!$A:$A, 0))</f>
        <v>#N/A</v>
      </c>
      <c r="M1196" s="50" t="e">
        <f t="shared" si="222"/>
        <v>#N/A</v>
      </c>
      <c r="N1196" s="50" t="e">
        <f t="shared" si="223"/>
        <v>#N/A</v>
      </c>
      <c r="O1196" s="50" t="e">
        <f t="shared" si="217"/>
        <v>#N/A</v>
      </c>
      <c r="P1196" s="50" t="e">
        <f t="shared" si="224"/>
        <v>#N/A</v>
      </c>
      <c r="Q1196" s="51" t="e">
        <f t="shared" si="225"/>
        <v>#N/A</v>
      </c>
      <c r="R1196" s="205" t="e">
        <f t="shared" si="226"/>
        <v>#N/A</v>
      </c>
      <c r="S1196" s="279" t="e">
        <f>IF(R1196="si",0,IF(E1196="si",0,IF(J1196&gt;K1196,0,+K1196-J1196)))+IF('calcolo base'!P1888="SI",('Commissioni De Angeli'!K1196-'Commissioni De Angeli'!J1196),0)</f>
        <v>#N/A</v>
      </c>
      <c r="T1196" s="117" t="e">
        <f t="shared" si="227"/>
        <v>#N/A</v>
      </c>
      <c r="U1196" s="272" t="e">
        <f>IF(Q1196=0,'calcolo base'!L3795,(T1196+Q1196))</f>
        <v>#N/A</v>
      </c>
      <c r="V1196" s="119"/>
      <c r="Z1196" s="118">
        <f t="shared" si="218"/>
        <v>0</v>
      </c>
      <c r="AA1196" s="118">
        <f t="shared" si="219"/>
        <v>0</v>
      </c>
    </row>
    <row r="1197" spans="2:27">
      <c r="B1197" s="47"/>
      <c r="C1197" s="35"/>
      <c r="D1197" s="53"/>
      <c r="E1197" s="53"/>
      <c r="F1197" s="48"/>
      <c r="G1197" s="243" t="e">
        <f>INDEX('calcolo base'!$B:$B, MATCH($A1197, 'calcolo base'!$A:$A, 0))</f>
        <v>#N/A</v>
      </c>
      <c r="H1197" s="54" t="e">
        <f t="shared" si="220"/>
        <v>#N/A</v>
      </c>
      <c r="I1197" s="259" t="e">
        <f>IF(  OR(      INDEX('calcolo base'!$D:$D, MATCH($A1197, 'calcolo base'!$A:$A, 0)) = 0,
      INDEX('calcolo base'!$D:$D, MATCH($A1197, 'calcolo base'!$A:$A, 0)) = ""   ),
   INDEX('calcolo base'!$K:$K, MATCH($A1197, 'calcolo base'!$A:$A, 0)),
   INDEX('calcolo base'!$J:$J, MATCH($A1197, 'calcolo base'!$A:$A, 0))
) / 1000</f>
        <v>#N/A</v>
      </c>
      <c r="J1197" s="50" t="e">
        <f t="shared" si="221"/>
        <v>#N/A</v>
      </c>
      <c r="K1197" s="50"/>
      <c r="L1197" s="267" t="e">
        <f>INDEX('calcolo base'!$H:$H, MATCH($A1197, 'calcolo base'!$A:$A, 0))</f>
        <v>#N/A</v>
      </c>
      <c r="M1197" s="50" t="e">
        <f t="shared" si="222"/>
        <v>#N/A</v>
      </c>
      <c r="N1197" s="50" t="e">
        <f t="shared" si="223"/>
        <v>#N/A</v>
      </c>
      <c r="O1197" s="50" t="e">
        <f t="shared" ref="O1197:O1260" si="228">IF($I1197=0,0,(IF($G1197="alluminio",($J1197)*3%,0)+IF($G1197="alluminio smaltato",($K1197)*3%,0)))</f>
        <v>#N/A</v>
      </c>
      <c r="P1197" s="50" t="e">
        <f t="shared" si="224"/>
        <v>#N/A</v>
      </c>
      <c r="Q1197" s="51" t="e">
        <f t="shared" si="225"/>
        <v>#N/A</v>
      </c>
      <c r="R1197" s="205" t="e">
        <f t="shared" si="226"/>
        <v>#N/A</v>
      </c>
      <c r="S1197" s="279" t="e">
        <f>IF(R1197="si",0,IF(E1197="si",0,IF(J1197&gt;K1197,0,+K1197-J1197)))+IF('calcolo base'!P1889="SI",('Commissioni De Angeli'!K1197-'Commissioni De Angeli'!J1197),0)</f>
        <v>#N/A</v>
      </c>
      <c r="T1197" s="117" t="e">
        <f t="shared" si="227"/>
        <v>#N/A</v>
      </c>
      <c r="U1197" s="272" t="e">
        <f>IF(Q1197=0,'calcolo base'!L3796,(T1197+Q1197))</f>
        <v>#N/A</v>
      </c>
      <c r="V1197" s="119"/>
      <c r="Z1197" s="118">
        <f t="shared" si="218"/>
        <v>0</v>
      </c>
      <c r="AA1197" s="118">
        <f t="shared" si="219"/>
        <v>0</v>
      </c>
    </row>
    <row r="1198" spans="2:27">
      <c r="B1198" s="47"/>
      <c r="C1198" s="35"/>
      <c r="D1198" s="53"/>
      <c r="E1198" s="53"/>
      <c r="F1198" s="48"/>
      <c r="G1198" s="243" t="e">
        <f>INDEX('calcolo base'!$B:$B, MATCH($A1198, 'calcolo base'!$A:$A, 0))</f>
        <v>#N/A</v>
      </c>
      <c r="H1198" s="54" t="e">
        <f t="shared" si="220"/>
        <v>#N/A</v>
      </c>
      <c r="I1198" s="259" t="e">
        <f>IF(  OR(      INDEX('calcolo base'!$D:$D, MATCH($A1198, 'calcolo base'!$A:$A, 0)) = 0,
      INDEX('calcolo base'!$D:$D, MATCH($A1198, 'calcolo base'!$A:$A, 0)) = ""   ),
   INDEX('calcolo base'!$K:$K, MATCH($A1198, 'calcolo base'!$A:$A, 0)),
   INDEX('calcolo base'!$J:$J, MATCH($A1198, 'calcolo base'!$A:$A, 0))
) / 1000</f>
        <v>#N/A</v>
      </c>
      <c r="J1198" s="50" t="e">
        <f t="shared" si="221"/>
        <v>#N/A</v>
      </c>
      <c r="K1198" s="50"/>
      <c r="L1198" s="267" t="e">
        <f>INDEX('calcolo base'!$H:$H, MATCH($A1198, 'calcolo base'!$A:$A, 0))</f>
        <v>#N/A</v>
      </c>
      <c r="M1198" s="50" t="e">
        <f t="shared" si="222"/>
        <v>#N/A</v>
      </c>
      <c r="N1198" s="50" t="e">
        <f t="shared" si="223"/>
        <v>#N/A</v>
      </c>
      <c r="O1198" s="50" t="e">
        <f t="shared" si="228"/>
        <v>#N/A</v>
      </c>
      <c r="P1198" s="50" t="e">
        <f t="shared" si="224"/>
        <v>#N/A</v>
      </c>
      <c r="Q1198" s="51" t="e">
        <f t="shared" si="225"/>
        <v>#N/A</v>
      </c>
      <c r="R1198" s="205" t="e">
        <f t="shared" si="226"/>
        <v>#N/A</v>
      </c>
      <c r="S1198" s="279" t="e">
        <f>IF(R1198="si",0,IF(E1198="si",0,IF(J1198&gt;K1198,0,+K1198-J1198)))+IF('calcolo base'!P1890="SI",('Commissioni De Angeli'!K1198-'Commissioni De Angeli'!J1198),0)</f>
        <v>#N/A</v>
      </c>
      <c r="T1198" s="117" t="e">
        <f t="shared" si="227"/>
        <v>#N/A</v>
      </c>
      <c r="U1198" s="272" t="e">
        <f>IF(Q1198=0,'calcolo base'!L3797,(T1198+Q1198))</f>
        <v>#N/A</v>
      </c>
      <c r="V1198" s="119"/>
      <c r="Z1198" s="118">
        <f t="shared" si="218"/>
        <v>0</v>
      </c>
      <c r="AA1198" s="118">
        <f t="shared" si="219"/>
        <v>0</v>
      </c>
    </row>
    <row r="1199" spans="2:27">
      <c r="B1199" s="47"/>
      <c r="C1199" s="35"/>
      <c r="D1199" s="53"/>
      <c r="E1199" s="53"/>
      <c r="F1199" s="48"/>
      <c r="G1199" s="243" t="e">
        <f>INDEX('calcolo base'!$B:$B, MATCH($A1199, 'calcolo base'!$A:$A, 0))</f>
        <v>#N/A</v>
      </c>
      <c r="H1199" s="54" t="e">
        <f t="shared" si="220"/>
        <v>#N/A</v>
      </c>
      <c r="I1199" s="259" t="e">
        <f>IF(  OR(      INDEX('calcolo base'!$D:$D, MATCH($A1199, 'calcolo base'!$A:$A, 0)) = 0,
      INDEX('calcolo base'!$D:$D, MATCH($A1199, 'calcolo base'!$A:$A, 0)) = ""   ),
   INDEX('calcolo base'!$K:$K, MATCH($A1199, 'calcolo base'!$A:$A, 0)),
   INDEX('calcolo base'!$J:$J, MATCH($A1199, 'calcolo base'!$A:$A, 0))
) / 1000</f>
        <v>#N/A</v>
      </c>
      <c r="J1199" s="50" t="e">
        <f t="shared" si="221"/>
        <v>#N/A</v>
      </c>
      <c r="K1199" s="50"/>
      <c r="L1199" s="267" t="e">
        <f>INDEX('calcolo base'!$H:$H, MATCH($A1199, 'calcolo base'!$A:$A, 0))</f>
        <v>#N/A</v>
      </c>
      <c r="M1199" s="50" t="e">
        <f t="shared" si="222"/>
        <v>#N/A</v>
      </c>
      <c r="N1199" s="50" t="e">
        <f t="shared" si="223"/>
        <v>#N/A</v>
      </c>
      <c r="O1199" s="50" t="e">
        <f t="shared" si="228"/>
        <v>#N/A</v>
      </c>
      <c r="P1199" s="50" t="e">
        <f t="shared" si="224"/>
        <v>#N/A</v>
      </c>
      <c r="Q1199" s="51" t="e">
        <f t="shared" si="225"/>
        <v>#N/A</v>
      </c>
      <c r="R1199" s="205" t="e">
        <f t="shared" si="226"/>
        <v>#N/A</v>
      </c>
      <c r="S1199" s="279" t="e">
        <f>IF(R1199="si",0,IF(E1199="si",0,IF(J1199&gt;K1199,0,+K1199-J1199)))+IF('calcolo base'!P1891="SI",('Commissioni De Angeli'!K1199-'Commissioni De Angeli'!J1199),0)</f>
        <v>#N/A</v>
      </c>
      <c r="T1199" s="117" t="e">
        <f t="shared" si="227"/>
        <v>#N/A</v>
      </c>
      <c r="U1199" s="272" t="e">
        <f>IF(Q1199=0,'calcolo base'!L3798,(T1199+Q1199))</f>
        <v>#N/A</v>
      </c>
      <c r="V1199" s="119"/>
      <c r="Z1199" s="118">
        <f t="shared" si="218"/>
        <v>0</v>
      </c>
      <c r="AA1199" s="118">
        <f t="shared" si="219"/>
        <v>0</v>
      </c>
    </row>
    <row r="1200" spans="2:27">
      <c r="B1200" s="47"/>
      <c r="C1200" s="35"/>
      <c r="D1200" s="53"/>
      <c r="E1200" s="53"/>
      <c r="F1200" s="48"/>
      <c r="G1200" s="243" t="e">
        <f>INDEX('calcolo base'!$B:$B, MATCH($A1200, 'calcolo base'!$A:$A, 0))</f>
        <v>#N/A</v>
      </c>
      <c r="H1200" s="54" t="e">
        <f t="shared" si="220"/>
        <v>#N/A</v>
      </c>
      <c r="I1200" s="259" t="e">
        <f>IF(  OR(      INDEX('calcolo base'!$D:$D, MATCH($A1200, 'calcolo base'!$A:$A, 0)) = 0,
      INDEX('calcolo base'!$D:$D, MATCH($A1200, 'calcolo base'!$A:$A, 0)) = ""   ),
   INDEX('calcolo base'!$K:$K, MATCH($A1200, 'calcolo base'!$A:$A, 0)),
   INDEX('calcolo base'!$J:$J, MATCH($A1200, 'calcolo base'!$A:$A, 0))
) / 1000</f>
        <v>#N/A</v>
      </c>
      <c r="J1200" s="50" t="e">
        <f t="shared" si="221"/>
        <v>#N/A</v>
      </c>
      <c r="K1200" s="50"/>
      <c r="L1200" s="267" t="e">
        <f>INDEX('calcolo base'!$H:$H, MATCH($A1200, 'calcolo base'!$A:$A, 0))</f>
        <v>#N/A</v>
      </c>
      <c r="M1200" s="50" t="e">
        <f t="shared" si="222"/>
        <v>#N/A</v>
      </c>
      <c r="N1200" s="50" t="e">
        <f t="shared" si="223"/>
        <v>#N/A</v>
      </c>
      <c r="O1200" s="50" t="e">
        <f t="shared" si="228"/>
        <v>#N/A</v>
      </c>
      <c r="P1200" s="50" t="e">
        <f t="shared" si="224"/>
        <v>#N/A</v>
      </c>
      <c r="Q1200" s="51" t="e">
        <f t="shared" si="225"/>
        <v>#N/A</v>
      </c>
      <c r="R1200" s="205" t="e">
        <f t="shared" si="226"/>
        <v>#N/A</v>
      </c>
      <c r="S1200" s="279" t="e">
        <f>IF(R1200="si",0,IF(E1200="si",0,IF(J1200&gt;K1200,0,+K1200-J1200)))+IF('calcolo base'!P1892="SI",('Commissioni De Angeli'!K1200-'Commissioni De Angeli'!J1200),0)</f>
        <v>#N/A</v>
      </c>
      <c r="T1200" s="117" t="e">
        <f t="shared" si="227"/>
        <v>#N/A</v>
      </c>
      <c r="U1200" s="272" t="e">
        <f>IF(Q1200=0,'calcolo base'!L3799,(T1200+Q1200))</f>
        <v>#N/A</v>
      </c>
      <c r="V1200" s="119"/>
      <c r="Z1200" s="118">
        <f t="shared" si="218"/>
        <v>0</v>
      </c>
      <c r="AA1200" s="118">
        <f t="shared" si="219"/>
        <v>0</v>
      </c>
    </row>
    <row r="1201" spans="2:27">
      <c r="B1201" s="47"/>
      <c r="C1201" s="35"/>
      <c r="D1201" s="53"/>
      <c r="E1201" s="53"/>
      <c r="F1201" s="48"/>
      <c r="G1201" s="243" t="e">
        <f>INDEX('calcolo base'!$B:$B, MATCH($A1201, 'calcolo base'!$A:$A, 0))</f>
        <v>#N/A</v>
      </c>
      <c r="H1201" s="54" t="e">
        <f t="shared" si="220"/>
        <v>#N/A</v>
      </c>
      <c r="I1201" s="259" t="e">
        <f>IF(  OR(      INDEX('calcolo base'!$D:$D, MATCH($A1201, 'calcolo base'!$A:$A, 0)) = 0,
      INDEX('calcolo base'!$D:$D, MATCH($A1201, 'calcolo base'!$A:$A, 0)) = ""   ),
   INDEX('calcolo base'!$K:$K, MATCH($A1201, 'calcolo base'!$A:$A, 0)),
   INDEX('calcolo base'!$J:$J, MATCH($A1201, 'calcolo base'!$A:$A, 0))
) / 1000</f>
        <v>#N/A</v>
      </c>
      <c r="J1201" s="50" t="e">
        <f t="shared" si="221"/>
        <v>#N/A</v>
      </c>
      <c r="K1201" s="50"/>
      <c r="L1201" s="267" t="e">
        <f>INDEX('calcolo base'!$H:$H, MATCH($A1201, 'calcolo base'!$A:$A, 0))</f>
        <v>#N/A</v>
      </c>
      <c r="M1201" s="50" t="e">
        <f t="shared" si="222"/>
        <v>#N/A</v>
      </c>
      <c r="N1201" s="50" t="e">
        <f t="shared" si="223"/>
        <v>#N/A</v>
      </c>
      <c r="O1201" s="50" t="e">
        <f t="shared" si="228"/>
        <v>#N/A</v>
      </c>
      <c r="P1201" s="50" t="e">
        <f t="shared" si="224"/>
        <v>#N/A</v>
      </c>
      <c r="Q1201" s="51" t="e">
        <f t="shared" si="225"/>
        <v>#N/A</v>
      </c>
      <c r="R1201" s="205" t="e">
        <f t="shared" si="226"/>
        <v>#N/A</v>
      </c>
      <c r="S1201" s="279" t="e">
        <f>IF(R1201="si",0,IF(E1201="si",0,IF(J1201&gt;K1201,0,+K1201-J1201)))+IF('calcolo base'!P1893="SI",('Commissioni De Angeli'!K1201-'Commissioni De Angeli'!J1201),0)</f>
        <v>#N/A</v>
      </c>
      <c r="T1201" s="117" t="e">
        <f t="shared" si="227"/>
        <v>#N/A</v>
      </c>
      <c r="U1201" s="272" t="e">
        <f>IF(Q1201=0,'calcolo base'!L3800,(T1201+Q1201))</f>
        <v>#N/A</v>
      </c>
      <c r="V1201" s="119"/>
      <c r="Z1201" s="118">
        <f t="shared" si="218"/>
        <v>0</v>
      </c>
      <c r="AA1201" s="118">
        <f t="shared" si="219"/>
        <v>0</v>
      </c>
    </row>
    <row r="1202" spans="2:27">
      <c r="B1202" s="47"/>
      <c r="C1202" s="35"/>
      <c r="D1202" s="53"/>
      <c r="E1202" s="53"/>
      <c r="F1202" s="48"/>
      <c r="G1202" s="243" t="e">
        <f>INDEX('calcolo base'!$B:$B, MATCH($A1202, 'calcolo base'!$A:$A, 0))</f>
        <v>#N/A</v>
      </c>
      <c r="H1202" s="54" t="e">
        <f t="shared" si="220"/>
        <v>#N/A</v>
      </c>
      <c r="I1202" s="259" t="e">
        <f>IF(  OR(      INDEX('calcolo base'!$D:$D, MATCH($A1202, 'calcolo base'!$A:$A, 0)) = 0,
      INDEX('calcolo base'!$D:$D, MATCH($A1202, 'calcolo base'!$A:$A, 0)) = ""   ),
   INDEX('calcolo base'!$K:$K, MATCH($A1202, 'calcolo base'!$A:$A, 0)),
   INDEX('calcolo base'!$J:$J, MATCH($A1202, 'calcolo base'!$A:$A, 0))
) / 1000</f>
        <v>#N/A</v>
      </c>
      <c r="J1202" s="50" t="e">
        <f t="shared" si="221"/>
        <v>#N/A</v>
      </c>
      <c r="K1202" s="50"/>
      <c r="L1202" s="267" t="e">
        <f>INDEX('calcolo base'!$H:$H, MATCH($A1202, 'calcolo base'!$A:$A, 0))</f>
        <v>#N/A</v>
      </c>
      <c r="M1202" s="50" t="e">
        <f t="shared" si="222"/>
        <v>#N/A</v>
      </c>
      <c r="N1202" s="50" t="e">
        <f t="shared" si="223"/>
        <v>#N/A</v>
      </c>
      <c r="O1202" s="50" t="e">
        <f t="shared" si="228"/>
        <v>#N/A</v>
      </c>
      <c r="P1202" s="50" t="e">
        <f t="shared" si="224"/>
        <v>#N/A</v>
      </c>
      <c r="Q1202" s="51" t="e">
        <f t="shared" si="225"/>
        <v>#N/A</v>
      </c>
      <c r="R1202" s="205" t="e">
        <f t="shared" si="226"/>
        <v>#N/A</v>
      </c>
      <c r="S1202" s="279" t="e">
        <f>IF(R1202="si",0,IF(E1202="si",0,IF(J1202&gt;K1202,0,+K1202-J1202)))+IF('calcolo base'!P1894="SI",('Commissioni De Angeli'!K1202-'Commissioni De Angeli'!J1202),0)</f>
        <v>#N/A</v>
      </c>
      <c r="T1202" s="117" t="e">
        <f t="shared" si="227"/>
        <v>#N/A</v>
      </c>
      <c r="U1202" s="272" t="e">
        <f>IF(Q1202=0,'calcolo base'!L3801,(T1202+Q1202))</f>
        <v>#N/A</v>
      </c>
      <c r="V1202" s="119"/>
      <c r="Z1202" s="118">
        <f t="shared" si="218"/>
        <v>0</v>
      </c>
      <c r="AA1202" s="118">
        <f t="shared" si="219"/>
        <v>0</v>
      </c>
    </row>
    <row r="1203" spans="2:27">
      <c r="B1203" s="47"/>
      <c r="C1203" s="35"/>
      <c r="D1203" s="53"/>
      <c r="E1203" s="53"/>
      <c r="F1203" s="48"/>
      <c r="G1203" s="243" t="e">
        <f>INDEX('calcolo base'!$B:$B, MATCH($A1203, 'calcolo base'!$A:$A, 0))</f>
        <v>#N/A</v>
      </c>
      <c r="H1203" s="54" t="e">
        <f t="shared" si="220"/>
        <v>#N/A</v>
      </c>
      <c r="I1203" s="259" t="e">
        <f>IF(  OR(      INDEX('calcolo base'!$D:$D, MATCH($A1203, 'calcolo base'!$A:$A, 0)) = 0,
      INDEX('calcolo base'!$D:$D, MATCH($A1203, 'calcolo base'!$A:$A, 0)) = ""   ),
   INDEX('calcolo base'!$K:$K, MATCH($A1203, 'calcolo base'!$A:$A, 0)),
   INDEX('calcolo base'!$J:$J, MATCH($A1203, 'calcolo base'!$A:$A, 0))
) / 1000</f>
        <v>#N/A</v>
      </c>
      <c r="J1203" s="50" t="e">
        <f t="shared" si="221"/>
        <v>#N/A</v>
      </c>
      <c r="K1203" s="50"/>
      <c r="L1203" s="267" t="e">
        <f>INDEX('calcolo base'!$H:$H, MATCH($A1203, 'calcolo base'!$A:$A, 0))</f>
        <v>#N/A</v>
      </c>
      <c r="M1203" s="50" t="e">
        <f t="shared" si="222"/>
        <v>#N/A</v>
      </c>
      <c r="N1203" s="50" t="e">
        <f t="shared" si="223"/>
        <v>#N/A</v>
      </c>
      <c r="O1203" s="50" t="e">
        <f t="shared" si="228"/>
        <v>#N/A</v>
      </c>
      <c r="P1203" s="50" t="e">
        <f t="shared" si="224"/>
        <v>#N/A</v>
      </c>
      <c r="Q1203" s="51" t="e">
        <f t="shared" si="225"/>
        <v>#N/A</v>
      </c>
      <c r="R1203" s="205" t="e">
        <f t="shared" si="226"/>
        <v>#N/A</v>
      </c>
      <c r="S1203" s="279" t="e">
        <f>IF(R1203="si",0,IF(E1203="si",0,IF(J1203&gt;K1203,0,+K1203-J1203)))+IF('calcolo base'!P1895="SI",('Commissioni De Angeli'!K1203-'Commissioni De Angeli'!J1203),0)</f>
        <v>#N/A</v>
      </c>
      <c r="T1203" s="117" t="e">
        <f t="shared" si="227"/>
        <v>#N/A</v>
      </c>
      <c r="U1203" s="272" t="e">
        <f>IF(Q1203=0,'calcolo base'!L3802,(T1203+Q1203))</f>
        <v>#N/A</v>
      </c>
      <c r="V1203" s="119"/>
      <c r="Z1203" s="118">
        <f t="shared" si="218"/>
        <v>0</v>
      </c>
      <c r="AA1203" s="118">
        <f t="shared" si="219"/>
        <v>0</v>
      </c>
    </row>
    <row r="1204" spans="2:27">
      <c r="B1204" s="47"/>
      <c r="C1204" s="35"/>
      <c r="D1204" s="53"/>
      <c r="E1204" s="53"/>
      <c r="F1204" s="48"/>
      <c r="G1204" s="243" t="e">
        <f>INDEX('calcolo base'!$B:$B, MATCH($A1204, 'calcolo base'!$A:$A, 0))</f>
        <v>#N/A</v>
      </c>
      <c r="H1204" s="54" t="e">
        <f t="shared" si="220"/>
        <v>#N/A</v>
      </c>
      <c r="I1204" s="259" t="e">
        <f>IF(  OR(      INDEX('calcolo base'!$D:$D, MATCH($A1204, 'calcolo base'!$A:$A, 0)) = 0,
      INDEX('calcolo base'!$D:$D, MATCH($A1204, 'calcolo base'!$A:$A, 0)) = ""   ),
   INDEX('calcolo base'!$K:$K, MATCH($A1204, 'calcolo base'!$A:$A, 0)),
   INDEX('calcolo base'!$J:$J, MATCH($A1204, 'calcolo base'!$A:$A, 0))
) / 1000</f>
        <v>#N/A</v>
      </c>
      <c r="J1204" s="50" t="e">
        <f t="shared" si="221"/>
        <v>#N/A</v>
      </c>
      <c r="K1204" s="50"/>
      <c r="L1204" s="267" t="e">
        <f>INDEX('calcolo base'!$H:$H, MATCH($A1204, 'calcolo base'!$A:$A, 0))</f>
        <v>#N/A</v>
      </c>
      <c r="M1204" s="50" t="e">
        <f t="shared" si="222"/>
        <v>#N/A</v>
      </c>
      <c r="N1204" s="50" t="e">
        <f t="shared" si="223"/>
        <v>#N/A</v>
      </c>
      <c r="O1204" s="50" t="e">
        <f t="shared" si="228"/>
        <v>#N/A</v>
      </c>
      <c r="P1204" s="50" t="e">
        <f t="shared" si="224"/>
        <v>#N/A</v>
      </c>
      <c r="Q1204" s="51" t="e">
        <f t="shared" si="225"/>
        <v>#N/A</v>
      </c>
      <c r="R1204" s="205" t="e">
        <f t="shared" si="226"/>
        <v>#N/A</v>
      </c>
      <c r="S1204" s="279" t="e">
        <f>IF(R1204="si",0,IF(E1204="si",0,IF(J1204&gt;K1204,0,+K1204-J1204)))+IF('calcolo base'!P1896="SI",('Commissioni De Angeli'!K1204-'Commissioni De Angeli'!J1204),0)</f>
        <v>#N/A</v>
      </c>
      <c r="T1204" s="117" t="e">
        <f t="shared" si="227"/>
        <v>#N/A</v>
      </c>
      <c r="U1204" s="272" t="e">
        <f>IF(Q1204=0,'calcolo base'!L3803,(T1204+Q1204))</f>
        <v>#N/A</v>
      </c>
      <c r="V1204" s="119"/>
      <c r="Z1204" s="118">
        <f t="shared" si="218"/>
        <v>0</v>
      </c>
      <c r="AA1204" s="118">
        <f t="shared" si="219"/>
        <v>0</v>
      </c>
    </row>
    <row r="1205" spans="2:27">
      <c r="B1205" s="47"/>
      <c r="C1205" s="35"/>
      <c r="D1205" s="53"/>
      <c r="E1205" s="53"/>
      <c r="F1205" s="48"/>
      <c r="G1205" s="243" t="e">
        <f>INDEX('calcolo base'!$B:$B, MATCH($A1205, 'calcolo base'!$A:$A, 0))</f>
        <v>#N/A</v>
      </c>
      <c r="H1205" s="54" t="e">
        <f t="shared" si="220"/>
        <v>#N/A</v>
      </c>
      <c r="I1205" s="259" t="e">
        <f>IF(  OR(      INDEX('calcolo base'!$D:$D, MATCH($A1205, 'calcolo base'!$A:$A, 0)) = 0,
      INDEX('calcolo base'!$D:$D, MATCH($A1205, 'calcolo base'!$A:$A, 0)) = ""   ),
   INDEX('calcolo base'!$K:$K, MATCH($A1205, 'calcolo base'!$A:$A, 0)),
   INDEX('calcolo base'!$J:$J, MATCH($A1205, 'calcolo base'!$A:$A, 0))
) / 1000</f>
        <v>#N/A</v>
      </c>
      <c r="J1205" s="50" t="e">
        <f t="shared" si="221"/>
        <v>#N/A</v>
      </c>
      <c r="K1205" s="50"/>
      <c r="L1205" s="267" t="e">
        <f>INDEX('calcolo base'!$H:$H, MATCH($A1205, 'calcolo base'!$A:$A, 0))</f>
        <v>#N/A</v>
      </c>
      <c r="M1205" s="50" t="e">
        <f t="shared" si="222"/>
        <v>#N/A</v>
      </c>
      <c r="N1205" s="50" t="e">
        <f t="shared" si="223"/>
        <v>#N/A</v>
      </c>
      <c r="O1205" s="50" t="e">
        <f t="shared" si="228"/>
        <v>#N/A</v>
      </c>
      <c r="P1205" s="50" t="e">
        <f t="shared" si="224"/>
        <v>#N/A</v>
      </c>
      <c r="Q1205" s="51" t="e">
        <f t="shared" si="225"/>
        <v>#N/A</v>
      </c>
      <c r="R1205" s="205" t="e">
        <f t="shared" si="226"/>
        <v>#N/A</v>
      </c>
      <c r="S1205" s="279" t="e">
        <f>IF(R1205="si",0,IF(E1205="si",0,IF(J1205&gt;K1205,0,+K1205-J1205)))+IF('calcolo base'!P1897="SI",('Commissioni De Angeli'!K1205-'Commissioni De Angeli'!J1205),0)</f>
        <v>#N/A</v>
      </c>
      <c r="T1205" s="117" t="e">
        <f t="shared" si="227"/>
        <v>#N/A</v>
      </c>
      <c r="U1205" s="272" t="e">
        <f>IF(Q1205=0,'calcolo base'!L3804,(T1205+Q1205))</f>
        <v>#N/A</v>
      </c>
      <c r="V1205" s="119"/>
      <c r="Z1205" s="118">
        <f t="shared" si="218"/>
        <v>0</v>
      </c>
      <c r="AA1205" s="118">
        <f t="shared" si="219"/>
        <v>0</v>
      </c>
    </row>
    <row r="1206" spans="2:27">
      <c r="B1206" s="47"/>
      <c r="C1206" s="35"/>
      <c r="D1206" s="53"/>
      <c r="E1206" s="53"/>
      <c r="F1206" s="48"/>
      <c r="G1206" s="243" t="e">
        <f>INDEX('calcolo base'!$B:$B, MATCH($A1206, 'calcolo base'!$A:$A, 0))</f>
        <v>#N/A</v>
      </c>
      <c r="H1206" s="54" t="e">
        <f t="shared" si="220"/>
        <v>#N/A</v>
      </c>
      <c r="I1206" s="259" t="e">
        <f>IF(  OR(      INDEX('calcolo base'!$D:$D, MATCH($A1206, 'calcolo base'!$A:$A, 0)) = 0,
      INDEX('calcolo base'!$D:$D, MATCH($A1206, 'calcolo base'!$A:$A, 0)) = ""   ),
   INDEX('calcolo base'!$K:$K, MATCH($A1206, 'calcolo base'!$A:$A, 0)),
   INDEX('calcolo base'!$J:$J, MATCH($A1206, 'calcolo base'!$A:$A, 0))
) / 1000</f>
        <v>#N/A</v>
      </c>
      <c r="J1206" s="50" t="e">
        <f t="shared" si="221"/>
        <v>#N/A</v>
      </c>
      <c r="K1206" s="50"/>
      <c r="L1206" s="267" t="e">
        <f>INDEX('calcolo base'!$H:$H, MATCH($A1206, 'calcolo base'!$A:$A, 0))</f>
        <v>#N/A</v>
      </c>
      <c r="M1206" s="50" t="e">
        <f t="shared" si="222"/>
        <v>#N/A</v>
      </c>
      <c r="N1206" s="50" t="e">
        <f t="shared" si="223"/>
        <v>#N/A</v>
      </c>
      <c r="O1206" s="50" t="e">
        <f t="shared" si="228"/>
        <v>#N/A</v>
      </c>
      <c r="P1206" s="50" t="e">
        <f t="shared" si="224"/>
        <v>#N/A</v>
      </c>
      <c r="Q1206" s="51" t="e">
        <f t="shared" si="225"/>
        <v>#N/A</v>
      </c>
      <c r="R1206" s="205" t="e">
        <f t="shared" si="226"/>
        <v>#N/A</v>
      </c>
      <c r="S1206" s="279" t="e">
        <f>IF(R1206="si",0,IF(E1206="si",0,IF(J1206&gt;K1206,0,+K1206-J1206)))+IF('calcolo base'!P1898="SI",('Commissioni De Angeli'!K1206-'Commissioni De Angeli'!J1206),0)</f>
        <v>#N/A</v>
      </c>
      <c r="T1206" s="117" t="e">
        <f t="shared" si="227"/>
        <v>#N/A</v>
      </c>
      <c r="U1206" s="272" t="e">
        <f>IF(Q1206=0,'calcolo base'!L3805,(T1206+Q1206))</f>
        <v>#N/A</v>
      </c>
      <c r="V1206" s="119"/>
      <c r="Z1206" s="118">
        <f t="shared" si="218"/>
        <v>0</v>
      </c>
      <c r="AA1206" s="118">
        <f t="shared" si="219"/>
        <v>0</v>
      </c>
    </row>
    <row r="1207" spans="2:27">
      <c r="B1207" s="47"/>
      <c r="C1207" s="35"/>
      <c r="D1207" s="53"/>
      <c r="E1207" s="53"/>
      <c r="F1207" s="48"/>
      <c r="G1207" s="243" t="e">
        <f>INDEX('calcolo base'!$B:$B, MATCH($A1207, 'calcolo base'!$A:$A, 0))</f>
        <v>#N/A</v>
      </c>
      <c r="H1207" s="54" t="e">
        <f t="shared" si="220"/>
        <v>#N/A</v>
      </c>
      <c r="I1207" s="259" t="e">
        <f>IF(  OR(      INDEX('calcolo base'!$D:$D, MATCH($A1207, 'calcolo base'!$A:$A, 0)) = 0,
      INDEX('calcolo base'!$D:$D, MATCH($A1207, 'calcolo base'!$A:$A, 0)) = ""   ),
   INDEX('calcolo base'!$K:$K, MATCH($A1207, 'calcolo base'!$A:$A, 0)),
   INDEX('calcolo base'!$J:$J, MATCH($A1207, 'calcolo base'!$A:$A, 0))
) / 1000</f>
        <v>#N/A</v>
      </c>
      <c r="J1207" s="50" t="e">
        <f t="shared" si="221"/>
        <v>#N/A</v>
      </c>
      <c r="K1207" s="50"/>
      <c r="L1207" s="267" t="e">
        <f>INDEX('calcolo base'!$H:$H, MATCH($A1207, 'calcolo base'!$A:$A, 0))</f>
        <v>#N/A</v>
      </c>
      <c r="M1207" s="50" t="e">
        <f t="shared" si="222"/>
        <v>#N/A</v>
      </c>
      <c r="N1207" s="50" t="e">
        <f t="shared" si="223"/>
        <v>#N/A</v>
      </c>
      <c r="O1207" s="50" t="e">
        <f t="shared" si="228"/>
        <v>#N/A</v>
      </c>
      <c r="P1207" s="50" t="e">
        <f t="shared" si="224"/>
        <v>#N/A</v>
      </c>
      <c r="Q1207" s="51" t="e">
        <f t="shared" si="225"/>
        <v>#N/A</v>
      </c>
      <c r="R1207" s="205" t="e">
        <f t="shared" si="226"/>
        <v>#N/A</v>
      </c>
      <c r="S1207" s="279" t="e">
        <f>IF(R1207="si",0,IF(E1207="si",0,IF(J1207&gt;K1207,0,+K1207-J1207)))+IF('calcolo base'!P1899="SI",('Commissioni De Angeli'!K1207-'Commissioni De Angeli'!J1207),0)</f>
        <v>#N/A</v>
      </c>
      <c r="T1207" s="117" t="e">
        <f t="shared" si="227"/>
        <v>#N/A</v>
      </c>
      <c r="U1207" s="272" t="e">
        <f>IF(Q1207=0,'calcolo base'!L3806,(T1207+Q1207))</f>
        <v>#N/A</v>
      </c>
      <c r="V1207" s="119"/>
      <c r="Z1207" s="118">
        <f t="shared" si="218"/>
        <v>0</v>
      </c>
      <c r="AA1207" s="118">
        <f t="shared" si="219"/>
        <v>0</v>
      </c>
    </row>
    <row r="1208" spans="2:27">
      <c r="B1208" s="47"/>
      <c r="C1208" s="35"/>
      <c r="D1208" s="53"/>
      <c r="E1208" s="53"/>
      <c r="F1208" s="48"/>
      <c r="G1208" s="243" t="e">
        <f>INDEX('calcolo base'!$B:$B, MATCH($A1208, 'calcolo base'!$A:$A, 0))</f>
        <v>#N/A</v>
      </c>
      <c r="H1208" s="54" t="e">
        <f t="shared" si="220"/>
        <v>#N/A</v>
      </c>
      <c r="I1208" s="259" t="e">
        <f>IF(  OR(      INDEX('calcolo base'!$D:$D, MATCH($A1208, 'calcolo base'!$A:$A, 0)) = 0,
      INDEX('calcolo base'!$D:$D, MATCH($A1208, 'calcolo base'!$A:$A, 0)) = ""   ),
   INDEX('calcolo base'!$K:$K, MATCH($A1208, 'calcolo base'!$A:$A, 0)),
   INDEX('calcolo base'!$J:$J, MATCH($A1208, 'calcolo base'!$A:$A, 0))
) / 1000</f>
        <v>#N/A</v>
      </c>
      <c r="J1208" s="50" t="e">
        <f t="shared" si="221"/>
        <v>#N/A</v>
      </c>
      <c r="K1208" s="50"/>
      <c r="L1208" s="267" t="e">
        <f>INDEX('calcolo base'!$H:$H, MATCH($A1208, 'calcolo base'!$A:$A, 0))</f>
        <v>#N/A</v>
      </c>
      <c r="M1208" s="50" t="e">
        <f t="shared" si="222"/>
        <v>#N/A</v>
      </c>
      <c r="N1208" s="50" t="e">
        <f t="shared" si="223"/>
        <v>#N/A</v>
      </c>
      <c r="O1208" s="50" t="e">
        <f t="shared" si="228"/>
        <v>#N/A</v>
      </c>
      <c r="P1208" s="50" t="e">
        <f t="shared" si="224"/>
        <v>#N/A</v>
      </c>
      <c r="Q1208" s="51" t="e">
        <f t="shared" si="225"/>
        <v>#N/A</v>
      </c>
      <c r="R1208" s="205" t="e">
        <f t="shared" si="226"/>
        <v>#N/A</v>
      </c>
      <c r="S1208" s="279" t="e">
        <f>IF(R1208="si",0,IF(E1208="si",0,IF(J1208&gt;K1208,0,+K1208-J1208)))+IF('calcolo base'!P1900="SI",('Commissioni De Angeli'!K1208-'Commissioni De Angeli'!J1208),0)</f>
        <v>#N/A</v>
      </c>
      <c r="T1208" s="117" t="e">
        <f t="shared" si="227"/>
        <v>#N/A</v>
      </c>
      <c r="U1208" s="272" t="e">
        <f>IF(Q1208=0,'calcolo base'!L3807,(T1208+Q1208))</f>
        <v>#N/A</v>
      </c>
      <c r="V1208" s="119"/>
      <c r="Z1208" s="118">
        <f t="shared" si="218"/>
        <v>0</v>
      </c>
      <c r="AA1208" s="118">
        <f t="shared" si="219"/>
        <v>0</v>
      </c>
    </row>
    <row r="1209" spans="2:27">
      <c r="B1209" s="47"/>
      <c r="C1209" s="35"/>
      <c r="D1209" s="53"/>
      <c r="E1209" s="53"/>
      <c r="F1209" s="48"/>
      <c r="G1209" s="243" t="e">
        <f>INDEX('calcolo base'!$B:$B, MATCH($A1209, 'calcolo base'!$A:$A, 0))</f>
        <v>#N/A</v>
      </c>
      <c r="H1209" s="54" t="e">
        <f t="shared" si="220"/>
        <v>#N/A</v>
      </c>
      <c r="I1209" s="259" t="e">
        <f>IF(  OR(      INDEX('calcolo base'!$D:$D, MATCH($A1209, 'calcolo base'!$A:$A, 0)) = 0,
      INDEX('calcolo base'!$D:$D, MATCH($A1209, 'calcolo base'!$A:$A, 0)) = ""   ),
   INDEX('calcolo base'!$K:$K, MATCH($A1209, 'calcolo base'!$A:$A, 0)),
   INDEX('calcolo base'!$J:$J, MATCH($A1209, 'calcolo base'!$A:$A, 0))
) / 1000</f>
        <v>#N/A</v>
      </c>
      <c r="J1209" s="50" t="e">
        <f t="shared" si="221"/>
        <v>#N/A</v>
      </c>
      <c r="K1209" s="50"/>
      <c r="L1209" s="267" t="e">
        <f>INDEX('calcolo base'!$H:$H, MATCH($A1209, 'calcolo base'!$A:$A, 0))</f>
        <v>#N/A</v>
      </c>
      <c r="M1209" s="50" t="e">
        <f t="shared" si="222"/>
        <v>#N/A</v>
      </c>
      <c r="N1209" s="50" t="e">
        <f t="shared" si="223"/>
        <v>#N/A</v>
      </c>
      <c r="O1209" s="50" t="e">
        <f t="shared" si="228"/>
        <v>#N/A</v>
      </c>
      <c r="P1209" s="50" t="e">
        <f t="shared" si="224"/>
        <v>#N/A</v>
      </c>
      <c r="Q1209" s="51" t="e">
        <f t="shared" si="225"/>
        <v>#N/A</v>
      </c>
      <c r="R1209" s="205" t="e">
        <f t="shared" si="226"/>
        <v>#N/A</v>
      </c>
      <c r="S1209" s="279" t="e">
        <f>IF(R1209="si",0,IF(E1209="si",0,IF(J1209&gt;K1209,0,+K1209-J1209)))+IF('calcolo base'!P1901="SI",('Commissioni De Angeli'!K1209-'Commissioni De Angeli'!J1209),0)</f>
        <v>#N/A</v>
      </c>
      <c r="T1209" s="117" t="e">
        <f t="shared" si="227"/>
        <v>#N/A</v>
      </c>
      <c r="U1209" s="272" t="e">
        <f>IF(Q1209=0,'calcolo base'!L3808,(T1209+Q1209))</f>
        <v>#N/A</v>
      </c>
      <c r="V1209" s="119"/>
      <c r="Z1209" s="118">
        <f t="shared" si="218"/>
        <v>0</v>
      </c>
      <c r="AA1209" s="118">
        <f t="shared" si="219"/>
        <v>0</v>
      </c>
    </row>
    <row r="1210" spans="2:27">
      <c r="B1210" s="47"/>
      <c r="C1210" s="35"/>
      <c r="D1210" s="53"/>
      <c r="E1210" s="53"/>
      <c r="F1210" s="48"/>
      <c r="G1210" s="243" t="e">
        <f>INDEX('calcolo base'!$B:$B, MATCH($A1210, 'calcolo base'!$A:$A, 0))</f>
        <v>#N/A</v>
      </c>
      <c r="H1210" s="54" t="e">
        <f t="shared" si="220"/>
        <v>#N/A</v>
      </c>
      <c r="I1210" s="259" t="e">
        <f>IF(  OR(      INDEX('calcolo base'!$D:$D, MATCH($A1210, 'calcolo base'!$A:$A, 0)) = 0,
      INDEX('calcolo base'!$D:$D, MATCH($A1210, 'calcolo base'!$A:$A, 0)) = ""   ),
   INDEX('calcolo base'!$K:$K, MATCH($A1210, 'calcolo base'!$A:$A, 0)),
   INDEX('calcolo base'!$J:$J, MATCH($A1210, 'calcolo base'!$A:$A, 0))
) / 1000</f>
        <v>#N/A</v>
      </c>
      <c r="J1210" s="50" t="e">
        <f t="shared" si="221"/>
        <v>#N/A</v>
      </c>
      <c r="K1210" s="50"/>
      <c r="L1210" s="267" t="e">
        <f>INDEX('calcolo base'!$H:$H, MATCH($A1210, 'calcolo base'!$A:$A, 0))</f>
        <v>#N/A</v>
      </c>
      <c r="M1210" s="50" t="e">
        <f t="shared" si="222"/>
        <v>#N/A</v>
      </c>
      <c r="N1210" s="50" t="e">
        <f t="shared" si="223"/>
        <v>#N/A</v>
      </c>
      <c r="O1210" s="50" t="e">
        <f t="shared" si="228"/>
        <v>#N/A</v>
      </c>
      <c r="P1210" s="50" t="e">
        <f t="shared" si="224"/>
        <v>#N/A</v>
      </c>
      <c r="Q1210" s="51" t="e">
        <f t="shared" si="225"/>
        <v>#N/A</v>
      </c>
      <c r="R1210" s="205" t="e">
        <f t="shared" si="226"/>
        <v>#N/A</v>
      </c>
      <c r="S1210" s="279" t="e">
        <f>IF(R1210="si",0,IF(E1210="si",0,IF(J1210&gt;K1210,0,+K1210-J1210)))+IF('calcolo base'!P1902="SI",('Commissioni De Angeli'!K1210-'Commissioni De Angeli'!J1210),0)</f>
        <v>#N/A</v>
      </c>
      <c r="T1210" s="117" t="e">
        <f t="shared" si="227"/>
        <v>#N/A</v>
      </c>
      <c r="U1210" s="272" t="e">
        <f>IF(Q1210=0,'calcolo base'!L3809,(T1210+Q1210))</f>
        <v>#N/A</v>
      </c>
      <c r="V1210" s="119"/>
      <c r="Z1210" s="118">
        <f t="shared" si="218"/>
        <v>0</v>
      </c>
      <c r="AA1210" s="118">
        <f t="shared" si="219"/>
        <v>0</v>
      </c>
    </row>
    <row r="1211" spans="2:27">
      <c r="B1211" s="47"/>
      <c r="C1211" s="35"/>
      <c r="D1211" s="53"/>
      <c r="E1211" s="53"/>
      <c r="F1211" s="48"/>
      <c r="G1211" s="243" t="e">
        <f>INDEX('calcolo base'!$B:$B, MATCH($A1211, 'calcolo base'!$A:$A, 0))</f>
        <v>#N/A</v>
      </c>
      <c r="H1211" s="54" t="e">
        <f t="shared" si="220"/>
        <v>#N/A</v>
      </c>
      <c r="I1211" s="259" t="e">
        <f>IF(  OR(      INDEX('calcolo base'!$D:$D, MATCH($A1211, 'calcolo base'!$A:$A, 0)) = 0,
      INDEX('calcolo base'!$D:$D, MATCH($A1211, 'calcolo base'!$A:$A, 0)) = ""   ),
   INDEX('calcolo base'!$K:$K, MATCH($A1211, 'calcolo base'!$A:$A, 0)),
   INDEX('calcolo base'!$J:$J, MATCH($A1211, 'calcolo base'!$A:$A, 0))
) / 1000</f>
        <v>#N/A</v>
      </c>
      <c r="J1211" s="50" t="e">
        <f t="shared" si="221"/>
        <v>#N/A</v>
      </c>
      <c r="K1211" s="50"/>
      <c r="L1211" s="267" t="e">
        <f>INDEX('calcolo base'!$H:$H, MATCH($A1211, 'calcolo base'!$A:$A, 0))</f>
        <v>#N/A</v>
      </c>
      <c r="M1211" s="50" t="e">
        <f t="shared" si="222"/>
        <v>#N/A</v>
      </c>
      <c r="N1211" s="50" t="e">
        <f t="shared" si="223"/>
        <v>#N/A</v>
      </c>
      <c r="O1211" s="50" t="e">
        <f t="shared" si="228"/>
        <v>#N/A</v>
      </c>
      <c r="P1211" s="50" t="e">
        <f t="shared" si="224"/>
        <v>#N/A</v>
      </c>
      <c r="Q1211" s="51" t="e">
        <f t="shared" si="225"/>
        <v>#N/A</v>
      </c>
      <c r="R1211" s="205" t="e">
        <f t="shared" si="226"/>
        <v>#N/A</v>
      </c>
      <c r="S1211" s="279" t="e">
        <f>IF(R1211="si",0,IF(E1211="si",0,IF(J1211&gt;K1211,0,+K1211-J1211)))+IF('calcolo base'!P1903="SI",('Commissioni De Angeli'!K1211-'Commissioni De Angeli'!J1211),0)</f>
        <v>#N/A</v>
      </c>
      <c r="T1211" s="117" t="e">
        <f t="shared" si="227"/>
        <v>#N/A</v>
      </c>
      <c r="U1211" s="272" t="e">
        <f>IF(Q1211=0,'calcolo base'!L3810,(T1211+Q1211))</f>
        <v>#N/A</v>
      </c>
      <c r="V1211" s="119"/>
      <c r="Z1211" s="118">
        <f t="shared" si="218"/>
        <v>0</v>
      </c>
      <c r="AA1211" s="118">
        <f t="shared" si="219"/>
        <v>0</v>
      </c>
    </row>
    <row r="1212" spans="2:27">
      <c r="B1212" s="47"/>
      <c r="C1212" s="35"/>
      <c r="D1212" s="53"/>
      <c r="E1212" s="53"/>
      <c r="F1212" s="48"/>
      <c r="G1212" s="243" t="e">
        <f>INDEX('calcolo base'!$B:$B, MATCH($A1212, 'calcolo base'!$A:$A, 0))</f>
        <v>#N/A</v>
      </c>
      <c r="H1212" s="54" t="e">
        <f t="shared" si="220"/>
        <v>#N/A</v>
      </c>
      <c r="I1212" s="259" t="e">
        <f>IF(  OR(      INDEX('calcolo base'!$D:$D, MATCH($A1212, 'calcolo base'!$A:$A, 0)) = 0,
      INDEX('calcolo base'!$D:$D, MATCH($A1212, 'calcolo base'!$A:$A, 0)) = ""   ),
   INDEX('calcolo base'!$K:$K, MATCH($A1212, 'calcolo base'!$A:$A, 0)),
   INDEX('calcolo base'!$J:$J, MATCH($A1212, 'calcolo base'!$A:$A, 0))
) / 1000</f>
        <v>#N/A</v>
      </c>
      <c r="J1212" s="50" t="e">
        <f t="shared" si="221"/>
        <v>#N/A</v>
      </c>
      <c r="K1212" s="50"/>
      <c r="L1212" s="267" t="e">
        <f>INDEX('calcolo base'!$H:$H, MATCH($A1212, 'calcolo base'!$A:$A, 0))</f>
        <v>#N/A</v>
      </c>
      <c r="M1212" s="50" t="e">
        <f t="shared" si="222"/>
        <v>#N/A</v>
      </c>
      <c r="N1212" s="50" t="e">
        <f t="shared" si="223"/>
        <v>#N/A</v>
      </c>
      <c r="O1212" s="50" t="e">
        <f t="shared" si="228"/>
        <v>#N/A</v>
      </c>
      <c r="P1212" s="50" t="e">
        <f t="shared" si="224"/>
        <v>#N/A</v>
      </c>
      <c r="Q1212" s="51" t="e">
        <f t="shared" si="225"/>
        <v>#N/A</v>
      </c>
      <c r="R1212" s="205" t="e">
        <f t="shared" si="226"/>
        <v>#N/A</v>
      </c>
      <c r="S1212" s="279" t="e">
        <f>IF(R1212="si",0,IF(E1212="si",0,IF(J1212&gt;K1212,0,+K1212-J1212)))+IF('calcolo base'!P1904="SI",('Commissioni De Angeli'!K1212-'Commissioni De Angeli'!J1212),0)</f>
        <v>#N/A</v>
      </c>
      <c r="T1212" s="117" t="e">
        <f t="shared" si="227"/>
        <v>#N/A</v>
      </c>
      <c r="U1212" s="272" t="e">
        <f>IF(Q1212=0,'calcolo base'!L3811,(T1212+Q1212))</f>
        <v>#N/A</v>
      </c>
      <c r="V1212" s="119"/>
      <c r="Z1212" s="118">
        <f t="shared" si="218"/>
        <v>0</v>
      </c>
      <c r="AA1212" s="118">
        <f t="shared" si="219"/>
        <v>0</v>
      </c>
    </row>
    <row r="1213" spans="2:27">
      <c r="B1213" s="47"/>
      <c r="C1213" s="35"/>
      <c r="D1213" s="53"/>
      <c r="E1213" s="53"/>
      <c r="F1213" s="48"/>
      <c r="G1213" s="243" t="e">
        <f>INDEX('calcolo base'!$B:$B, MATCH($A1213, 'calcolo base'!$A:$A, 0))</f>
        <v>#N/A</v>
      </c>
      <c r="H1213" s="54" t="e">
        <f t="shared" si="220"/>
        <v>#N/A</v>
      </c>
      <c r="I1213" s="259" t="e">
        <f>IF(  OR(      INDEX('calcolo base'!$D:$D, MATCH($A1213, 'calcolo base'!$A:$A, 0)) = 0,
      INDEX('calcolo base'!$D:$D, MATCH($A1213, 'calcolo base'!$A:$A, 0)) = ""   ),
   INDEX('calcolo base'!$K:$K, MATCH($A1213, 'calcolo base'!$A:$A, 0)),
   INDEX('calcolo base'!$J:$J, MATCH($A1213, 'calcolo base'!$A:$A, 0))
) / 1000</f>
        <v>#N/A</v>
      </c>
      <c r="J1213" s="50" t="e">
        <f t="shared" si="221"/>
        <v>#N/A</v>
      </c>
      <c r="K1213" s="50"/>
      <c r="L1213" s="267" t="e">
        <f>INDEX('calcolo base'!$H:$H, MATCH($A1213, 'calcolo base'!$A:$A, 0))</f>
        <v>#N/A</v>
      </c>
      <c r="M1213" s="50" t="e">
        <f t="shared" si="222"/>
        <v>#N/A</v>
      </c>
      <c r="N1213" s="50" t="e">
        <f t="shared" si="223"/>
        <v>#N/A</v>
      </c>
      <c r="O1213" s="50" t="e">
        <f t="shared" si="228"/>
        <v>#N/A</v>
      </c>
      <c r="P1213" s="50" t="e">
        <f t="shared" si="224"/>
        <v>#N/A</v>
      </c>
      <c r="Q1213" s="51" t="e">
        <f t="shared" si="225"/>
        <v>#N/A</v>
      </c>
      <c r="R1213" s="205" t="e">
        <f t="shared" si="226"/>
        <v>#N/A</v>
      </c>
      <c r="S1213" s="279" t="e">
        <f>IF(R1213="si",0,IF(E1213="si",0,IF(J1213&gt;K1213,0,+K1213-J1213)))+IF('calcolo base'!P1905="SI",('Commissioni De Angeli'!K1213-'Commissioni De Angeli'!J1213),0)</f>
        <v>#N/A</v>
      </c>
      <c r="T1213" s="117" t="e">
        <f t="shared" si="227"/>
        <v>#N/A</v>
      </c>
      <c r="U1213" s="272" t="e">
        <f>IF(Q1213=0,'calcolo base'!L3812,(T1213+Q1213))</f>
        <v>#N/A</v>
      </c>
      <c r="V1213" s="119"/>
      <c r="Z1213" s="118">
        <f t="shared" si="218"/>
        <v>0</v>
      </c>
      <c r="AA1213" s="118">
        <f t="shared" si="219"/>
        <v>0</v>
      </c>
    </row>
    <row r="1214" spans="2:27">
      <c r="B1214" s="47"/>
      <c r="C1214" s="35"/>
      <c r="D1214" s="53"/>
      <c r="E1214" s="53"/>
      <c r="F1214" s="48"/>
      <c r="G1214" s="243" t="e">
        <f>INDEX('calcolo base'!$B:$B, MATCH($A1214, 'calcolo base'!$A:$A, 0))</f>
        <v>#N/A</v>
      </c>
      <c r="H1214" s="54" t="e">
        <f t="shared" si="220"/>
        <v>#N/A</v>
      </c>
      <c r="I1214" s="259" t="e">
        <f>IF(  OR(      INDEX('calcolo base'!$D:$D, MATCH($A1214, 'calcolo base'!$A:$A, 0)) = 0,
      INDEX('calcolo base'!$D:$D, MATCH($A1214, 'calcolo base'!$A:$A, 0)) = ""   ),
   INDEX('calcolo base'!$K:$K, MATCH($A1214, 'calcolo base'!$A:$A, 0)),
   INDEX('calcolo base'!$J:$J, MATCH($A1214, 'calcolo base'!$A:$A, 0))
) / 1000</f>
        <v>#N/A</v>
      </c>
      <c r="J1214" s="50" t="e">
        <f t="shared" si="221"/>
        <v>#N/A</v>
      </c>
      <c r="K1214" s="50"/>
      <c r="L1214" s="267" t="e">
        <f>INDEX('calcolo base'!$H:$H, MATCH($A1214, 'calcolo base'!$A:$A, 0))</f>
        <v>#N/A</v>
      </c>
      <c r="M1214" s="50" t="e">
        <f t="shared" si="222"/>
        <v>#N/A</v>
      </c>
      <c r="N1214" s="50" t="e">
        <f t="shared" si="223"/>
        <v>#N/A</v>
      </c>
      <c r="O1214" s="50" t="e">
        <f t="shared" si="228"/>
        <v>#N/A</v>
      </c>
      <c r="P1214" s="50" t="e">
        <f t="shared" si="224"/>
        <v>#N/A</v>
      </c>
      <c r="Q1214" s="51" t="e">
        <f t="shared" si="225"/>
        <v>#N/A</v>
      </c>
      <c r="R1214" s="205" t="e">
        <f t="shared" si="226"/>
        <v>#N/A</v>
      </c>
      <c r="S1214" s="279" t="e">
        <f>IF(R1214="si",0,IF(E1214="si",0,IF(J1214&gt;K1214,0,+K1214-J1214)))+IF('calcolo base'!P1906="SI",('Commissioni De Angeli'!K1214-'Commissioni De Angeli'!J1214),0)</f>
        <v>#N/A</v>
      </c>
      <c r="T1214" s="117" t="e">
        <f t="shared" si="227"/>
        <v>#N/A</v>
      </c>
      <c r="U1214" s="272" t="e">
        <f>IF(Q1214=0,'calcolo base'!L3813,(T1214+Q1214))</f>
        <v>#N/A</v>
      </c>
      <c r="V1214" s="119"/>
      <c r="Z1214" s="118">
        <f t="shared" si="218"/>
        <v>0</v>
      </c>
      <c r="AA1214" s="118">
        <f t="shared" si="219"/>
        <v>0</v>
      </c>
    </row>
    <row r="1215" spans="2:27">
      <c r="B1215" s="47"/>
      <c r="C1215" s="35"/>
      <c r="D1215" s="53"/>
      <c r="E1215" s="53"/>
      <c r="F1215" s="48"/>
      <c r="G1215" s="243" t="e">
        <f>INDEX('calcolo base'!$B:$B, MATCH($A1215, 'calcolo base'!$A:$A, 0))</f>
        <v>#N/A</v>
      </c>
      <c r="H1215" s="54" t="e">
        <f t="shared" si="220"/>
        <v>#N/A</v>
      </c>
      <c r="I1215" s="259" t="e">
        <f>IF(  OR(      INDEX('calcolo base'!$D:$D, MATCH($A1215, 'calcolo base'!$A:$A, 0)) = 0,
      INDEX('calcolo base'!$D:$D, MATCH($A1215, 'calcolo base'!$A:$A, 0)) = ""   ),
   INDEX('calcolo base'!$K:$K, MATCH($A1215, 'calcolo base'!$A:$A, 0)),
   INDEX('calcolo base'!$J:$J, MATCH($A1215, 'calcolo base'!$A:$A, 0))
) / 1000</f>
        <v>#N/A</v>
      </c>
      <c r="J1215" s="50" t="e">
        <f t="shared" si="221"/>
        <v>#N/A</v>
      </c>
      <c r="K1215" s="50"/>
      <c r="L1215" s="267" t="e">
        <f>INDEX('calcolo base'!$H:$H, MATCH($A1215, 'calcolo base'!$A:$A, 0))</f>
        <v>#N/A</v>
      </c>
      <c r="M1215" s="50" t="e">
        <f t="shared" si="222"/>
        <v>#N/A</v>
      </c>
      <c r="N1215" s="50" t="e">
        <f t="shared" si="223"/>
        <v>#N/A</v>
      </c>
      <c r="O1215" s="50" t="e">
        <f t="shared" si="228"/>
        <v>#N/A</v>
      </c>
      <c r="P1215" s="50" t="e">
        <f t="shared" si="224"/>
        <v>#N/A</v>
      </c>
      <c r="Q1215" s="51" t="e">
        <f t="shared" si="225"/>
        <v>#N/A</v>
      </c>
      <c r="R1215" s="205" t="e">
        <f t="shared" si="226"/>
        <v>#N/A</v>
      </c>
      <c r="S1215" s="279" t="e">
        <f>IF(R1215="si",0,IF(E1215="si",0,IF(J1215&gt;K1215,0,+K1215-J1215)))+IF('calcolo base'!P1907="SI",('Commissioni De Angeli'!K1215-'Commissioni De Angeli'!J1215),0)</f>
        <v>#N/A</v>
      </c>
      <c r="T1215" s="117" t="e">
        <f t="shared" si="227"/>
        <v>#N/A</v>
      </c>
      <c r="U1215" s="272" t="e">
        <f>IF(Q1215=0,'calcolo base'!L3814,(T1215+Q1215))</f>
        <v>#N/A</v>
      </c>
      <c r="V1215" s="119"/>
      <c r="Z1215" s="118">
        <f t="shared" si="218"/>
        <v>0</v>
      </c>
      <c r="AA1215" s="118">
        <f t="shared" si="219"/>
        <v>0</v>
      </c>
    </row>
    <row r="1216" spans="2:27">
      <c r="B1216" s="47"/>
      <c r="C1216" s="35"/>
      <c r="D1216" s="53"/>
      <c r="E1216" s="53"/>
      <c r="F1216" s="48"/>
      <c r="G1216" s="243" t="e">
        <f>INDEX('calcolo base'!$B:$B, MATCH($A1216, 'calcolo base'!$A:$A, 0))</f>
        <v>#N/A</v>
      </c>
      <c r="H1216" s="54" t="e">
        <f t="shared" si="220"/>
        <v>#N/A</v>
      </c>
      <c r="I1216" s="259" t="e">
        <f>IF(  OR(      INDEX('calcolo base'!$D:$D, MATCH($A1216, 'calcolo base'!$A:$A, 0)) = 0,
      INDEX('calcolo base'!$D:$D, MATCH($A1216, 'calcolo base'!$A:$A, 0)) = ""   ),
   INDEX('calcolo base'!$K:$K, MATCH($A1216, 'calcolo base'!$A:$A, 0)),
   INDEX('calcolo base'!$J:$J, MATCH($A1216, 'calcolo base'!$A:$A, 0))
) / 1000</f>
        <v>#N/A</v>
      </c>
      <c r="J1216" s="50" t="e">
        <f t="shared" si="221"/>
        <v>#N/A</v>
      </c>
      <c r="K1216" s="50"/>
      <c r="L1216" s="267" t="e">
        <f>INDEX('calcolo base'!$H:$H, MATCH($A1216, 'calcolo base'!$A:$A, 0))</f>
        <v>#N/A</v>
      </c>
      <c r="M1216" s="50" t="e">
        <f t="shared" si="222"/>
        <v>#N/A</v>
      </c>
      <c r="N1216" s="50" t="e">
        <f t="shared" si="223"/>
        <v>#N/A</v>
      </c>
      <c r="O1216" s="50" t="e">
        <f t="shared" si="228"/>
        <v>#N/A</v>
      </c>
      <c r="P1216" s="50" t="e">
        <f t="shared" si="224"/>
        <v>#N/A</v>
      </c>
      <c r="Q1216" s="51" t="e">
        <f t="shared" si="225"/>
        <v>#N/A</v>
      </c>
      <c r="R1216" s="205" t="e">
        <f t="shared" si="226"/>
        <v>#N/A</v>
      </c>
      <c r="S1216" s="279" t="e">
        <f>IF(R1216="si",0,IF(E1216="si",0,IF(J1216&gt;K1216,0,+K1216-J1216)))+IF('calcolo base'!P1908="SI",('Commissioni De Angeli'!K1216-'Commissioni De Angeli'!J1216),0)</f>
        <v>#N/A</v>
      </c>
      <c r="T1216" s="117" t="e">
        <f t="shared" si="227"/>
        <v>#N/A</v>
      </c>
      <c r="U1216" s="272" t="e">
        <f>IF(Q1216=0,'calcolo base'!L3815,(T1216+Q1216))</f>
        <v>#N/A</v>
      </c>
      <c r="V1216" s="119"/>
      <c r="Z1216" s="118">
        <f t="shared" si="218"/>
        <v>0</v>
      </c>
      <c r="AA1216" s="118">
        <f t="shared" si="219"/>
        <v>0</v>
      </c>
    </row>
    <row r="1217" spans="2:27">
      <c r="B1217" s="47"/>
      <c r="C1217" s="35"/>
      <c r="D1217" s="53"/>
      <c r="E1217" s="53"/>
      <c r="F1217" s="48"/>
      <c r="G1217" s="243" t="e">
        <f>INDEX('calcolo base'!$B:$B, MATCH($A1217, 'calcolo base'!$A:$A, 0))</f>
        <v>#N/A</v>
      </c>
      <c r="H1217" s="54" t="e">
        <f t="shared" si="220"/>
        <v>#N/A</v>
      </c>
      <c r="I1217" s="259" t="e">
        <f>IF(  OR(      INDEX('calcolo base'!$D:$D, MATCH($A1217, 'calcolo base'!$A:$A, 0)) = 0,
      INDEX('calcolo base'!$D:$D, MATCH($A1217, 'calcolo base'!$A:$A, 0)) = ""   ),
   INDEX('calcolo base'!$K:$K, MATCH($A1217, 'calcolo base'!$A:$A, 0)),
   INDEX('calcolo base'!$J:$J, MATCH($A1217, 'calcolo base'!$A:$A, 0))
) / 1000</f>
        <v>#N/A</v>
      </c>
      <c r="J1217" s="50" t="e">
        <f t="shared" si="221"/>
        <v>#N/A</v>
      </c>
      <c r="K1217" s="50"/>
      <c r="L1217" s="267" t="e">
        <f>INDEX('calcolo base'!$H:$H, MATCH($A1217, 'calcolo base'!$A:$A, 0))</f>
        <v>#N/A</v>
      </c>
      <c r="M1217" s="50" t="e">
        <f t="shared" si="222"/>
        <v>#N/A</v>
      </c>
      <c r="N1217" s="50" t="e">
        <f t="shared" si="223"/>
        <v>#N/A</v>
      </c>
      <c r="O1217" s="50" t="e">
        <f t="shared" si="228"/>
        <v>#N/A</v>
      </c>
      <c r="P1217" s="50" t="e">
        <f t="shared" si="224"/>
        <v>#N/A</v>
      </c>
      <c r="Q1217" s="51" t="e">
        <f t="shared" si="225"/>
        <v>#N/A</v>
      </c>
      <c r="R1217" s="205" t="e">
        <f t="shared" si="226"/>
        <v>#N/A</v>
      </c>
      <c r="S1217" s="279" t="e">
        <f>IF(R1217="si",0,IF(E1217="si",0,IF(J1217&gt;K1217,0,+K1217-J1217)))+IF('calcolo base'!P1909="SI",('Commissioni De Angeli'!K1217-'Commissioni De Angeli'!J1217),0)</f>
        <v>#N/A</v>
      </c>
      <c r="T1217" s="117" t="e">
        <f t="shared" si="227"/>
        <v>#N/A</v>
      </c>
      <c r="U1217" s="272" t="e">
        <f>IF(Q1217=0,'calcolo base'!L3816,(T1217+Q1217))</f>
        <v>#N/A</v>
      </c>
      <c r="V1217" s="119"/>
      <c r="Z1217" s="118">
        <f t="shared" si="218"/>
        <v>0</v>
      </c>
      <c r="AA1217" s="118">
        <f t="shared" si="219"/>
        <v>0</v>
      </c>
    </row>
    <row r="1218" spans="2:27">
      <c r="B1218" s="47"/>
      <c r="C1218" s="35"/>
      <c r="D1218" s="53"/>
      <c r="E1218" s="53"/>
      <c r="F1218" s="48"/>
      <c r="G1218" s="243" t="e">
        <f>INDEX('calcolo base'!$B:$B, MATCH($A1218, 'calcolo base'!$A:$A, 0))</f>
        <v>#N/A</v>
      </c>
      <c r="H1218" s="54" t="e">
        <f t="shared" si="220"/>
        <v>#N/A</v>
      </c>
      <c r="I1218" s="259" t="e">
        <f>IF(  OR(      INDEX('calcolo base'!$D:$D, MATCH($A1218, 'calcolo base'!$A:$A, 0)) = 0,
      INDEX('calcolo base'!$D:$D, MATCH($A1218, 'calcolo base'!$A:$A, 0)) = ""   ),
   INDEX('calcolo base'!$K:$K, MATCH($A1218, 'calcolo base'!$A:$A, 0)),
   INDEX('calcolo base'!$J:$J, MATCH($A1218, 'calcolo base'!$A:$A, 0))
) / 1000</f>
        <v>#N/A</v>
      </c>
      <c r="J1218" s="50" t="e">
        <f t="shared" si="221"/>
        <v>#N/A</v>
      </c>
      <c r="K1218" s="50"/>
      <c r="L1218" s="267" t="e">
        <f>INDEX('calcolo base'!$H:$H, MATCH($A1218, 'calcolo base'!$A:$A, 0))</f>
        <v>#N/A</v>
      </c>
      <c r="M1218" s="50" t="e">
        <f t="shared" si="222"/>
        <v>#N/A</v>
      </c>
      <c r="N1218" s="50" t="e">
        <f t="shared" si="223"/>
        <v>#N/A</v>
      </c>
      <c r="O1218" s="50" t="e">
        <f t="shared" si="228"/>
        <v>#N/A</v>
      </c>
      <c r="P1218" s="50" t="e">
        <f t="shared" si="224"/>
        <v>#N/A</v>
      </c>
      <c r="Q1218" s="51" t="e">
        <f t="shared" si="225"/>
        <v>#N/A</v>
      </c>
      <c r="R1218" s="205" t="e">
        <f t="shared" si="226"/>
        <v>#N/A</v>
      </c>
      <c r="S1218" s="279" t="e">
        <f>IF(R1218="si",0,IF(E1218="si",0,IF(J1218&gt;K1218,0,+K1218-J1218)))+IF('calcolo base'!P1910="SI",('Commissioni De Angeli'!K1218-'Commissioni De Angeli'!J1218),0)</f>
        <v>#N/A</v>
      </c>
      <c r="T1218" s="117" t="e">
        <f t="shared" si="227"/>
        <v>#N/A</v>
      </c>
      <c r="U1218" s="272" t="e">
        <f>IF(Q1218=0,'calcolo base'!L3817,(T1218+Q1218))</f>
        <v>#N/A</v>
      </c>
      <c r="V1218" s="119"/>
      <c r="Z1218" s="118">
        <f t="shared" si="218"/>
        <v>0</v>
      </c>
      <c r="AA1218" s="118">
        <f t="shared" si="219"/>
        <v>0</v>
      </c>
    </row>
    <row r="1219" spans="2:27">
      <c r="B1219" s="47"/>
      <c r="C1219" s="35"/>
      <c r="D1219" s="53"/>
      <c r="E1219" s="53"/>
      <c r="F1219" s="48"/>
      <c r="G1219" s="243" t="e">
        <f>INDEX('calcolo base'!$B:$B, MATCH($A1219, 'calcolo base'!$A:$A, 0))</f>
        <v>#N/A</v>
      </c>
      <c r="H1219" s="54" t="e">
        <f t="shared" si="220"/>
        <v>#N/A</v>
      </c>
      <c r="I1219" s="259" t="e">
        <f>IF(  OR(      INDEX('calcolo base'!$D:$D, MATCH($A1219, 'calcolo base'!$A:$A, 0)) = 0,
      INDEX('calcolo base'!$D:$D, MATCH($A1219, 'calcolo base'!$A:$A, 0)) = ""   ),
   INDEX('calcolo base'!$K:$K, MATCH($A1219, 'calcolo base'!$A:$A, 0)),
   INDEX('calcolo base'!$J:$J, MATCH($A1219, 'calcolo base'!$A:$A, 0))
) / 1000</f>
        <v>#N/A</v>
      </c>
      <c r="J1219" s="50" t="e">
        <f t="shared" si="221"/>
        <v>#N/A</v>
      </c>
      <c r="K1219" s="50"/>
      <c r="L1219" s="267" t="e">
        <f>INDEX('calcolo base'!$H:$H, MATCH($A1219, 'calcolo base'!$A:$A, 0))</f>
        <v>#N/A</v>
      </c>
      <c r="M1219" s="50" t="e">
        <f t="shared" si="222"/>
        <v>#N/A</v>
      </c>
      <c r="N1219" s="50" t="e">
        <f t="shared" si="223"/>
        <v>#N/A</v>
      </c>
      <c r="O1219" s="50" t="e">
        <f t="shared" si="228"/>
        <v>#N/A</v>
      </c>
      <c r="P1219" s="50" t="e">
        <f t="shared" si="224"/>
        <v>#N/A</v>
      </c>
      <c r="Q1219" s="51" t="e">
        <f t="shared" si="225"/>
        <v>#N/A</v>
      </c>
      <c r="R1219" s="205" t="e">
        <f t="shared" si="226"/>
        <v>#N/A</v>
      </c>
      <c r="S1219" s="279" t="e">
        <f>IF(R1219="si",0,IF(E1219="si",0,IF(J1219&gt;K1219,0,+K1219-J1219)))+IF('calcolo base'!P1911="SI",('Commissioni De Angeli'!K1219-'Commissioni De Angeli'!J1219),0)</f>
        <v>#N/A</v>
      </c>
      <c r="T1219" s="117" t="e">
        <f t="shared" si="227"/>
        <v>#N/A</v>
      </c>
      <c r="U1219" s="272" t="e">
        <f>IF(Q1219=0,'calcolo base'!L3818,(T1219+Q1219))</f>
        <v>#N/A</v>
      </c>
      <c r="V1219" s="119"/>
      <c r="Z1219" s="118">
        <f t="shared" si="218"/>
        <v>0</v>
      </c>
      <c r="AA1219" s="118">
        <f t="shared" si="219"/>
        <v>0</v>
      </c>
    </row>
    <row r="1220" spans="2:27">
      <c r="B1220" s="47"/>
      <c r="C1220" s="35"/>
      <c r="D1220" s="53"/>
      <c r="E1220" s="53"/>
      <c r="F1220" s="48"/>
      <c r="G1220" s="243" t="e">
        <f>INDEX('calcolo base'!$B:$B, MATCH($A1220, 'calcolo base'!$A:$A, 0))</f>
        <v>#N/A</v>
      </c>
      <c r="H1220" s="54" t="e">
        <f t="shared" si="220"/>
        <v>#N/A</v>
      </c>
      <c r="I1220" s="259" t="e">
        <f>IF(  OR(      INDEX('calcolo base'!$D:$D, MATCH($A1220, 'calcolo base'!$A:$A, 0)) = 0,
      INDEX('calcolo base'!$D:$D, MATCH($A1220, 'calcolo base'!$A:$A, 0)) = ""   ),
   INDEX('calcolo base'!$K:$K, MATCH($A1220, 'calcolo base'!$A:$A, 0)),
   INDEX('calcolo base'!$J:$J, MATCH($A1220, 'calcolo base'!$A:$A, 0))
) / 1000</f>
        <v>#N/A</v>
      </c>
      <c r="J1220" s="50" t="e">
        <f t="shared" si="221"/>
        <v>#N/A</v>
      </c>
      <c r="K1220" s="50"/>
      <c r="L1220" s="267" t="e">
        <f>INDEX('calcolo base'!$H:$H, MATCH($A1220, 'calcolo base'!$A:$A, 0))</f>
        <v>#N/A</v>
      </c>
      <c r="M1220" s="50" t="e">
        <f t="shared" si="222"/>
        <v>#N/A</v>
      </c>
      <c r="N1220" s="50" t="e">
        <f t="shared" si="223"/>
        <v>#N/A</v>
      </c>
      <c r="O1220" s="50" t="e">
        <f t="shared" si="228"/>
        <v>#N/A</v>
      </c>
      <c r="P1220" s="50" t="e">
        <f t="shared" si="224"/>
        <v>#N/A</v>
      </c>
      <c r="Q1220" s="51" t="e">
        <f t="shared" si="225"/>
        <v>#N/A</v>
      </c>
      <c r="R1220" s="205" t="e">
        <f t="shared" si="226"/>
        <v>#N/A</v>
      </c>
      <c r="S1220" s="279" t="e">
        <f>IF(R1220="si",0,IF(E1220="si",0,IF(J1220&gt;K1220,0,+K1220-J1220)))+IF('calcolo base'!P1912="SI",('Commissioni De Angeli'!K1220-'Commissioni De Angeli'!J1220),0)</f>
        <v>#N/A</v>
      </c>
      <c r="T1220" s="117" t="e">
        <f t="shared" si="227"/>
        <v>#N/A</v>
      </c>
      <c r="U1220" s="272" t="e">
        <f>IF(Q1220=0,'calcolo base'!L3819,(T1220+Q1220))</f>
        <v>#N/A</v>
      </c>
      <c r="V1220" s="119"/>
      <c r="Z1220" s="118">
        <f t="shared" si="218"/>
        <v>0</v>
      </c>
      <c r="AA1220" s="118">
        <f t="shared" si="219"/>
        <v>0</v>
      </c>
    </row>
    <row r="1221" spans="2:27">
      <c r="B1221" s="47"/>
      <c r="C1221" s="35"/>
      <c r="D1221" s="53"/>
      <c r="E1221" s="53"/>
      <c r="F1221" s="48"/>
      <c r="G1221" s="243" t="e">
        <f>INDEX('calcolo base'!$B:$B, MATCH($A1221, 'calcolo base'!$A:$A, 0))</f>
        <v>#N/A</v>
      </c>
      <c r="H1221" s="54" t="e">
        <f t="shared" si="220"/>
        <v>#N/A</v>
      </c>
      <c r="I1221" s="259" t="e">
        <f>IF(  OR(      INDEX('calcolo base'!$D:$D, MATCH($A1221, 'calcolo base'!$A:$A, 0)) = 0,
      INDEX('calcolo base'!$D:$D, MATCH($A1221, 'calcolo base'!$A:$A, 0)) = ""   ),
   INDEX('calcolo base'!$K:$K, MATCH($A1221, 'calcolo base'!$A:$A, 0)),
   INDEX('calcolo base'!$J:$J, MATCH($A1221, 'calcolo base'!$A:$A, 0))
) / 1000</f>
        <v>#N/A</v>
      </c>
      <c r="J1221" s="50" t="e">
        <f t="shared" si="221"/>
        <v>#N/A</v>
      </c>
      <c r="K1221" s="50"/>
      <c r="L1221" s="267" t="e">
        <f>INDEX('calcolo base'!$H:$H, MATCH($A1221, 'calcolo base'!$A:$A, 0))</f>
        <v>#N/A</v>
      </c>
      <c r="M1221" s="50" t="e">
        <f t="shared" si="222"/>
        <v>#N/A</v>
      </c>
      <c r="N1221" s="50" t="e">
        <f t="shared" si="223"/>
        <v>#N/A</v>
      </c>
      <c r="O1221" s="50" t="e">
        <f t="shared" si="228"/>
        <v>#N/A</v>
      </c>
      <c r="P1221" s="50" t="e">
        <f t="shared" si="224"/>
        <v>#N/A</v>
      </c>
      <c r="Q1221" s="51" t="e">
        <f t="shared" si="225"/>
        <v>#N/A</v>
      </c>
      <c r="R1221" s="205" t="e">
        <f t="shared" si="226"/>
        <v>#N/A</v>
      </c>
      <c r="S1221" s="279" t="e">
        <f>IF(R1221="si",0,IF(E1221="si",0,IF(J1221&gt;K1221,0,+K1221-J1221)))+IF('calcolo base'!P1913="SI",('Commissioni De Angeli'!K1221-'Commissioni De Angeli'!J1221),0)</f>
        <v>#N/A</v>
      </c>
      <c r="T1221" s="117" t="e">
        <f t="shared" si="227"/>
        <v>#N/A</v>
      </c>
      <c r="U1221" s="272" t="e">
        <f>IF(Q1221=0,'calcolo base'!L3820,(T1221+Q1221))</f>
        <v>#N/A</v>
      </c>
      <c r="V1221" s="119"/>
      <c r="Z1221" s="118">
        <f t="shared" si="218"/>
        <v>0</v>
      </c>
      <c r="AA1221" s="118">
        <f t="shared" si="219"/>
        <v>0</v>
      </c>
    </row>
    <row r="1222" spans="2:27">
      <c r="B1222" s="47"/>
      <c r="C1222" s="35"/>
      <c r="D1222" s="53"/>
      <c r="E1222" s="53"/>
      <c r="F1222" s="48"/>
      <c r="G1222" s="243" t="e">
        <f>INDEX('calcolo base'!$B:$B, MATCH($A1222, 'calcolo base'!$A:$A, 0))</f>
        <v>#N/A</v>
      </c>
      <c r="H1222" s="54" t="e">
        <f t="shared" si="220"/>
        <v>#N/A</v>
      </c>
      <c r="I1222" s="259" t="e">
        <f>IF(  OR(      INDEX('calcolo base'!$D:$D, MATCH($A1222, 'calcolo base'!$A:$A, 0)) = 0,
      INDEX('calcolo base'!$D:$D, MATCH($A1222, 'calcolo base'!$A:$A, 0)) = ""   ),
   INDEX('calcolo base'!$K:$K, MATCH($A1222, 'calcolo base'!$A:$A, 0)),
   INDEX('calcolo base'!$J:$J, MATCH($A1222, 'calcolo base'!$A:$A, 0))
) / 1000</f>
        <v>#N/A</v>
      </c>
      <c r="J1222" s="50" t="e">
        <f t="shared" si="221"/>
        <v>#N/A</v>
      </c>
      <c r="K1222" s="50"/>
      <c r="L1222" s="267" t="e">
        <f>INDEX('calcolo base'!$H:$H, MATCH($A1222, 'calcolo base'!$A:$A, 0))</f>
        <v>#N/A</v>
      </c>
      <c r="M1222" s="50" t="e">
        <f t="shared" si="222"/>
        <v>#N/A</v>
      </c>
      <c r="N1222" s="50" t="e">
        <f t="shared" si="223"/>
        <v>#N/A</v>
      </c>
      <c r="O1222" s="50" t="e">
        <f t="shared" si="228"/>
        <v>#N/A</v>
      </c>
      <c r="P1222" s="50" t="e">
        <f t="shared" si="224"/>
        <v>#N/A</v>
      </c>
      <c r="Q1222" s="51" t="e">
        <f t="shared" si="225"/>
        <v>#N/A</v>
      </c>
      <c r="R1222" s="205" t="e">
        <f t="shared" si="226"/>
        <v>#N/A</v>
      </c>
      <c r="S1222" s="279" t="e">
        <f>IF(R1222="si",0,IF(E1222="si",0,IF(J1222&gt;K1222,0,+K1222-J1222)))+IF('calcolo base'!P1914="SI",('Commissioni De Angeli'!K1222-'Commissioni De Angeli'!J1222),0)</f>
        <v>#N/A</v>
      </c>
      <c r="T1222" s="117" t="e">
        <f t="shared" si="227"/>
        <v>#N/A</v>
      </c>
      <c r="U1222" s="272" t="e">
        <f>IF(Q1222=0,'calcolo base'!L3821,(T1222+Q1222))</f>
        <v>#N/A</v>
      </c>
      <c r="V1222" s="119"/>
      <c r="Z1222" s="118">
        <f t="shared" si="218"/>
        <v>0</v>
      </c>
      <c r="AA1222" s="118">
        <f t="shared" si="219"/>
        <v>0</v>
      </c>
    </row>
    <row r="1223" spans="2:27">
      <c r="B1223" s="47"/>
      <c r="C1223" s="35"/>
      <c r="D1223" s="53"/>
      <c r="E1223" s="53"/>
      <c r="F1223" s="48"/>
      <c r="G1223" s="243" t="e">
        <f>INDEX('calcolo base'!$B:$B, MATCH($A1223, 'calcolo base'!$A:$A, 0))</f>
        <v>#N/A</v>
      </c>
      <c r="H1223" s="54" t="e">
        <f t="shared" si="220"/>
        <v>#N/A</v>
      </c>
      <c r="I1223" s="259" t="e">
        <f>IF(  OR(      INDEX('calcolo base'!$D:$D, MATCH($A1223, 'calcolo base'!$A:$A, 0)) = 0,
      INDEX('calcolo base'!$D:$D, MATCH($A1223, 'calcolo base'!$A:$A, 0)) = ""   ),
   INDEX('calcolo base'!$K:$K, MATCH($A1223, 'calcolo base'!$A:$A, 0)),
   INDEX('calcolo base'!$J:$J, MATCH($A1223, 'calcolo base'!$A:$A, 0))
) / 1000</f>
        <v>#N/A</v>
      </c>
      <c r="J1223" s="50" t="e">
        <f t="shared" si="221"/>
        <v>#N/A</v>
      </c>
      <c r="K1223" s="50"/>
      <c r="L1223" s="267" t="e">
        <f>INDEX('calcolo base'!$H:$H, MATCH($A1223, 'calcolo base'!$A:$A, 0))</f>
        <v>#N/A</v>
      </c>
      <c r="M1223" s="50" t="e">
        <f t="shared" si="222"/>
        <v>#N/A</v>
      </c>
      <c r="N1223" s="50" t="e">
        <f t="shared" si="223"/>
        <v>#N/A</v>
      </c>
      <c r="O1223" s="50" t="e">
        <f t="shared" si="228"/>
        <v>#N/A</v>
      </c>
      <c r="P1223" s="50" t="e">
        <f t="shared" si="224"/>
        <v>#N/A</v>
      </c>
      <c r="Q1223" s="51" t="e">
        <f t="shared" si="225"/>
        <v>#N/A</v>
      </c>
      <c r="R1223" s="205" t="e">
        <f t="shared" si="226"/>
        <v>#N/A</v>
      </c>
      <c r="S1223" s="279" t="e">
        <f>IF(R1223="si",0,IF(E1223="si",0,IF(J1223&gt;K1223,0,+K1223-J1223)))+IF('calcolo base'!P1915="SI",('Commissioni De Angeli'!K1223-'Commissioni De Angeli'!J1223),0)</f>
        <v>#N/A</v>
      </c>
      <c r="T1223" s="117" t="e">
        <f t="shared" si="227"/>
        <v>#N/A</v>
      </c>
      <c r="U1223" s="272" t="e">
        <f>IF(Q1223=0,'calcolo base'!L3822,(T1223+Q1223))</f>
        <v>#N/A</v>
      </c>
      <c r="V1223" s="119"/>
      <c r="Z1223" s="118">
        <f t="shared" si="218"/>
        <v>0</v>
      </c>
      <c r="AA1223" s="118">
        <f t="shared" si="219"/>
        <v>0</v>
      </c>
    </row>
    <row r="1224" spans="2:27">
      <c r="B1224" s="47"/>
      <c r="C1224" s="35"/>
      <c r="D1224" s="53"/>
      <c r="E1224" s="53"/>
      <c r="F1224" s="48"/>
      <c r="G1224" s="243" t="e">
        <f>INDEX('calcolo base'!$B:$B, MATCH($A1224, 'calcolo base'!$A:$A, 0))</f>
        <v>#N/A</v>
      </c>
      <c r="H1224" s="54" t="e">
        <f t="shared" si="220"/>
        <v>#N/A</v>
      </c>
      <c r="I1224" s="259" t="e">
        <f>IF(  OR(      INDEX('calcolo base'!$D:$D, MATCH($A1224, 'calcolo base'!$A:$A, 0)) = 0,
      INDEX('calcolo base'!$D:$D, MATCH($A1224, 'calcolo base'!$A:$A, 0)) = ""   ),
   INDEX('calcolo base'!$K:$K, MATCH($A1224, 'calcolo base'!$A:$A, 0)),
   INDEX('calcolo base'!$J:$J, MATCH($A1224, 'calcolo base'!$A:$A, 0))
) / 1000</f>
        <v>#N/A</v>
      </c>
      <c r="J1224" s="50" t="e">
        <f t="shared" si="221"/>
        <v>#N/A</v>
      </c>
      <c r="K1224" s="50"/>
      <c r="L1224" s="267" t="e">
        <f>INDEX('calcolo base'!$H:$H, MATCH($A1224, 'calcolo base'!$A:$A, 0))</f>
        <v>#N/A</v>
      </c>
      <c r="M1224" s="50" t="e">
        <f t="shared" si="222"/>
        <v>#N/A</v>
      </c>
      <c r="N1224" s="50" t="e">
        <f t="shared" si="223"/>
        <v>#N/A</v>
      </c>
      <c r="O1224" s="50" t="e">
        <f t="shared" si="228"/>
        <v>#N/A</v>
      </c>
      <c r="P1224" s="50" t="e">
        <f t="shared" si="224"/>
        <v>#N/A</v>
      </c>
      <c r="Q1224" s="51" t="e">
        <f t="shared" si="225"/>
        <v>#N/A</v>
      </c>
      <c r="R1224" s="205" t="e">
        <f t="shared" si="226"/>
        <v>#N/A</v>
      </c>
      <c r="S1224" s="279" t="e">
        <f>IF(R1224="si",0,IF(E1224="si",0,IF(J1224&gt;K1224,0,+K1224-J1224)))+IF('calcolo base'!P1916="SI",('Commissioni De Angeli'!K1224-'Commissioni De Angeli'!J1224),0)</f>
        <v>#N/A</v>
      </c>
      <c r="T1224" s="117" t="e">
        <f t="shared" si="227"/>
        <v>#N/A</v>
      </c>
      <c r="U1224" s="272" t="e">
        <f>IF(Q1224=0,'calcolo base'!L3823,(T1224+Q1224))</f>
        <v>#N/A</v>
      </c>
      <c r="V1224" s="119"/>
      <c r="Z1224" s="118">
        <f t="shared" si="218"/>
        <v>0</v>
      </c>
      <c r="AA1224" s="118">
        <f t="shared" si="219"/>
        <v>0</v>
      </c>
    </row>
    <row r="1225" spans="2:27">
      <c r="B1225" s="47"/>
      <c r="C1225" s="35"/>
      <c r="D1225" s="53"/>
      <c r="E1225" s="53"/>
      <c r="F1225" s="48"/>
      <c r="G1225" s="243" t="e">
        <f>INDEX('calcolo base'!$B:$B, MATCH($A1225, 'calcolo base'!$A:$A, 0))</f>
        <v>#N/A</v>
      </c>
      <c r="H1225" s="54" t="e">
        <f t="shared" si="220"/>
        <v>#N/A</v>
      </c>
      <c r="I1225" s="259" t="e">
        <f>IF(  OR(      INDEX('calcolo base'!$D:$D, MATCH($A1225, 'calcolo base'!$A:$A, 0)) = 0,
      INDEX('calcolo base'!$D:$D, MATCH($A1225, 'calcolo base'!$A:$A, 0)) = ""   ),
   INDEX('calcolo base'!$K:$K, MATCH($A1225, 'calcolo base'!$A:$A, 0)),
   INDEX('calcolo base'!$J:$J, MATCH($A1225, 'calcolo base'!$A:$A, 0))
) / 1000</f>
        <v>#N/A</v>
      </c>
      <c r="J1225" s="50" t="e">
        <f t="shared" si="221"/>
        <v>#N/A</v>
      </c>
      <c r="K1225" s="50"/>
      <c r="L1225" s="267" t="e">
        <f>INDEX('calcolo base'!$H:$H, MATCH($A1225, 'calcolo base'!$A:$A, 0))</f>
        <v>#N/A</v>
      </c>
      <c r="M1225" s="50" t="e">
        <f t="shared" si="222"/>
        <v>#N/A</v>
      </c>
      <c r="N1225" s="50" t="e">
        <f t="shared" si="223"/>
        <v>#N/A</v>
      </c>
      <c r="O1225" s="50" t="e">
        <f t="shared" si="228"/>
        <v>#N/A</v>
      </c>
      <c r="P1225" s="50" t="e">
        <f t="shared" si="224"/>
        <v>#N/A</v>
      </c>
      <c r="Q1225" s="51" t="e">
        <f t="shared" si="225"/>
        <v>#N/A</v>
      </c>
      <c r="R1225" s="205" t="e">
        <f t="shared" si="226"/>
        <v>#N/A</v>
      </c>
      <c r="S1225" s="279" t="e">
        <f>IF(R1225="si",0,IF(E1225="si",0,IF(J1225&gt;K1225,0,+K1225-J1225)))+IF('calcolo base'!P1917="SI",('Commissioni De Angeli'!K1225-'Commissioni De Angeli'!J1225),0)</f>
        <v>#N/A</v>
      </c>
      <c r="T1225" s="117" t="e">
        <f t="shared" si="227"/>
        <v>#N/A</v>
      </c>
      <c r="U1225" s="272" t="e">
        <f>IF(Q1225=0,'calcolo base'!L3824,(T1225+Q1225))</f>
        <v>#N/A</v>
      </c>
      <c r="V1225" s="119"/>
      <c r="Z1225" s="118">
        <f t="shared" si="218"/>
        <v>0</v>
      </c>
      <c r="AA1225" s="118">
        <f t="shared" si="219"/>
        <v>0</v>
      </c>
    </row>
    <row r="1226" spans="2:27">
      <c r="B1226" s="47"/>
      <c r="C1226" s="35"/>
      <c r="D1226" s="53"/>
      <c r="E1226" s="53"/>
      <c r="F1226" s="48"/>
      <c r="G1226" s="243" t="e">
        <f>INDEX('calcolo base'!$B:$B, MATCH($A1226, 'calcolo base'!$A:$A, 0))</f>
        <v>#N/A</v>
      </c>
      <c r="H1226" s="54" t="e">
        <f t="shared" si="220"/>
        <v>#N/A</v>
      </c>
      <c r="I1226" s="259" t="e">
        <f>IF(  OR(      INDEX('calcolo base'!$D:$D, MATCH($A1226, 'calcolo base'!$A:$A, 0)) = 0,
      INDEX('calcolo base'!$D:$D, MATCH($A1226, 'calcolo base'!$A:$A, 0)) = ""   ),
   INDEX('calcolo base'!$K:$K, MATCH($A1226, 'calcolo base'!$A:$A, 0)),
   INDEX('calcolo base'!$J:$J, MATCH($A1226, 'calcolo base'!$A:$A, 0))
) / 1000</f>
        <v>#N/A</v>
      </c>
      <c r="J1226" s="50" t="e">
        <f t="shared" si="221"/>
        <v>#N/A</v>
      </c>
      <c r="K1226" s="50"/>
      <c r="L1226" s="267" t="e">
        <f>INDEX('calcolo base'!$H:$H, MATCH($A1226, 'calcolo base'!$A:$A, 0))</f>
        <v>#N/A</v>
      </c>
      <c r="M1226" s="50" t="e">
        <f t="shared" si="222"/>
        <v>#N/A</v>
      </c>
      <c r="N1226" s="50" t="e">
        <f t="shared" si="223"/>
        <v>#N/A</v>
      </c>
      <c r="O1226" s="50" t="e">
        <f t="shared" si="228"/>
        <v>#N/A</v>
      </c>
      <c r="P1226" s="50" t="e">
        <f t="shared" si="224"/>
        <v>#N/A</v>
      </c>
      <c r="Q1226" s="51" t="e">
        <f t="shared" si="225"/>
        <v>#N/A</v>
      </c>
      <c r="R1226" s="205" t="e">
        <f t="shared" si="226"/>
        <v>#N/A</v>
      </c>
      <c r="S1226" s="279" t="e">
        <f>IF(R1226="si",0,IF(E1226="si",0,IF(J1226&gt;K1226,0,+K1226-J1226)))+IF('calcolo base'!P1918="SI",('Commissioni De Angeli'!K1226-'Commissioni De Angeli'!J1226),0)</f>
        <v>#N/A</v>
      </c>
      <c r="T1226" s="117" t="e">
        <f t="shared" si="227"/>
        <v>#N/A</v>
      </c>
      <c r="U1226" s="272" t="e">
        <f>IF(Q1226=0,'calcolo base'!L3825,(T1226+Q1226))</f>
        <v>#N/A</v>
      </c>
      <c r="V1226" s="119"/>
      <c r="Z1226" s="118">
        <f t="shared" si="218"/>
        <v>0</v>
      </c>
      <c r="AA1226" s="118">
        <f t="shared" si="219"/>
        <v>0</v>
      </c>
    </row>
    <row r="1227" spans="2:27">
      <c r="B1227" s="47"/>
      <c r="C1227" s="35"/>
      <c r="D1227" s="53"/>
      <c r="E1227" s="53"/>
      <c r="F1227" s="48"/>
      <c r="G1227" s="243" t="e">
        <f>INDEX('calcolo base'!$B:$B, MATCH($A1227, 'calcolo base'!$A:$A, 0))</f>
        <v>#N/A</v>
      </c>
      <c r="H1227" s="54" t="e">
        <f t="shared" si="220"/>
        <v>#N/A</v>
      </c>
      <c r="I1227" s="259" t="e">
        <f>IF(  OR(      INDEX('calcolo base'!$D:$D, MATCH($A1227, 'calcolo base'!$A:$A, 0)) = 0,
      INDEX('calcolo base'!$D:$D, MATCH($A1227, 'calcolo base'!$A:$A, 0)) = ""   ),
   INDEX('calcolo base'!$K:$K, MATCH($A1227, 'calcolo base'!$A:$A, 0)),
   INDEX('calcolo base'!$J:$J, MATCH($A1227, 'calcolo base'!$A:$A, 0))
) / 1000</f>
        <v>#N/A</v>
      </c>
      <c r="J1227" s="50" t="e">
        <f t="shared" si="221"/>
        <v>#N/A</v>
      </c>
      <c r="K1227" s="50"/>
      <c r="L1227" s="267" t="e">
        <f>INDEX('calcolo base'!$H:$H, MATCH($A1227, 'calcolo base'!$A:$A, 0))</f>
        <v>#N/A</v>
      </c>
      <c r="M1227" s="50" t="e">
        <f t="shared" si="222"/>
        <v>#N/A</v>
      </c>
      <c r="N1227" s="50" t="e">
        <f t="shared" si="223"/>
        <v>#N/A</v>
      </c>
      <c r="O1227" s="50" t="e">
        <f t="shared" si="228"/>
        <v>#N/A</v>
      </c>
      <c r="P1227" s="50" t="e">
        <f t="shared" si="224"/>
        <v>#N/A</v>
      </c>
      <c r="Q1227" s="51" t="e">
        <f t="shared" si="225"/>
        <v>#N/A</v>
      </c>
      <c r="R1227" s="205" t="e">
        <f t="shared" si="226"/>
        <v>#N/A</v>
      </c>
      <c r="S1227" s="279" t="e">
        <f>IF(R1227="si",0,IF(E1227="si",0,IF(J1227&gt;K1227,0,+K1227-J1227)))+IF('calcolo base'!P1919="SI",('Commissioni De Angeli'!K1227-'Commissioni De Angeli'!J1227),0)</f>
        <v>#N/A</v>
      </c>
      <c r="T1227" s="117" t="e">
        <f t="shared" si="227"/>
        <v>#N/A</v>
      </c>
      <c r="U1227" s="272" t="e">
        <f>IF(Q1227=0,'calcolo base'!L3826,(T1227+Q1227))</f>
        <v>#N/A</v>
      </c>
      <c r="V1227" s="119"/>
      <c r="Z1227" s="118">
        <f t="shared" si="218"/>
        <v>0</v>
      </c>
      <c r="AA1227" s="118">
        <f t="shared" si="219"/>
        <v>0</v>
      </c>
    </row>
    <row r="1228" spans="2:27">
      <c r="B1228" s="47"/>
      <c r="C1228" s="35"/>
      <c r="D1228" s="53"/>
      <c r="E1228" s="53"/>
      <c r="F1228" s="48"/>
      <c r="G1228" s="243" t="e">
        <f>INDEX('calcolo base'!$B:$B, MATCH($A1228, 'calcolo base'!$A:$A, 0))</f>
        <v>#N/A</v>
      </c>
      <c r="H1228" s="54" t="e">
        <f t="shared" si="220"/>
        <v>#N/A</v>
      </c>
      <c r="I1228" s="259" t="e">
        <f>IF(  OR(      INDEX('calcolo base'!$D:$D, MATCH($A1228, 'calcolo base'!$A:$A, 0)) = 0,
      INDEX('calcolo base'!$D:$D, MATCH($A1228, 'calcolo base'!$A:$A, 0)) = ""   ),
   INDEX('calcolo base'!$K:$K, MATCH($A1228, 'calcolo base'!$A:$A, 0)),
   INDEX('calcolo base'!$J:$J, MATCH($A1228, 'calcolo base'!$A:$A, 0))
) / 1000</f>
        <v>#N/A</v>
      </c>
      <c r="J1228" s="50" t="e">
        <f t="shared" si="221"/>
        <v>#N/A</v>
      </c>
      <c r="K1228" s="50"/>
      <c r="L1228" s="267" t="e">
        <f>INDEX('calcolo base'!$H:$H, MATCH($A1228, 'calcolo base'!$A:$A, 0))</f>
        <v>#N/A</v>
      </c>
      <c r="M1228" s="50" t="e">
        <f t="shared" si="222"/>
        <v>#N/A</v>
      </c>
      <c r="N1228" s="50" t="e">
        <f t="shared" si="223"/>
        <v>#N/A</v>
      </c>
      <c r="O1228" s="50" t="e">
        <f t="shared" si="228"/>
        <v>#N/A</v>
      </c>
      <c r="P1228" s="50" t="e">
        <f t="shared" si="224"/>
        <v>#N/A</v>
      </c>
      <c r="Q1228" s="51" t="e">
        <f t="shared" si="225"/>
        <v>#N/A</v>
      </c>
      <c r="R1228" s="205" t="e">
        <f t="shared" si="226"/>
        <v>#N/A</v>
      </c>
      <c r="S1228" s="279" t="e">
        <f>IF(R1228="si",0,IF(E1228="si",0,IF(J1228&gt;K1228,0,+K1228-J1228)))+IF('calcolo base'!P1920="SI",('Commissioni De Angeli'!K1228-'Commissioni De Angeli'!J1228),0)</f>
        <v>#N/A</v>
      </c>
      <c r="T1228" s="117" t="e">
        <f t="shared" si="227"/>
        <v>#N/A</v>
      </c>
      <c r="U1228" s="272" t="e">
        <f>IF(Q1228=0,'calcolo base'!L3827,(T1228+Q1228))</f>
        <v>#N/A</v>
      </c>
      <c r="V1228" s="119"/>
      <c r="Z1228" s="118">
        <f t="shared" si="218"/>
        <v>0</v>
      </c>
      <c r="AA1228" s="118">
        <f t="shared" si="219"/>
        <v>0</v>
      </c>
    </row>
    <row r="1229" spans="2:27">
      <c r="B1229" s="47"/>
      <c r="C1229" s="35"/>
      <c r="D1229" s="53"/>
      <c r="E1229" s="53"/>
      <c r="F1229" s="48"/>
      <c r="G1229" s="243" t="e">
        <f>INDEX('calcolo base'!$B:$B, MATCH($A1229, 'calcolo base'!$A:$A, 0))</f>
        <v>#N/A</v>
      </c>
      <c r="H1229" s="54" t="e">
        <f t="shared" si="220"/>
        <v>#N/A</v>
      </c>
      <c r="I1229" s="259" t="e">
        <f>IF(  OR(      INDEX('calcolo base'!$D:$D, MATCH($A1229, 'calcolo base'!$A:$A, 0)) = 0,
      INDEX('calcolo base'!$D:$D, MATCH($A1229, 'calcolo base'!$A:$A, 0)) = ""   ),
   INDEX('calcolo base'!$K:$K, MATCH($A1229, 'calcolo base'!$A:$A, 0)),
   INDEX('calcolo base'!$J:$J, MATCH($A1229, 'calcolo base'!$A:$A, 0))
) / 1000</f>
        <v>#N/A</v>
      </c>
      <c r="J1229" s="50" t="e">
        <f t="shared" si="221"/>
        <v>#N/A</v>
      </c>
      <c r="K1229" s="50"/>
      <c r="L1229" s="267" t="e">
        <f>INDEX('calcolo base'!$H:$H, MATCH($A1229, 'calcolo base'!$A:$A, 0))</f>
        <v>#N/A</v>
      </c>
      <c r="M1229" s="50" t="e">
        <f t="shared" si="222"/>
        <v>#N/A</v>
      </c>
      <c r="N1229" s="50" t="e">
        <f t="shared" si="223"/>
        <v>#N/A</v>
      </c>
      <c r="O1229" s="50" t="e">
        <f t="shared" si="228"/>
        <v>#N/A</v>
      </c>
      <c r="P1229" s="50" t="e">
        <f t="shared" si="224"/>
        <v>#N/A</v>
      </c>
      <c r="Q1229" s="51" t="e">
        <f t="shared" si="225"/>
        <v>#N/A</v>
      </c>
      <c r="R1229" s="205" t="e">
        <f t="shared" si="226"/>
        <v>#N/A</v>
      </c>
      <c r="S1229" s="279" t="e">
        <f>IF(R1229="si",0,IF(E1229="si",0,IF(J1229&gt;K1229,0,+K1229-J1229)))+IF('calcolo base'!P1921="SI",('Commissioni De Angeli'!K1229-'Commissioni De Angeli'!J1229),0)</f>
        <v>#N/A</v>
      </c>
      <c r="T1229" s="117" t="e">
        <f t="shared" si="227"/>
        <v>#N/A</v>
      </c>
      <c r="U1229" s="272" t="e">
        <f>IF(Q1229=0,'calcolo base'!L3828,(T1229+Q1229))</f>
        <v>#N/A</v>
      </c>
      <c r="V1229" s="119"/>
      <c r="Z1229" s="118">
        <f t="shared" si="218"/>
        <v>0</v>
      </c>
      <c r="AA1229" s="118">
        <f t="shared" si="219"/>
        <v>0</v>
      </c>
    </row>
    <row r="1230" spans="2:27">
      <c r="B1230" s="47"/>
      <c r="C1230" s="35"/>
      <c r="D1230" s="53"/>
      <c r="E1230" s="53"/>
      <c r="F1230" s="48"/>
      <c r="G1230" s="243" t="e">
        <f>INDEX('calcolo base'!$B:$B, MATCH($A1230, 'calcolo base'!$A:$A, 0))</f>
        <v>#N/A</v>
      </c>
      <c r="H1230" s="54" t="e">
        <f t="shared" si="220"/>
        <v>#N/A</v>
      </c>
      <c r="I1230" s="259" t="e">
        <f>IF(  OR(      INDEX('calcolo base'!$D:$D, MATCH($A1230, 'calcolo base'!$A:$A, 0)) = 0,
      INDEX('calcolo base'!$D:$D, MATCH($A1230, 'calcolo base'!$A:$A, 0)) = ""   ),
   INDEX('calcolo base'!$K:$K, MATCH($A1230, 'calcolo base'!$A:$A, 0)),
   INDEX('calcolo base'!$J:$J, MATCH($A1230, 'calcolo base'!$A:$A, 0))
) / 1000</f>
        <v>#N/A</v>
      </c>
      <c r="J1230" s="50" t="e">
        <f t="shared" si="221"/>
        <v>#N/A</v>
      </c>
      <c r="K1230" s="50"/>
      <c r="L1230" s="267" t="e">
        <f>INDEX('calcolo base'!$H:$H, MATCH($A1230, 'calcolo base'!$A:$A, 0))</f>
        <v>#N/A</v>
      </c>
      <c r="M1230" s="50" t="e">
        <f t="shared" si="222"/>
        <v>#N/A</v>
      </c>
      <c r="N1230" s="50" t="e">
        <f t="shared" si="223"/>
        <v>#N/A</v>
      </c>
      <c r="O1230" s="50" t="e">
        <f t="shared" si="228"/>
        <v>#N/A</v>
      </c>
      <c r="P1230" s="50" t="e">
        <f t="shared" si="224"/>
        <v>#N/A</v>
      </c>
      <c r="Q1230" s="51" t="e">
        <f t="shared" si="225"/>
        <v>#N/A</v>
      </c>
      <c r="R1230" s="205" t="e">
        <f t="shared" si="226"/>
        <v>#N/A</v>
      </c>
      <c r="S1230" s="279" t="e">
        <f>IF(R1230="si",0,IF(E1230="si",0,IF(J1230&gt;K1230,0,+K1230-J1230)))+IF('calcolo base'!P1922="SI",('Commissioni De Angeli'!K1230-'Commissioni De Angeli'!J1230),0)</f>
        <v>#N/A</v>
      </c>
      <c r="T1230" s="117" t="e">
        <f t="shared" si="227"/>
        <v>#N/A</v>
      </c>
      <c r="U1230" s="272" t="e">
        <f>IF(Q1230=0,'calcolo base'!L3829,(T1230+Q1230))</f>
        <v>#N/A</v>
      </c>
      <c r="V1230" s="119"/>
      <c r="Z1230" s="118">
        <f t="shared" si="218"/>
        <v>0</v>
      </c>
      <c r="AA1230" s="118">
        <f t="shared" si="219"/>
        <v>0</v>
      </c>
    </row>
    <row r="1231" spans="2:27">
      <c r="B1231" s="47"/>
      <c r="C1231" s="35"/>
      <c r="D1231" s="53"/>
      <c r="E1231" s="53"/>
      <c r="F1231" s="48"/>
      <c r="G1231" s="243" t="e">
        <f>INDEX('calcolo base'!$B:$B, MATCH($A1231, 'calcolo base'!$A:$A, 0))</f>
        <v>#N/A</v>
      </c>
      <c r="H1231" s="54" t="e">
        <f t="shared" si="220"/>
        <v>#N/A</v>
      </c>
      <c r="I1231" s="259" t="e">
        <f>IF(  OR(      INDEX('calcolo base'!$D:$D, MATCH($A1231, 'calcolo base'!$A:$A, 0)) = 0,
      INDEX('calcolo base'!$D:$D, MATCH($A1231, 'calcolo base'!$A:$A, 0)) = ""   ),
   INDEX('calcolo base'!$K:$K, MATCH($A1231, 'calcolo base'!$A:$A, 0)),
   INDEX('calcolo base'!$J:$J, MATCH($A1231, 'calcolo base'!$A:$A, 0))
) / 1000</f>
        <v>#N/A</v>
      </c>
      <c r="J1231" s="50" t="e">
        <f t="shared" si="221"/>
        <v>#N/A</v>
      </c>
      <c r="K1231" s="50"/>
      <c r="L1231" s="267" t="e">
        <f>INDEX('calcolo base'!$H:$H, MATCH($A1231, 'calcolo base'!$A:$A, 0))</f>
        <v>#N/A</v>
      </c>
      <c r="M1231" s="50" t="e">
        <f t="shared" si="222"/>
        <v>#N/A</v>
      </c>
      <c r="N1231" s="50" t="e">
        <f t="shared" si="223"/>
        <v>#N/A</v>
      </c>
      <c r="O1231" s="50" t="e">
        <f t="shared" si="228"/>
        <v>#N/A</v>
      </c>
      <c r="P1231" s="50" t="e">
        <f t="shared" si="224"/>
        <v>#N/A</v>
      </c>
      <c r="Q1231" s="51" t="e">
        <f t="shared" si="225"/>
        <v>#N/A</v>
      </c>
      <c r="R1231" s="205" t="e">
        <f t="shared" si="226"/>
        <v>#N/A</v>
      </c>
      <c r="S1231" s="279" t="e">
        <f>IF(R1231="si",0,IF(E1231="si",0,IF(J1231&gt;K1231,0,+K1231-J1231)))+IF('calcolo base'!P1923="SI",('Commissioni De Angeli'!K1231-'Commissioni De Angeli'!J1231),0)</f>
        <v>#N/A</v>
      </c>
      <c r="T1231" s="117" t="e">
        <f t="shared" si="227"/>
        <v>#N/A</v>
      </c>
      <c r="U1231" s="272" t="e">
        <f>IF(Q1231=0,'calcolo base'!L3830,(T1231+Q1231))</f>
        <v>#N/A</v>
      </c>
      <c r="V1231" s="119"/>
      <c r="Z1231" s="118">
        <f t="shared" si="218"/>
        <v>0</v>
      </c>
      <c r="AA1231" s="118">
        <f t="shared" si="219"/>
        <v>0</v>
      </c>
    </row>
    <row r="1232" spans="2:27">
      <c r="B1232" s="47"/>
      <c r="C1232" s="35"/>
      <c r="D1232" s="53"/>
      <c r="E1232" s="53"/>
      <c r="F1232" s="48"/>
      <c r="G1232" s="243" t="e">
        <f>INDEX('calcolo base'!$B:$B, MATCH($A1232, 'calcolo base'!$A:$A, 0))</f>
        <v>#N/A</v>
      </c>
      <c r="H1232" s="54" t="e">
        <f t="shared" si="220"/>
        <v>#N/A</v>
      </c>
      <c r="I1232" s="259" t="e">
        <f>IF(  OR(      INDEX('calcolo base'!$D:$D, MATCH($A1232, 'calcolo base'!$A:$A, 0)) = 0,
      INDEX('calcolo base'!$D:$D, MATCH($A1232, 'calcolo base'!$A:$A, 0)) = ""   ),
   INDEX('calcolo base'!$K:$K, MATCH($A1232, 'calcolo base'!$A:$A, 0)),
   INDEX('calcolo base'!$J:$J, MATCH($A1232, 'calcolo base'!$A:$A, 0))
) / 1000</f>
        <v>#N/A</v>
      </c>
      <c r="J1232" s="50" t="e">
        <f t="shared" si="221"/>
        <v>#N/A</v>
      </c>
      <c r="K1232" s="50"/>
      <c r="L1232" s="267" t="e">
        <f>INDEX('calcolo base'!$H:$H, MATCH($A1232, 'calcolo base'!$A:$A, 0))</f>
        <v>#N/A</v>
      </c>
      <c r="M1232" s="50" t="e">
        <f t="shared" si="222"/>
        <v>#N/A</v>
      </c>
      <c r="N1232" s="50" t="e">
        <f t="shared" si="223"/>
        <v>#N/A</v>
      </c>
      <c r="O1232" s="50" t="e">
        <f t="shared" si="228"/>
        <v>#N/A</v>
      </c>
      <c r="P1232" s="50" t="e">
        <f t="shared" si="224"/>
        <v>#N/A</v>
      </c>
      <c r="Q1232" s="51" t="e">
        <f t="shared" si="225"/>
        <v>#N/A</v>
      </c>
      <c r="R1232" s="205" t="e">
        <f t="shared" si="226"/>
        <v>#N/A</v>
      </c>
      <c r="S1232" s="279" t="e">
        <f>IF(R1232="si",0,IF(E1232="si",0,IF(J1232&gt;K1232,0,+K1232-J1232)))+IF('calcolo base'!P1924="SI",('Commissioni De Angeli'!K1232-'Commissioni De Angeli'!J1232),0)</f>
        <v>#N/A</v>
      </c>
      <c r="T1232" s="117" t="e">
        <f t="shared" si="227"/>
        <v>#N/A</v>
      </c>
      <c r="U1232" s="272" t="e">
        <f>IF(Q1232=0,'calcolo base'!L3831,(T1232+Q1232))</f>
        <v>#N/A</v>
      </c>
      <c r="V1232" s="119"/>
      <c r="Z1232" s="118">
        <f t="shared" si="218"/>
        <v>0</v>
      </c>
      <c r="AA1232" s="118">
        <f t="shared" si="219"/>
        <v>0</v>
      </c>
    </row>
    <row r="1233" spans="2:27">
      <c r="B1233" s="47"/>
      <c r="C1233" s="35"/>
      <c r="D1233" s="53"/>
      <c r="E1233" s="53"/>
      <c r="F1233" s="48"/>
      <c r="G1233" s="243" t="e">
        <f>INDEX('calcolo base'!$B:$B, MATCH($A1233, 'calcolo base'!$A:$A, 0))</f>
        <v>#N/A</v>
      </c>
      <c r="H1233" s="54" t="e">
        <f t="shared" si="220"/>
        <v>#N/A</v>
      </c>
      <c r="I1233" s="259" t="e">
        <f>IF(  OR(      INDEX('calcolo base'!$D:$D, MATCH($A1233, 'calcolo base'!$A:$A, 0)) = 0,
      INDEX('calcolo base'!$D:$D, MATCH($A1233, 'calcolo base'!$A:$A, 0)) = ""   ),
   INDEX('calcolo base'!$K:$K, MATCH($A1233, 'calcolo base'!$A:$A, 0)),
   INDEX('calcolo base'!$J:$J, MATCH($A1233, 'calcolo base'!$A:$A, 0))
) / 1000</f>
        <v>#N/A</v>
      </c>
      <c r="J1233" s="50" t="e">
        <f t="shared" si="221"/>
        <v>#N/A</v>
      </c>
      <c r="K1233" s="50"/>
      <c r="L1233" s="267" t="e">
        <f>INDEX('calcolo base'!$H:$H, MATCH($A1233, 'calcolo base'!$A:$A, 0))</f>
        <v>#N/A</v>
      </c>
      <c r="M1233" s="50" t="e">
        <f t="shared" si="222"/>
        <v>#N/A</v>
      </c>
      <c r="N1233" s="50" t="e">
        <f t="shared" si="223"/>
        <v>#N/A</v>
      </c>
      <c r="O1233" s="50" t="e">
        <f t="shared" si="228"/>
        <v>#N/A</v>
      </c>
      <c r="P1233" s="50" t="e">
        <f t="shared" si="224"/>
        <v>#N/A</v>
      </c>
      <c r="Q1233" s="51" t="e">
        <f t="shared" si="225"/>
        <v>#N/A</v>
      </c>
      <c r="R1233" s="205" t="e">
        <f t="shared" si="226"/>
        <v>#N/A</v>
      </c>
      <c r="S1233" s="279" t="e">
        <f>IF(R1233="si",0,IF(E1233="si",0,IF(J1233&gt;K1233,0,+K1233-J1233)))+IF('calcolo base'!P1925="SI",('Commissioni De Angeli'!K1233-'Commissioni De Angeli'!J1233),0)</f>
        <v>#N/A</v>
      </c>
      <c r="T1233" s="117" t="e">
        <f t="shared" si="227"/>
        <v>#N/A</v>
      </c>
      <c r="U1233" s="272" t="e">
        <f>IF(Q1233=0,'calcolo base'!L3832,(T1233+Q1233))</f>
        <v>#N/A</v>
      </c>
      <c r="V1233" s="119"/>
      <c r="Z1233" s="118">
        <f t="shared" si="218"/>
        <v>0</v>
      </c>
      <c r="AA1233" s="118">
        <f t="shared" si="219"/>
        <v>0</v>
      </c>
    </row>
    <row r="1234" spans="2:27">
      <c r="B1234" s="47"/>
      <c r="C1234" s="35"/>
      <c r="D1234" s="53"/>
      <c r="E1234" s="53"/>
      <c r="F1234" s="48"/>
      <c r="G1234" s="243" t="e">
        <f>INDEX('calcolo base'!$B:$B, MATCH($A1234, 'calcolo base'!$A:$A, 0))</f>
        <v>#N/A</v>
      </c>
      <c r="H1234" s="54" t="e">
        <f t="shared" si="220"/>
        <v>#N/A</v>
      </c>
      <c r="I1234" s="259" t="e">
        <f>IF(  OR(      INDEX('calcolo base'!$D:$D, MATCH($A1234, 'calcolo base'!$A:$A, 0)) = 0,
      INDEX('calcolo base'!$D:$D, MATCH($A1234, 'calcolo base'!$A:$A, 0)) = ""   ),
   INDEX('calcolo base'!$K:$K, MATCH($A1234, 'calcolo base'!$A:$A, 0)),
   INDEX('calcolo base'!$J:$J, MATCH($A1234, 'calcolo base'!$A:$A, 0))
) / 1000</f>
        <v>#N/A</v>
      </c>
      <c r="J1234" s="50" t="e">
        <f t="shared" si="221"/>
        <v>#N/A</v>
      </c>
      <c r="K1234" s="50"/>
      <c r="L1234" s="267" t="e">
        <f>INDEX('calcolo base'!$H:$H, MATCH($A1234, 'calcolo base'!$A:$A, 0))</f>
        <v>#N/A</v>
      </c>
      <c r="M1234" s="50" t="e">
        <f t="shared" si="222"/>
        <v>#N/A</v>
      </c>
      <c r="N1234" s="50" t="e">
        <f t="shared" si="223"/>
        <v>#N/A</v>
      </c>
      <c r="O1234" s="50" t="e">
        <f t="shared" si="228"/>
        <v>#N/A</v>
      </c>
      <c r="P1234" s="50" t="e">
        <f t="shared" si="224"/>
        <v>#N/A</v>
      </c>
      <c r="Q1234" s="51" t="e">
        <f t="shared" si="225"/>
        <v>#N/A</v>
      </c>
      <c r="R1234" s="205" t="e">
        <f t="shared" si="226"/>
        <v>#N/A</v>
      </c>
      <c r="S1234" s="279" t="e">
        <f>IF(R1234="si",0,IF(E1234="si",0,IF(J1234&gt;K1234,0,+K1234-J1234)))+IF('calcolo base'!P1926="SI",('Commissioni De Angeli'!K1234-'Commissioni De Angeli'!J1234),0)</f>
        <v>#N/A</v>
      </c>
      <c r="T1234" s="117" t="e">
        <f t="shared" si="227"/>
        <v>#N/A</v>
      </c>
      <c r="U1234" s="272" t="e">
        <f>IF(Q1234=0,'calcolo base'!L3833,(T1234+Q1234))</f>
        <v>#N/A</v>
      </c>
      <c r="V1234" s="119"/>
      <c r="Z1234" s="118">
        <f t="shared" si="218"/>
        <v>0</v>
      </c>
      <c r="AA1234" s="118">
        <f t="shared" si="219"/>
        <v>0</v>
      </c>
    </row>
    <row r="1235" spans="2:27">
      <c r="B1235" s="47"/>
      <c r="C1235" s="35"/>
      <c r="D1235" s="53"/>
      <c r="E1235" s="53"/>
      <c r="F1235" s="48"/>
      <c r="G1235" s="243" t="e">
        <f>INDEX('calcolo base'!$B:$B, MATCH($A1235, 'calcolo base'!$A:$A, 0))</f>
        <v>#N/A</v>
      </c>
      <c r="H1235" s="54" t="e">
        <f t="shared" si="220"/>
        <v>#N/A</v>
      </c>
      <c r="I1235" s="259" t="e">
        <f>IF(  OR(      INDEX('calcolo base'!$D:$D, MATCH($A1235, 'calcolo base'!$A:$A, 0)) = 0,
      INDEX('calcolo base'!$D:$D, MATCH($A1235, 'calcolo base'!$A:$A, 0)) = ""   ),
   INDEX('calcolo base'!$K:$K, MATCH($A1235, 'calcolo base'!$A:$A, 0)),
   INDEX('calcolo base'!$J:$J, MATCH($A1235, 'calcolo base'!$A:$A, 0))
) / 1000</f>
        <v>#N/A</v>
      </c>
      <c r="J1235" s="50" t="e">
        <f t="shared" si="221"/>
        <v>#N/A</v>
      </c>
      <c r="K1235" s="50"/>
      <c r="L1235" s="267" t="e">
        <f>INDEX('calcolo base'!$H:$H, MATCH($A1235, 'calcolo base'!$A:$A, 0))</f>
        <v>#N/A</v>
      </c>
      <c r="M1235" s="50" t="e">
        <f t="shared" si="222"/>
        <v>#N/A</v>
      </c>
      <c r="N1235" s="50" t="e">
        <f t="shared" si="223"/>
        <v>#N/A</v>
      </c>
      <c r="O1235" s="50" t="e">
        <f t="shared" si="228"/>
        <v>#N/A</v>
      </c>
      <c r="P1235" s="50" t="e">
        <f t="shared" si="224"/>
        <v>#N/A</v>
      </c>
      <c r="Q1235" s="51" t="e">
        <f t="shared" si="225"/>
        <v>#N/A</v>
      </c>
      <c r="R1235" s="205" t="e">
        <f t="shared" si="226"/>
        <v>#N/A</v>
      </c>
      <c r="S1235" s="279" t="e">
        <f>IF(R1235="si",0,IF(E1235="si",0,IF(J1235&gt;K1235,0,+K1235-J1235)))+IF('calcolo base'!P1927="SI",('Commissioni De Angeli'!K1235-'Commissioni De Angeli'!J1235),0)</f>
        <v>#N/A</v>
      </c>
      <c r="T1235" s="117" t="e">
        <f t="shared" si="227"/>
        <v>#N/A</v>
      </c>
      <c r="U1235" s="272" t="e">
        <f>IF(Q1235=0,'calcolo base'!L3834,(T1235+Q1235))</f>
        <v>#N/A</v>
      </c>
      <c r="V1235" s="119"/>
      <c r="Z1235" s="118">
        <f t="shared" si="218"/>
        <v>0</v>
      </c>
      <c r="AA1235" s="118">
        <f t="shared" si="219"/>
        <v>0</v>
      </c>
    </row>
    <row r="1236" spans="2:27">
      <c r="B1236" s="47"/>
      <c r="C1236" s="35"/>
      <c r="D1236" s="53"/>
      <c r="E1236" s="53"/>
      <c r="F1236" s="48"/>
      <c r="G1236" s="243" t="e">
        <f>INDEX('calcolo base'!$B:$B, MATCH($A1236, 'calcolo base'!$A:$A, 0))</f>
        <v>#N/A</v>
      </c>
      <c r="H1236" s="54" t="e">
        <f t="shared" si="220"/>
        <v>#N/A</v>
      </c>
      <c r="I1236" s="259" t="e">
        <f>IF(  OR(      INDEX('calcolo base'!$D:$D, MATCH($A1236, 'calcolo base'!$A:$A, 0)) = 0,
      INDEX('calcolo base'!$D:$D, MATCH($A1236, 'calcolo base'!$A:$A, 0)) = ""   ),
   INDEX('calcolo base'!$K:$K, MATCH($A1236, 'calcolo base'!$A:$A, 0)),
   INDEX('calcolo base'!$J:$J, MATCH($A1236, 'calcolo base'!$A:$A, 0))
) / 1000</f>
        <v>#N/A</v>
      </c>
      <c r="J1236" s="50" t="e">
        <f t="shared" si="221"/>
        <v>#N/A</v>
      </c>
      <c r="K1236" s="50"/>
      <c r="L1236" s="267" t="e">
        <f>INDEX('calcolo base'!$H:$H, MATCH($A1236, 'calcolo base'!$A:$A, 0))</f>
        <v>#N/A</v>
      </c>
      <c r="M1236" s="50" t="e">
        <f t="shared" si="222"/>
        <v>#N/A</v>
      </c>
      <c r="N1236" s="50" t="e">
        <f t="shared" si="223"/>
        <v>#N/A</v>
      </c>
      <c r="O1236" s="50" t="e">
        <f t="shared" si="228"/>
        <v>#N/A</v>
      </c>
      <c r="P1236" s="50" t="e">
        <f t="shared" si="224"/>
        <v>#N/A</v>
      </c>
      <c r="Q1236" s="51" t="e">
        <f t="shared" si="225"/>
        <v>#N/A</v>
      </c>
      <c r="R1236" s="205" t="e">
        <f t="shared" si="226"/>
        <v>#N/A</v>
      </c>
      <c r="S1236" s="279" t="e">
        <f>IF(R1236="si",0,IF(E1236="si",0,IF(J1236&gt;K1236,0,+K1236-J1236)))+IF('calcolo base'!P1928="SI",('Commissioni De Angeli'!K1236-'Commissioni De Angeli'!J1236),0)</f>
        <v>#N/A</v>
      </c>
      <c r="T1236" s="117" t="e">
        <f t="shared" si="227"/>
        <v>#N/A</v>
      </c>
      <c r="U1236" s="272" t="e">
        <f>IF(Q1236=0,'calcolo base'!L3835,(T1236+Q1236))</f>
        <v>#N/A</v>
      </c>
      <c r="V1236" s="119"/>
      <c r="Z1236" s="118">
        <f t="shared" si="218"/>
        <v>0</v>
      </c>
      <c r="AA1236" s="118">
        <f t="shared" si="219"/>
        <v>0</v>
      </c>
    </row>
    <row r="1237" spans="2:27">
      <c r="B1237" s="47"/>
      <c r="C1237" s="35"/>
      <c r="D1237" s="53"/>
      <c r="E1237" s="53"/>
      <c r="F1237" s="48"/>
      <c r="G1237" s="243" t="e">
        <f>INDEX('calcolo base'!$B:$B, MATCH($A1237, 'calcolo base'!$A:$A, 0))</f>
        <v>#N/A</v>
      </c>
      <c r="H1237" s="54" t="e">
        <f t="shared" si="220"/>
        <v>#N/A</v>
      </c>
      <c r="I1237" s="259" t="e">
        <f>IF(  OR(      INDEX('calcolo base'!$D:$D, MATCH($A1237, 'calcolo base'!$A:$A, 0)) = 0,
      INDEX('calcolo base'!$D:$D, MATCH($A1237, 'calcolo base'!$A:$A, 0)) = ""   ),
   INDEX('calcolo base'!$K:$K, MATCH($A1237, 'calcolo base'!$A:$A, 0)),
   INDEX('calcolo base'!$J:$J, MATCH($A1237, 'calcolo base'!$A:$A, 0))
) / 1000</f>
        <v>#N/A</v>
      </c>
      <c r="J1237" s="50" t="e">
        <f t="shared" si="221"/>
        <v>#N/A</v>
      </c>
      <c r="K1237" s="50"/>
      <c r="L1237" s="267" t="e">
        <f>INDEX('calcolo base'!$H:$H, MATCH($A1237, 'calcolo base'!$A:$A, 0))</f>
        <v>#N/A</v>
      </c>
      <c r="M1237" s="50" t="e">
        <f t="shared" si="222"/>
        <v>#N/A</v>
      </c>
      <c r="N1237" s="50" t="e">
        <f t="shared" si="223"/>
        <v>#N/A</v>
      </c>
      <c r="O1237" s="50" t="e">
        <f t="shared" si="228"/>
        <v>#N/A</v>
      </c>
      <c r="P1237" s="50" t="e">
        <f t="shared" si="224"/>
        <v>#N/A</v>
      </c>
      <c r="Q1237" s="51" t="e">
        <f t="shared" si="225"/>
        <v>#N/A</v>
      </c>
      <c r="R1237" s="205" t="e">
        <f t="shared" si="226"/>
        <v>#N/A</v>
      </c>
      <c r="S1237" s="279" t="e">
        <f>IF(R1237="si",0,IF(E1237="si",0,IF(J1237&gt;K1237,0,+K1237-J1237)))+IF('calcolo base'!P1929="SI",('Commissioni De Angeli'!K1237-'Commissioni De Angeli'!J1237),0)</f>
        <v>#N/A</v>
      </c>
      <c r="T1237" s="117" t="e">
        <f t="shared" si="227"/>
        <v>#N/A</v>
      </c>
      <c r="U1237" s="272" t="e">
        <f>IF(Q1237=0,'calcolo base'!L3836,(T1237+Q1237))</f>
        <v>#N/A</v>
      </c>
      <c r="V1237" s="119"/>
      <c r="Z1237" s="118">
        <f t="shared" ref="Z1237:Z1300" si="229">IF(V1237="",0,MONTH(V1237))</f>
        <v>0</v>
      </c>
      <c r="AA1237" s="118">
        <f t="shared" ref="AA1237:AA1300" si="230">IF(V1237="",0,YEAR(V1237))</f>
        <v>0</v>
      </c>
    </row>
    <row r="1238" spans="2:27">
      <c r="B1238" s="47"/>
      <c r="C1238" s="35"/>
      <c r="D1238" s="53"/>
      <c r="E1238" s="53"/>
      <c r="F1238" s="48"/>
      <c r="G1238" s="243" t="e">
        <f>INDEX('calcolo base'!$B:$B, MATCH($A1238, 'calcolo base'!$A:$A, 0))</f>
        <v>#N/A</v>
      </c>
      <c r="H1238" s="54" t="e">
        <f t="shared" si="220"/>
        <v>#N/A</v>
      </c>
      <c r="I1238" s="259" t="e">
        <f>IF(  OR(      INDEX('calcolo base'!$D:$D, MATCH($A1238, 'calcolo base'!$A:$A, 0)) = 0,
      INDEX('calcolo base'!$D:$D, MATCH($A1238, 'calcolo base'!$A:$A, 0)) = ""   ),
   INDEX('calcolo base'!$K:$K, MATCH($A1238, 'calcolo base'!$A:$A, 0)),
   INDEX('calcolo base'!$J:$J, MATCH($A1238, 'calcolo base'!$A:$A, 0))
) / 1000</f>
        <v>#N/A</v>
      </c>
      <c r="J1238" s="50" t="e">
        <f t="shared" si="221"/>
        <v>#N/A</v>
      </c>
      <c r="K1238" s="50"/>
      <c r="L1238" s="267" t="e">
        <f>INDEX('calcolo base'!$H:$H, MATCH($A1238, 'calcolo base'!$A:$A, 0))</f>
        <v>#N/A</v>
      </c>
      <c r="M1238" s="50" t="e">
        <f t="shared" si="222"/>
        <v>#N/A</v>
      </c>
      <c r="N1238" s="50" t="e">
        <f t="shared" si="223"/>
        <v>#N/A</v>
      </c>
      <c r="O1238" s="50" t="e">
        <f t="shared" si="228"/>
        <v>#N/A</v>
      </c>
      <c r="P1238" s="50" t="e">
        <f t="shared" si="224"/>
        <v>#N/A</v>
      </c>
      <c r="Q1238" s="51" t="e">
        <f t="shared" si="225"/>
        <v>#N/A</v>
      </c>
      <c r="R1238" s="205" t="e">
        <f t="shared" si="226"/>
        <v>#N/A</v>
      </c>
      <c r="S1238" s="279" t="e">
        <f>IF(R1238="si",0,IF(E1238="si",0,IF(J1238&gt;K1238,0,+K1238-J1238)))+IF('calcolo base'!P1930="SI",('Commissioni De Angeli'!K1238-'Commissioni De Angeli'!J1238),0)</f>
        <v>#N/A</v>
      </c>
      <c r="T1238" s="117" t="e">
        <f t="shared" si="227"/>
        <v>#N/A</v>
      </c>
      <c r="U1238" s="272" t="e">
        <f>IF(Q1238=0,'calcolo base'!L3837,(T1238+Q1238))</f>
        <v>#N/A</v>
      </c>
      <c r="V1238" s="119"/>
      <c r="Z1238" s="118">
        <f t="shared" si="229"/>
        <v>0</v>
      </c>
      <c r="AA1238" s="118">
        <f t="shared" si="230"/>
        <v>0</v>
      </c>
    </row>
    <row r="1239" spans="2:27">
      <c r="B1239" s="47"/>
      <c r="C1239" s="35"/>
      <c r="D1239" s="53"/>
      <c r="E1239" s="53"/>
      <c r="F1239" s="48"/>
      <c r="G1239" s="243" t="e">
        <f>INDEX('calcolo base'!$B:$B, MATCH($A1239, 'calcolo base'!$A:$A, 0))</f>
        <v>#N/A</v>
      </c>
      <c r="H1239" s="54" t="e">
        <f t="shared" si="220"/>
        <v>#N/A</v>
      </c>
      <c r="I1239" s="259" t="e">
        <f>IF(  OR(      INDEX('calcolo base'!$D:$D, MATCH($A1239, 'calcolo base'!$A:$A, 0)) = 0,
      INDEX('calcolo base'!$D:$D, MATCH($A1239, 'calcolo base'!$A:$A, 0)) = ""   ),
   INDEX('calcolo base'!$K:$K, MATCH($A1239, 'calcolo base'!$A:$A, 0)),
   INDEX('calcolo base'!$J:$J, MATCH($A1239, 'calcolo base'!$A:$A, 0))
) / 1000</f>
        <v>#N/A</v>
      </c>
      <c r="J1239" s="50" t="e">
        <f t="shared" si="221"/>
        <v>#N/A</v>
      </c>
      <c r="K1239" s="50"/>
      <c r="L1239" s="267" t="e">
        <f>INDEX('calcolo base'!$H:$H, MATCH($A1239, 'calcolo base'!$A:$A, 0))</f>
        <v>#N/A</v>
      </c>
      <c r="M1239" s="50" t="e">
        <f t="shared" si="222"/>
        <v>#N/A</v>
      </c>
      <c r="N1239" s="50" t="e">
        <f t="shared" si="223"/>
        <v>#N/A</v>
      </c>
      <c r="O1239" s="50" t="e">
        <f t="shared" si="228"/>
        <v>#N/A</v>
      </c>
      <c r="P1239" s="50" t="e">
        <f t="shared" si="224"/>
        <v>#N/A</v>
      </c>
      <c r="Q1239" s="51" t="e">
        <f t="shared" si="225"/>
        <v>#N/A</v>
      </c>
      <c r="R1239" s="205" t="e">
        <f t="shared" si="226"/>
        <v>#N/A</v>
      </c>
      <c r="S1239" s="279" t="e">
        <f>IF(R1239="si",0,IF(E1239="si",0,IF(J1239&gt;K1239,0,+K1239-J1239)))+IF('calcolo base'!P1931="SI",('Commissioni De Angeli'!K1239-'Commissioni De Angeli'!J1239),0)</f>
        <v>#N/A</v>
      </c>
      <c r="T1239" s="117" t="e">
        <f t="shared" si="227"/>
        <v>#N/A</v>
      </c>
      <c r="U1239" s="272" t="e">
        <f>IF(Q1239=0,'calcolo base'!L3838,(T1239+Q1239))</f>
        <v>#N/A</v>
      </c>
      <c r="V1239" s="119"/>
      <c r="Z1239" s="118">
        <f t="shared" si="229"/>
        <v>0</v>
      </c>
      <c r="AA1239" s="118">
        <f t="shared" si="230"/>
        <v>0</v>
      </c>
    </row>
    <row r="1240" spans="2:27">
      <c r="B1240" s="47"/>
      <c r="C1240" s="35"/>
      <c r="D1240" s="53"/>
      <c r="E1240" s="53"/>
      <c r="F1240" s="48"/>
      <c r="G1240" s="243" t="e">
        <f>INDEX('calcolo base'!$B:$B, MATCH($A1240, 'calcolo base'!$A:$A, 0))</f>
        <v>#N/A</v>
      </c>
      <c r="H1240" s="54" t="e">
        <f t="shared" si="220"/>
        <v>#N/A</v>
      </c>
      <c r="I1240" s="259" t="e">
        <f>IF(  OR(      INDEX('calcolo base'!$D:$D, MATCH($A1240, 'calcolo base'!$A:$A, 0)) = 0,
      INDEX('calcolo base'!$D:$D, MATCH($A1240, 'calcolo base'!$A:$A, 0)) = ""   ),
   INDEX('calcolo base'!$K:$K, MATCH($A1240, 'calcolo base'!$A:$A, 0)),
   INDEX('calcolo base'!$J:$J, MATCH($A1240, 'calcolo base'!$A:$A, 0))
) / 1000</f>
        <v>#N/A</v>
      </c>
      <c r="J1240" s="50" t="e">
        <f t="shared" si="221"/>
        <v>#N/A</v>
      </c>
      <c r="K1240" s="50"/>
      <c r="L1240" s="267" t="e">
        <f>INDEX('calcolo base'!$H:$H, MATCH($A1240, 'calcolo base'!$A:$A, 0))</f>
        <v>#N/A</v>
      </c>
      <c r="M1240" s="50" t="e">
        <f t="shared" si="222"/>
        <v>#N/A</v>
      </c>
      <c r="N1240" s="50" t="e">
        <f t="shared" si="223"/>
        <v>#N/A</v>
      </c>
      <c r="O1240" s="50" t="e">
        <f t="shared" si="228"/>
        <v>#N/A</v>
      </c>
      <c r="P1240" s="50" t="e">
        <f t="shared" si="224"/>
        <v>#N/A</v>
      </c>
      <c r="Q1240" s="51" t="e">
        <f t="shared" si="225"/>
        <v>#N/A</v>
      </c>
      <c r="R1240" s="205" t="e">
        <f t="shared" si="226"/>
        <v>#N/A</v>
      </c>
      <c r="S1240" s="279" t="e">
        <f>IF(R1240="si",0,IF(E1240="si",0,IF(J1240&gt;K1240,0,+K1240-J1240)))+IF('calcolo base'!P1932="SI",('Commissioni De Angeli'!K1240-'Commissioni De Angeli'!J1240),0)</f>
        <v>#N/A</v>
      </c>
      <c r="T1240" s="117" t="e">
        <f t="shared" si="227"/>
        <v>#N/A</v>
      </c>
      <c r="U1240" s="272" t="e">
        <f>IF(Q1240=0,'calcolo base'!L3839,(T1240+Q1240))</f>
        <v>#N/A</v>
      </c>
      <c r="V1240" s="119"/>
      <c r="Z1240" s="118">
        <f t="shared" si="229"/>
        <v>0</v>
      </c>
      <c r="AA1240" s="118">
        <f t="shared" si="230"/>
        <v>0</v>
      </c>
    </row>
    <row r="1241" spans="2:27">
      <c r="B1241" s="47"/>
      <c r="C1241" s="35"/>
      <c r="D1241" s="53"/>
      <c r="E1241" s="53"/>
      <c r="F1241" s="48"/>
      <c r="G1241" s="243" t="e">
        <f>INDEX('calcolo base'!$B:$B, MATCH($A1241, 'calcolo base'!$A:$A, 0))</f>
        <v>#N/A</v>
      </c>
      <c r="H1241" s="54" t="e">
        <f t="shared" si="220"/>
        <v>#N/A</v>
      </c>
      <c r="I1241" s="259" t="e">
        <f>IF(  OR(      INDEX('calcolo base'!$D:$D, MATCH($A1241, 'calcolo base'!$A:$A, 0)) = 0,
      INDEX('calcolo base'!$D:$D, MATCH($A1241, 'calcolo base'!$A:$A, 0)) = ""   ),
   INDEX('calcolo base'!$K:$K, MATCH($A1241, 'calcolo base'!$A:$A, 0)),
   INDEX('calcolo base'!$J:$J, MATCH($A1241, 'calcolo base'!$A:$A, 0))
) / 1000</f>
        <v>#N/A</v>
      </c>
      <c r="J1241" s="50" t="e">
        <f t="shared" si="221"/>
        <v>#N/A</v>
      </c>
      <c r="K1241" s="50"/>
      <c r="L1241" s="267" t="e">
        <f>INDEX('calcolo base'!$H:$H, MATCH($A1241, 'calcolo base'!$A:$A, 0))</f>
        <v>#N/A</v>
      </c>
      <c r="M1241" s="50" t="e">
        <f t="shared" si="222"/>
        <v>#N/A</v>
      </c>
      <c r="N1241" s="50" t="e">
        <f t="shared" si="223"/>
        <v>#N/A</v>
      </c>
      <c r="O1241" s="50" t="e">
        <f t="shared" si="228"/>
        <v>#N/A</v>
      </c>
      <c r="P1241" s="50" t="e">
        <f t="shared" si="224"/>
        <v>#N/A</v>
      </c>
      <c r="Q1241" s="51" t="e">
        <f t="shared" si="225"/>
        <v>#N/A</v>
      </c>
      <c r="R1241" s="205" t="e">
        <f t="shared" si="226"/>
        <v>#N/A</v>
      </c>
      <c r="S1241" s="279" t="e">
        <f>IF(R1241="si",0,IF(E1241="si",0,IF(J1241&gt;K1241,0,+K1241-J1241)))+IF('calcolo base'!P1933="SI",('Commissioni De Angeli'!K1241-'Commissioni De Angeli'!J1241),0)</f>
        <v>#N/A</v>
      </c>
      <c r="T1241" s="117" t="e">
        <f t="shared" si="227"/>
        <v>#N/A</v>
      </c>
      <c r="U1241" s="272" t="e">
        <f>IF(Q1241=0,'calcolo base'!L3840,(T1241+Q1241))</f>
        <v>#N/A</v>
      </c>
      <c r="V1241" s="119"/>
      <c r="Z1241" s="118">
        <f t="shared" si="229"/>
        <v>0</v>
      </c>
      <c r="AA1241" s="118">
        <f t="shared" si="230"/>
        <v>0</v>
      </c>
    </row>
    <row r="1242" spans="2:27">
      <c r="B1242" s="47"/>
      <c r="C1242" s="35"/>
      <c r="D1242" s="53"/>
      <c r="E1242" s="53"/>
      <c r="F1242" s="48"/>
      <c r="G1242" s="243" t="e">
        <f>INDEX('calcolo base'!$B:$B, MATCH($A1242, 'calcolo base'!$A:$A, 0))</f>
        <v>#N/A</v>
      </c>
      <c r="H1242" s="54" t="e">
        <f t="shared" si="220"/>
        <v>#N/A</v>
      </c>
      <c r="I1242" s="259" t="e">
        <f>IF(  OR(      INDEX('calcolo base'!$D:$D, MATCH($A1242, 'calcolo base'!$A:$A, 0)) = 0,
      INDEX('calcolo base'!$D:$D, MATCH($A1242, 'calcolo base'!$A:$A, 0)) = ""   ),
   INDEX('calcolo base'!$K:$K, MATCH($A1242, 'calcolo base'!$A:$A, 0)),
   INDEX('calcolo base'!$J:$J, MATCH($A1242, 'calcolo base'!$A:$A, 0))
) / 1000</f>
        <v>#N/A</v>
      </c>
      <c r="J1242" s="50" t="e">
        <f t="shared" si="221"/>
        <v>#N/A</v>
      </c>
      <c r="K1242" s="50"/>
      <c r="L1242" s="267" t="e">
        <f>INDEX('calcolo base'!$H:$H, MATCH($A1242, 'calcolo base'!$A:$A, 0))</f>
        <v>#N/A</v>
      </c>
      <c r="M1242" s="50" t="e">
        <f t="shared" si="222"/>
        <v>#N/A</v>
      </c>
      <c r="N1242" s="50" t="e">
        <f t="shared" si="223"/>
        <v>#N/A</v>
      </c>
      <c r="O1242" s="50" t="e">
        <f t="shared" si="228"/>
        <v>#N/A</v>
      </c>
      <c r="P1242" s="50" t="e">
        <f t="shared" si="224"/>
        <v>#N/A</v>
      </c>
      <c r="Q1242" s="51" t="e">
        <f t="shared" si="225"/>
        <v>#N/A</v>
      </c>
      <c r="R1242" s="205" t="e">
        <f t="shared" si="226"/>
        <v>#N/A</v>
      </c>
      <c r="S1242" s="279" t="e">
        <f>IF(R1242="si",0,IF(E1242="si",0,IF(J1242&gt;K1242,0,+K1242-J1242)))+IF('calcolo base'!P1934="SI",('Commissioni De Angeli'!K1242-'Commissioni De Angeli'!J1242),0)</f>
        <v>#N/A</v>
      </c>
      <c r="T1242" s="117" t="e">
        <f t="shared" si="227"/>
        <v>#N/A</v>
      </c>
      <c r="U1242" s="272" t="e">
        <f>IF(Q1242=0,'calcolo base'!L3841,(T1242+Q1242))</f>
        <v>#N/A</v>
      </c>
      <c r="V1242" s="119"/>
      <c r="Z1242" s="118">
        <f t="shared" si="229"/>
        <v>0</v>
      </c>
      <c r="AA1242" s="118">
        <f t="shared" si="230"/>
        <v>0</v>
      </c>
    </row>
    <row r="1243" spans="2:27">
      <c r="B1243" s="47"/>
      <c r="C1243" s="35"/>
      <c r="D1243" s="53"/>
      <c r="E1243" s="53"/>
      <c r="F1243" s="48"/>
      <c r="G1243" s="243" t="e">
        <f>INDEX('calcolo base'!$B:$B, MATCH($A1243, 'calcolo base'!$A:$A, 0))</f>
        <v>#N/A</v>
      </c>
      <c r="H1243" s="54" t="e">
        <f t="shared" si="220"/>
        <v>#N/A</v>
      </c>
      <c r="I1243" s="259" t="e">
        <f>IF(  OR(      INDEX('calcolo base'!$D:$D, MATCH($A1243, 'calcolo base'!$A:$A, 0)) = 0,
      INDEX('calcolo base'!$D:$D, MATCH($A1243, 'calcolo base'!$A:$A, 0)) = ""   ),
   INDEX('calcolo base'!$K:$K, MATCH($A1243, 'calcolo base'!$A:$A, 0)),
   INDEX('calcolo base'!$J:$J, MATCH($A1243, 'calcolo base'!$A:$A, 0))
) / 1000</f>
        <v>#N/A</v>
      </c>
      <c r="J1243" s="50" t="e">
        <f t="shared" si="221"/>
        <v>#N/A</v>
      </c>
      <c r="K1243" s="50"/>
      <c r="L1243" s="267" t="e">
        <f>INDEX('calcolo base'!$H:$H, MATCH($A1243, 'calcolo base'!$A:$A, 0))</f>
        <v>#N/A</v>
      </c>
      <c r="M1243" s="50" t="e">
        <f t="shared" si="222"/>
        <v>#N/A</v>
      </c>
      <c r="N1243" s="50" t="e">
        <f t="shared" si="223"/>
        <v>#N/A</v>
      </c>
      <c r="O1243" s="50" t="e">
        <f t="shared" si="228"/>
        <v>#N/A</v>
      </c>
      <c r="P1243" s="50" t="e">
        <f t="shared" si="224"/>
        <v>#N/A</v>
      </c>
      <c r="Q1243" s="51" t="e">
        <f t="shared" si="225"/>
        <v>#N/A</v>
      </c>
      <c r="R1243" s="205" t="e">
        <f t="shared" si="226"/>
        <v>#N/A</v>
      </c>
      <c r="S1243" s="279" t="e">
        <f>IF(R1243="si",0,IF(E1243="si",0,IF(J1243&gt;K1243,0,+K1243-J1243)))+IF('calcolo base'!P1935="SI",('Commissioni De Angeli'!K1243-'Commissioni De Angeli'!J1243),0)</f>
        <v>#N/A</v>
      </c>
      <c r="T1243" s="117" t="e">
        <f t="shared" si="227"/>
        <v>#N/A</v>
      </c>
      <c r="U1243" s="272" t="e">
        <f>IF(Q1243=0,'calcolo base'!L3842,(T1243+Q1243))</f>
        <v>#N/A</v>
      </c>
      <c r="V1243" s="119"/>
      <c r="Z1243" s="118">
        <f t="shared" si="229"/>
        <v>0</v>
      </c>
      <c r="AA1243" s="118">
        <f t="shared" si="230"/>
        <v>0</v>
      </c>
    </row>
    <row r="1244" spans="2:27">
      <c r="B1244" s="47"/>
      <c r="C1244" s="35"/>
      <c r="D1244" s="53"/>
      <c r="E1244" s="53"/>
      <c r="F1244" s="48"/>
      <c r="G1244" s="243" t="e">
        <f>INDEX('calcolo base'!$B:$B, MATCH($A1244, 'calcolo base'!$A:$A, 0))</f>
        <v>#N/A</v>
      </c>
      <c r="H1244" s="54" t="e">
        <f t="shared" ref="H1244:H1307" si="231">IF(G1244=0,"",+G1244)</f>
        <v>#N/A</v>
      </c>
      <c r="I1244" s="259" t="e">
        <f>IF(  OR(      INDEX('calcolo base'!$D:$D, MATCH($A1244, 'calcolo base'!$A:$A, 0)) = 0,
      INDEX('calcolo base'!$D:$D, MATCH($A1244, 'calcolo base'!$A:$A, 0)) = ""   ),
   INDEX('calcolo base'!$K:$K, MATCH($A1244, 'calcolo base'!$A:$A, 0)),
   INDEX('calcolo base'!$J:$J, MATCH($A1244, 'calcolo base'!$A:$A, 0))
) / 1000</f>
        <v>#N/A</v>
      </c>
      <c r="J1244" s="50" t="e">
        <f t="shared" ref="J1244:J1307" si="232">+F1244+I1244</f>
        <v>#N/A</v>
      </c>
      <c r="K1244" s="50"/>
      <c r="L1244" s="267" t="e">
        <f>INDEX('calcolo base'!$H:$H, MATCH($A1244, 'calcolo base'!$A:$A, 0))</f>
        <v>#N/A</v>
      </c>
      <c r="M1244" s="50" t="e">
        <f t="shared" ref="M1244:M1307" si="233">IF(L1244=0,0,J1244*L1244)</f>
        <v>#N/A</v>
      </c>
      <c r="N1244" s="50" t="e">
        <f t="shared" ref="N1244:N1307" si="234">IF(E1244="si",K1244*1.5%,IF($L1244&gt;=5%,IF($I1244=0,0,(IF($G1244="RAME",($J1244)*1.5%,0)+IF($G1244="rame smaltato",($K1244)*1.5%,0))),0))</f>
        <v>#N/A</v>
      </c>
      <c r="O1244" s="50" t="e">
        <f t="shared" si="228"/>
        <v>#N/A</v>
      </c>
      <c r="P1244" s="50" t="e">
        <f t="shared" ref="P1244:P1307" si="235">IF(H1244="alluminio",0,IF(L1244&lt;5%,F1244*8%,0))</f>
        <v>#N/A</v>
      </c>
      <c r="Q1244" s="51" t="e">
        <f t="shared" ref="Q1244:Q1307" si="236">+(N1244*D1244)+(O1244*D1244)+(P1244*D1244)</f>
        <v>#N/A</v>
      </c>
      <c r="R1244" s="205" t="e">
        <f t="shared" ref="R1244:R1307" si="237">IF(H1244="ALLUMINIO",0,IF(L1244&lt;5%,"si",0))</f>
        <v>#N/A</v>
      </c>
      <c r="S1244" s="279" t="e">
        <f>IF(R1244="si",0,IF(E1244="si",0,IF(J1244&gt;K1244,0,+K1244-J1244)))+IF('calcolo base'!P1936="SI",('Commissioni De Angeli'!K1244-'Commissioni De Angeli'!J1244),0)</f>
        <v>#N/A</v>
      </c>
      <c r="T1244" s="117" t="e">
        <f t="shared" ref="T1244:T1307" si="238">+(S1244)*D1244*40%</f>
        <v>#N/A</v>
      </c>
      <c r="U1244" s="272" t="e">
        <f>IF(Q1244=0,'calcolo base'!L3843,(T1244+Q1244))</f>
        <v>#N/A</v>
      </c>
      <c r="V1244" s="119"/>
      <c r="Z1244" s="118">
        <f t="shared" si="229"/>
        <v>0</v>
      </c>
      <c r="AA1244" s="118">
        <f t="shared" si="230"/>
        <v>0</v>
      </c>
    </row>
    <row r="1245" spans="2:27">
      <c r="B1245" s="47"/>
      <c r="C1245" s="35"/>
      <c r="D1245" s="53"/>
      <c r="E1245" s="53"/>
      <c r="F1245" s="48"/>
      <c r="G1245" s="243" t="e">
        <f>INDEX('calcolo base'!$B:$B, MATCH($A1245, 'calcolo base'!$A:$A, 0))</f>
        <v>#N/A</v>
      </c>
      <c r="H1245" s="54" t="e">
        <f t="shared" si="231"/>
        <v>#N/A</v>
      </c>
      <c r="I1245" s="259" t="e">
        <f>IF(  OR(      INDEX('calcolo base'!$D:$D, MATCH($A1245, 'calcolo base'!$A:$A, 0)) = 0,
      INDEX('calcolo base'!$D:$D, MATCH($A1245, 'calcolo base'!$A:$A, 0)) = ""   ),
   INDEX('calcolo base'!$K:$K, MATCH($A1245, 'calcolo base'!$A:$A, 0)),
   INDEX('calcolo base'!$J:$J, MATCH($A1245, 'calcolo base'!$A:$A, 0))
) / 1000</f>
        <v>#N/A</v>
      </c>
      <c r="J1245" s="50" t="e">
        <f t="shared" si="232"/>
        <v>#N/A</v>
      </c>
      <c r="K1245" s="50"/>
      <c r="L1245" s="267" t="e">
        <f>INDEX('calcolo base'!$H:$H, MATCH($A1245, 'calcolo base'!$A:$A, 0))</f>
        <v>#N/A</v>
      </c>
      <c r="M1245" s="50" t="e">
        <f t="shared" si="233"/>
        <v>#N/A</v>
      </c>
      <c r="N1245" s="50" t="e">
        <f t="shared" si="234"/>
        <v>#N/A</v>
      </c>
      <c r="O1245" s="50" t="e">
        <f t="shared" si="228"/>
        <v>#N/A</v>
      </c>
      <c r="P1245" s="50" t="e">
        <f t="shared" si="235"/>
        <v>#N/A</v>
      </c>
      <c r="Q1245" s="51" t="e">
        <f t="shared" si="236"/>
        <v>#N/A</v>
      </c>
      <c r="R1245" s="205" t="e">
        <f t="shared" si="237"/>
        <v>#N/A</v>
      </c>
      <c r="S1245" s="279" t="e">
        <f>IF(R1245="si",0,IF(E1245="si",0,IF(J1245&gt;K1245,0,+K1245-J1245)))+IF('calcolo base'!P1937="SI",('Commissioni De Angeli'!K1245-'Commissioni De Angeli'!J1245),0)</f>
        <v>#N/A</v>
      </c>
      <c r="T1245" s="117" t="e">
        <f t="shared" si="238"/>
        <v>#N/A</v>
      </c>
      <c r="U1245" s="272" t="e">
        <f>IF(Q1245=0,'calcolo base'!L3844,(T1245+Q1245))</f>
        <v>#N/A</v>
      </c>
      <c r="V1245" s="119"/>
      <c r="Z1245" s="118">
        <f t="shared" si="229"/>
        <v>0</v>
      </c>
      <c r="AA1245" s="118">
        <f t="shared" si="230"/>
        <v>0</v>
      </c>
    </row>
    <row r="1246" spans="2:27">
      <c r="B1246" s="47"/>
      <c r="C1246" s="35"/>
      <c r="D1246" s="53"/>
      <c r="E1246" s="53"/>
      <c r="F1246" s="48"/>
      <c r="G1246" s="243" t="e">
        <f>INDEX('calcolo base'!$B:$B, MATCH($A1246, 'calcolo base'!$A:$A, 0))</f>
        <v>#N/A</v>
      </c>
      <c r="H1246" s="54" t="e">
        <f t="shared" si="231"/>
        <v>#N/A</v>
      </c>
      <c r="I1246" s="259" t="e">
        <f>IF(  OR(      INDEX('calcolo base'!$D:$D, MATCH($A1246, 'calcolo base'!$A:$A, 0)) = 0,
      INDEX('calcolo base'!$D:$D, MATCH($A1246, 'calcolo base'!$A:$A, 0)) = ""   ),
   INDEX('calcolo base'!$K:$K, MATCH($A1246, 'calcolo base'!$A:$A, 0)),
   INDEX('calcolo base'!$J:$J, MATCH($A1246, 'calcolo base'!$A:$A, 0))
) / 1000</f>
        <v>#N/A</v>
      </c>
      <c r="J1246" s="50" t="e">
        <f t="shared" si="232"/>
        <v>#N/A</v>
      </c>
      <c r="K1246" s="50"/>
      <c r="L1246" s="267" t="e">
        <f>INDEX('calcolo base'!$H:$H, MATCH($A1246, 'calcolo base'!$A:$A, 0))</f>
        <v>#N/A</v>
      </c>
      <c r="M1246" s="50" t="e">
        <f t="shared" si="233"/>
        <v>#N/A</v>
      </c>
      <c r="N1246" s="50" t="e">
        <f t="shared" si="234"/>
        <v>#N/A</v>
      </c>
      <c r="O1246" s="50" t="e">
        <f t="shared" si="228"/>
        <v>#N/A</v>
      </c>
      <c r="P1246" s="50" t="e">
        <f t="shared" si="235"/>
        <v>#N/A</v>
      </c>
      <c r="Q1246" s="51" t="e">
        <f t="shared" si="236"/>
        <v>#N/A</v>
      </c>
      <c r="R1246" s="205" t="e">
        <f t="shared" si="237"/>
        <v>#N/A</v>
      </c>
      <c r="S1246" s="279" t="e">
        <f>IF(R1246="si",0,IF(E1246="si",0,IF(J1246&gt;K1246,0,+K1246-J1246)))+IF('calcolo base'!P1938="SI",('Commissioni De Angeli'!K1246-'Commissioni De Angeli'!J1246),0)</f>
        <v>#N/A</v>
      </c>
      <c r="T1246" s="117" t="e">
        <f t="shared" si="238"/>
        <v>#N/A</v>
      </c>
      <c r="U1246" s="272" t="e">
        <f>IF(Q1246=0,'calcolo base'!L3845,(T1246+Q1246))</f>
        <v>#N/A</v>
      </c>
      <c r="V1246" s="119"/>
      <c r="Z1246" s="118">
        <f t="shared" si="229"/>
        <v>0</v>
      </c>
      <c r="AA1246" s="118">
        <f t="shared" si="230"/>
        <v>0</v>
      </c>
    </row>
    <row r="1247" spans="2:27">
      <c r="B1247" s="47"/>
      <c r="C1247" s="35"/>
      <c r="D1247" s="53"/>
      <c r="E1247" s="53"/>
      <c r="F1247" s="48"/>
      <c r="G1247" s="243" t="e">
        <f>INDEX('calcolo base'!$B:$B, MATCH($A1247, 'calcolo base'!$A:$A, 0))</f>
        <v>#N/A</v>
      </c>
      <c r="H1247" s="54" t="e">
        <f t="shared" si="231"/>
        <v>#N/A</v>
      </c>
      <c r="I1247" s="259" t="e">
        <f>IF(  OR(      INDEX('calcolo base'!$D:$D, MATCH($A1247, 'calcolo base'!$A:$A, 0)) = 0,
      INDEX('calcolo base'!$D:$D, MATCH($A1247, 'calcolo base'!$A:$A, 0)) = ""   ),
   INDEX('calcolo base'!$K:$K, MATCH($A1247, 'calcolo base'!$A:$A, 0)),
   INDEX('calcolo base'!$J:$J, MATCH($A1247, 'calcolo base'!$A:$A, 0))
) / 1000</f>
        <v>#N/A</v>
      </c>
      <c r="J1247" s="50" t="e">
        <f t="shared" si="232"/>
        <v>#N/A</v>
      </c>
      <c r="K1247" s="50"/>
      <c r="L1247" s="267" t="e">
        <f>INDEX('calcolo base'!$H:$H, MATCH($A1247, 'calcolo base'!$A:$A, 0))</f>
        <v>#N/A</v>
      </c>
      <c r="M1247" s="50" t="e">
        <f t="shared" si="233"/>
        <v>#N/A</v>
      </c>
      <c r="N1247" s="50" t="e">
        <f t="shared" si="234"/>
        <v>#N/A</v>
      </c>
      <c r="O1247" s="50" t="e">
        <f t="shared" si="228"/>
        <v>#N/A</v>
      </c>
      <c r="P1247" s="50" t="e">
        <f t="shared" si="235"/>
        <v>#N/A</v>
      </c>
      <c r="Q1247" s="51" t="e">
        <f t="shared" si="236"/>
        <v>#N/A</v>
      </c>
      <c r="R1247" s="205" t="e">
        <f t="shared" si="237"/>
        <v>#N/A</v>
      </c>
      <c r="S1247" s="279" t="e">
        <f>IF(R1247="si",0,IF(E1247="si",0,IF(J1247&gt;K1247,0,+K1247-J1247)))+IF('calcolo base'!P1939="SI",('Commissioni De Angeli'!K1247-'Commissioni De Angeli'!J1247),0)</f>
        <v>#N/A</v>
      </c>
      <c r="T1247" s="117" t="e">
        <f t="shared" si="238"/>
        <v>#N/A</v>
      </c>
      <c r="U1247" s="272" t="e">
        <f>IF(Q1247=0,'calcolo base'!L3846,(T1247+Q1247))</f>
        <v>#N/A</v>
      </c>
      <c r="V1247" s="119"/>
      <c r="Z1247" s="118">
        <f t="shared" si="229"/>
        <v>0</v>
      </c>
      <c r="AA1247" s="118">
        <f t="shared" si="230"/>
        <v>0</v>
      </c>
    </row>
    <row r="1248" spans="2:27">
      <c r="B1248" s="47"/>
      <c r="C1248" s="35"/>
      <c r="D1248" s="53"/>
      <c r="E1248" s="53"/>
      <c r="F1248" s="48"/>
      <c r="G1248" s="243" t="e">
        <f>INDEX('calcolo base'!$B:$B, MATCH($A1248, 'calcolo base'!$A:$A, 0))</f>
        <v>#N/A</v>
      </c>
      <c r="H1248" s="54" t="e">
        <f t="shared" si="231"/>
        <v>#N/A</v>
      </c>
      <c r="I1248" s="259" t="e">
        <f>IF(  OR(      INDEX('calcolo base'!$D:$D, MATCH($A1248, 'calcolo base'!$A:$A, 0)) = 0,
      INDEX('calcolo base'!$D:$D, MATCH($A1248, 'calcolo base'!$A:$A, 0)) = ""   ),
   INDEX('calcolo base'!$K:$K, MATCH($A1248, 'calcolo base'!$A:$A, 0)),
   INDEX('calcolo base'!$J:$J, MATCH($A1248, 'calcolo base'!$A:$A, 0))
) / 1000</f>
        <v>#N/A</v>
      </c>
      <c r="J1248" s="50" t="e">
        <f t="shared" si="232"/>
        <v>#N/A</v>
      </c>
      <c r="K1248" s="50"/>
      <c r="L1248" s="267" t="e">
        <f>INDEX('calcolo base'!$H:$H, MATCH($A1248, 'calcolo base'!$A:$A, 0))</f>
        <v>#N/A</v>
      </c>
      <c r="M1248" s="50" t="e">
        <f t="shared" si="233"/>
        <v>#N/A</v>
      </c>
      <c r="N1248" s="50" t="e">
        <f t="shared" si="234"/>
        <v>#N/A</v>
      </c>
      <c r="O1248" s="50" t="e">
        <f t="shared" si="228"/>
        <v>#N/A</v>
      </c>
      <c r="P1248" s="50" t="e">
        <f t="shared" si="235"/>
        <v>#N/A</v>
      </c>
      <c r="Q1248" s="51" t="e">
        <f t="shared" si="236"/>
        <v>#N/A</v>
      </c>
      <c r="R1248" s="205" t="e">
        <f t="shared" si="237"/>
        <v>#N/A</v>
      </c>
      <c r="S1248" s="279" t="e">
        <f>IF(R1248="si",0,IF(E1248="si",0,IF(J1248&gt;K1248,0,+K1248-J1248)))+IF('calcolo base'!P1940="SI",('Commissioni De Angeli'!K1248-'Commissioni De Angeli'!J1248),0)</f>
        <v>#N/A</v>
      </c>
      <c r="T1248" s="117" t="e">
        <f t="shared" si="238"/>
        <v>#N/A</v>
      </c>
      <c r="U1248" s="272" t="e">
        <f>IF(Q1248=0,'calcolo base'!L3847,(T1248+Q1248))</f>
        <v>#N/A</v>
      </c>
      <c r="V1248" s="119"/>
      <c r="Z1248" s="118">
        <f t="shared" si="229"/>
        <v>0</v>
      </c>
      <c r="AA1248" s="118">
        <f t="shared" si="230"/>
        <v>0</v>
      </c>
    </row>
    <row r="1249" spans="2:27">
      <c r="B1249" s="47"/>
      <c r="C1249" s="35"/>
      <c r="D1249" s="53"/>
      <c r="E1249" s="53"/>
      <c r="F1249" s="48"/>
      <c r="G1249" s="243" t="e">
        <f>INDEX('calcolo base'!$B:$B, MATCH($A1249, 'calcolo base'!$A:$A, 0))</f>
        <v>#N/A</v>
      </c>
      <c r="H1249" s="54" t="e">
        <f t="shared" si="231"/>
        <v>#N/A</v>
      </c>
      <c r="I1249" s="259" t="e">
        <f>IF(  OR(      INDEX('calcolo base'!$D:$D, MATCH($A1249, 'calcolo base'!$A:$A, 0)) = 0,
      INDEX('calcolo base'!$D:$D, MATCH($A1249, 'calcolo base'!$A:$A, 0)) = ""   ),
   INDEX('calcolo base'!$K:$K, MATCH($A1249, 'calcolo base'!$A:$A, 0)),
   INDEX('calcolo base'!$J:$J, MATCH($A1249, 'calcolo base'!$A:$A, 0))
) / 1000</f>
        <v>#N/A</v>
      </c>
      <c r="J1249" s="50" t="e">
        <f t="shared" si="232"/>
        <v>#N/A</v>
      </c>
      <c r="K1249" s="50"/>
      <c r="L1249" s="267" t="e">
        <f>INDEX('calcolo base'!$H:$H, MATCH($A1249, 'calcolo base'!$A:$A, 0))</f>
        <v>#N/A</v>
      </c>
      <c r="M1249" s="50" t="e">
        <f t="shared" si="233"/>
        <v>#N/A</v>
      </c>
      <c r="N1249" s="50" t="e">
        <f t="shared" si="234"/>
        <v>#N/A</v>
      </c>
      <c r="O1249" s="50" t="e">
        <f t="shared" si="228"/>
        <v>#N/A</v>
      </c>
      <c r="P1249" s="50" t="e">
        <f t="shared" si="235"/>
        <v>#N/A</v>
      </c>
      <c r="Q1249" s="51" t="e">
        <f t="shared" si="236"/>
        <v>#N/A</v>
      </c>
      <c r="R1249" s="205" t="e">
        <f t="shared" si="237"/>
        <v>#N/A</v>
      </c>
      <c r="S1249" s="279" t="e">
        <f>IF(R1249="si",0,IF(E1249="si",0,IF(J1249&gt;K1249,0,+K1249-J1249)))+IF('calcolo base'!P1941="SI",('Commissioni De Angeli'!K1249-'Commissioni De Angeli'!J1249),0)</f>
        <v>#N/A</v>
      </c>
      <c r="T1249" s="117" t="e">
        <f t="shared" si="238"/>
        <v>#N/A</v>
      </c>
      <c r="U1249" s="272" t="e">
        <f>IF(Q1249=0,'calcolo base'!L3848,(T1249+Q1249))</f>
        <v>#N/A</v>
      </c>
      <c r="V1249" s="119"/>
      <c r="Z1249" s="118">
        <f t="shared" si="229"/>
        <v>0</v>
      </c>
      <c r="AA1249" s="118">
        <f t="shared" si="230"/>
        <v>0</v>
      </c>
    </row>
    <row r="1250" spans="2:27">
      <c r="B1250" s="47"/>
      <c r="C1250" s="35"/>
      <c r="D1250" s="53"/>
      <c r="E1250" s="53"/>
      <c r="F1250" s="48"/>
      <c r="G1250" s="243" t="e">
        <f>INDEX('calcolo base'!$B:$B, MATCH($A1250, 'calcolo base'!$A:$A, 0))</f>
        <v>#N/A</v>
      </c>
      <c r="H1250" s="54" t="e">
        <f t="shared" si="231"/>
        <v>#N/A</v>
      </c>
      <c r="I1250" s="259" t="e">
        <f>IF(  OR(      INDEX('calcolo base'!$D:$D, MATCH($A1250, 'calcolo base'!$A:$A, 0)) = 0,
      INDEX('calcolo base'!$D:$D, MATCH($A1250, 'calcolo base'!$A:$A, 0)) = ""   ),
   INDEX('calcolo base'!$K:$K, MATCH($A1250, 'calcolo base'!$A:$A, 0)),
   INDEX('calcolo base'!$J:$J, MATCH($A1250, 'calcolo base'!$A:$A, 0))
) / 1000</f>
        <v>#N/A</v>
      </c>
      <c r="J1250" s="50" t="e">
        <f t="shared" si="232"/>
        <v>#N/A</v>
      </c>
      <c r="K1250" s="50"/>
      <c r="L1250" s="267" t="e">
        <f>INDEX('calcolo base'!$H:$H, MATCH($A1250, 'calcolo base'!$A:$A, 0))</f>
        <v>#N/A</v>
      </c>
      <c r="M1250" s="50" t="e">
        <f t="shared" si="233"/>
        <v>#N/A</v>
      </c>
      <c r="N1250" s="50" t="e">
        <f t="shared" si="234"/>
        <v>#N/A</v>
      </c>
      <c r="O1250" s="50" t="e">
        <f t="shared" si="228"/>
        <v>#N/A</v>
      </c>
      <c r="P1250" s="50" t="e">
        <f t="shared" si="235"/>
        <v>#N/A</v>
      </c>
      <c r="Q1250" s="51" t="e">
        <f t="shared" si="236"/>
        <v>#N/A</v>
      </c>
      <c r="R1250" s="205" t="e">
        <f t="shared" si="237"/>
        <v>#N/A</v>
      </c>
      <c r="S1250" s="279" t="e">
        <f>IF(R1250="si",0,IF(E1250="si",0,IF(J1250&gt;K1250,0,+K1250-J1250)))+IF('calcolo base'!P1942="SI",('Commissioni De Angeli'!K1250-'Commissioni De Angeli'!J1250),0)</f>
        <v>#N/A</v>
      </c>
      <c r="T1250" s="117" t="e">
        <f t="shared" si="238"/>
        <v>#N/A</v>
      </c>
      <c r="U1250" s="272" t="e">
        <f>IF(Q1250=0,'calcolo base'!L3849,(T1250+Q1250))</f>
        <v>#N/A</v>
      </c>
      <c r="V1250" s="119"/>
      <c r="Z1250" s="118">
        <f t="shared" si="229"/>
        <v>0</v>
      </c>
      <c r="AA1250" s="118">
        <f t="shared" si="230"/>
        <v>0</v>
      </c>
    </row>
    <row r="1251" spans="2:27">
      <c r="B1251" s="47"/>
      <c r="C1251" s="35"/>
      <c r="D1251" s="53"/>
      <c r="E1251" s="53"/>
      <c r="F1251" s="48"/>
      <c r="G1251" s="243" t="e">
        <f>INDEX('calcolo base'!$B:$B, MATCH($A1251, 'calcolo base'!$A:$A, 0))</f>
        <v>#N/A</v>
      </c>
      <c r="H1251" s="54" t="e">
        <f t="shared" si="231"/>
        <v>#N/A</v>
      </c>
      <c r="I1251" s="259" t="e">
        <f>IF(  OR(      INDEX('calcolo base'!$D:$D, MATCH($A1251, 'calcolo base'!$A:$A, 0)) = 0,
      INDEX('calcolo base'!$D:$D, MATCH($A1251, 'calcolo base'!$A:$A, 0)) = ""   ),
   INDEX('calcolo base'!$K:$K, MATCH($A1251, 'calcolo base'!$A:$A, 0)),
   INDEX('calcolo base'!$J:$J, MATCH($A1251, 'calcolo base'!$A:$A, 0))
) / 1000</f>
        <v>#N/A</v>
      </c>
      <c r="J1251" s="50" t="e">
        <f t="shared" si="232"/>
        <v>#N/A</v>
      </c>
      <c r="K1251" s="50"/>
      <c r="L1251" s="267" t="e">
        <f>INDEX('calcolo base'!$H:$H, MATCH($A1251, 'calcolo base'!$A:$A, 0))</f>
        <v>#N/A</v>
      </c>
      <c r="M1251" s="50" t="e">
        <f t="shared" si="233"/>
        <v>#N/A</v>
      </c>
      <c r="N1251" s="50" t="e">
        <f t="shared" si="234"/>
        <v>#N/A</v>
      </c>
      <c r="O1251" s="50" t="e">
        <f t="shared" si="228"/>
        <v>#N/A</v>
      </c>
      <c r="P1251" s="50" t="e">
        <f t="shared" si="235"/>
        <v>#N/A</v>
      </c>
      <c r="Q1251" s="51" t="e">
        <f t="shared" si="236"/>
        <v>#N/A</v>
      </c>
      <c r="R1251" s="205" t="e">
        <f t="shared" si="237"/>
        <v>#N/A</v>
      </c>
      <c r="S1251" s="279" t="e">
        <f>IF(R1251="si",0,IF(E1251="si",0,IF(J1251&gt;K1251,0,+K1251-J1251)))+IF('calcolo base'!P1943="SI",('Commissioni De Angeli'!K1251-'Commissioni De Angeli'!J1251),0)</f>
        <v>#N/A</v>
      </c>
      <c r="T1251" s="117" t="e">
        <f t="shared" si="238"/>
        <v>#N/A</v>
      </c>
      <c r="U1251" s="272" t="e">
        <f>IF(Q1251=0,'calcolo base'!L3850,(T1251+Q1251))</f>
        <v>#N/A</v>
      </c>
      <c r="V1251" s="119"/>
      <c r="Z1251" s="118">
        <f t="shared" si="229"/>
        <v>0</v>
      </c>
      <c r="AA1251" s="118">
        <f t="shared" si="230"/>
        <v>0</v>
      </c>
    </row>
    <row r="1252" spans="2:27">
      <c r="B1252" s="47"/>
      <c r="C1252" s="35"/>
      <c r="D1252" s="53"/>
      <c r="E1252" s="53"/>
      <c r="F1252" s="48"/>
      <c r="G1252" s="243" t="e">
        <f>INDEX('calcolo base'!$B:$B, MATCH($A1252, 'calcolo base'!$A:$A, 0))</f>
        <v>#N/A</v>
      </c>
      <c r="H1252" s="54" t="e">
        <f t="shared" si="231"/>
        <v>#N/A</v>
      </c>
      <c r="I1252" s="259" t="e">
        <f>IF(  OR(      INDEX('calcolo base'!$D:$D, MATCH($A1252, 'calcolo base'!$A:$A, 0)) = 0,
      INDEX('calcolo base'!$D:$D, MATCH($A1252, 'calcolo base'!$A:$A, 0)) = ""   ),
   INDEX('calcolo base'!$K:$K, MATCH($A1252, 'calcolo base'!$A:$A, 0)),
   INDEX('calcolo base'!$J:$J, MATCH($A1252, 'calcolo base'!$A:$A, 0))
) / 1000</f>
        <v>#N/A</v>
      </c>
      <c r="J1252" s="50" t="e">
        <f t="shared" si="232"/>
        <v>#N/A</v>
      </c>
      <c r="K1252" s="50"/>
      <c r="L1252" s="267" t="e">
        <f>INDEX('calcolo base'!$H:$H, MATCH($A1252, 'calcolo base'!$A:$A, 0))</f>
        <v>#N/A</v>
      </c>
      <c r="M1252" s="50" t="e">
        <f t="shared" si="233"/>
        <v>#N/A</v>
      </c>
      <c r="N1252" s="50" t="e">
        <f t="shared" si="234"/>
        <v>#N/A</v>
      </c>
      <c r="O1252" s="50" t="e">
        <f t="shared" si="228"/>
        <v>#N/A</v>
      </c>
      <c r="P1252" s="50" t="e">
        <f t="shared" si="235"/>
        <v>#N/A</v>
      </c>
      <c r="Q1252" s="51" t="e">
        <f t="shared" si="236"/>
        <v>#N/A</v>
      </c>
      <c r="R1252" s="205" t="e">
        <f t="shared" si="237"/>
        <v>#N/A</v>
      </c>
      <c r="S1252" s="279" t="e">
        <f>IF(R1252="si",0,IF(E1252="si",0,IF(J1252&gt;K1252,0,+K1252-J1252)))+IF('calcolo base'!P1944="SI",('Commissioni De Angeli'!K1252-'Commissioni De Angeli'!J1252),0)</f>
        <v>#N/A</v>
      </c>
      <c r="T1252" s="117" t="e">
        <f t="shared" si="238"/>
        <v>#N/A</v>
      </c>
      <c r="U1252" s="272" t="e">
        <f>IF(Q1252=0,'calcolo base'!L3851,(T1252+Q1252))</f>
        <v>#N/A</v>
      </c>
      <c r="V1252" s="119"/>
      <c r="Z1252" s="118">
        <f t="shared" si="229"/>
        <v>0</v>
      </c>
      <c r="AA1252" s="118">
        <f t="shared" si="230"/>
        <v>0</v>
      </c>
    </row>
    <row r="1253" spans="2:27">
      <c r="B1253" s="47"/>
      <c r="C1253" s="35"/>
      <c r="D1253" s="53"/>
      <c r="E1253" s="53"/>
      <c r="F1253" s="48"/>
      <c r="G1253" s="243" t="e">
        <f>INDEX('calcolo base'!$B:$B, MATCH($A1253, 'calcolo base'!$A:$A, 0))</f>
        <v>#N/A</v>
      </c>
      <c r="H1253" s="54" t="e">
        <f t="shared" si="231"/>
        <v>#N/A</v>
      </c>
      <c r="I1253" s="259" t="e">
        <f>IF(  OR(      INDEX('calcolo base'!$D:$D, MATCH($A1253, 'calcolo base'!$A:$A, 0)) = 0,
      INDEX('calcolo base'!$D:$D, MATCH($A1253, 'calcolo base'!$A:$A, 0)) = ""   ),
   INDEX('calcolo base'!$K:$K, MATCH($A1253, 'calcolo base'!$A:$A, 0)),
   INDEX('calcolo base'!$J:$J, MATCH($A1253, 'calcolo base'!$A:$A, 0))
) / 1000</f>
        <v>#N/A</v>
      </c>
      <c r="J1253" s="50" t="e">
        <f t="shared" si="232"/>
        <v>#N/A</v>
      </c>
      <c r="K1253" s="50"/>
      <c r="L1253" s="267" t="e">
        <f>INDEX('calcolo base'!$H:$H, MATCH($A1253, 'calcolo base'!$A:$A, 0))</f>
        <v>#N/A</v>
      </c>
      <c r="M1253" s="50" t="e">
        <f t="shared" si="233"/>
        <v>#N/A</v>
      </c>
      <c r="N1253" s="50" t="e">
        <f t="shared" si="234"/>
        <v>#N/A</v>
      </c>
      <c r="O1253" s="50" t="e">
        <f t="shared" si="228"/>
        <v>#N/A</v>
      </c>
      <c r="P1253" s="50" t="e">
        <f t="shared" si="235"/>
        <v>#N/A</v>
      </c>
      <c r="Q1253" s="51" t="e">
        <f t="shared" si="236"/>
        <v>#N/A</v>
      </c>
      <c r="R1253" s="205" t="e">
        <f t="shared" si="237"/>
        <v>#N/A</v>
      </c>
      <c r="S1253" s="279" t="e">
        <f>IF(R1253="si",0,IF(E1253="si",0,IF(J1253&gt;K1253,0,+K1253-J1253)))+IF('calcolo base'!P1945="SI",('Commissioni De Angeli'!K1253-'Commissioni De Angeli'!J1253),0)</f>
        <v>#N/A</v>
      </c>
      <c r="T1253" s="117" t="e">
        <f t="shared" si="238"/>
        <v>#N/A</v>
      </c>
      <c r="U1253" s="272" t="e">
        <f>IF(Q1253=0,'calcolo base'!L3852,(T1253+Q1253))</f>
        <v>#N/A</v>
      </c>
      <c r="V1253" s="119"/>
      <c r="Z1253" s="118">
        <f t="shared" si="229"/>
        <v>0</v>
      </c>
      <c r="AA1253" s="118">
        <f t="shared" si="230"/>
        <v>0</v>
      </c>
    </row>
    <row r="1254" spans="2:27">
      <c r="B1254" s="47"/>
      <c r="C1254" s="35"/>
      <c r="D1254" s="53"/>
      <c r="E1254" s="53"/>
      <c r="F1254" s="48"/>
      <c r="G1254" s="243" t="e">
        <f>INDEX('calcolo base'!$B:$B, MATCH($A1254, 'calcolo base'!$A:$A, 0))</f>
        <v>#N/A</v>
      </c>
      <c r="H1254" s="54" t="e">
        <f t="shared" si="231"/>
        <v>#N/A</v>
      </c>
      <c r="I1254" s="259" t="e">
        <f>IF(  OR(      INDEX('calcolo base'!$D:$D, MATCH($A1254, 'calcolo base'!$A:$A, 0)) = 0,
      INDEX('calcolo base'!$D:$D, MATCH($A1254, 'calcolo base'!$A:$A, 0)) = ""   ),
   INDEX('calcolo base'!$K:$K, MATCH($A1254, 'calcolo base'!$A:$A, 0)),
   INDEX('calcolo base'!$J:$J, MATCH($A1254, 'calcolo base'!$A:$A, 0))
) / 1000</f>
        <v>#N/A</v>
      </c>
      <c r="J1254" s="50" t="e">
        <f t="shared" si="232"/>
        <v>#N/A</v>
      </c>
      <c r="K1254" s="50"/>
      <c r="L1254" s="267" t="e">
        <f>INDEX('calcolo base'!$H:$H, MATCH($A1254, 'calcolo base'!$A:$A, 0))</f>
        <v>#N/A</v>
      </c>
      <c r="M1254" s="50" t="e">
        <f t="shared" si="233"/>
        <v>#N/A</v>
      </c>
      <c r="N1254" s="50" t="e">
        <f t="shared" si="234"/>
        <v>#N/A</v>
      </c>
      <c r="O1254" s="50" t="e">
        <f t="shared" si="228"/>
        <v>#N/A</v>
      </c>
      <c r="P1254" s="50" t="e">
        <f t="shared" si="235"/>
        <v>#N/A</v>
      </c>
      <c r="Q1254" s="51" t="e">
        <f t="shared" si="236"/>
        <v>#N/A</v>
      </c>
      <c r="R1254" s="205" t="e">
        <f t="shared" si="237"/>
        <v>#N/A</v>
      </c>
      <c r="S1254" s="279" t="e">
        <f>IF(R1254="si",0,IF(E1254="si",0,IF(J1254&gt;K1254,0,+K1254-J1254)))+IF('calcolo base'!P1946="SI",('Commissioni De Angeli'!K1254-'Commissioni De Angeli'!J1254),0)</f>
        <v>#N/A</v>
      </c>
      <c r="T1254" s="117" t="e">
        <f t="shared" si="238"/>
        <v>#N/A</v>
      </c>
      <c r="U1254" s="272" t="e">
        <f>IF(Q1254=0,'calcolo base'!L3853,(T1254+Q1254))</f>
        <v>#N/A</v>
      </c>
      <c r="V1254" s="119"/>
      <c r="Z1254" s="118">
        <f t="shared" si="229"/>
        <v>0</v>
      </c>
      <c r="AA1254" s="118">
        <f t="shared" si="230"/>
        <v>0</v>
      </c>
    </row>
    <row r="1255" spans="2:27">
      <c r="B1255" s="47"/>
      <c r="C1255" s="35"/>
      <c r="D1255" s="53"/>
      <c r="E1255" s="53"/>
      <c r="F1255" s="48"/>
      <c r="G1255" s="243" t="e">
        <f>INDEX('calcolo base'!$B:$B, MATCH($A1255, 'calcolo base'!$A:$A, 0))</f>
        <v>#N/A</v>
      </c>
      <c r="H1255" s="54" t="e">
        <f t="shared" si="231"/>
        <v>#N/A</v>
      </c>
      <c r="I1255" s="259" t="e">
        <f>IF(  OR(      INDEX('calcolo base'!$D:$D, MATCH($A1255, 'calcolo base'!$A:$A, 0)) = 0,
      INDEX('calcolo base'!$D:$D, MATCH($A1255, 'calcolo base'!$A:$A, 0)) = ""   ),
   INDEX('calcolo base'!$K:$K, MATCH($A1255, 'calcolo base'!$A:$A, 0)),
   INDEX('calcolo base'!$J:$J, MATCH($A1255, 'calcolo base'!$A:$A, 0))
) / 1000</f>
        <v>#N/A</v>
      </c>
      <c r="J1255" s="50" t="e">
        <f t="shared" si="232"/>
        <v>#N/A</v>
      </c>
      <c r="K1255" s="50"/>
      <c r="L1255" s="267" t="e">
        <f>INDEX('calcolo base'!$H:$H, MATCH($A1255, 'calcolo base'!$A:$A, 0))</f>
        <v>#N/A</v>
      </c>
      <c r="M1255" s="50" t="e">
        <f t="shared" si="233"/>
        <v>#N/A</v>
      </c>
      <c r="N1255" s="50" t="e">
        <f t="shared" si="234"/>
        <v>#N/A</v>
      </c>
      <c r="O1255" s="50" t="e">
        <f t="shared" si="228"/>
        <v>#N/A</v>
      </c>
      <c r="P1255" s="50" t="e">
        <f t="shared" si="235"/>
        <v>#N/A</v>
      </c>
      <c r="Q1255" s="51" t="e">
        <f t="shared" si="236"/>
        <v>#N/A</v>
      </c>
      <c r="R1255" s="205" t="e">
        <f t="shared" si="237"/>
        <v>#N/A</v>
      </c>
      <c r="S1255" s="279" t="e">
        <f>IF(R1255="si",0,IF(E1255="si",0,IF(J1255&gt;K1255,0,+K1255-J1255)))+IF('calcolo base'!P1947="SI",('Commissioni De Angeli'!K1255-'Commissioni De Angeli'!J1255),0)</f>
        <v>#N/A</v>
      </c>
      <c r="T1255" s="117" t="e">
        <f t="shared" si="238"/>
        <v>#N/A</v>
      </c>
      <c r="U1255" s="272" t="e">
        <f>IF(Q1255=0,'calcolo base'!L3854,(T1255+Q1255))</f>
        <v>#N/A</v>
      </c>
      <c r="V1255" s="119"/>
      <c r="Z1255" s="118">
        <f t="shared" si="229"/>
        <v>0</v>
      </c>
      <c r="AA1255" s="118">
        <f t="shared" si="230"/>
        <v>0</v>
      </c>
    </row>
    <row r="1256" spans="2:27">
      <c r="B1256" s="47"/>
      <c r="C1256" s="35"/>
      <c r="D1256" s="53"/>
      <c r="E1256" s="53"/>
      <c r="F1256" s="48"/>
      <c r="G1256" s="243" t="e">
        <f>INDEX('calcolo base'!$B:$B, MATCH($A1256, 'calcolo base'!$A:$A, 0))</f>
        <v>#N/A</v>
      </c>
      <c r="H1256" s="54" t="e">
        <f t="shared" si="231"/>
        <v>#N/A</v>
      </c>
      <c r="I1256" s="259" t="e">
        <f>IF(  OR(      INDEX('calcolo base'!$D:$D, MATCH($A1256, 'calcolo base'!$A:$A, 0)) = 0,
      INDEX('calcolo base'!$D:$D, MATCH($A1256, 'calcolo base'!$A:$A, 0)) = ""   ),
   INDEX('calcolo base'!$K:$K, MATCH($A1256, 'calcolo base'!$A:$A, 0)),
   INDEX('calcolo base'!$J:$J, MATCH($A1256, 'calcolo base'!$A:$A, 0))
) / 1000</f>
        <v>#N/A</v>
      </c>
      <c r="J1256" s="50" t="e">
        <f t="shared" si="232"/>
        <v>#N/A</v>
      </c>
      <c r="K1256" s="50"/>
      <c r="L1256" s="267" t="e">
        <f>INDEX('calcolo base'!$H:$H, MATCH($A1256, 'calcolo base'!$A:$A, 0))</f>
        <v>#N/A</v>
      </c>
      <c r="M1256" s="50" t="e">
        <f t="shared" si="233"/>
        <v>#N/A</v>
      </c>
      <c r="N1256" s="50" t="e">
        <f t="shared" si="234"/>
        <v>#N/A</v>
      </c>
      <c r="O1256" s="50" t="e">
        <f t="shared" si="228"/>
        <v>#N/A</v>
      </c>
      <c r="P1256" s="50" t="e">
        <f t="shared" si="235"/>
        <v>#N/A</v>
      </c>
      <c r="Q1256" s="51" t="e">
        <f t="shared" si="236"/>
        <v>#N/A</v>
      </c>
      <c r="R1256" s="205" t="e">
        <f t="shared" si="237"/>
        <v>#N/A</v>
      </c>
      <c r="S1256" s="279" t="e">
        <f>IF(R1256="si",0,IF(E1256="si",0,IF(J1256&gt;K1256,0,+K1256-J1256)))+IF('calcolo base'!P1948="SI",('Commissioni De Angeli'!K1256-'Commissioni De Angeli'!J1256),0)</f>
        <v>#N/A</v>
      </c>
      <c r="T1256" s="117" t="e">
        <f t="shared" si="238"/>
        <v>#N/A</v>
      </c>
      <c r="U1256" s="272" t="e">
        <f>IF(Q1256=0,'calcolo base'!L3855,(T1256+Q1256))</f>
        <v>#N/A</v>
      </c>
      <c r="V1256" s="119"/>
      <c r="Z1256" s="118">
        <f t="shared" si="229"/>
        <v>0</v>
      </c>
      <c r="AA1256" s="118">
        <f t="shared" si="230"/>
        <v>0</v>
      </c>
    </row>
    <row r="1257" spans="2:27">
      <c r="B1257" s="47"/>
      <c r="C1257" s="35"/>
      <c r="D1257" s="53"/>
      <c r="E1257" s="53"/>
      <c r="F1257" s="48"/>
      <c r="G1257" s="243" t="e">
        <f>INDEX('calcolo base'!$B:$B, MATCH($A1257, 'calcolo base'!$A:$A, 0))</f>
        <v>#N/A</v>
      </c>
      <c r="H1257" s="54" t="e">
        <f t="shared" si="231"/>
        <v>#N/A</v>
      </c>
      <c r="I1257" s="259" t="e">
        <f>IF(  OR(      INDEX('calcolo base'!$D:$D, MATCH($A1257, 'calcolo base'!$A:$A, 0)) = 0,
      INDEX('calcolo base'!$D:$D, MATCH($A1257, 'calcolo base'!$A:$A, 0)) = ""   ),
   INDEX('calcolo base'!$K:$K, MATCH($A1257, 'calcolo base'!$A:$A, 0)),
   INDEX('calcolo base'!$J:$J, MATCH($A1257, 'calcolo base'!$A:$A, 0))
) / 1000</f>
        <v>#N/A</v>
      </c>
      <c r="J1257" s="50" t="e">
        <f t="shared" si="232"/>
        <v>#N/A</v>
      </c>
      <c r="K1257" s="50"/>
      <c r="L1257" s="267" t="e">
        <f>INDEX('calcolo base'!$H:$H, MATCH($A1257, 'calcolo base'!$A:$A, 0))</f>
        <v>#N/A</v>
      </c>
      <c r="M1257" s="50" t="e">
        <f t="shared" si="233"/>
        <v>#N/A</v>
      </c>
      <c r="N1257" s="50" t="e">
        <f t="shared" si="234"/>
        <v>#N/A</v>
      </c>
      <c r="O1257" s="50" t="e">
        <f t="shared" si="228"/>
        <v>#N/A</v>
      </c>
      <c r="P1257" s="50" t="e">
        <f t="shared" si="235"/>
        <v>#N/A</v>
      </c>
      <c r="Q1257" s="51" t="e">
        <f t="shared" si="236"/>
        <v>#N/A</v>
      </c>
      <c r="R1257" s="205" t="e">
        <f t="shared" si="237"/>
        <v>#N/A</v>
      </c>
      <c r="S1257" s="279" t="e">
        <f>IF(R1257="si",0,IF(E1257="si",0,IF(J1257&gt;K1257,0,+K1257-J1257)))+IF('calcolo base'!P1949="SI",('Commissioni De Angeli'!K1257-'Commissioni De Angeli'!J1257),0)</f>
        <v>#N/A</v>
      </c>
      <c r="T1257" s="117" t="e">
        <f t="shared" si="238"/>
        <v>#N/A</v>
      </c>
      <c r="U1257" s="272" t="e">
        <f>IF(Q1257=0,'calcolo base'!L3856,(T1257+Q1257))</f>
        <v>#N/A</v>
      </c>
      <c r="V1257" s="119"/>
      <c r="Z1257" s="118">
        <f t="shared" si="229"/>
        <v>0</v>
      </c>
      <c r="AA1257" s="118">
        <f t="shared" si="230"/>
        <v>0</v>
      </c>
    </row>
    <row r="1258" spans="2:27">
      <c r="B1258" s="47"/>
      <c r="C1258" s="35"/>
      <c r="D1258" s="53"/>
      <c r="E1258" s="53"/>
      <c r="F1258" s="48"/>
      <c r="G1258" s="243" t="e">
        <f>INDEX('calcolo base'!$B:$B, MATCH($A1258, 'calcolo base'!$A:$A, 0))</f>
        <v>#N/A</v>
      </c>
      <c r="H1258" s="54" t="e">
        <f t="shared" si="231"/>
        <v>#N/A</v>
      </c>
      <c r="I1258" s="259" t="e">
        <f>IF(  OR(      INDEX('calcolo base'!$D:$D, MATCH($A1258, 'calcolo base'!$A:$A, 0)) = 0,
      INDEX('calcolo base'!$D:$D, MATCH($A1258, 'calcolo base'!$A:$A, 0)) = ""   ),
   INDEX('calcolo base'!$K:$K, MATCH($A1258, 'calcolo base'!$A:$A, 0)),
   INDEX('calcolo base'!$J:$J, MATCH($A1258, 'calcolo base'!$A:$A, 0))
) / 1000</f>
        <v>#N/A</v>
      </c>
      <c r="J1258" s="50" t="e">
        <f t="shared" si="232"/>
        <v>#N/A</v>
      </c>
      <c r="K1258" s="50"/>
      <c r="L1258" s="267" t="e">
        <f>INDEX('calcolo base'!$H:$H, MATCH($A1258, 'calcolo base'!$A:$A, 0))</f>
        <v>#N/A</v>
      </c>
      <c r="M1258" s="50" t="e">
        <f t="shared" si="233"/>
        <v>#N/A</v>
      </c>
      <c r="N1258" s="50" t="e">
        <f t="shared" si="234"/>
        <v>#N/A</v>
      </c>
      <c r="O1258" s="50" t="e">
        <f t="shared" si="228"/>
        <v>#N/A</v>
      </c>
      <c r="P1258" s="50" t="e">
        <f t="shared" si="235"/>
        <v>#N/A</v>
      </c>
      <c r="Q1258" s="51" t="e">
        <f t="shared" si="236"/>
        <v>#N/A</v>
      </c>
      <c r="R1258" s="205" t="e">
        <f t="shared" si="237"/>
        <v>#N/A</v>
      </c>
      <c r="S1258" s="279" t="e">
        <f>IF(R1258="si",0,IF(E1258="si",0,IF(J1258&gt;K1258,0,+K1258-J1258)))+IF('calcolo base'!P1950="SI",('Commissioni De Angeli'!K1258-'Commissioni De Angeli'!J1258),0)</f>
        <v>#N/A</v>
      </c>
      <c r="T1258" s="117" t="e">
        <f t="shared" si="238"/>
        <v>#N/A</v>
      </c>
      <c r="U1258" s="272" t="e">
        <f>IF(Q1258=0,'calcolo base'!L3857,(T1258+Q1258))</f>
        <v>#N/A</v>
      </c>
      <c r="V1258" s="119"/>
      <c r="Z1258" s="118">
        <f t="shared" si="229"/>
        <v>0</v>
      </c>
      <c r="AA1258" s="118">
        <f t="shared" si="230"/>
        <v>0</v>
      </c>
    </row>
    <row r="1259" spans="2:27">
      <c r="B1259" s="47"/>
      <c r="C1259" s="35"/>
      <c r="D1259" s="53"/>
      <c r="E1259" s="53"/>
      <c r="F1259" s="48"/>
      <c r="G1259" s="243" t="e">
        <f>INDEX('calcolo base'!$B:$B, MATCH($A1259, 'calcolo base'!$A:$A, 0))</f>
        <v>#N/A</v>
      </c>
      <c r="H1259" s="54" t="e">
        <f t="shared" si="231"/>
        <v>#N/A</v>
      </c>
      <c r="I1259" s="259" t="e">
        <f>IF(  OR(      INDEX('calcolo base'!$D:$D, MATCH($A1259, 'calcolo base'!$A:$A, 0)) = 0,
      INDEX('calcolo base'!$D:$D, MATCH($A1259, 'calcolo base'!$A:$A, 0)) = ""   ),
   INDEX('calcolo base'!$K:$K, MATCH($A1259, 'calcolo base'!$A:$A, 0)),
   INDEX('calcolo base'!$J:$J, MATCH($A1259, 'calcolo base'!$A:$A, 0))
) / 1000</f>
        <v>#N/A</v>
      </c>
      <c r="J1259" s="50" t="e">
        <f t="shared" si="232"/>
        <v>#N/A</v>
      </c>
      <c r="K1259" s="50"/>
      <c r="L1259" s="267" t="e">
        <f>INDEX('calcolo base'!$H:$H, MATCH($A1259, 'calcolo base'!$A:$A, 0))</f>
        <v>#N/A</v>
      </c>
      <c r="M1259" s="50" t="e">
        <f t="shared" si="233"/>
        <v>#N/A</v>
      </c>
      <c r="N1259" s="50" t="e">
        <f t="shared" si="234"/>
        <v>#N/A</v>
      </c>
      <c r="O1259" s="50" t="e">
        <f t="shared" si="228"/>
        <v>#N/A</v>
      </c>
      <c r="P1259" s="50" t="e">
        <f t="shared" si="235"/>
        <v>#N/A</v>
      </c>
      <c r="Q1259" s="51" t="e">
        <f t="shared" si="236"/>
        <v>#N/A</v>
      </c>
      <c r="R1259" s="205" t="e">
        <f t="shared" si="237"/>
        <v>#N/A</v>
      </c>
      <c r="S1259" s="279" t="e">
        <f>IF(R1259="si",0,IF(E1259="si",0,IF(J1259&gt;K1259,0,+K1259-J1259)))+IF('calcolo base'!P1951="SI",('Commissioni De Angeli'!K1259-'Commissioni De Angeli'!J1259),0)</f>
        <v>#N/A</v>
      </c>
      <c r="T1259" s="117" t="e">
        <f t="shared" si="238"/>
        <v>#N/A</v>
      </c>
      <c r="U1259" s="272" t="e">
        <f>IF(Q1259=0,'calcolo base'!L3858,(T1259+Q1259))</f>
        <v>#N/A</v>
      </c>
      <c r="V1259" s="119"/>
      <c r="Z1259" s="118">
        <f t="shared" si="229"/>
        <v>0</v>
      </c>
      <c r="AA1259" s="118">
        <f t="shared" si="230"/>
        <v>0</v>
      </c>
    </row>
    <row r="1260" spans="2:27">
      <c r="B1260" s="47"/>
      <c r="C1260" s="35"/>
      <c r="D1260" s="53"/>
      <c r="E1260" s="53"/>
      <c r="F1260" s="48"/>
      <c r="G1260" s="243" t="e">
        <f>INDEX('calcolo base'!$B:$B, MATCH($A1260, 'calcolo base'!$A:$A, 0))</f>
        <v>#N/A</v>
      </c>
      <c r="H1260" s="54" t="e">
        <f t="shared" si="231"/>
        <v>#N/A</v>
      </c>
      <c r="I1260" s="259" t="e">
        <f>IF(  OR(      INDEX('calcolo base'!$D:$D, MATCH($A1260, 'calcolo base'!$A:$A, 0)) = 0,
      INDEX('calcolo base'!$D:$D, MATCH($A1260, 'calcolo base'!$A:$A, 0)) = ""   ),
   INDEX('calcolo base'!$K:$K, MATCH($A1260, 'calcolo base'!$A:$A, 0)),
   INDEX('calcolo base'!$J:$J, MATCH($A1260, 'calcolo base'!$A:$A, 0))
) / 1000</f>
        <v>#N/A</v>
      </c>
      <c r="J1260" s="50" t="e">
        <f t="shared" si="232"/>
        <v>#N/A</v>
      </c>
      <c r="K1260" s="50"/>
      <c r="L1260" s="267" t="e">
        <f>INDEX('calcolo base'!$H:$H, MATCH($A1260, 'calcolo base'!$A:$A, 0))</f>
        <v>#N/A</v>
      </c>
      <c r="M1260" s="50" t="e">
        <f t="shared" si="233"/>
        <v>#N/A</v>
      </c>
      <c r="N1260" s="50" t="e">
        <f t="shared" si="234"/>
        <v>#N/A</v>
      </c>
      <c r="O1260" s="50" t="e">
        <f t="shared" si="228"/>
        <v>#N/A</v>
      </c>
      <c r="P1260" s="50" t="e">
        <f t="shared" si="235"/>
        <v>#N/A</v>
      </c>
      <c r="Q1260" s="51" t="e">
        <f t="shared" si="236"/>
        <v>#N/A</v>
      </c>
      <c r="R1260" s="205" t="e">
        <f t="shared" si="237"/>
        <v>#N/A</v>
      </c>
      <c r="S1260" s="279" t="e">
        <f>IF(R1260="si",0,IF(E1260="si",0,IF(J1260&gt;K1260,0,+K1260-J1260)))+IF('calcolo base'!P1952="SI",('Commissioni De Angeli'!K1260-'Commissioni De Angeli'!J1260),0)</f>
        <v>#N/A</v>
      </c>
      <c r="T1260" s="117" t="e">
        <f t="shared" si="238"/>
        <v>#N/A</v>
      </c>
      <c r="U1260" s="272" t="e">
        <f>IF(Q1260=0,'calcolo base'!L3859,(T1260+Q1260))</f>
        <v>#N/A</v>
      </c>
      <c r="V1260" s="119"/>
      <c r="Z1260" s="118">
        <f t="shared" si="229"/>
        <v>0</v>
      </c>
      <c r="AA1260" s="118">
        <f t="shared" si="230"/>
        <v>0</v>
      </c>
    </row>
    <row r="1261" spans="2:27">
      <c r="B1261" s="47"/>
      <c r="C1261" s="35"/>
      <c r="D1261" s="53"/>
      <c r="E1261" s="53"/>
      <c r="F1261" s="48"/>
      <c r="G1261" s="243" t="e">
        <f>INDEX('calcolo base'!$B:$B, MATCH($A1261, 'calcolo base'!$A:$A, 0))</f>
        <v>#N/A</v>
      </c>
      <c r="H1261" s="54" t="e">
        <f t="shared" si="231"/>
        <v>#N/A</v>
      </c>
      <c r="I1261" s="259" t="e">
        <f>IF(  OR(      INDEX('calcolo base'!$D:$D, MATCH($A1261, 'calcolo base'!$A:$A, 0)) = 0,
      INDEX('calcolo base'!$D:$D, MATCH($A1261, 'calcolo base'!$A:$A, 0)) = ""   ),
   INDEX('calcolo base'!$K:$K, MATCH($A1261, 'calcolo base'!$A:$A, 0)),
   INDEX('calcolo base'!$J:$J, MATCH($A1261, 'calcolo base'!$A:$A, 0))
) / 1000</f>
        <v>#N/A</v>
      </c>
      <c r="J1261" s="50" t="e">
        <f t="shared" si="232"/>
        <v>#N/A</v>
      </c>
      <c r="K1261" s="50"/>
      <c r="L1261" s="267" t="e">
        <f>INDEX('calcolo base'!$H:$H, MATCH($A1261, 'calcolo base'!$A:$A, 0))</f>
        <v>#N/A</v>
      </c>
      <c r="M1261" s="50" t="e">
        <f t="shared" si="233"/>
        <v>#N/A</v>
      </c>
      <c r="N1261" s="50" t="e">
        <f t="shared" si="234"/>
        <v>#N/A</v>
      </c>
      <c r="O1261" s="50" t="e">
        <f t="shared" ref="O1261:O1324" si="239">IF($I1261=0,0,(IF($G1261="alluminio",($J1261)*3%,0)+IF($G1261="alluminio smaltato",($K1261)*3%,0)))</f>
        <v>#N/A</v>
      </c>
      <c r="P1261" s="50" t="e">
        <f t="shared" si="235"/>
        <v>#N/A</v>
      </c>
      <c r="Q1261" s="51" t="e">
        <f t="shared" si="236"/>
        <v>#N/A</v>
      </c>
      <c r="R1261" s="205" t="e">
        <f t="shared" si="237"/>
        <v>#N/A</v>
      </c>
      <c r="S1261" s="279" t="e">
        <f>IF(R1261="si",0,IF(E1261="si",0,IF(J1261&gt;K1261,0,+K1261-J1261)))+IF('calcolo base'!P1953="SI",('Commissioni De Angeli'!K1261-'Commissioni De Angeli'!J1261),0)</f>
        <v>#N/A</v>
      </c>
      <c r="T1261" s="117" t="e">
        <f t="shared" si="238"/>
        <v>#N/A</v>
      </c>
      <c r="U1261" s="272" t="e">
        <f>IF(Q1261=0,'calcolo base'!L3860,(T1261+Q1261))</f>
        <v>#N/A</v>
      </c>
      <c r="V1261" s="119"/>
      <c r="Z1261" s="118">
        <f t="shared" si="229"/>
        <v>0</v>
      </c>
      <c r="AA1261" s="118">
        <f t="shared" si="230"/>
        <v>0</v>
      </c>
    </row>
    <row r="1262" spans="2:27">
      <c r="B1262" s="47"/>
      <c r="C1262" s="35"/>
      <c r="D1262" s="53"/>
      <c r="E1262" s="53"/>
      <c r="F1262" s="48"/>
      <c r="G1262" s="243" t="e">
        <f>INDEX('calcolo base'!$B:$B, MATCH($A1262, 'calcolo base'!$A:$A, 0))</f>
        <v>#N/A</v>
      </c>
      <c r="H1262" s="54" t="e">
        <f t="shared" si="231"/>
        <v>#N/A</v>
      </c>
      <c r="I1262" s="259" t="e">
        <f>IF(  OR(      INDEX('calcolo base'!$D:$D, MATCH($A1262, 'calcolo base'!$A:$A, 0)) = 0,
      INDEX('calcolo base'!$D:$D, MATCH($A1262, 'calcolo base'!$A:$A, 0)) = ""   ),
   INDEX('calcolo base'!$K:$K, MATCH($A1262, 'calcolo base'!$A:$A, 0)),
   INDEX('calcolo base'!$J:$J, MATCH($A1262, 'calcolo base'!$A:$A, 0))
) / 1000</f>
        <v>#N/A</v>
      </c>
      <c r="J1262" s="50" t="e">
        <f t="shared" si="232"/>
        <v>#N/A</v>
      </c>
      <c r="K1262" s="50"/>
      <c r="L1262" s="267" t="e">
        <f>INDEX('calcolo base'!$H:$H, MATCH($A1262, 'calcolo base'!$A:$A, 0))</f>
        <v>#N/A</v>
      </c>
      <c r="M1262" s="50" t="e">
        <f t="shared" si="233"/>
        <v>#N/A</v>
      </c>
      <c r="N1262" s="50" t="e">
        <f t="shared" si="234"/>
        <v>#N/A</v>
      </c>
      <c r="O1262" s="50" t="e">
        <f t="shared" si="239"/>
        <v>#N/A</v>
      </c>
      <c r="P1262" s="50" t="e">
        <f t="shared" si="235"/>
        <v>#N/A</v>
      </c>
      <c r="Q1262" s="51" t="e">
        <f t="shared" si="236"/>
        <v>#N/A</v>
      </c>
      <c r="R1262" s="205" t="e">
        <f t="shared" si="237"/>
        <v>#N/A</v>
      </c>
      <c r="S1262" s="279" t="e">
        <f>IF(R1262="si",0,IF(E1262="si",0,IF(J1262&gt;K1262,0,+K1262-J1262)))+IF('calcolo base'!P1954="SI",('Commissioni De Angeli'!K1262-'Commissioni De Angeli'!J1262),0)</f>
        <v>#N/A</v>
      </c>
      <c r="T1262" s="117" t="e">
        <f t="shared" si="238"/>
        <v>#N/A</v>
      </c>
      <c r="U1262" s="272" t="e">
        <f>IF(Q1262=0,'calcolo base'!L3861,(T1262+Q1262))</f>
        <v>#N/A</v>
      </c>
      <c r="V1262" s="119"/>
      <c r="Z1262" s="118">
        <f t="shared" si="229"/>
        <v>0</v>
      </c>
      <c r="AA1262" s="118">
        <f t="shared" si="230"/>
        <v>0</v>
      </c>
    </row>
    <row r="1263" spans="2:27">
      <c r="B1263" s="47"/>
      <c r="C1263" s="35"/>
      <c r="D1263" s="53"/>
      <c r="E1263" s="53"/>
      <c r="F1263" s="48"/>
      <c r="G1263" s="243" t="e">
        <f>INDEX('calcolo base'!$B:$B, MATCH($A1263, 'calcolo base'!$A:$A, 0))</f>
        <v>#N/A</v>
      </c>
      <c r="H1263" s="54" t="e">
        <f t="shared" si="231"/>
        <v>#N/A</v>
      </c>
      <c r="I1263" s="259" t="e">
        <f>IF(  OR(      INDEX('calcolo base'!$D:$D, MATCH($A1263, 'calcolo base'!$A:$A, 0)) = 0,
      INDEX('calcolo base'!$D:$D, MATCH($A1263, 'calcolo base'!$A:$A, 0)) = ""   ),
   INDEX('calcolo base'!$K:$K, MATCH($A1263, 'calcolo base'!$A:$A, 0)),
   INDEX('calcolo base'!$J:$J, MATCH($A1263, 'calcolo base'!$A:$A, 0))
) / 1000</f>
        <v>#N/A</v>
      </c>
      <c r="J1263" s="50" t="e">
        <f t="shared" si="232"/>
        <v>#N/A</v>
      </c>
      <c r="K1263" s="50"/>
      <c r="L1263" s="267" t="e">
        <f>INDEX('calcolo base'!$H:$H, MATCH($A1263, 'calcolo base'!$A:$A, 0))</f>
        <v>#N/A</v>
      </c>
      <c r="M1263" s="50" t="e">
        <f t="shared" si="233"/>
        <v>#N/A</v>
      </c>
      <c r="N1263" s="50" t="e">
        <f t="shared" si="234"/>
        <v>#N/A</v>
      </c>
      <c r="O1263" s="50" t="e">
        <f t="shared" si="239"/>
        <v>#N/A</v>
      </c>
      <c r="P1263" s="50" t="e">
        <f t="shared" si="235"/>
        <v>#N/A</v>
      </c>
      <c r="Q1263" s="51" t="e">
        <f t="shared" si="236"/>
        <v>#N/A</v>
      </c>
      <c r="R1263" s="205" t="e">
        <f t="shared" si="237"/>
        <v>#N/A</v>
      </c>
      <c r="S1263" s="279" t="e">
        <f>IF(R1263="si",0,IF(E1263="si",0,IF(J1263&gt;K1263,0,+K1263-J1263)))+IF('calcolo base'!P1955="SI",('Commissioni De Angeli'!K1263-'Commissioni De Angeli'!J1263),0)</f>
        <v>#N/A</v>
      </c>
      <c r="T1263" s="117" t="e">
        <f t="shared" si="238"/>
        <v>#N/A</v>
      </c>
      <c r="U1263" s="272" t="e">
        <f>IF(Q1263=0,'calcolo base'!L3862,(T1263+Q1263))</f>
        <v>#N/A</v>
      </c>
      <c r="V1263" s="119"/>
      <c r="Z1263" s="118">
        <f t="shared" si="229"/>
        <v>0</v>
      </c>
      <c r="AA1263" s="118">
        <f t="shared" si="230"/>
        <v>0</v>
      </c>
    </row>
    <row r="1264" spans="2:27">
      <c r="B1264" s="47"/>
      <c r="C1264" s="35"/>
      <c r="D1264" s="53"/>
      <c r="E1264" s="53"/>
      <c r="F1264" s="48"/>
      <c r="G1264" s="243" t="e">
        <f>INDEX('calcolo base'!$B:$B, MATCH($A1264, 'calcolo base'!$A:$A, 0))</f>
        <v>#N/A</v>
      </c>
      <c r="H1264" s="54" t="e">
        <f t="shared" si="231"/>
        <v>#N/A</v>
      </c>
      <c r="I1264" s="259" t="e">
        <f>IF(  OR(      INDEX('calcolo base'!$D:$D, MATCH($A1264, 'calcolo base'!$A:$A, 0)) = 0,
      INDEX('calcolo base'!$D:$D, MATCH($A1264, 'calcolo base'!$A:$A, 0)) = ""   ),
   INDEX('calcolo base'!$K:$K, MATCH($A1264, 'calcolo base'!$A:$A, 0)),
   INDEX('calcolo base'!$J:$J, MATCH($A1264, 'calcolo base'!$A:$A, 0))
) / 1000</f>
        <v>#N/A</v>
      </c>
      <c r="J1264" s="50" t="e">
        <f t="shared" si="232"/>
        <v>#N/A</v>
      </c>
      <c r="K1264" s="50"/>
      <c r="L1264" s="267" t="e">
        <f>INDEX('calcolo base'!$H:$H, MATCH($A1264, 'calcolo base'!$A:$A, 0))</f>
        <v>#N/A</v>
      </c>
      <c r="M1264" s="50" t="e">
        <f t="shared" si="233"/>
        <v>#N/A</v>
      </c>
      <c r="N1264" s="50" t="e">
        <f t="shared" si="234"/>
        <v>#N/A</v>
      </c>
      <c r="O1264" s="50" t="e">
        <f t="shared" si="239"/>
        <v>#N/A</v>
      </c>
      <c r="P1264" s="50" t="e">
        <f t="shared" si="235"/>
        <v>#N/A</v>
      </c>
      <c r="Q1264" s="51" t="e">
        <f t="shared" si="236"/>
        <v>#N/A</v>
      </c>
      <c r="R1264" s="205" t="e">
        <f t="shared" si="237"/>
        <v>#N/A</v>
      </c>
      <c r="S1264" s="279" t="e">
        <f>IF(R1264="si",0,IF(E1264="si",0,IF(J1264&gt;K1264,0,+K1264-J1264)))+IF('calcolo base'!P1956="SI",('Commissioni De Angeli'!K1264-'Commissioni De Angeli'!J1264),0)</f>
        <v>#N/A</v>
      </c>
      <c r="T1264" s="117" t="e">
        <f t="shared" si="238"/>
        <v>#N/A</v>
      </c>
      <c r="U1264" s="272" t="e">
        <f>IF(Q1264=0,'calcolo base'!L3863,(T1264+Q1264))</f>
        <v>#N/A</v>
      </c>
      <c r="V1264" s="119"/>
      <c r="Z1264" s="118">
        <f t="shared" si="229"/>
        <v>0</v>
      </c>
      <c r="AA1264" s="118">
        <f t="shared" si="230"/>
        <v>0</v>
      </c>
    </row>
    <row r="1265" spans="2:27">
      <c r="B1265" s="47"/>
      <c r="C1265" s="35"/>
      <c r="D1265" s="53"/>
      <c r="E1265" s="53"/>
      <c r="F1265" s="48"/>
      <c r="G1265" s="243" t="e">
        <f>INDEX('calcolo base'!$B:$B, MATCH($A1265, 'calcolo base'!$A:$A, 0))</f>
        <v>#N/A</v>
      </c>
      <c r="H1265" s="54" t="e">
        <f t="shared" si="231"/>
        <v>#N/A</v>
      </c>
      <c r="I1265" s="259" t="e">
        <f>IF(  OR(      INDEX('calcolo base'!$D:$D, MATCH($A1265, 'calcolo base'!$A:$A, 0)) = 0,
      INDEX('calcolo base'!$D:$D, MATCH($A1265, 'calcolo base'!$A:$A, 0)) = ""   ),
   INDEX('calcolo base'!$K:$K, MATCH($A1265, 'calcolo base'!$A:$A, 0)),
   INDEX('calcolo base'!$J:$J, MATCH($A1265, 'calcolo base'!$A:$A, 0))
) / 1000</f>
        <v>#N/A</v>
      </c>
      <c r="J1265" s="50" t="e">
        <f t="shared" si="232"/>
        <v>#N/A</v>
      </c>
      <c r="K1265" s="50"/>
      <c r="L1265" s="267" t="e">
        <f>INDEX('calcolo base'!$H:$H, MATCH($A1265, 'calcolo base'!$A:$A, 0))</f>
        <v>#N/A</v>
      </c>
      <c r="M1265" s="50" t="e">
        <f t="shared" si="233"/>
        <v>#N/A</v>
      </c>
      <c r="N1265" s="50" t="e">
        <f t="shared" si="234"/>
        <v>#N/A</v>
      </c>
      <c r="O1265" s="50" t="e">
        <f t="shared" si="239"/>
        <v>#N/A</v>
      </c>
      <c r="P1265" s="50" t="e">
        <f t="shared" si="235"/>
        <v>#N/A</v>
      </c>
      <c r="Q1265" s="51" t="e">
        <f t="shared" si="236"/>
        <v>#N/A</v>
      </c>
      <c r="R1265" s="205" t="e">
        <f t="shared" si="237"/>
        <v>#N/A</v>
      </c>
      <c r="S1265" s="279" t="e">
        <f>IF(R1265="si",0,IF(E1265="si",0,IF(J1265&gt;K1265,0,+K1265-J1265)))+IF('calcolo base'!P1957="SI",('Commissioni De Angeli'!K1265-'Commissioni De Angeli'!J1265),0)</f>
        <v>#N/A</v>
      </c>
      <c r="T1265" s="117" t="e">
        <f t="shared" si="238"/>
        <v>#N/A</v>
      </c>
      <c r="U1265" s="272" t="e">
        <f>IF(Q1265=0,'calcolo base'!L3864,(T1265+Q1265))</f>
        <v>#N/A</v>
      </c>
      <c r="V1265" s="119"/>
      <c r="Z1265" s="118">
        <f t="shared" si="229"/>
        <v>0</v>
      </c>
      <c r="AA1265" s="118">
        <f t="shared" si="230"/>
        <v>0</v>
      </c>
    </row>
    <row r="1266" spans="2:27">
      <c r="B1266" s="47"/>
      <c r="C1266" s="35"/>
      <c r="D1266" s="53"/>
      <c r="E1266" s="53"/>
      <c r="F1266" s="48"/>
      <c r="G1266" s="243" t="e">
        <f>INDEX('calcolo base'!$B:$B, MATCH($A1266, 'calcolo base'!$A:$A, 0))</f>
        <v>#N/A</v>
      </c>
      <c r="H1266" s="54" t="e">
        <f t="shared" si="231"/>
        <v>#N/A</v>
      </c>
      <c r="I1266" s="259" t="e">
        <f>IF(  OR(      INDEX('calcolo base'!$D:$D, MATCH($A1266, 'calcolo base'!$A:$A, 0)) = 0,
      INDEX('calcolo base'!$D:$D, MATCH($A1266, 'calcolo base'!$A:$A, 0)) = ""   ),
   INDEX('calcolo base'!$K:$K, MATCH($A1266, 'calcolo base'!$A:$A, 0)),
   INDEX('calcolo base'!$J:$J, MATCH($A1266, 'calcolo base'!$A:$A, 0))
) / 1000</f>
        <v>#N/A</v>
      </c>
      <c r="J1266" s="50" t="e">
        <f t="shared" si="232"/>
        <v>#N/A</v>
      </c>
      <c r="K1266" s="50"/>
      <c r="L1266" s="267" t="e">
        <f>INDEX('calcolo base'!$H:$H, MATCH($A1266, 'calcolo base'!$A:$A, 0))</f>
        <v>#N/A</v>
      </c>
      <c r="M1266" s="50" t="e">
        <f t="shared" si="233"/>
        <v>#N/A</v>
      </c>
      <c r="N1266" s="50" t="e">
        <f t="shared" si="234"/>
        <v>#N/A</v>
      </c>
      <c r="O1266" s="50" t="e">
        <f t="shared" si="239"/>
        <v>#N/A</v>
      </c>
      <c r="P1266" s="50" t="e">
        <f t="shared" si="235"/>
        <v>#N/A</v>
      </c>
      <c r="Q1266" s="51" t="e">
        <f t="shared" si="236"/>
        <v>#N/A</v>
      </c>
      <c r="R1266" s="205" t="e">
        <f t="shared" si="237"/>
        <v>#N/A</v>
      </c>
      <c r="S1266" s="279" t="e">
        <f>IF(R1266="si",0,IF(E1266="si",0,IF(J1266&gt;K1266,0,+K1266-J1266)))+IF('calcolo base'!P1958="SI",('Commissioni De Angeli'!K1266-'Commissioni De Angeli'!J1266),0)</f>
        <v>#N/A</v>
      </c>
      <c r="T1266" s="117" t="e">
        <f t="shared" si="238"/>
        <v>#N/A</v>
      </c>
      <c r="U1266" s="272" t="e">
        <f>IF(Q1266=0,'calcolo base'!L3865,(T1266+Q1266))</f>
        <v>#N/A</v>
      </c>
      <c r="V1266" s="119"/>
      <c r="Z1266" s="118">
        <f t="shared" si="229"/>
        <v>0</v>
      </c>
      <c r="AA1266" s="118">
        <f t="shared" si="230"/>
        <v>0</v>
      </c>
    </row>
    <row r="1267" spans="2:27">
      <c r="B1267" s="47"/>
      <c r="C1267" s="35"/>
      <c r="D1267" s="53"/>
      <c r="E1267" s="53"/>
      <c r="F1267" s="48"/>
      <c r="G1267" s="243" t="e">
        <f>INDEX('calcolo base'!$B:$B, MATCH($A1267, 'calcolo base'!$A:$A, 0))</f>
        <v>#N/A</v>
      </c>
      <c r="H1267" s="54" t="e">
        <f t="shared" si="231"/>
        <v>#N/A</v>
      </c>
      <c r="I1267" s="259" t="e">
        <f>IF(  OR(      INDEX('calcolo base'!$D:$D, MATCH($A1267, 'calcolo base'!$A:$A, 0)) = 0,
      INDEX('calcolo base'!$D:$D, MATCH($A1267, 'calcolo base'!$A:$A, 0)) = ""   ),
   INDEX('calcolo base'!$K:$K, MATCH($A1267, 'calcolo base'!$A:$A, 0)),
   INDEX('calcolo base'!$J:$J, MATCH($A1267, 'calcolo base'!$A:$A, 0))
) / 1000</f>
        <v>#N/A</v>
      </c>
      <c r="J1267" s="50" t="e">
        <f t="shared" si="232"/>
        <v>#N/A</v>
      </c>
      <c r="K1267" s="50"/>
      <c r="L1267" s="267" t="e">
        <f>INDEX('calcolo base'!$H:$H, MATCH($A1267, 'calcolo base'!$A:$A, 0))</f>
        <v>#N/A</v>
      </c>
      <c r="M1267" s="50" t="e">
        <f t="shared" si="233"/>
        <v>#N/A</v>
      </c>
      <c r="N1267" s="50" t="e">
        <f t="shared" si="234"/>
        <v>#N/A</v>
      </c>
      <c r="O1267" s="50" t="e">
        <f t="shared" si="239"/>
        <v>#N/A</v>
      </c>
      <c r="P1267" s="50" t="e">
        <f t="shared" si="235"/>
        <v>#N/A</v>
      </c>
      <c r="Q1267" s="51" t="e">
        <f t="shared" si="236"/>
        <v>#N/A</v>
      </c>
      <c r="R1267" s="205" t="e">
        <f t="shared" si="237"/>
        <v>#N/A</v>
      </c>
      <c r="S1267" s="279" t="e">
        <f>IF(R1267="si",0,IF(E1267="si",0,IF(J1267&gt;K1267,0,+K1267-J1267)))+IF('calcolo base'!P1959="SI",('Commissioni De Angeli'!K1267-'Commissioni De Angeli'!J1267),0)</f>
        <v>#N/A</v>
      </c>
      <c r="T1267" s="117" t="e">
        <f t="shared" si="238"/>
        <v>#N/A</v>
      </c>
      <c r="U1267" s="272" t="e">
        <f>IF(Q1267=0,'calcolo base'!L3866,(T1267+Q1267))</f>
        <v>#N/A</v>
      </c>
      <c r="V1267" s="119"/>
      <c r="Z1267" s="118">
        <f t="shared" si="229"/>
        <v>0</v>
      </c>
      <c r="AA1267" s="118">
        <f t="shared" si="230"/>
        <v>0</v>
      </c>
    </row>
    <row r="1268" spans="2:27">
      <c r="B1268" s="47"/>
      <c r="C1268" s="35"/>
      <c r="D1268" s="53"/>
      <c r="E1268" s="53"/>
      <c r="F1268" s="48"/>
      <c r="G1268" s="243" t="e">
        <f>INDEX('calcolo base'!$B:$B, MATCH($A1268, 'calcolo base'!$A:$A, 0))</f>
        <v>#N/A</v>
      </c>
      <c r="H1268" s="54" t="e">
        <f t="shared" si="231"/>
        <v>#N/A</v>
      </c>
      <c r="I1268" s="259" t="e">
        <f>IF(  OR(      INDEX('calcolo base'!$D:$D, MATCH($A1268, 'calcolo base'!$A:$A, 0)) = 0,
      INDEX('calcolo base'!$D:$D, MATCH($A1268, 'calcolo base'!$A:$A, 0)) = ""   ),
   INDEX('calcolo base'!$K:$K, MATCH($A1268, 'calcolo base'!$A:$A, 0)),
   INDEX('calcolo base'!$J:$J, MATCH($A1268, 'calcolo base'!$A:$A, 0))
) / 1000</f>
        <v>#N/A</v>
      </c>
      <c r="J1268" s="50" t="e">
        <f t="shared" si="232"/>
        <v>#N/A</v>
      </c>
      <c r="K1268" s="50"/>
      <c r="L1268" s="267" t="e">
        <f>INDEX('calcolo base'!$H:$H, MATCH($A1268, 'calcolo base'!$A:$A, 0))</f>
        <v>#N/A</v>
      </c>
      <c r="M1268" s="50" t="e">
        <f t="shared" si="233"/>
        <v>#N/A</v>
      </c>
      <c r="N1268" s="50" t="e">
        <f t="shared" si="234"/>
        <v>#N/A</v>
      </c>
      <c r="O1268" s="50" t="e">
        <f t="shared" si="239"/>
        <v>#N/A</v>
      </c>
      <c r="P1268" s="50" t="e">
        <f t="shared" si="235"/>
        <v>#N/A</v>
      </c>
      <c r="Q1268" s="51" t="e">
        <f t="shared" si="236"/>
        <v>#N/A</v>
      </c>
      <c r="R1268" s="205" t="e">
        <f t="shared" si="237"/>
        <v>#N/A</v>
      </c>
      <c r="S1268" s="279" t="e">
        <f>IF(R1268="si",0,IF(E1268="si",0,IF(J1268&gt;K1268,0,+K1268-J1268)))+IF('calcolo base'!P1960="SI",('Commissioni De Angeli'!K1268-'Commissioni De Angeli'!J1268),0)</f>
        <v>#N/A</v>
      </c>
      <c r="T1268" s="117" t="e">
        <f t="shared" si="238"/>
        <v>#N/A</v>
      </c>
      <c r="U1268" s="272" t="e">
        <f>IF(Q1268=0,'calcolo base'!L3867,(T1268+Q1268))</f>
        <v>#N/A</v>
      </c>
      <c r="V1268" s="119"/>
      <c r="Z1268" s="118">
        <f t="shared" si="229"/>
        <v>0</v>
      </c>
      <c r="AA1268" s="118">
        <f t="shared" si="230"/>
        <v>0</v>
      </c>
    </row>
    <row r="1269" spans="2:27">
      <c r="B1269" s="47"/>
      <c r="C1269" s="35"/>
      <c r="D1269" s="53"/>
      <c r="E1269" s="53"/>
      <c r="F1269" s="48"/>
      <c r="G1269" s="243" t="e">
        <f>INDEX('calcolo base'!$B:$B, MATCH($A1269, 'calcolo base'!$A:$A, 0))</f>
        <v>#N/A</v>
      </c>
      <c r="H1269" s="54" t="e">
        <f t="shared" si="231"/>
        <v>#N/A</v>
      </c>
      <c r="I1269" s="259" t="e">
        <f>IF(  OR(      INDEX('calcolo base'!$D:$D, MATCH($A1269, 'calcolo base'!$A:$A, 0)) = 0,
      INDEX('calcolo base'!$D:$D, MATCH($A1269, 'calcolo base'!$A:$A, 0)) = ""   ),
   INDEX('calcolo base'!$K:$K, MATCH($A1269, 'calcolo base'!$A:$A, 0)),
   INDEX('calcolo base'!$J:$J, MATCH($A1269, 'calcolo base'!$A:$A, 0))
) / 1000</f>
        <v>#N/A</v>
      </c>
      <c r="J1269" s="50" t="e">
        <f t="shared" si="232"/>
        <v>#N/A</v>
      </c>
      <c r="K1269" s="50"/>
      <c r="L1269" s="267" t="e">
        <f>INDEX('calcolo base'!$H:$H, MATCH($A1269, 'calcolo base'!$A:$A, 0))</f>
        <v>#N/A</v>
      </c>
      <c r="M1269" s="50" t="e">
        <f t="shared" si="233"/>
        <v>#N/A</v>
      </c>
      <c r="N1269" s="50" t="e">
        <f t="shared" si="234"/>
        <v>#N/A</v>
      </c>
      <c r="O1269" s="50" t="e">
        <f t="shared" si="239"/>
        <v>#N/A</v>
      </c>
      <c r="P1269" s="50" t="e">
        <f t="shared" si="235"/>
        <v>#N/A</v>
      </c>
      <c r="Q1269" s="51" t="e">
        <f t="shared" si="236"/>
        <v>#N/A</v>
      </c>
      <c r="R1269" s="205" t="e">
        <f t="shared" si="237"/>
        <v>#N/A</v>
      </c>
      <c r="S1269" s="279" t="e">
        <f>IF(R1269="si",0,IF(E1269="si",0,IF(J1269&gt;K1269,0,+K1269-J1269)))+IF('calcolo base'!P1961="SI",('Commissioni De Angeli'!K1269-'Commissioni De Angeli'!J1269),0)</f>
        <v>#N/A</v>
      </c>
      <c r="T1269" s="117" t="e">
        <f t="shared" si="238"/>
        <v>#N/A</v>
      </c>
      <c r="U1269" s="272" t="e">
        <f>IF(Q1269=0,'calcolo base'!L3868,(T1269+Q1269))</f>
        <v>#N/A</v>
      </c>
      <c r="V1269" s="119"/>
      <c r="Z1269" s="118">
        <f t="shared" si="229"/>
        <v>0</v>
      </c>
      <c r="AA1269" s="118">
        <f t="shared" si="230"/>
        <v>0</v>
      </c>
    </row>
    <row r="1270" spans="2:27">
      <c r="B1270" s="47"/>
      <c r="C1270" s="35"/>
      <c r="D1270" s="53"/>
      <c r="E1270" s="53"/>
      <c r="F1270" s="48"/>
      <c r="G1270" s="243" t="e">
        <f>INDEX('calcolo base'!$B:$B, MATCH($A1270, 'calcolo base'!$A:$A, 0))</f>
        <v>#N/A</v>
      </c>
      <c r="H1270" s="54" t="e">
        <f t="shared" si="231"/>
        <v>#N/A</v>
      </c>
      <c r="I1270" s="259" t="e">
        <f>IF(  OR(      INDEX('calcolo base'!$D:$D, MATCH($A1270, 'calcolo base'!$A:$A, 0)) = 0,
      INDEX('calcolo base'!$D:$D, MATCH($A1270, 'calcolo base'!$A:$A, 0)) = ""   ),
   INDEX('calcolo base'!$K:$K, MATCH($A1270, 'calcolo base'!$A:$A, 0)),
   INDEX('calcolo base'!$J:$J, MATCH($A1270, 'calcolo base'!$A:$A, 0))
) / 1000</f>
        <v>#N/A</v>
      </c>
      <c r="J1270" s="50" t="e">
        <f t="shared" si="232"/>
        <v>#N/A</v>
      </c>
      <c r="K1270" s="50"/>
      <c r="L1270" s="267" t="e">
        <f>INDEX('calcolo base'!$H:$H, MATCH($A1270, 'calcolo base'!$A:$A, 0))</f>
        <v>#N/A</v>
      </c>
      <c r="M1270" s="50" t="e">
        <f t="shared" si="233"/>
        <v>#N/A</v>
      </c>
      <c r="N1270" s="50" t="e">
        <f t="shared" si="234"/>
        <v>#N/A</v>
      </c>
      <c r="O1270" s="50" t="e">
        <f t="shared" si="239"/>
        <v>#N/A</v>
      </c>
      <c r="P1270" s="50" t="e">
        <f t="shared" si="235"/>
        <v>#N/A</v>
      </c>
      <c r="Q1270" s="51" t="e">
        <f t="shared" si="236"/>
        <v>#N/A</v>
      </c>
      <c r="R1270" s="205" t="e">
        <f t="shared" si="237"/>
        <v>#N/A</v>
      </c>
      <c r="S1270" s="279" t="e">
        <f>IF(R1270="si",0,IF(E1270="si",0,IF(J1270&gt;K1270,0,+K1270-J1270)))+IF('calcolo base'!P1962="SI",('Commissioni De Angeli'!K1270-'Commissioni De Angeli'!J1270),0)</f>
        <v>#N/A</v>
      </c>
      <c r="T1270" s="117" t="e">
        <f t="shared" si="238"/>
        <v>#N/A</v>
      </c>
      <c r="U1270" s="272" t="e">
        <f>IF(Q1270=0,'calcolo base'!L3869,(T1270+Q1270))</f>
        <v>#N/A</v>
      </c>
      <c r="V1270" s="119"/>
      <c r="Z1270" s="118">
        <f t="shared" si="229"/>
        <v>0</v>
      </c>
      <c r="AA1270" s="118">
        <f t="shared" si="230"/>
        <v>0</v>
      </c>
    </row>
    <row r="1271" spans="2:27">
      <c r="B1271" s="47"/>
      <c r="C1271" s="35"/>
      <c r="D1271" s="53"/>
      <c r="E1271" s="53"/>
      <c r="F1271" s="48"/>
      <c r="G1271" s="243" t="e">
        <f>INDEX('calcolo base'!$B:$B, MATCH($A1271, 'calcolo base'!$A:$A, 0))</f>
        <v>#N/A</v>
      </c>
      <c r="H1271" s="54" t="e">
        <f t="shared" si="231"/>
        <v>#N/A</v>
      </c>
      <c r="I1271" s="259" t="e">
        <f>IF(  OR(      INDEX('calcolo base'!$D:$D, MATCH($A1271, 'calcolo base'!$A:$A, 0)) = 0,
      INDEX('calcolo base'!$D:$D, MATCH($A1271, 'calcolo base'!$A:$A, 0)) = ""   ),
   INDEX('calcolo base'!$K:$K, MATCH($A1271, 'calcolo base'!$A:$A, 0)),
   INDEX('calcolo base'!$J:$J, MATCH($A1271, 'calcolo base'!$A:$A, 0))
) / 1000</f>
        <v>#N/A</v>
      </c>
      <c r="J1271" s="50" t="e">
        <f t="shared" si="232"/>
        <v>#N/A</v>
      </c>
      <c r="K1271" s="50"/>
      <c r="L1271" s="267" t="e">
        <f>INDEX('calcolo base'!$H:$H, MATCH($A1271, 'calcolo base'!$A:$A, 0))</f>
        <v>#N/A</v>
      </c>
      <c r="M1271" s="50" t="e">
        <f t="shared" si="233"/>
        <v>#N/A</v>
      </c>
      <c r="N1271" s="50" t="e">
        <f t="shared" si="234"/>
        <v>#N/A</v>
      </c>
      <c r="O1271" s="50" t="e">
        <f t="shared" si="239"/>
        <v>#N/A</v>
      </c>
      <c r="P1271" s="50" t="e">
        <f t="shared" si="235"/>
        <v>#N/A</v>
      </c>
      <c r="Q1271" s="51" t="e">
        <f t="shared" si="236"/>
        <v>#N/A</v>
      </c>
      <c r="R1271" s="205" t="e">
        <f t="shared" si="237"/>
        <v>#N/A</v>
      </c>
      <c r="S1271" s="279" t="e">
        <f>IF(R1271="si",0,IF(E1271="si",0,IF(J1271&gt;K1271,0,+K1271-J1271)))+IF('calcolo base'!P1963="SI",('Commissioni De Angeli'!K1271-'Commissioni De Angeli'!J1271),0)</f>
        <v>#N/A</v>
      </c>
      <c r="T1271" s="117" t="e">
        <f t="shared" si="238"/>
        <v>#N/A</v>
      </c>
      <c r="U1271" s="272" t="e">
        <f>IF(Q1271=0,'calcolo base'!L3870,(T1271+Q1271))</f>
        <v>#N/A</v>
      </c>
      <c r="V1271" s="119"/>
      <c r="Z1271" s="118">
        <f t="shared" si="229"/>
        <v>0</v>
      </c>
      <c r="AA1271" s="118">
        <f t="shared" si="230"/>
        <v>0</v>
      </c>
    </row>
    <row r="1272" spans="2:27">
      <c r="B1272" s="47"/>
      <c r="C1272" s="35"/>
      <c r="D1272" s="53"/>
      <c r="E1272" s="53"/>
      <c r="F1272" s="48"/>
      <c r="G1272" s="243" t="e">
        <f>INDEX('calcolo base'!$B:$B, MATCH($A1272, 'calcolo base'!$A:$A, 0))</f>
        <v>#N/A</v>
      </c>
      <c r="H1272" s="54" t="e">
        <f t="shared" si="231"/>
        <v>#N/A</v>
      </c>
      <c r="I1272" s="259" t="e">
        <f>IF(  OR(      INDEX('calcolo base'!$D:$D, MATCH($A1272, 'calcolo base'!$A:$A, 0)) = 0,
      INDEX('calcolo base'!$D:$D, MATCH($A1272, 'calcolo base'!$A:$A, 0)) = ""   ),
   INDEX('calcolo base'!$K:$K, MATCH($A1272, 'calcolo base'!$A:$A, 0)),
   INDEX('calcolo base'!$J:$J, MATCH($A1272, 'calcolo base'!$A:$A, 0))
) / 1000</f>
        <v>#N/A</v>
      </c>
      <c r="J1272" s="50" t="e">
        <f t="shared" si="232"/>
        <v>#N/A</v>
      </c>
      <c r="K1272" s="50"/>
      <c r="L1272" s="267" t="e">
        <f>INDEX('calcolo base'!$H:$H, MATCH($A1272, 'calcolo base'!$A:$A, 0))</f>
        <v>#N/A</v>
      </c>
      <c r="M1272" s="50" t="e">
        <f t="shared" si="233"/>
        <v>#N/A</v>
      </c>
      <c r="N1272" s="50" t="e">
        <f t="shared" si="234"/>
        <v>#N/A</v>
      </c>
      <c r="O1272" s="50" t="e">
        <f t="shared" si="239"/>
        <v>#N/A</v>
      </c>
      <c r="P1272" s="50" t="e">
        <f t="shared" si="235"/>
        <v>#N/A</v>
      </c>
      <c r="Q1272" s="51" t="e">
        <f t="shared" si="236"/>
        <v>#N/A</v>
      </c>
      <c r="R1272" s="205" t="e">
        <f t="shared" si="237"/>
        <v>#N/A</v>
      </c>
      <c r="S1272" s="279" t="e">
        <f>IF(R1272="si",0,IF(E1272="si",0,IF(J1272&gt;K1272,0,+K1272-J1272)))+IF('calcolo base'!P1964="SI",('Commissioni De Angeli'!K1272-'Commissioni De Angeli'!J1272),0)</f>
        <v>#N/A</v>
      </c>
      <c r="T1272" s="117" t="e">
        <f t="shared" si="238"/>
        <v>#N/A</v>
      </c>
      <c r="U1272" s="272" t="e">
        <f>IF(Q1272=0,'calcolo base'!L3871,(T1272+Q1272))</f>
        <v>#N/A</v>
      </c>
      <c r="V1272" s="119"/>
      <c r="Z1272" s="118">
        <f t="shared" si="229"/>
        <v>0</v>
      </c>
      <c r="AA1272" s="118">
        <f t="shared" si="230"/>
        <v>0</v>
      </c>
    </row>
    <row r="1273" spans="2:27">
      <c r="B1273" s="47"/>
      <c r="C1273" s="35"/>
      <c r="D1273" s="53"/>
      <c r="E1273" s="53"/>
      <c r="F1273" s="48"/>
      <c r="G1273" s="243" t="e">
        <f>INDEX('calcolo base'!$B:$B, MATCH($A1273, 'calcolo base'!$A:$A, 0))</f>
        <v>#N/A</v>
      </c>
      <c r="H1273" s="54" t="e">
        <f t="shared" si="231"/>
        <v>#N/A</v>
      </c>
      <c r="I1273" s="259" t="e">
        <f>IF(  OR(      INDEX('calcolo base'!$D:$D, MATCH($A1273, 'calcolo base'!$A:$A, 0)) = 0,
      INDEX('calcolo base'!$D:$D, MATCH($A1273, 'calcolo base'!$A:$A, 0)) = ""   ),
   INDEX('calcolo base'!$K:$K, MATCH($A1273, 'calcolo base'!$A:$A, 0)),
   INDEX('calcolo base'!$J:$J, MATCH($A1273, 'calcolo base'!$A:$A, 0))
) / 1000</f>
        <v>#N/A</v>
      </c>
      <c r="J1273" s="50" t="e">
        <f t="shared" si="232"/>
        <v>#N/A</v>
      </c>
      <c r="K1273" s="50"/>
      <c r="L1273" s="267" t="e">
        <f>INDEX('calcolo base'!$H:$H, MATCH($A1273, 'calcolo base'!$A:$A, 0))</f>
        <v>#N/A</v>
      </c>
      <c r="M1273" s="50" t="e">
        <f t="shared" si="233"/>
        <v>#N/A</v>
      </c>
      <c r="N1273" s="50" t="e">
        <f t="shared" si="234"/>
        <v>#N/A</v>
      </c>
      <c r="O1273" s="50" t="e">
        <f t="shared" si="239"/>
        <v>#N/A</v>
      </c>
      <c r="P1273" s="50" t="e">
        <f t="shared" si="235"/>
        <v>#N/A</v>
      </c>
      <c r="Q1273" s="51" t="e">
        <f t="shared" si="236"/>
        <v>#N/A</v>
      </c>
      <c r="R1273" s="205" t="e">
        <f t="shared" si="237"/>
        <v>#N/A</v>
      </c>
      <c r="S1273" s="279" t="e">
        <f>IF(R1273="si",0,IF(E1273="si",0,IF(J1273&gt;K1273,0,+K1273-J1273)))+IF('calcolo base'!P1965="SI",('Commissioni De Angeli'!K1273-'Commissioni De Angeli'!J1273),0)</f>
        <v>#N/A</v>
      </c>
      <c r="T1273" s="117" t="e">
        <f t="shared" si="238"/>
        <v>#N/A</v>
      </c>
      <c r="U1273" s="272" t="e">
        <f>IF(Q1273=0,'calcolo base'!L3872,(T1273+Q1273))</f>
        <v>#N/A</v>
      </c>
      <c r="V1273" s="119"/>
      <c r="Z1273" s="118">
        <f t="shared" si="229"/>
        <v>0</v>
      </c>
      <c r="AA1273" s="118">
        <f t="shared" si="230"/>
        <v>0</v>
      </c>
    </row>
    <row r="1274" spans="2:27">
      <c r="B1274" s="47"/>
      <c r="C1274" s="35"/>
      <c r="D1274" s="53"/>
      <c r="E1274" s="53"/>
      <c r="F1274" s="48"/>
      <c r="G1274" s="243" t="e">
        <f>INDEX('calcolo base'!$B:$B, MATCH($A1274, 'calcolo base'!$A:$A, 0))</f>
        <v>#N/A</v>
      </c>
      <c r="H1274" s="54" t="e">
        <f t="shared" si="231"/>
        <v>#N/A</v>
      </c>
      <c r="I1274" s="259" t="e">
        <f>IF(  OR(      INDEX('calcolo base'!$D:$D, MATCH($A1274, 'calcolo base'!$A:$A, 0)) = 0,
      INDEX('calcolo base'!$D:$D, MATCH($A1274, 'calcolo base'!$A:$A, 0)) = ""   ),
   INDEX('calcolo base'!$K:$K, MATCH($A1274, 'calcolo base'!$A:$A, 0)),
   INDEX('calcolo base'!$J:$J, MATCH($A1274, 'calcolo base'!$A:$A, 0))
) / 1000</f>
        <v>#N/A</v>
      </c>
      <c r="J1274" s="50" t="e">
        <f t="shared" si="232"/>
        <v>#N/A</v>
      </c>
      <c r="K1274" s="50"/>
      <c r="L1274" s="267" t="e">
        <f>INDEX('calcolo base'!$H:$H, MATCH($A1274, 'calcolo base'!$A:$A, 0))</f>
        <v>#N/A</v>
      </c>
      <c r="M1274" s="50" t="e">
        <f t="shared" si="233"/>
        <v>#N/A</v>
      </c>
      <c r="N1274" s="50" t="e">
        <f t="shared" si="234"/>
        <v>#N/A</v>
      </c>
      <c r="O1274" s="50" t="e">
        <f t="shared" si="239"/>
        <v>#N/A</v>
      </c>
      <c r="P1274" s="50" t="e">
        <f t="shared" si="235"/>
        <v>#N/A</v>
      </c>
      <c r="Q1274" s="51" t="e">
        <f t="shared" si="236"/>
        <v>#N/A</v>
      </c>
      <c r="R1274" s="205" t="e">
        <f t="shared" si="237"/>
        <v>#N/A</v>
      </c>
      <c r="S1274" s="279" t="e">
        <f>IF(R1274="si",0,IF(E1274="si",0,IF(J1274&gt;K1274,0,+K1274-J1274)))+IF('calcolo base'!P1966="SI",('Commissioni De Angeli'!K1274-'Commissioni De Angeli'!J1274),0)</f>
        <v>#N/A</v>
      </c>
      <c r="T1274" s="117" t="e">
        <f t="shared" si="238"/>
        <v>#N/A</v>
      </c>
      <c r="U1274" s="272" t="e">
        <f>IF(Q1274=0,'calcolo base'!L3873,(T1274+Q1274))</f>
        <v>#N/A</v>
      </c>
      <c r="V1274" s="119"/>
      <c r="Z1274" s="118">
        <f t="shared" si="229"/>
        <v>0</v>
      </c>
      <c r="AA1274" s="118">
        <f t="shared" si="230"/>
        <v>0</v>
      </c>
    </row>
    <row r="1275" spans="2:27">
      <c r="B1275" s="47"/>
      <c r="C1275" s="35"/>
      <c r="D1275" s="53"/>
      <c r="E1275" s="53"/>
      <c r="F1275" s="48"/>
      <c r="G1275" s="243" t="e">
        <f>INDEX('calcolo base'!$B:$B, MATCH($A1275, 'calcolo base'!$A:$A, 0))</f>
        <v>#N/A</v>
      </c>
      <c r="H1275" s="54" t="e">
        <f t="shared" si="231"/>
        <v>#N/A</v>
      </c>
      <c r="I1275" s="259" t="e">
        <f>IF(  OR(      INDEX('calcolo base'!$D:$D, MATCH($A1275, 'calcolo base'!$A:$A, 0)) = 0,
      INDEX('calcolo base'!$D:$D, MATCH($A1275, 'calcolo base'!$A:$A, 0)) = ""   ),
   INDEX('calcolo base'!$K:$K, MATCH($A1275, 'calcolo base'!$A:$A, 0)),
   INDEX('calcolo base'!$J:$J, MATCH($A1275, 'calcolo base'!$A:$A, 0))
) / 1000</f>
        <v>#N/A</v>
      </c>
      <c r="J1275" s="50" t="e">
        <f t="shared" si="232"/>
        <v>#N/A</v>
      </c>
      <c r="K1275" s="50"/>
      <c r="L1275" s="267" t="e">
        <f>INDEX('calcolo base'!$H:$H, MATCH($A1275, 'calcolo base'!$A:$A, 0))</f>
        <v>#N/A</v>
      </c>
      <c r="M1275" s="50" t="e">
        <f t="shared" si="233"/>
        <v>#N/A</v>
      </c>
      <c r="N1275" s="50" t="e">
        <f t="shared" si="234"/>
        <v>#N/A</v>
      </c>
      <c r="O1275" s="50" t="e">
        <f t="shared" si="239"/>
        <v>#N/A</v>
      </c>
      <c r="P1275" s="50" t="e">
        <f t="shared" si="235"/>
        <v>#N/A</v>
      </c>
      <c r="Q1275" s="51" t="e">
        <f t="shared" si="236"/>
        <v>#N/A</v>
      </c>
      <c r="R1275" s="205" t="e">
        <f t="shared" si="237"/>
        <v>#N/A</v>
      </c>
      <c r="S1275" s="279" t="e">
        <f>IF(R1275="si",0,IF(E1275="si",0,IF(J1275&gt;K1275,0,+K1275-J1275)))+IF('calcolo base'!P1967="SI",('Commissioni De Angeli'!K1275-'Commissioni De Angeli'!J1275),0)</f>
        <v>#N/A</v>
      </c>
      <c r="T1275" s="117" t="e">
        <f t="shared" si="238"/>
        <v>#N/A</v>
      </c>
      <c r="U1275" s="272" t="e">
        <f>IF(Q1275=0,'calcolo base'!L3874,(T1275+Q1275))</f>
        <v>#N/A</v>
      </c>
      <c r="V1275" s="119"/>
      <c r="Z1275" s="118">
        <f t="shared" si="229"/>
        <v>0</v>
      </c>
      <c r="AA1275" s="118">
        <f t="shared" si="230"/>
        <v>0</v>
      </c>
    </row>
    <row r="1276" spans="2:27">
      <c r="B1276" s="47"/>
      <c r="C1276" s="35"/>
      <c r="D1276" s="53"/>
      <c r="E1276" s="53"/>
      <c r="F1276" s="48"/>
      <c r="G1276" s="243" t="e">
        <f>INDEX('calcolo base'!$B:$B, MATCH($A1276, 'calcolo base'!$A:$A, 0))</f>
        <v>#N/A</v>
      </c>
      <c r="H1276" s="54" t="e">
        <f t="shared" si="231"/>
        <v>#N/A</v>
      </c>
      <c r="I1276" s="259" t="e">
        <f>IF(  OR(      INDEX('calcolo base'!$D:$D, MATCH($A1276, 'calcolo base'!$A:$A, 0)) = 0,
      INDEX('calcolo base'!$D:$D, MATCH($A1276, 'calcolo base'!$A:$A, 0)) = ""   ),
   INDEX('calcolo base'!$K:$K, MATCH($A1276, 'calcolo base'!$A:$A, 0)),
   INDEX('calcolo base'!$J:$J, MATCH($A1276, 'calcolo base'!$A:$A, 0))
) / 1000</f>
        <v>#N/A</v>
      </c>
      <c r="J1276" s="50" t="e">
        <f t="shared" si="232"/>
        <v>#N/A</v>
      </c>
      <c r="K1276" s="50"/>
      <c r="L1276" s="267" t="e">
        <f>INDEX('calcolo base'!$H:$H, MATCH($A1276, 'calcolo base'!$A:$A, 0))</f>
        <v>#N/A</v>
      </c>
      <c r="M1276" s="50" t="e">
        <f t="shared" si="233"/>
        <v>#N/A</v>
      </c>
      <c r="N1276" s="50" t="e">
        <f t="shared" si="234"/>
        <v>#N/A</v>
      </c>
      <c r="O1276" s="50" t="e">
        <f t="shared" si="239"/>
        <v>#N/A</v>
      </c>
      <c r="P1276" s="50" t="e">
        <f t="shared" si="235"/>
        <v>#N/A</v>
      </c>
      <c r="Q1276" s="51" t="e">
        <f t="shared" si="236"/>
        <v>#N/A</v>
      </c>
      <c r="R1276" s="205" t="e">
        <f t="shared" si="237"/>
        <v>#N/A</v>
      </c>
      <c r="S1276" s="279" t="e">
        <f>IF(R1276="si",0,IF(E1276="si",0,IF(J1276&gt;K1276,0,+K1276-J1276)))+IF('calcolo base'!P1968="SI",('Commissioni De Angeli'!K1276-'Commissioni De Angeli'!J1276),0)</f>
        <v>#N/A</v>
      </c>
      <c r="T1276" s="117" t="e">
        <f t="shared" si="238"/>
        <v>#N/A</v>
      </c>
      <c r="U1276" s="272" t="e">
        <f>IF(Q1276=0,'calcolo base'!L3875,(T1276+Q1276))</f>
        <v>#N/A</v>
      </c>
      <c r="V1276" s="119"/>
      <c r="Z1276" s="118">
        <f t="shared" si="229"/>
        <v>0</v>
      </c>
      <c r="AA1276" s="118">
        <f t="shared" si="230"/>
        <v>0</v>
      </c>
    </row>
    <row r="1277" spans="2:27">
      <c r="B1277" s="47"/>
      <c r="C1277" s="35"/>
      <c r="D1277" s="53"/>
      <c r="E1277" s="53"/>
      <c r="F1277" s="48"/>
      <c r="G1277" s="243" t="e">
        <f>INDEX('calcolo base'!$B:$B, MATCH($A1277, 'calcolo base'!$A:$A, 0))</f>
        <v>#N/A</v>
      </c>
      <c r="H1277" s="54" t="e">
        <f t="shared" si="231"/>
        <v>#N/A</v>
      </c>
      <c r="I1277" s="259" t="e">
        <f>IF(  OR(      INDEX('calcolo base'!$D:$D, MATCH($A1277, 'calcolo base'!$A:$A, 0)) = 0,
      INDEX('calcolo base'!$D:$D, MATCH($A1277, 'calcolo base'!$A:$A, 0)) = ""   ),
   INDEX('calcolo base'!$K:$K, MATCH($A1277, 'calcolo base'!$A:$A, 0)),
   INDEX('calcolo base'!$J:$J, MATCH($A1277, 'calcolo base'!$A:$A, 0))
) / 1000</f>
        <v>#N/A</v>
      </c>
      <c r="J1277" s="50" t="e">
        <f t="shared" si="232"/>
        <v>#N/A</v>
      </c>
      <c r="K1277" s="50"/>
      <c r="L1277" s="267" t="e">
        <f>INDEX('calcolo base'!$H:$H, MATCH($A1277, 'calcolo base'!$A:$A, 0))</f>
        <v>#N/A</v>
      </c>
      <c r="M1277" s="50" t="e">
        <f t="shared" si="233"/>
        <v>#N/A</v>
      </c>
      <c r="N1277" s="50" t="e">
        <f t="shared" si="234"/>
        <v>#N/A</v>
      </c>
      <c r="O1277" s="50" t="e">
        <f t="shared" si="239"/>
        <v>#N/A</v>
      </c>
      <c r="P1277" s="50" t="e">
        <f t="shared" si="235"/>
        <v>#N/A</v>
      </c>
      <c r="Q1277" s="51" t="e">
        <f t="shared" si="236"/>
        <v>#N/A</v>
      </c>
      <c r="R1277" s="205" t="e">
        <f t="shared" si="237"/>
        <v>#N/A</v>
      </c>
      <c r="S1277" s="279" t="e">
        <f>IF(R1277="si",0,IF(E1277="si",0,IF(J1277&gt;K1277,0,+K1277-J1277)))+IF('calcolo base'!P1969="SI",('Commissioni De Angeli'!K1277-'Commissioni De Angeli'!J1277),0)</f>
        <v>#N/A</v>
      </c>
      <c r="T1277" s="117" t="e">
        <f t="shared" si="238"/>
        <v>#N/A</v>
      </c>
      <c r="U1277" s="272" t="e">
        <f>IF(Q1277=0,'calcolo base'!L3876,(T1277+Q1277))</f>
        <v>#N/A</v>
      </c>
      <c r="V1277" s="119"/>
      <c r="Z1277" s="118">
        <f t="shared" si="229"/>
        <v>0</v>
      </c>
      <c r="AA1277" s="118">
        <f t="shared" si="230"/>
        <v>0</v>
      </c>
    </row>
    <row r="1278" spans="2:27">
      <c r="B1278" s="47"/>
      <c r="C1278" s="35"/>
      <c r="D1278" s="53"/>
      <c r="E1278" s="53"/>
      <c r="F1278" s="48"/>
      <c r="G1278" s="243" t="e">
        <f>INDEX('calcolo base'!$B:$B, MATCH($A1278, 'calcolo base'!$A:$A, 0))</f>
        <v>#N/A</v>
      </c>
      <c r="H1278" s="54" t="e">
        <f t="shared" si="231"/>
        <v>#N/A</v>
      </c>
      <c r="I1278" s="259" t="e">
        <f>IF(  OR(      INDEX('calcolo base'!$D:$D, MATCH($A1278, 'calcolo base'!$A:$A, 0)) = 0,
      INDEX('calcolo base'!$D:$D, MATCH($A1278, 'calcolo base'!$A:$A, 0)) = ""   ),
   INDEX('calcolo base'!$K:$K, MATCH($A1278, 'calcolo base'!$A:$A, 0)),
   INDEX('calcolo base'!$J:$J, MATCH($A1278, 'calcolo base'!$A:$A, 0))
) / 1000</f>
        <v>#N/A</v>
      </c>
      <c r="J1278" s="50" t="e">
        <f t="shared" si="232"/>
        <v>#N/A</v>
      </c>
      <c r="K1278" s="50"/>
      <c r="L1278" s="267" t="e">
        <f>INDEX('calcolo base'!$H:$H, MATCH($A1278, 'calcolo base'!$A:$A, 0))</f>
        <v>#N/A</v>
      </c>
      <c r="M1278" s="50" t="e">
        <f t="shared" si="233"/>
        <v>#N/A</v>
      </c>
      <c r="N1278" s="50" t="e">
        <f t="shared" si="234"/>
        <v>#N/A</v>
      </c>
      <c r="O1278" s="50" t="e">
        <f t="shared" si="239"/>
        <v>#N/A</v>
      </c>
      <c r="P1278" s="50" t="e">
        <f t="shared" si="235"/>
        <v>#N/A</v>
      </c>
      <c r="Q1278" s="51" t="e">
        <f t="shared" si="236"/>
        <v>#N/A</v>
      </c>
      <c r="R1278" s="205" t="e">
        <f t="shared" si="237"/>
        <v>#N/A</v>
      </c>
      <c r="S1278" s="279" t="e">
        <f>IF(R1278="si",0,IF(E1278="si",0,IF(J1278&gt;K1278,0,+K1278-J1278)))+IF('calcolo base'!P1970="SI",('Commissioni De Angeli'!K1278-'Commissioni De Angeli'!J1278),0)</f>
        <v>#N/A</v>
      </c>
      <c r="T1278" s="117" t="e">
        <f t="shared" si="238"/>
        <v>#N/A</v>
      </c>
      <c r="U1278" s="272" t="e">
        <f>IF(Q1278=0,'calcolo base'!L3877,(T1278+Q1278))</f>
        <v>#N/A</v>
      </c>
      <c r="V1278" s="119"/>
      <c r="Z1278" s="118">
        <f t="shared" si="229"/>
        <v>0</v>
      </c>
      <c r="AA1278" s="118">
        <f t="shared" si="230"/>
        <v>0</v>
      </c>
    </row>
    <row r="1279" spans="2:27">
      <c r="B1279" s="47"/>
      <c r="C1279" s="35"/>
      <c r="D1279" s="53"/>
      <c r="E1279" s="53"/>
      <c r="F1279" s="48"/>
      <c r="G1279" s="243" t="e">
        <f>INDEX('calcolo base'!$B:$B, MATCH($A1279, 'calcolo base'!$A:$A, 0))</f>
        <v>#N/A</v>
      </c>
      <c r="H1279" s="54" t="e">
        <f t="shared" si="231"/>
        <v>#N/A</v>
      </c>
      <c r="I1279" s="259" t="e">
        <f>IF(  OR(      INDEX('calcolo base'!$D:$D, MATCH($A1279, 'calcolo base'!$A:$A, 0)) = 0,
      INDEX('calcolo base'!$D:$D, MATCH($A1279, 'calcolo base'!$A:$A, 0)) = ""   ),
   INDEX('calcolo base'!$K:$K, MATCH($A1279, 'calcolo base'!$A:$A, 0)),
   INDEX('calcolo base'!$J:$J, MATCH($A1279, 'calcolo base'!$A:$A, 0))
) / 1000</f>
        <v>#N/A</v>
      </c>
      <c r="J1279" s="50" t="e">
        <f t="shared" si="232"/>
        <v>#N/A</v>
      </c>
      <c r="K1279" s="50"/>
      <c r="L1279" s="267" t="e">
        <f>INDEX('calcolo base'!$H:$H, MATCH($A1279, 'calcolo base'!$A:$A, 0))</f>
        <v>#N/A</v>
      </c>
      <c r="M1279" s="50" t="e">
        <f t="shared" si="233"/>
        <v>#N/A</v>
      </c>
      <c r="N1279" s="50" t="e">
        <f t="shared" si="234"/>
        <v>#N/A</v>
      </c>
      <c r="O1279" s="50" t="e">
        <f t="shared" si="239"/>
        <v>#N/A</v>
      </c>
      <c r="P1279" s="50" t="e">
        <f t="shared" si="235"/>
        <v>#N/A</v>
      </c>
      <c r="Q1279" s="51" t="e">
        <f t="shared" si="236"/>
        <v>#N/A</v>
      </c>
      <c r="R1279" s="205" t="e">
        <f t="shared" si="237"/>
        <v>#N/A</v>
      </c>
      <c r="S1279" s="279" t="e">
        <f>IF(R1279="si",0,IF(E1279="si",0,IF(J1279&gt;K1279,0,+K1279-J1279)))+IF('calcolo base'!P1971="SI",('Commissioni De Angeli'!K1279-'Commissioni De Angeli'!J1279),0)</f>
        <v>#N/A</v>
      </c>
      <c r="T1279" s="117" t="e">
        <f t="shared" si="238"/>
        <v>#N/A</v>
      </c>
      <c r="U1279" s="272" t="e">
        <f>IF(Q1279=0,'calcolo base'!L3878,(T1279+Q1279))</f>
        <v>#N/A</v>
      </c>
      <c r="V1279" s="119"/>
      <c r="Z1279" s="118">
        <f t="shared" si="229"/>
        <v>0</v>
      </c>
      <c r="AA1279" s="118">
        <f t="shared" si="230"/>
        <v>0</v>
      </c>
    </row>
    <row r="1280" spans="2:27">
      <c r="B1280" s="47"/>
      <c r="C1280" s="35"/>
      <c r="D1280" s="53"/>
      <c r="E1280" s="53"/>
      <c r="F1280" s="48"/>
      <c r="G1280" s="243" t="e">
        <f>INDEX('calcolo base'!$B:$B, MATCH($A1280, 'calcolo base'!$A:$A, 0))</f>
        <v>#N/A</v>
      </c>
      <c r="H1280" s="54" t="e">
        <f t="shared" si="231"/>
        <v>#N/A</v>
      </c>
      <c r="I1280" s="259" t="e">
        <f>IF(  OR(      INDEX('calcolo base'!$D:$D, MATCH($A1280, 'calcolo base'!$A:$A, 0)) = 0,
      INDEX('calcolo base'!$D:$D, MATCH($A1280, 'calcolo base'!$A:$A, 0)) = ""   ),
   INDEX('calcolo base'!$K:$K, MATCH($A1280, 'calcolo base'!$A:$A, 0)),
   INDEX('calcolo base'!$J:$J, MATCH($A1280, 'calcolo base'!$A:$A, 0))
) / 1000</f>
        <v>#N/A</v>
      </c>
      <c r="J1280" s="50" t="e">
        <f t="shared" si="232"/>
        <v>#N/A</v>
      </c>
      <c r="K1280" s="50"/>
      <c r="L1280" s="267" t="e">
        <f>INDEX('calcolo base'!$H:$H, MATCH($A1280, 'calcolo base'!$A:$A, 0))</f>
        <v>#N/A</v>
      </c>
      <c r="M1280" s="50" t="e">
        <f t="shared" si="233"/>
        <v>#N/A</v>
      </c>
      <c r="N1280" s="50" t="e">
        <f t="shared" si="234"/>
        <v>#N/A</v>
      </c>
      <c r="O1280" s="50" t="e">
        <f t="shared" si="239"/>
        <v>#N/A</v>
      </c>
      <c r="P1280" s="50" t="e">
        <f t="shared" si="235"/>
        <v>#N/A</v>
      </c>
      <c r="Q1280" s="51" t="e">
        <f t="shared" si="236"/>
        <v>#N/A</v>
      </c>
      <c r="R1280" s="205" t="e">
        <f t="shared" si="237"/>
        <v>#N/A</v>
      </c>
      <c r="S1280" s="279" t="e">
        <f>IF(R1280="si",0,IF(E1280="si",0,IF(J1280&gt;K1280,0,+K1280-J1280)))+IF('calcolo base'!P1972="SI",('Commissioni De Angeli'!K1280-'Commissioni De Angeli'!J1280),0)</f>
        <v>#N/A</v>
      </c>
      <c r="T1280" s="117" t="e">
        <f t="shared" si="238"/>
        <v>#N/A</v>
      </c>
      <c r="U1280" s="272" t="e">
        <f>IF(Q1280=0,'calcolo base'!L3879,(T1280+Q1280))</f>
        <v>#N/A</v>
      </c>
      <c r="V1280" s="119"/>
      <c r="Z1280" s="118">
        <f t="shared" si="229"/>
        <v>0</v>
      </c>
      <c r="AA1280" s="118">
        <f t="shared" si="230"/>
        <v>0</v>
      </c>
    </row>
    <row r="1281" spans="2:27">
      <c r="B1281" s="47"/>
      <c r="C1281" s="35"/>
      <c r="D1281" s="53"/>
      <c r="E1281" s="53"/>
      <c r="F1281" s="48"/>
      <c r="G1281" s="243" t="e">
        <f>INDEX('calcolo base'!$B:$B, MATCH($A1281, 'calcolo base'!$A:$A, 0))</f>
        <v>#N/A</v>
      </c>
      <c r="H1281" s="54" t="e">
        <f t="shared" si="231"/>
        <v>#N/A</v>
      </c>
      <c r="I1281" s="259" t="e">
        <f>IF(  OR(      INDEX('calcolo base'!$D:$D, MATCH($A1281, 'calcolo base'!$A:$A, 0)) = 0,
      INDEX('calcolo base'!$D:$D, MATCH($A1281, 'calcolo base'!$A:$A, 0)) = ""   ),
   INDEX('calcolo base'!$K:$K, MATCH($A1281, 'calcolo base'!$A:$A, 0)),
   INDEX('calcolo base'!$J:$J, MATCH($A1281, 'calcolo base'!$A:$A, 0))
) / 1000</f>
        <v>#N/A</v>
      </c>
      <c r="J1281" s="50" t="e">
        <f t="shared" si="232"/>
        <v>#N/A</v>
      </c>
      <c r="K1281" s="50"/>
      <c r="L1281" s="267" t="e">
        <f>INDEX('calcolo base'!$H:$H, MATCH($A1281, 'calcolo base'!$A:$A, 0))</f>
        <v>#N/A</v>
      </c>
      <c r="M1281" s="50" t="e">
        <f t="shared" si="233"/>
        <v>#N/A</v>
      </c>
      <c r="N1281" s="50" t="e">
        <f t="shared" si="234"/>
        <v>#N/A</v>
      </c>
      <c r="O1281" s="50" t="e">
        <f t="shared" si="239"/>
        <v>#N/A</v>
      </c>
      <c r="P1281" s="50" t="e">
        <f t="shared" si="235"/>
        <v>#N/A</v>
      </c>
      <c r="Q1281" s="51" t="e">
        <f t="shared" si="236"/>
        <v>#N/A</v>
      </c>
      <c r="R1281" s="205" t="e">
        <f t="shared" si="237"/>
        <v>#N/A</v>
      </c>
      <c r="S1281" s="279" t="e">
        <f>IF(R1281="si",0,IF(E1281="si",0,IF(J1281&gt;K1281,0,+K1281-J1281)))+IF('calcolo base'!P1973="SI",('Commissioni De Angeli'!K1281-'Commissioni De Angeli'!J1281),0)</f>
        <v>#N/A</v>
      </c>
      <c r="T1281" s="117" t="e">
        <f t="shared" si="238"/>
        <v>#N/A</v>
      </c>
      <c r="U1281" s="272" t="e">
        <f>IF(Q1281=0,'calcolo base'!L3880,(T1281+Q1281))</f>
        <v>#N/A</v>
      </c>
      <c r="V1281" s="119"/>
      <c r="Z1281" s="118">
        <f t="shared" si="229"/>
        <v>0</v>
      </c>
      <c r="AA1281" s="118">
        <f t="shared" si="230"/>
        <v>0</v>
      </c>
    </row>
    <row r="1282" spans="2:27">
      <c r="B1282" s="47"/>
      <c r="C1282" s="35"/>
      <c r="D1282" s="53"/>
      <c r="E1282" s="53"/>
      <c r="F1282" s="48"/>
      <c r="G1282" s="243" t="e">
        <f>INDEX('calcolo base'!$B:$B, MATCH($A1282, 'calcolo base'!$A:$A, 0))</f>
        <v>#N/A</v>
      </c>
      <c r="H1282" s="54" t="e">
        <f t="shared" si="231"/>
        <v>#N/A</v>
      </c>
      <c r="I1282" s="259" t="e">
        <f>IF(  OR(      INDEX('calcolo base'!$D:$D, MATCH($A1282, 'calcolo base'!$A:$A, 0)) = 0,
      INDEX('calcolo base'!$D:$D, MATCH($A1282, 'calcolo base'!$A:$A, 0)) = ""   ),
   INDEX('calcolo base'!$K:$K, MATCH($A1282, 'calcolo base'!$A:$A, 0)),
   INDEX('calcolo base'!$J:$J, MATCH($A1282, 'calcolo base'!$A:$A, 0))
) / 1000</f>
        <v>#N/A</v>
      </c>
      <c r="J1282" s="50" t="e">
        <f t="shared" si="232"/>
        <v>#N/A</v>
      </c>
      <c r="K1282" s="50"/>
      <c r="L1282" s="267" t="e">
        <f>INDEX('calcolo base'!$H:$H, MATCH($A1282, 'calcolo base'!$A:$A, 0))</f>
        <v>#N/A</v>
      </c>
      <c r="M1282" s="50" t="e">
        <f t="shared" si="233"/>
        <v>#N/A</v>
      </c>
      <c r="N1282" s="50" t="e">
        <f t="shared" si="234"/>
        <v>#N/A</v>
      </c>
      <c r="O1282" s="50" t="e">
        <f t="shared" si="239"/>
        <v>#N/A</v>
      </c>
      <c r="P1282" s="50" t="e">
        <f t="shared" si="235"/>
        <v>#N/A</v>
      </c>
      <c r="Q1282" s="51" t="e">
        <f t="shared" si="236"/>
        <v>#N/A</v>
      </c>
      <c r="R1282" s="205" t="e">
        <f t="shared" si="237"/>
        <v>#N/A</v>
      </c>
      <c r="S1282" s="279" t="e">
        <f>IF(R1282="si",0,IF(E1282="si",0,IF(J1282&gt;K1282,0,+K1282-J1282)))+IF('calcolo base'!P1974="SI",('Commissioni De Angeli'!K1282-'Commissioni De Angeli'!J1282),0)</f>
        <v>#N/A</v>
      </c>
      <c r="T1282" s="117" t="e">
        <f t="shared" si="238"/>
        <v>#N/A</v>
      </c>
      <c r="U1282" s="272" t="e">
        <f>IF(Q1282=0,'calcolo base'!L3881,(T1282+Q1282))</f>
        <v>#N/A</v>
      </c>
      <c r="V1282" s="119"/>
      <c r="Z1282" s="118">
        <f t="shared" si="229"/>
        <v>0</v>
      </c>
      <c r="AA1282" s="118">
        <f t="shared" si="230"/>
        <v>0</v>
      </c>
    </row>
    <row r="1283" spans="2:27">
      <c r="B1283" s="47"/>
      <c r="C1283" s="35"/>
      <c r="D1283" s="53"/>
      <c r="E1283" s="53"/>
      <c r="F1283" s="48"/>
      <c r="G1283" s="243" t="e">
        <f>INDEX('calcolo base'!$B:$B, MATCH($A1283, 'calcolo base'!$A:$A, 0))</f>
        <v>#N/A</v>
      </c>
      <c r="H1283" s="54" t="e">
        <f t="shared" si="231"/>
        <v>#N/A</v>
      </c>
      <c r="I1283" s="259" t="e">
        <f>IF(  OR(      INDEX('calcolo base'!$D:$D, MATCH($A1283, 'calcolo base'!$A:$A, 0)) = 0,
      INDEX('calcolo base'!$D:$D, MATCH($A1283, 'calcolo base'!$A:$A, 0)) = ""   ),
   INDEX('calcolo base'!$K:$K, MATCH($A1283, 'calcolo base'!$A:$A, 0)),
   INDEX('calcolo base'!$J:$J, MATCH($A1283, 'calcolo base'!$A:$A, 0))
) / 1000</f>
        <v>#N/A</v>
      </c>
      <c r="J1283" s="50" t="e">
        <f t="shared" si="232"/>
        <v>#N/A</v>
      </c>
      <c r="K1283" s="50"/>
      <c r="L1283" s="267" t="e">
        <f>INDEX('calcolo base'!$H:$H, MATCH($A1283, 'calcolo base'!$A:$A, 0))</f>
        <v>#N/A</v>
      </c>
      <c r="M1283" s="50" t="e">
        <f t="shared" si="233"/>
        <v>#N/A</v>
      </c>
      <c r="N1283" s="50" t="e">
        <f t="shared" si="234"/>
        <v>#N/A</v>
      </c>
      <c r="O1283" s="50" t="e">
        <f t="shared" si="239"/>
        <v>#N/A</v>
      </c>
      <c r="P1283" s="50" t="e">
        <f t="shared" si="235"/>
        <v>#N/A</v>
      </c>
      <c r="Q1283" s="51" t="e">
        <f t="shared" si="236"/>
        <v>#N/A</v>
      </c>
      <c r="R1283" s="205" t="e">
        <f t="shared" si="237"/>
        <v>#N/A</v>
      </c>
      <c r="S1283" s="279" t="e">
        <f>IF(R1283="si",0,IF(E1283="si",0,IF(J1283&gt;K1283,0,+K1283-J1283)))+IF('calcolo base'!P1975="SI",('Commissioni De Angeli'!K1283-'Commissioni De Angeli'!J1283),0)</f>
        <v>#N/A</v>
      </c>
      <c r="T1283" s="117" t="e">
        <f t="shared" si="238"/>
        <v>#N/A</v>
      </c>
      <c r="U1283" s="272" t="e">
        <f>IF(Q1283=0,'calcolo base'!L3882,(T1283+Q1283))</f>
        <v>#N/A</v>
      </c>
      <c r="V1283" s="119"/>
      <c r="Z1283" s="118">
        <f t="shared" si="229"/>
        <v>0</v>
      </c>
      <c r="AA1283" s="118">
        <f t="shared" si="230"/>
        <v>0</v>
      </c>
    </row>
    <row r="1284" spans="2:27">
      <c r="B1284" s="47"/>
      <c r="C1284" s="35"/>
      <c r="D1284" s="53"/>
      <c r="E1284" s="53"/>
      <c r="F1284" s="48"/>
      <c r="G1284" s="243" t="e">
        <f>INDEX('calcolo base'!$B:$B, MATCH($A1284, 'calcolo base'!$A:$A, 0))</f>
        <v>#N/A</v>
      </c>
      <c r="H1284" s="54" t="e">
        <f t="shared" si="231"/>
        <v>#N/A</v>
      </c>
      <c r="I1284" s="259" t="e">
        <f>IF(  OR(      INDEX('calcolo base'!$D:$D, MATCH($A1284, 'calcolo base'!$A:$A, 0)) = 0,
      INDEX('calcolo base'!$D:$D, MATCH($A1284, 'calcolo base'!$A:$A, 0)) = ""   ),
   INDEX('calcolo base'!$K:$K, MATCH($A1284, 'calcolo base'!$A:$A, 0)),
   INDEX('calcolo base'!$J:$J, MATCH($A1284, 'calcolo base'!$A:$A, 0))
) / 1000</f>
        <v>#N/A</v>
      </c>
      <c r="J1284" s="50" t="e">
        <f t="shared" si="232"/>
        <v>#N/A</v>
      </c>
      <c r="K1284" s="50"/>
      <c r="L1284" s="267" t="e">
        <f>INDEX('calcolo base'!$H:$H, MATCH($A1284, 'calcolo base'!$A:$A, 0))</f>
        <v>#N/A</v>
      </c>
      <c r="M1284" s="50" t="e">
        <f t="shared" si="233"/>
        <v>#N/A</v>
      </c>
      <c r="N1284" s="50" t="e">
        <f t="shared" si="234"/>
        <v>#N/A</v>
      </c>
      <c r="O1284" s="50" t="e">
        <f t="shared" si="239"/>
        <v>#N/A</v>
      </c>
      <c r="P1284" s="50" t="e">
        <f t="shared" si="235"/>
        <v>#N/A</v>
      </c>
      <c r="Q1284" s="51" t="e">
        <f t="shared" si="236"/>
        <v>#N/A</v>
      </c>
      <c r="R1284" s="205" t="e">
        <f t="shared" si="237"/>
        <v>#N/A</v>
      </c>
      <c r="S1284" s="279" t="e">
        <f>IF(R1284="si",0,IF(E1284="si",0,IF(J1284&gt;K1284,0,+K1284-J1284)))+IF('calcolo base'!P1976="SI",('Commissioni De Angeli'!K1284-'Commissioni De Angeli'!J1284),0)</f>
        <v>#N/A</v>
      </c>
      <c r="T1284" s="117" t="e">
        <f t="shared" si="238"/>
        <v>#N/A</v>
      </c>
      <c r="U1284" s="272" t="e">
        <f>IF(Q1284=0,'calcolo base'!L3883,(T1284+Q1284))</f>
        <v>#N/A</v>
      </c>
      <c r="V1284" s="119"/>
      <c r="Z1284" s="118">
        <f t="shared" si="229"/>
        <v>0</v>
      </c>
      <c r="AA1284" s="118">
        <f t="shared" si="230"/>
        <v>0</v>
      </c>
    </row>
    <row r="1285" spans="2:27">
      <c r="B1285" s="47"/>
      <c r="C1285" s="35"/>
      <c r="D1285" s="53"/>
      <c r="E1285" s="53"/>
      <c r="F1285" s="48"/>
      <c r="G1285" s="243" t="e">
        <f>INDEX('calcolo base'!$B:$B, MATCH($A1285, 'calcolo base'!$A:$A, 0))</f>
        <v>#N/A</v>
      </c>
      <c r="H1285" s="54" t="e">
        <f t="shared" si="231"/>
        <v>#N/A</v>
      </c>
      <c r="I1285" s="259" t="e">
        <f>IF(  OR(      INDEX('calcolo base'!$D:$D, MATCH($A1285, 'calcolo base'!$A:$A, 0)) = 0,
      INDEX('calcolo base'!$D:$D, MATCH($A1285, 'calcolo base'!$A:$A, 0)) = ""   ),
   INDEX('calcolo base'!$K:$K, MATCH($A1285, 'calcolo base'!$A:$A, 0)),
   INDEX('calcolo base'!$J:$J, MATCH($A1285, 'calcolo base'!$A:$A, 0))
) / 1000</f>
        <v>#N/A</v>
      </c>
      <c r="J1285" s="50" t="e">
        <f t="shared" si="232"/>
        <v>#N/A</v>
      </c>
      <c r="K1285" s="50"/>
      <c r="L1285" s="267" t="e">
        <f>INDEX('calcolo base'!$H:$H, MATCH($A1285, 'calcolo base'!$A:$A, 0))</f>
        <v>#N/A</v>
      </c>
      <c r="M1285" s="50" t="e">
        <f t="shared" si="233"/>
        <v>#N/A</v>
      </c>
      <c r="N1285" s="50" t="e">
        <f t="shared" si="234"/>
        <v>#N/A</v>
      </c>
      <c r="O1285" s="50" t="e">
        <f t="shared" si="239"/>
        <v>#N/A</v>
      </c>
      <c r="P1285" s="50" t="e">
        <f t="shared" si="235"/>
        <v>#N/A</v>
      </c>
      <c r="Q1285" s="51" t="e">
        <f t="shared" si="236"/>
        <v>#N/A</v>
      </c>
      <c r="R1285" s="205" t="e">
        <f t="shared" si="237"/>
        <v>#N/A</v>
      </c>
      <c r="S1285" s="279" t="e">
        <f>IF(R1285="si",0,IF(E1285="si",0,IF(J1285&gt;K1285,0,+K1285-J1285)))+IF('calcolo base'!P1977="SI",('Commissioni De Angeli'!K1285-'Commissioni De Angeli'!J1285),0)</f>
        <v>#N/A</v>
      </c>
      <c r="T1285" s="117" t="e">
        <f t="shared" si="238"/>
        <v>#N/A</v>
      </c>
      <c r="U1285" s="272" t="e">
        <f>IF(Q1285=0,'calcolo base'!L3884,(T1285+Q1285))</f>
        <v>#N/A</v>
      </c>
      <c r="V1285" s="119"/>
      <c r="Z1285" s="118">
        <f t="shared" si="229"/>
        <v>0</v>
      </c>
      <c r="AA1285" s="118">
        <f t="shared" si="230"/>
        <v>0</v>
      </c>
    </row>
    <row r="1286" spans="2:27">
      <c r="B1286" s="47"/>
      <c r="C1286" s="35"/>
      <c r="D1286" s="53"/>
      <c r="E1286" s="53"/>
      <c r="F1286" s="48"/>
      <c r="G1286" s="243" t="e">
        <f>INDEX('calcolo base'!$B:$B, MATCH($A1286, 'calcolo base'!$A:$A, 0))</f>
        <v>#N/A</v>
      </c>
      <c r="H1286" s="54" t="e">
        <f t="shared" si="231"/>
        <v>#N/A</v>
      </c>
      <c r="I1286" s="259" t="e">
        <f>IF(  OR(      INDEX('calcolo base'!$D:$D, MATCH($A1286, 'calcolo base'!$A:$A, 0)) = 0,
      INDEX('calcolo base'!$D:$D, MATCH($A1286, 'calcolo base'!$A:$A, 0)) = ""   ),
   INDEX('calcolo base'!$K:$K, MATCH($A1286, 'calcolo base'!$A:$A, 0)),
   INDEX('calcolo base'!$J:$J, MATCH($A1286, 'calcolo base'!$A:$A, 0))
) / 1000</f>
        <v>#N/A</v>
      </c>
      <c r="J1286" s="50" t="e">
        <f t="shared" si="232"/>
        <v>#N/A</v>
      </c>
      <c r="K1286" s="50"/>
      <c r="L1286" s="267" t="e">
        <f>INDEX('calcolo base'!$H:$H, MATCH($A1286, 'calcolo base'!$A:$A, 0))</f>
        <v>#N/A</v>
      </c>
      <c r="M1286" s="50" t="e">
        <f t="shared" si="233"/>
        <v>#N/A</v>
      </c>
      <c r="N1286" s="50" t="e">
        <f t="shared" si="234"/>
        <v>#N/A</v>
      </c>
      <c r="O1286" s="50" t="e">
        <f t="shared" si="239"/>
        <v>#N/A</v>
      </c>
      <c r="P1286" s="50" t="e">
        <f t="shared" si="235"/>
        <v>#N/A</v>
      </c>
      <c r="Q1286" s="51" t="e">
        <f t="shared" si="236"/>
        <v>#N/A</v>
      </c>
      <c r="R1286" s="205" t="e">
        <f t="shared" si="237"/>
        <v>#N/A</v>
      </c>
      <c r="S1286" s="279" t="e">
        <f>IF(R1286="si",0,IF(E1286="si",0,IF(J1286&gt;K1286,0,+K1286-J1286)))+IF('calcolo base'!P1978="SI",('Commissioni De Angeli'!K1286-'Commissioni De Angeli'!J1286),0)</f>
        <v>#N/A</v>
      </c>
      <c r="T1286" s="117" t="e">
        <f t="shared" si="238"/>
        <v>#N/A</v>
      </c>
      <c r="U1286" s="272" t="e">
        <f>IF(Q1286=0,'calcolo base'!L3885,(T1286+Q1286))</f>
        <v>#N/A</v>
      </c>
      <c r="V1286" s="119"/>
      <c r="Z1286" s="118">
        <f t="shared" si="229"/>
        <v>0</v>
      </c>
      <c r="AA1286" s="118">
        <f t="shared" si="230"/>
        <v>0</v>
      </c>
    </row>
    <row r="1287" spans="2:27">
      <c r="B1287" s="47"/>
      <c r="C1287" s="35"/>
      <c r="D1287" s="53"/>
      <c r="E1287" s="53"/>
      <c r="F1287" s="48"/>
      <c r="G1287" s="243" t="e">
        <f>INDEX('calcolo base'!$B:$B, MATCH($A1287, 'calcolo base'!$A:$A, 0))</f>
        <v>#N/A</v>
      </c>
      <c r="H1287" s="54" t="e">
        <f t="shared" si="231"/>
        <v>#N/A</v>
      </c>
      <c r="I1287" s="259" t="e">
        <f>IF(  OR(      INDEX('calcolo base'!$D:$D, MATCH($A1287, 'calcolo base'!$A:$A, 0)) = 0,
      INDEX('calcolo base'!$D:$D, MATCH($A1287, 'calcolo base'!$A:$A, 0)) = ""   ),
   INDEX('calcolo base'!$K:$K, MATCH($A1287, 'calcolo base'!$A:$A, 0)),
   INDEX('calcolo base'!$J:$J, MATCH($A1287, 'calcolo base'!$A:$A, 0))
) / 1000</f>
        <v>#N/A</v>
      </c>
      <c r="J1287" s="50" t="e">
        <f t="shared" si="232"/>
        <v>#N/A</v>
      </c>
      <c r="K1287" s="50"/>
      <c r="L1287" s="267" t="e">
        <f>INDEX('calcolo base'!$H:$H, MATCH($A1287, 'calcolo base'!$A:$A, 0))</f>
        <v>#N/A</v>
      </c>
      <c r="M1287" s="50" t="e">
        <f t="shared" si="233"/>
        <v>#N/A</v>
      </c>
      <c r="N1287" s="50" t="e">
        <f t="shared" si="234"/>
        <v>#N/A</v>
      </c>
      <c r="O1287" s="50" t="e">
        <f t="shared" si="239"/>
        <v>#N/A</v>
      </c>
      <c r="P1287" s="50" t="e">
        <f t="shared" si="235"/>
        <v>#N/A</v>
      </c>
      <c r="Q1287" s="51" t="e">
        <f t="shared" si="236"/>
        <v>#N/A</v>
      </c>
      <c r="R1287" s="205" t="e">
        <f t="shared" si="237"/>
        <v>#N/A</v>
      </c>
      <c r="S1287" s="279" t="e">
        <f>IF(R1287="si",0,IF(E1287="si",0,IF(J1287&gt;K1287,0,+K1287-J1287)))+IF('calcolo base'!P1979="SI",('Commissioni De Angeli'!K1287-'Commissioni De Angeli'!J1287),0)</f>
        <v>#N/A</v>
      </c>
      <c r="T1287" s="117" t="e">
        <f t="shared" si="238"/>
        <v>#N/A</v>
      </c>
      <c r="U1287" s="272" t="e">
        <f>IF(Q1287=0,'calcolo base'!L3886,(T1287+Q1287))</f>
        <v>#N/A</v>
      </c>
      <c r="V1287" s="119"/>
      <c r="Z1287" s="118">
        <f t="shared" si="229"/>
        <v>0</v>
      </c>
      <c r="AA1287" s="118">
        <f t="shared" si="230"/>
        <v>0</v>
      </c>
    </row>
    <row r="1288" spans="2:27">
      <c r="B1288" s="47"/>
      <c r="C1288" s="35"/>
      <c r="D1288" s="53"/>
      <c r="E1288" s="53"/>
      <c r="F1288" s="48"/>
      <c r="G1288" s="243" t="e">
        <f>INDEX('calcolo base'!$B:$B, MATCH($A1288, 'calcolo base'!$A:$A, 0))</f>
        <v>#N/A</v>
      </c>
      <c r="H1288" s="54" t="e">
        <f t="shared" si="231"/>
        <v>#N/A</v>
      </c>
      <c r="I1288" s="259" t="e">
        <f>IF(  OR(      INDEX('calcolo base'!$D:$D, MATCH($A1288, 'calcolo base'!$A:$A, 0)) = 0,
      INDEX('calcolo base'!$D:$D, MATCH($A1288, 'calcolo base'!$A:$A, 0)) = ""   ),
   INDEX('calcolo base'!$K:$K, MATCH($A1288, 'calcolo base'!$A:$A, 0)),
   INDEX('calcolo base'!$J:$J, MATCH($A1288, 'calcolo base'!$A:$A, 0))
) / 1000</f>
        <v>#N/A</v>
      </c>
      <c r="J1288" s="50" t="e">
        <f t="shared" si="232"/>
        <v>#N/A</v>
      </c>
      <c r="K1288" s="50"/>
      <c r="L1288" s="267" t="e">
        <f>INDEX('calcolo base'!$H:$H, MATCH($A1288, 'calcolo base'!$A:$A, 0))</f>
        <v>#N/A</v>
      </c>
      <c r="M1288" s="50" t="e">
        <f t="shared" si="233"/>
        <v>#N/A</v>
      </c>
      <c r="N1288" s="50" t="e">
        <f t="shared" si="234"/>
        <v>#N/A</v>
      </c>
      <c r="O1288" s="50" t="e">
        <f t="shared" si="239"/>
        <v>#N/A</v>
      </c>
      <c r="P1288" s="50" t="e">
        <f t="shared" si="235"/>
        <v>#N/A</v>
      </c>
      <c r="Q1288" s="51" t="e">
        <f t="shared" si="236"/>
        <v>#N/A</v>
      </c>
      <c r="R1288" s="205" t="e">
        <f t="shared" si="237"/>
        <v>#N/A</v>
      </c>
      <c r="S1288" s="279" t="e">
        <f>IF(R1288="si",0,IF(E1288="si",0,IF(J1288&gt;K1288,0,+K1288-J1288)))+IF('calcolo base'!P1980="SI",('Commissioni De Angeli'!K1288-'Commissioni De Angeli'!J1288),0)</f>
        <v>#N/A</v>
      </c>
      <c r="T1288" s="117" t="e">
        <f t="shared" si="238"/>
        <v>#N/A</v>
      </c>
      <c r="U1288" s="272" t="e">
        <f>IF(Q1288=0,'calcolo base'!L3887,(T1288+Q1288))</f>
        <v>#N/A</v>
      </c>
      <c r="V1288" s="119"/>
      <c r="Z1288" s="118">
        <f t="shared" si="229"/>
        <v>0</v>
      </c>
      <c r="AA1288" s="118">
        <f t="shared" si="230"/>
        <v>0</v>
      </c>
    </row>
    <row r="1289" spans="2:27">
      <c r="B1289" s="47"/>
      <c r="C1289" s="35"/>
      <c r="D1289" s="53"/>
      <c r="E1289" s="53"/>
      <c r="F1289" s="48"/>
      <c r="G1289" s="243" t="e">
        <f>INDEX('calcolo base'!$B:$B, MATCH($A1289, 'calcolo base'!$A:$A, 0))</f>
        <v>#N/A</v>
      </c>
      <c r="H1289" s="54" t="e">
        <f t="shared" si="231"/>
        <v>#N/A</v>
      </c>
      <c r="I1289" s="259" t="e">
        <f>IF(  OR(      INDEX('calcolo base'!$D:$D, MATCH($A1289, 'calcolo base'!$A:$A, 0)) = 0,
      INDEX('calcolo base'!$D:$D, MATCH($A1289, 'calcolo base'!$A:$A, 0)) = ""   ),
   INDEX('calcolo base'!$K:$K, MATCH($A1289, 'calcolo base'!$A:$A, 0)),
   INDEX('calcolo base'!$J:$J, MATCH($A1289, 'calcolo base'!$A:$A, 0))
) / 1000</f>
        <v>#N/A</v>
      </c>
      <c r="J1289" s="50" t="e">
        <f t="shared" si="232"/>
        <v>#N/A</v>
      </c>
      <c r="K1289" s="50"/>
      <c r="L1289" s="267" t="e">
        <f>INDEX('calcolo base'!$H:$H, MATCH($A1289, 'calcolo base'!$A:$A, 0))</f>
        <v>#N/A</v>
      </c>
      <c r="M1289" s="50" t="e">
        <f t="shared" si="233"/>
        <v>#N/A</v>
      </c>
      <c r="N1289" s="50" t="e">
        <f t="shared" si="234"/>
        <v>#N/A</v>
      </c>
      <c r="O1289" s="50" t="e">
        <f t="shared" si="239"/>
        <v>#N/A</v>
      </c>
      <c r="P1289" s="50" t="e">
        <f t="shared" si="235"/>
        <v>#N/A</v>
      </c>
      <c r="Q1289" s="51" t="e">
        <f t="shared" si="236"/>
        <v>#N/A</v>
      </c>
      <c r="R1289" s="205" t="e">
        <f t="shared" si="237"/>
        <v>#N/A</v>
      </c>
      <c r="S1289" s="279" t="e">
        <f>IF(R1289="si",0,IF(E1289="si",0,IF(J1289&gt;K1289,0,+K1289-J1289)))+IF('calcolo base'!P1981="SI",('Commissioni De Angeli'!K1289-'Commissioni De Angeli'!J1289),0)</f>
        <v>#N/A</v>
      </c>
      <c r="T1289" s="117" t="e">
        <f t="shared" si="238"/>
        <v>#N/A</v>
      </c>
      <c r="U1289" s="272" t="e">
        <f>IF(Q1289=0,'calcolo base'!L3888,(T1289+Q1289))</f>
        <v>#N/A</v>
      </c>
      <c r="V1289" s="119"/>
      <c r="Z1289" s="118">
        <f t="shared" si="229"/>
        <v>0</v>
      </c>
      <c r="AA1289" s="118">
        <f t="shared" si="230"/>
        <v>0</v>
      </c>
    </row>
    <row r="1290" spans="2:27">
      <c r="B1290" s="47"/>
      <c r="C1290" s="35"/>
      <c r="D1290" s="53"/>
      <c r="E1290" s="53"/>
      <c r="F1290" s="48"/>
      <c r="G1290" s="243" t="e">
        <f>INDEX('calcolo base'!$B:$B, MATCH($A1290, 'calcolo base'!$A:$A, 0))</f>
        <v>#N/A</v>
      </c>
      <c r="H1290" s="54" t="e">
        <f t="shared" si="231"/>
        <v>#N/A</v>
      </c>
      <c r="I1290" s="259" t="e">
        <f>IF(  OR(      INDEX('calcolo base'!$D:$D, MATCH($A1290, 'calcolo base'!$A:$A, 0)) = 0,
      INDEX('calcolo base'!$D:$D, MATCH($A1290, 'calcolo base'!$A:$A, 0)) = ""   ),
   INDEX('calcolo base'!$K:$K, MATCH($A1290, 'calcolo base'!$A:$A, 0)),
   INDEX('calcolo base'!$J:$J, MATCH($A1290, 'calcolo base'!$A:$A, 0))
) / 1000</f>
        <v>#N/A</v>
      </c>
      <c r="J1290" s="50" t="e">
        <f t="shared" si="232"/>
        <v>#N/A</v>
      </c>
      <c r="K1290" s="50"/>
      <c r="L1290" s="267" t="e">
        <f>INDEX('calcolo base'!$H:$H, MATCH($A1290, 'calcolo base'!$A:$A, 0))</f>
        <v>#N/A</v>
      </c>
      <c r="M1290" s="50" t="e">
        <f t="shared" si="233"/>
        <v>#N/A</v>
      </c>
      <c r="N1290" s="50" t="e">
        <f t="shared" si="234"/>
        <v>#N/A</v>
      </c>
      <c r="O1290" s="50" t="e">
        <f t="shared" si="239"/>
        <v>#N/A</v>
      </c>
      <c r="P1290" s="50" t="e">
        <f t="shared" si="235"/>
        <v>#N/A</v>
      </c>
      <c r="Q1290" s="51" t="e">
        <f t="shared" si="236"/>
        <v>#N/A</v>
      </c>
      <c r="R1290" s="205" t="e">
        <f t="shared" si="237"/>
        <v>#N/A</v>
      </c>
      <c r="S1290" s="279" t="e">
        <f>IF(R1290="si",0,IF(E1290="si",0,IF(J1290&gt;K1290,0,+K1290-J1290)))+IF('calcolo base'!P1982="SI",('Commissioni De Angeli'!K1290-'Commissioni De Angeli'!J1290),0)</f>
        <v>#N/A</v>
      </c>
      <c r="T1290" s="117" t="e">
        <f t="shared" si="238"/>
        <v>#N/A</v>
      </c>
      <c r="U1290" s="272" t="e">
        <f>IF(Q1290=0,'calcolo base'!L3889,(T1290+Q1290))</f>
        <v>#N/A</v>
      </c>
      <c r="V1290" s="119"/>
      <c r="Z1290" s="118">
        <f t="shared" si="229"/>
        <v>0</v>
      </c>
      <c r="AA1290" s="118">
        <f t="shared" si="230"/>
        <v>0</v>
      </c>
    </row>
    <row r="1291" spans="2:27">
      <c r="B1291" s="47"/>
      <c r="C1291" s="35"/>
      <c r="D1291" s="53"/>
      <c r="E1291" s="53"/>
      <c r="F1291" s="48"/>
      <c r="G1291" s="243" t="e">
        <f>INDEX('calcolo base'!$B:$B, MATCH($A1291, 'calcolo base'!$A:$A, 0))</f>
        <v>#N/A</v>
      </c>
      <c r="H1291" s="54" t="e">
        <f t="shared" si="231"/>
        <v>#N/A</v>
      </c>
      <c r="I1291" s="259" t="e">
        <f>IF(  OR(      INDEX('calcolo base'!$D:$D, MATCH($A1291, 'calcolo base'!$A:$A, 0)) = 0,
      INDEX('calcolo base'!$D:$D, MATCH($A1291, 'calcolo base'!$A:$A, 0)) = ""   ),
   INDEX('calcolo base'!$K:$K, MATCH($A1291, 'calcolo base'!$A:$A, 0)),
   INDEX('calcolo base'!$J:$J, MATCH($A1291, 'calcolo base'!$A:$A, 0))
) / 1000</f>
        <v>#N/A</v>
      </c>
      <c r="J1291" s="50" t="e">
        <f t="shared" si="232"/>
        <v>#N/A</v>
      </c>
      <c r="K1291" s="50"/>
      <c r="L1291" s="267" t="e">
        <f>INDEX('calcolo base'!$H:$H, MATCH($A1291, 'calcolo base'!$A:$A, 0))</f>
        <v>#N/A</v>
      </c>
      <c r="M1291" s="50" t="e">
        <f t="shared" si="233"/>
        <v>#N/A</v>
      </c>
      <c r="N1291" s="50" t="e">
        <f t="shared" si="234"/>
        <v>#N/A</v>
      </c>
      <c r="O1291" s="50" t="e">
        <f t="shared" si="239"/>
        <v>#N/A</v>
      </c>
      <c r="P1291" s="50" t="e">
        <f t="shared" si="235"/>
        <v>#N/A</v>
      </c>
      <c r="Q1291" s="51" t="e">
        <f t="shared" si="236"/>
        <v>#N/A</v>
      </c>
      <c r="R1291" s="205" t="e">
        <f t="shared" si="237"/>
        <v>#N/A</v>
      </c>
      <c r="S1291" s="279" t="e">
        <f>IF(R1291="si",0,IF(E1291="si",0,IF(J1291&gt;K1291,0,+K1291-J1291)))+IF('calcolo base'!P1983="SI",('Commissioni De Angeli'!K1291-'Commissioni De Angeli'!J1291),0)</f>
        <v>#N/A</v>
      </c>
      <c r="T1291" s="117" t="e">
        <f t="shared" si="238"/>
        <v>#N/A</v>
      </c>
      <c r="U1291" s="272" t="e">
        <f>IF(Q1291=0,'calcolo base'!L3890,(T1291+Q1291))</f>
        <v>#N/A</v>
      </c>
      <c r="V1291" s="119"/>
      <c r="Z1291" s="118">
        <f t="shared" si="229"/>
        <v>0</v>
      </c>
      <c r="AA1291" s="118">
        <f t="shared" si="230"/>
        <v>0</v>
      </c>
    </row>
    <row r="1292" spans="2:27">
      <c r="B1292" s="47"/>
      <c r="C1292" s="35"/>
      <c r="D1292" s="53"/>
      <c r="E1292" s="53"/>
      <c r="F1292" s="48"/>
      <c r="G1292" s="243" t="e">
        <f>INDEX('calcolo base'!$B:$B, MATCH($A1292, 'calcolo base'!$A:$A, 0))</f>
        <v>#N/A</v>
      </c>
      <c r="H1292" s="54" t="e">
        <f t="shared" si="231"/>
        <v>#N/A</v>
      </c>
      <c r="I1292" s="259" t="e">
        <f>IF(  OR(      INDEX('calcolo base'!$D:$D, MATCH($A1292, 'calcolo base'!$A:$A, 0)) = 0,
      INDEX('calcolo base'!$D:$D, MATCH($A1292, 'calcolo base'!$A:$A, 0)) = ""   ),
   INDEX('calcolo base'!$K:$K, MATCH($A1292, 'calcolo base'!$A:$A, 0)),
   INDEX('calcolo base'!$J:$J, MATCH($A1292, 'calcolo base'!$A:$A, 0))
) / 1000</f>
        <v>#N/A</v>
      </c>
      <c r="J1292" s="50" t="e">
        <f t="shared" si="232"/>
        <v>#N/A</v>
      </c>
      <c r="K1292" s="50"/>
      <c r="L1292" s="267" t="e">
        <f>INDEX('calcolo base'!$H:$H, MATCH($A1292, 'calcolo base'!$A:$A, 0))</f>
        <v>#N/A</v>
      </c>
      <c r="M1292" s="50" t="e">
        <f t="shared" si="233"/>
        <v>#N/A</v>
      </c>
      <c r="N1292" s="50" t="e">
        <f t="shared" si="234"/>
        <v>#N/A</v>
      </c>
      <c r="O1292" s="50" t="e">
        <f t="shared" si="239"/>
        <v>#N/A</v>
      </c>
      <c r="P1292" s="50" t="e">
        <f t="shared" si="235"/>
        <v>#N/A</v>
      </c>
      <c r="Q1292" s="51" t="e">
        <f t="shared" si="236"/>
        <v>#N/A</v>
      </c>
      <c r="R1292" s="205" t="e">
        <f t="shared" si="237"/>
        <v>#N/A</v>
      </c>
      <c r="S1292" s="279" t="e">
        <f>IF(R1292="si",0,IF(E1292="si",0,IF(J1292&gt;K1292,0,+K1292-J1292)))+IF('calcolo base'!P1984="SI",('Commissioni De Angeli'!K1292-'Commissioni De Angeli'!J1292),0)</f>
        <v>#N/A</v>
      </c>
      <c r="T1292" s="117" t="e">
        <f t="shared" si="238"/>
        <v>#N/A</v>
      </c>
      <c r="U1292" s="272" t="e">
        <f>IF(Q1292=0,'calcolo base'!L3891,(T1292+Q1292))</f>
        <v>#N/A</v>
      </c>
      <c r="V1292" s="119"/>
      <c r="Z1292" s="118">
        <f t="shared" si="229"/>
        <v>0</v>
      </c>
      <c r="AA1292" s="118">
        <f t="shared" si="230"/>
        <v>0</v>
      </c>
    </row>
    <row r="1293" spans="2:27">
      <c r="B1293" s="47"/>
      <c r="C1293" s="35"/>
      <c r="D1293" s="53"/>
      <c r="E1293" s="53"/>
      <c r="F1293" s="48"/>
      <c r="G1293" s="243" t="e">
        <f>INDEX('calcolo base'!$B:$B, MATCH($A1293, 'calcolo base'!$A:$A, 0))</f>
        <v>#N/A</v>
      </c>
      <c r="H1293" s="54" t="e">
        <f t="shared" si="231"/>
        <v>#N/A</v>
      </c>
      <c r="I1293" s="259" t="e">
        <f>IF(  OR(      INDEX('calcolo base'!$D:$D, MATCH($A1293, 'calcolo base'!$A:$A, 0)) = 0,
      INDEX('calcolo base'!$D:$D, MATCH($A1293, 'calcolo base'!$A:$A, 0)) = ""   ),
   INDEX('calcolo base'!$K:$K, MATCH($A1293, 'calcolo base'!$A:$A, 0)),
   INDEX('calcolo base'!$J:$J, MATCH($A1293, 'calcolo base'!$A:$A, 0))
) / 1000</f>
        <v>#N/A</v>
      </c>
      <c r="J1293" s="50" t="e">
        <f t="shared" si="232"/>
        <v>#N/A</v>
      </c>
      <c r="K1293" s="50"/>
      <c r="L1293" s="267" t="e">
        <f>INDEX('calcolo base'!$H:$H, MATCH($A1293, 'calcolo base'!$A:$A, 0))</f>
        <v>#N/A</v>
      </c>
      <c r="M1293" s="50" t="e">
        <f t="shared" si="233"/>
        <v>#N/A</v>
      </c>
      <c r="N1293" s="50" t="e">
        <f t="shared" si="234"/>
        <v>#N/A</v>
      </c>
      <c r="O1293" s="50" t="e">
        <f t="shared" si="239"/>
        <v>#N/A</v>
      </c>
      <c r="P1293" s="50" t="e">
        <f t="shared" si="235"/>
        <v>#N/A</v>
      </c>
      <c r="Q1293" s="51" t="e">
        <f t="shared" si="236"/>
        <v>#N/A</v>
      </c>
      <c r="R1293" s="205" t="e">
        <f t="shared" si="237"/>
        <v>#N/A</v>
      </c>
      <c r="S1293" s="279" t="e">
        <f>IF(R1293="si",0,IF(E1293="si",0,IF(J1293&gt;K1293,0,+K1293-J1293)))+IF('calcolo base'!P1985="SI",('Commissioni De Angeli'!K1293-'Commissioni De Angeli'!J1293),0)</f>
        <v>#N/A</v>
      </c>
      <c r="T1293" s="117" t="e">
        <f t="shared" si="238"/>
        <v>#N/A</v>
      </c>
      <c r="U1293" s="272" t="e">
        <f>IF(Q1293=0,'calcolo base'!L3892,(T1293+Q1293))</f>
        <v>#N/A</v>
      </c>
      <c r="V1293" s="119"/>
      <c r="Z1293" s="118">
        <f t="shared" si="229"/>
        <v>0</v>
      </c>
      <c r="AA1293" s="118">
        <f t="shared" si="230"/>
        <v>0</v>
      </c>
    </row>
    <row r="1294" spans="2:27">
      <c r="B1294" s="47"/>
      <c r="C1294" s="35"/>
      <c r="D1294" s="53"/>
      <c r="E1294" s="53"/>
      <c r="F1294" s="48"/>
      <c r="G1294" s="243" t="e">
        <f>INDEX('calcolo base'!$B:$B, MATCH($A1294, 'calcolo base'!$A:$A, 0))</f>
        <v>#N/A</v>
      </c>
      <c r="H1294" s="54" t="e">
        <f t="shared" si="231"/>
        <v>#N/A</v>
      </c>
      <c r="I1294" s="259" t="e">
        <f>IF(  OR(      INDEX('calcolo base'!$D:$D, MATCH($A1294, 'calcolo base'!$A:$A, 0)) = 0,
      INDEX('calcolo base'!$D:$D, MATCH($A1294, 'calcolo base'!$A:$A, 0)) = ""   ),
   INDEX('calcolo base'!$K:$K, MATCH($A1294, 'calcolo base'!$A:$A, 0)),
   INDEX('calcolo base'!$J:$J, MATCH($A1294, 'calcolo base'!$A:$A, 0))
) / 1000</f>
        <v>#N/A</v>
      </c>
      <c r="J1294" s="50" t="e">
        <f t="shared" si="232"/>
        <v>#N/A</v>
      </c>
      <c r="K1294" s="50"/>
      <c r="L1294" s="267" t="e">
        <f>INDEX('calcolo base'!$H:$H, MATCH($A1294, 'calcolo base'!$A:$A, 0))</f>
        <v>#N/A</v>
      </c>
      <c r="M1294" s="50" t="e">
        <f t="shared" si="233"/>
        <v>#N/A</v>
      </c>
      <c r="N1294" s="50" t="e">
        <f t="shared" si="234"/>
        <v>#N/A</v>
      </c>
      <c r="O1294" s="50" t="e">
        <f t="shared" si="239"/>
        <v>#N/A</v>
      </c>
      <c r="P1294" s="50" t="e">
        <f t="shared" si="235"/>
        <v>#N/A</v>
      </c>
      <c r="Q1294" s="51" t="e">
        <f t="shared" si="236"/>
        <v>#N/A</v>
      </c>
      <c r="R1294" s="205" t="e">
        <f t="shared" si="237"/>
        <v>#N/A</v>
      </c>
      <c r="S1294" s="279" t="e">
        <f>IF(R1294="si",0,IF(E1294="si",0,IF(J1294&gt;K1294,0,+K1294-J1294)))+IF('calcolo base'!P1986="SI",('Commissioni De Angeli'!K1294-'Commissioni De Angeli'!J1294),0)</f>
        <v>#N/A</v>
      </c>
      <c r="T1294" s="117" t="e">
        <f t="shared" si="238"/>
        <v>#N/A</v>
      </c>
      <c r="U1294" s="272" t="e">
        <f>IF(Q1294=0,'calcolo base'!L3893,(T1294+Q1294))</f>
        <v>#N/A</v>
      </c>
      <c r="V1294" s="119"/>
      <c r="Z1294" s="118">
        <f t="shared" si="229"/>
        <v>0</v>
      </c>
      <c r="AA1294" s="118">
        <f t="shared" si="230"/>
        <v>0</v>
      </c>
    </row>
    <row r="1295" spans="2:27">
      <c r="B1295" s="47"/>
      <c r="C1295" s="35"/>
      <c r="D1295" s="53"/>
      <c r="E1295" s="53"/>
      <c r="F1295" s="48"/>
      <c r="G1295" s="243" t="e">
        <f>INDEX('calcolo base'!$B:$B, MATCH($A1295, 'calcolo base'!$A:$A, 0))</f>
        <v>#N/A</v>
      </c>
      <c r="H1295" s="54" t="e">
        <f t="shared" si="231"/>
        <v>#N/A</v>
      </c>
      <c r="I1295" s="259" t="e">
        <f>IF(  OR(      INDEX('calcolo base'!$D:$D, MATCH($A1295, 'calcolo base'!$A:$A, 0)) = 0,
      INDEX('calcolo base'!$D:$D, MATCH($A1295, 'calcolo base'!$A:$A, 0)) = ""   ),
   INDEX('calcolo base'!$K:$K, MATCH($A1295, 'calcolo base'!$A:$A, 0)),
   INDEX('calcolo base'!$J:$J, MATCH($A1295, 'calcolo base'!$A:$A, 0))
) / 1000</f>
        <v>#N/A</v>
      </c>
      <c r="J1295" s="50" t="e">
        <f t="shared" si="232"/>
        <v>#N/A</v>
      </c>
      <c r="K1295" s="50"/>
      <c r="L1295" s="267" t="e">
        <f>INDEX('calcolo base'!$H:$H, MATCH($A1295, 'calcolo base'!$A:$A, 0))</f>
        <v>#N/A</v>
      </c>
      <c r="M1295" s="50" t="e">
        <f t="shared" si="233"/>
        <v>#N/A</v>
      </c>
      <c r="N1295" s="50" t="e">
        <f t="shared" si="234"/>
        <v>#N/A</v>
      </c>
      <c r="O1295" s="50" t="e">
        <f t="shared" si="239"/>
        <v>#N/A</v>
      </c>
      <c r="P1295" s="50" t="e">
        <f t="shared" si="235"/>
        <v>#N/A</v>
      </c>
      <c r="Q1295" s="51" t="e">
        <f t="shared" si="236"/>
        <v>#N/A</v>
      </c>
      <c r="R1295" s="205" t="e">
        <f t="shared" si="237"/>
        <v>#N/A</v>
      </c>
      <c r="S1295" s="279" t="e">
        <f>IF(R1295="si",0,IF(E1295="si",0,IF(J1295&gt;K1295,0,+K1295-J1295)))+IF('calcolo base'!P1987="SI",('Commissioni De Angeli'!K1295-'Commissioni De Angeli'!J1295),0)</f>
        <v>#N/A</v>
      </c>
      <c r="T1295" s="117" t="e">
        <f t="shared" si="238"/>
        <v>#N/A</v>
      </c>
      <c r="U1295" s="272" t="e">
        <f>IF(Q1295=0,'calcolo base'!L3894,(T1295+Q1295))</f>
        <v>#N/A</v>
      </c>
      <c r="V1295" s="119"/>
      <c r="Z1295" s="118">
        <f t="shared" si="229"/>
        <v>0</v>
      </c>
      <c r="AA1295" s="118">
        <f t="shared" si="230"/>
        <v>0</v>
      </c>
    </row>
    <row r="1296" spans="2:27">
      <c r="B1296" s="47"/>
      <c r="C1296" s="35"/>
      <c r="D1296" s="53"/>
      <c r="E1296" s="53"/>
      <c r="F1296" s="48"/>
      <c r="G1296" s="243" t="e">
        <f>INDEX('calcolo base'!$B:$B, MATCH($A1296, 'calcolo base'!$A:$A, 0))</f>
        <v>#N/A</v>
      </c>
      <c r="H1296" s="54" t="e">
        <f t="shared" si="231"/>
        <v>#N/A</v>
      </c>
      <c r="I1296" s="259" t="e">
        <f>IF(  OR(      INDEX('calcolo base'!$D:$D, MATCH($A1296, 'calcolo base'!$A:$A, 0)) = 0,
      INDEX('calcolo base'!$D:$D, MATCH($A1296, 'calcolo base'!$A:$A, 0)) = ""   ),
   INDEX('calcolo base'!$K:$K, MATCH($A1296, 'calcolo base'!$A:$A, 0)),
   INDEX('calcolo base'!$J:$J, MATCH($A1296, 'calcolo base'!$A:$A, 0))
) / 1000</f>
        <v>#N/A</v>
      </c>
      <c r="J1296" s="50" t="e">
        <f t="shared" si="232"/>
        <v>#N/A</v>
      </c>
      <c r="K1296" s="50"/>
      <c r="L1296" s="267" t="e">
        <f>INDEX('calcolo base'!$H:$H, MATCH($A1296, 'calcolo base'!$A:$A, 0))</f>
        <v>#N/A</v>
      </c>
      <c r="M1296" s="50" t="e">
        <f t="shared" si="233"/>
        <v>#N/A</v>
      </c>
      <c r="N1296" s="50" t="e">
        <f t="shared" si="234"/>
        <v>#N/A</v>
      </c>
      <c r="O1296" s="50" t="e">
        <f t="shared" si="239"/>
        <v>#N/A</v>
      </c>
      <c r="P1296" s="50" t="e">
        <f t="shared" si="235"/>
        <v>#N/A</v>
      </c>
      <c r="Q1296" s="51" t="e">
        <f t="shared" si="236"/>
        <v>#N/A</v>
      </c>
      <c r="R1296" s="205" t="e">
        <f t="shared" si="237"/>
        <v>#N/A</v>
      </c>
      <c r="S1296" s="279" t="e">
        <f>IF(R1296="si",0,IF(E1296="si",0,IF(J1296&gt;K1296,0,+K1296-J1296)))+IF('calcolo base'!P1988="SI",('Commissioni De Angeli'!K1296-'Commissioni De Angeli'!J1296),0)</f>
        <v>#N/A</v>
      </c>
      <c r="T1296" s="117" t="e">
        <f t="shared" si="238"/>
        <v>#N/A</v>
      </c>
      <c r="U1296" s="272" t="e">
        <f>IF(Q1296=0,'calcolo base'!L3895,(T1296+Q1296))</f>
        <v>#N/A</v>
      </c>
      <c r="V1296" s="119"/>
      <c r="Z1296" s="118">
        <f t="shared" si="229"/>
        <v>0</v>
      </c>
      <c r="AA1296" s="118">
        <f t="shared" si="230"/>
        <v>0</v>
      </c>
    </row>
    <row r="1297" spans="2:27">
      <c r="B1297" s="47"/>
      <c r="C1297" s="35"/>
      <c r="D1297" s="53"/>
      <c r="E1297" s="53"/>
      <c r="F1297" s="48"/>
      <c r="G1297" s="243" t="e">
        <f>INDEX('calcolo base'!$B:$B, MATCH($A1297, 'calcolo base'!$A:$A, 0))</f>
        <v>#N/A</v>
      </c>
      <c r="H1297" s="54" t="e">
        <f t="shared" si="231"/>
        <v>#N/A</v>
      </c>
      <c r="I1297" s="259" t="e">
        <f>IF(  OR(      INDEX('calcolo base'!$D:$D, MATCH($A1297, 'calcolo base'!$A:$A, 0)) = 0,
      INDEX('calcolo base'!$D:$D, MATCH($A1297, 'calcolo base'!$A:$A, 0)) = ""   ),
   INDEX('calcolo base'!$K:$K, MATCH($A1297, 'calcolo base'!$A:$A, 0)),
   INDEX('calcolo base'!$J:$J, MATCH($A1297, 'calcolo base'!$A:$A, 0))
) / 1000</f>
        <v>#N/A</v>
      </c>
      <c r="J1297" s="50" t="e">
        <f t="shared" si="232"/>
        <v>#N/A</v>
      </c>
      <c r="K1297" s="50"/>
      <c r="L1297" s="267" t="e">
        <f>INDEX('calcolo base'!$H:$H, MATCH($A1297, 'calcolo base'!$A:$A, 0))</f>
        <v>#N/A</v>
      </c>
      <c r="M1297" s="50" t="e">
        <f t="shared" si="233"/>
        <v>#N/A</v>
      </c>
      <c r="N1297" s="50" t="e">
        <f t="shared" si="234"/>
        <v>#N/A</v>
      </c>
      <c r="O1297" s="50" t="e">
        <f t="shared" si="239"/>
        <v>#N/A</v>
      </c>
      <c r="P1297" s="50" t="e">
        <f t="shared" si="235"/>
        <v>#N/A</v>
      </c>
      <c r="Q1297" s="51" t="e">
        <f t="shared" si="236"/>
        <v>#N/A</v>
      </c>
      <c r="R1297" s="205" t="e">
        <f t="shared" si="237"/>
        <v>#N/A</v>
      </c>
      <c r="S1297" s="279" t="e">
        <f>IF(R1297="si",0,IF(E1297="si",0,IF(J1297&gt;K1297,0,+K1297-J1297)))+IF('calcolo base'!P1989="SI",('Commissioni De Angeli'!K1297-'Commissioni De Angeli'!J1297),0)</f>
        <v>#N/A</v>
      </c>
      <c r="T1297" s="117" t="e">
        <f t="shared" si="238"/>
        <v>#N/A</v>
      </c>
      <c r="U1297" s="272" t="e">
        <f>IF(Q1297=0,'calcolo base'!L3896,(T1297+Q1297))</f>
        <v>#N/A</v>
      </c>
      <c r="V1297" s="119"/>
      <c r="Z1297" s="118">
        <f t="shared" si="229"/>
        <v>0</v>
      </c>
      <c r="AA1297" s="118">
        <f t="shared" si="230"/>
        <v>0</v>
      </c>
    </row>
    <row r="1298" spans="2:27">
      <c r="B1298" s="47"/>
      <c r="C1298" s="35"/>
      <c r="D1298" s="53"/>
      <c r="E1298" s="53"/>
      <c r="F1298" s="48"/>
      <c r="G1298" s="243" t="e">
        <f>INDEX('calcolo base'!$B:$B, MATCH($A1298, 'calcolo base'!$A:$A, 0))</f>
        <v>#N/A</v>
      </c>
      <c r="H1298" s="54" t="e">
        <f t="shared" si="231"/>
        <v>#N/A</v>
      </c>
      <c r="I1298" s="259" t="e">
        <f>IF(  OR(      INDEX('calcolo base'!$D:$D, MATCH($A1298, 'calcolo base'!$A:$A, 0)) = 0,
      INDEX('calcolo base'!$D:$D, MATCH($A1298, 'calcolo base'!$A:$A, 0)) = ""   ),
   INDEX('calcolo base'!$K:$K, MATCH($A1298, 'calcolo base'!$A:$A, 0)),
   INDEX('calcolo base'!$J:$J, MATCH($A1298, 'calcolo base'!$A:$A, 0))
) / 1000</f>
        <v>#N/A</v>
      </c>
      <c r="J1298" s="50" t="e">
        <f t="shared" si="232"/>
        <v>#N/A</v>
      </c>
      <c r="K1298" s="50"/>
      <c r="L1298" s="267" t="e">
        <f>INDEX('calcolo base'!$H:$H, MATCH($A1298, 'calcolo base'!$A:$A, 0))</f>
        <v>#N/A</v>
      </c>
      <c r="M1298" s="50" t="e">
        <f t="shared" si="233"/>
        <v>#N/A</v>
      </c>
      <c r="N1298" s="50" t="e">
        <f t="shared" si="234"/>
        <v>#N/A</v>
      </c>
      <c r="O1298" s="50" t="e">
        <f t="shared" si="239"/>
        <v>#N/A</v>
      </c>
      <c r="P1298" s="50" t="e">
        <f t="shared" si="235"/>
        <v>#N/A</v>
      </c>
      <c r="Q1298" s="51" t="e">
        <f t="shared" si="236"/>
        <v>#N/A</v>
      </c>
      <c r="R1298" s="205" t="e">
        <f t="shared" si="237"/>
        <v>#N/A</v>
      </c>
      <c r="S1298" s="279" t="e">
        <f>IF(R1298="si",0,IF(E1298="si",0,IF(J1298&gt;K1298,0,+K1298-J1298)))+IF('calcolo base'!P1990="SI",('Commissioni De Angeli'!K1298-'Commissioni De Angeli'!J1298),0)</f>
        <v>#N/A</v>
      </c>
      <c r="T1298" s="117" t="e">
        <f t="shared" si="238"/>
        <v>#N/A</v>
      </c>
      <c r="U1298" s="272" t="e">
        <f>IF(Q1298=0,'calcolo base'!L3897,(T1298+Q1298))</f>
        <v>#N/A</v>
      </c>
      <c r="V1298" s="119"/>
      <c r="Z1298" s="118">
        <f t="shared" si="229"/>
        <v>0</v>
      </c>
      <c r="AA1298" s="118">
        <f t="shared" si="230"/>
        <v>0</v>
      </c>
    </row>
    <row r="1299" spans="2:27">
      <c r="B1299" s="47"/>
      <c r="C1299" s="35"/>
      <c r="D1299" s="53"/>
      <c r="E1299" s="53"/>
      <c r="F1299" s="48"/>
      <c r="G1299" s="243" t="e">
        <f>INDEX('calcolo base'!$B:$B, MATCH($A1299, 'calcolo base'!$A:$A, 0))</f>
        <v>#N/A</v>
      </c>
      <c r="H1299" s="54" t="e">
        <f t="shared" si="231"/>
        <v>#N/A</v>
      </c>
      <c r="I1299" s="259" t="e">
        <f>IF(  OR(      INDEX('calcolo base'!$D:$D, MATCH($A1299, 'calcolo base'!$A:$A, 0)) = 0,
      INDEX('calcolo base'!$D:$D, MATCH($A1299, 'calcolo base'!$A:$A, 0)) = ""   ),
   INDEX('calcolo base'!$K:$K, MATCH($A1299, 'calcolo base'!$A:$A, 0)),
   INDEX('calcolo base'!$J:$J, MATCH($A1299, 'calcolo base'!$A:$A, 0))
) / 1000</f>
        <v>#N/A</v>
      </c>
      <c r="J1299" s="50" t="e">
        <f t="shared" si="232"/>
        <v>#N/A</v>
      </c>
      <c r="K1299" s="50"/>
      <c r="L1299" s="267" t="e">
        <f>INDEX('calcolo base'!$H:$H, MATCH($A1299, 'calcolo base'!$A:$A, 0))</f>
        <v>#N/A</v>
      </c>
      <c r="M1299" s="50" t="e">
        <f t="shared" si="233"/>
        <v>#N/A</v>
      </c>
      <c r="N1299" s="50" t="e">
        <f t="shared" si="234"/>
        <v>#N/A</v>
      </c>
      <c r="O1299" s="50" t="e">
        <f t="shared" si="239"/>
        <v>#N/A</v>
      </c>
      <c r="P1299" s="50" t="e">
        <f t="shared" si="235"/>
        <v>#N/A</v>
      </c>
      <c r="Q1299" s="51" t="e">
        <f t="shared" si="236"/>
        <v>#N/A</v>
      </c>
      <c r="R1299" s="205" t="e">
        <f t="shared" si="237"/>
        <v>#N/A</v>
      </c>
      <c r="S1299" s="279" t="e">
        <f>IF(R1299="si",0,IF(E1299="si",0,IF(J1299&gt;K1299,0,+K1299-J1299)))+IF('calcolo base'!P1991="SI",('Commissioni De Angeli'!K1299-'Commissioni De Angeli'!J1299),0)</f>
        <v>#N/A</v>
      </c>
      <c r="T1299" s="117" t="e">
        <f t="shared" si="238"/>
        <v>#N/A</v>
      </c>
      <c r="U1299" s="272" t="e">
        <f>IF(Q1299=0,'calcolo base'!L3898,(T1299+Q1299))</f>
        <v>#N/A</v>
      </c>
      <c r="V1299" s="119"/>
      <c r="Z1299" s="118">
        <f t="shared" si="229"/>
        <v>0</v>
      </c>
      <c r="AA1299" s="118">
        <f t="shared" si="230"/>
        <v>0</v>
      </c>
    </row>
    <row r="1300" spans="2:27">
      <c r="B1300" s="47"/>
      <c r="C1300" s="35"/>
      <c r="D1300" s="53"/>
      <c r="E1300" s="53"/>
      <c r="F1300" s="48"/>
      <c r="G1300" s="243" t="e">
        <f>INDEX('calcolo base'!$B:$B, MATCH($A1300, 'calcolo base'!$A:$A, 0))</f>
        <v>#N/A</v>
      </c>
      <c r="H1300" s="54" t="e">
        <f t="shared" si="231"/>
        <v>#N/A</v>
      </c>
      <c r="I1300" s="259" t="e">
        <f>IF(  OR(      INDEX('calcolo base'!$D:$D, MATCH($A1300, 'calcolo base'!$A:$A, 0)) = 0,
      INDEX('calcolo base'!$D:$D, MATCH($A1300, 'calcolo base'!$A:$A, 0)) = ""   ),
   INDEX('calcolo base'!$K:$K, MATCH($A1300, 'calcolo base'!$A:$A, 0)),
   INDEX('calcolo base'!$J:$J, MATCH($A1300, 'calcolo base'!$A:$A, 0))
) / 1000</f>
        <v>#N/A</v>
      </c>
      <c r="J1300" s="50" t="e">
        <f t="shared" si="232"/>
        <v>#N/A</v>
      </c>
      <c r="K1300" s="50"/>
      <c r="L1300" s="267" t="e">
        <f>INDEX('calcolo base'!$H:$H, MATCH($A1300, 'calcolo base'!$A:$A, 0))</f>
        <v>#N/A</v>
      </c>
      <c r="M1300" s="50" t="e">
        <f t="shared" si="233"/>
        <v>#N/A</v>
      </c>
      <c r="N1300" s="50" t="e">
        <f t="shared" si="234"/>
        <v>#N/A</v>
      </c>
      <c r="O1300" s="50" t="e">
        <f t="shared" si="239"/>
        <v>#N/A</v>
      </c>
      <c r="P1300" s="50" t="e">
        <f t="shared" si="235"/>
        <v>#N/A</v>
      </c>
      <c r="Q1300" s="51" t="e">
        <f t="shared" si="236"/>
        <v>#N/A</v>
      </c>
      <c r="R1300" s="205" t="e">
        <f t="shared" si="237"/>
        <v>#N/A</v>
      </c>
      <c r="S1300" s="279" t="e">
        <f>IF(R1300="si",0,IF(E1300="si",0,IF(J1300&gt;K1300,0,+K1300-J1300)))+IF('calcolo base'!P1992="SI",('Commissioni De Angeli'!K1300-'Commissioni De Angeli'!J1300),0)</f>
        <v>#N/A</v>
      </c>
      <c r="T1300" s="117" t="e">
        <f t="shared" si="238"/>
        <v>#N/A</v>
      </c>
      <c r="U1300" s="272" t="e">
        <f>IF(Q1300=0,'calcolo base'!L3899,(T1300+Q1300))</f>
        <v>#N/A</v>
      </c>
      <c r="V1300" s="119"/>
      <c r="Z1300" s="118">
        <f t="shared" si="229"/>
        <v>0</v>
      </c>
      <c r="AA1300" s="118">
        <f t="shared" si="230"/>
        <v>0</v>
      </c>
    </row>
    <row r="1301" spans="2:27">
      <c r="B1301" s="47"/>
      <c r="C1301" s="35"/>
      <c r="D1301" s="53"/>
      <c r="E1301" s="53"/>
      <c r="F1301" s="48"/>
      <c r="G1301" s="243" t="e">
        <f>INDEX('calcolo base'!$B:$B, MATCH($A1301, 'calcolo base'!$A:$A, 0))</f>
        <v>#N/A</v>
      </c>
      <c r="H1301" s="54" t="e">
        <f t="shared" si="231"/>
        <v>#N/A</v>
      </c>
      <c r="I1301" s="259" t="e">
        <f>IF(  OR(      INDEX('calcolo base'!$D:$D, MATCH($A1301, 'calcolo base'!$A:$A, 0)) = 0,
      INDEX('calcolo base'!$D:$D, MATCH($A1301, 'calcolo base'!$A:$A, 0)) = ""   ),
   INDEX('calcolo base'!$K:$K, MATCH($A1301, 'calcolo base'!$A:$A, 0)),
   INDEX('calcolo base'!$J:$J, MATCH($A1301, 'calcolo base'!$A:$A, 0))
) / 1000</f>
        <v>#N/A</v>
      </c>
      <c r="J1301" s="50" t="e">
        <f t="shared" si="232"/>
        <v>#N/A</v>
      </c>
      <c r="K1301" s="50"/>
      <c r="L1301" s="267" t="e">
        <f>INDEX('calcolo base'!$H:$H, MATCH($A1301, 'calcolo base'!$A:$A, 0))</f>
        <v>#N/A</v>
      </c>
      <c r="M1301" s="50" t="e">
        <f t="shared" si="233"/>
        <v>#N/A</v>
      </c>
      <c r="N1301" s="50" t="e">
        <f t="shared" si="234"/>
        <v>#N/A</v>
      </c>
      <c r="O1301" s="50" t="e">
        <f t="shared" si="239"/>
        <v>#N/A</v>
      </c>
      <c r="P1301" s="50" t="e">
        <f t="shared" si="235"/>
        <v>#N/A</v>
      </c>
      <c r="Q1301" s="51" t="e">
        <f t="shared" si="236"/>
        <v>#N/A</v>
      </c>
      <c r="R1301" s="205" t="e">
        <f t="shared" si="237"/>
        <v>#N/A</v>
      </c>
      <c r="S1301" s="279" t="e">
        <f>IF(R1301="si",0,IF(E1301="si",0,IF(J1301&gt;K1301,0,+K1301-J1301)))+IF('calcolo base'!P1993="SI",('Commissioni De Angeli'!K1301-'Commissioni De Angeli'!J1301),0)</f>
        <v>#N/A</v>
      </c>
      <c r="T1301" s="117" t="e">
        <f t="shared" si="238"/>
        <v>#N/A</v>
      </c>
      <c r="U1301" s="272" t="e">
        <f>IF(Q1301=0,'calcolo base'!L3900,(T1301+Q1301))</f>
        <v>#N/A</v>
      </c>
      <c r="V1301" s="119"/>
      <c r="Z1301" s="118">
        <f t="shared" ref="Z1301:Z1364" si="240">IF(V1301="",0,MONTH(V1301))</f>
        <v>0</v>
      </c>
      <c r="AA1301" s="118">
        <f t="shared" ref="AA1301:AA1364" si="241">IF(V1301="",0,YEAR(V1301))</f>
        <v>0</v>
      </c>
    </row>
    <row r="1302" spans="2:27">
      <c r="B1302" s="47"/>
      <c r="C1302" s="35"/>
      <c r="D1302" s="53"/>
      <c r="E1302" s="53"/>
      <c r="F1302" s="48"/>
      <c r="G1302" s="243" t="e">
        <f>INDEX('calcolo base'!$B:$B, MATCH($A1302, 'calcolo base'!$A:$A, 0))</f>
        <v>#N/A</v>
      </c>
      <c r="H1302" s="54" t="e">
        <f t="shared" si="231"/>
        <v>#N/A</v>
      </c>
      <c r="I1302" s="259" t="e">
        <f>IF(  OR(      INDEX('calcolo base'!$D:$D, MATCH($A1302, 'calcolo base'!$A:$A, 0)) = 0,
      INDEX('calcolo base'!$D:$D, MATCH($A1302, 'calcolo base'!$A:$A, 0)) = ""   ),
   INDEX('calcolo base'!$K:$K, MATCH($A1302, 'calcolo base'!$A:$A, 0)),
   INDEX('calcolo base'!$J:$J, MATCH($A1302, 'calcolo base'!$A:$A, 0))
) / 1000</f>
        <v>#N/A</v>
      </c>
      <c r="J1302" s="50" t="e">
        <f t="shared" si="232"/>
        <v>#N/A</v>
      </c>
      <c r="K1302" s="50"/>
      <c r="L1302" s="267" t="e">
        <f>INDEX('calcolo base'!$H:$H, MATCH($A1302, 'calcolo base'!$A:$A, 0))</f>
        <v>#N/A</v>
      </c>
      <c r="M1302" s="50" t="e">
        <f t="shared" si="233"/>
        <v>#N/A</v>
      </c>
      <c r="N1302" s="50" t="e">
        <f t="shared" si="234"/>
        <v>#N/A</v>
      </c>
      <c r="O1302" s="50" t="e">
        <f t="shared" si="239"/>
        <v>#N/A</v>
      </c>
      <c r="P1302" s="50" t="e">
        <f t="shared" si="235"/>
        <v>#N/A</v>
      </c>
      <c r="Q1302" s="51" t="e">
        <f t="shared" si="236"/>
        <v>#N/A</v>
      </c>
      <c r="R1302" s="205" t="e">
        <f t="shared" si="237"/>
        <v>#N/A</v>
      </c>
      <c r="S1302" s="279" t="e">
        <f>IF(R1302="si",0,IF(E1302="si",0,IF(J1302&gt;K1302,0,+K1302-J1302)))+IF('calcolo base'!P1994="SI",('Commissioni De Angeli'!K1302-'Commissioni De Angeli'!J1302),0)</f>
        <v>#N/A</v>
      </c>
      <c r="T1302" s="117" t="e">
        <f t="shared" si="238"/>
        <v>#N/A</v>
      </c>
      <c r="U1302" s="272" t="e">
        <f>IF(Q1302=0,'calcolo base'!L3901,(T1302+Q1302))</f>
        <v>#N/A</v>
      </c>
      <c r="V1302" s="119"/>
      <c r="Z1302" s="118">
        <f t="shared" si="240"/>
        <v>0</v>
      </c>
      <c r="AA1302" s="118">
        <f t="shared" si="241"/>
        <v>0</v>
      </c>
    </row>
    <row r="1303" spans="2:27">
      <c r="B1303" s="47"/>
      <c r="C1303" s="35"/>
      <c r="D1303" s="53"/>
      <c r="E1303" s="53"/>
      <c r="F1303" s="48"/>
      <c r="G1303" s="243" t="e">
        <f>INDEX('calcolo base'!$B:$B, MATCH($A1303, 'calcolo base'!$A:$A, 0))</f>
        <v>#N/A</v>
      </c>
      <c r="H1303" s="54" t="e">
        <f t="shared" si="231"/>
        <v>#N/A</v>
      </c>
      <c r="I1303" s="259" t="e">
        <f>IF(  OR(      INDEX('calcolo base'!$D:$D, MATCH($A1303, 'calcolo base'!$A:$A, 0)) = 0,
      INDEX('calcolo base'!$D:$D, MATCH($A1303, 'calcolo base'!$A:$A, 0)) = ""   ),
   INDEX('calcolo base'!$K:$K, MATCH($A1303, 'calcolo base'!$A:$A, 0)),
   INDEX('calcolo base'!$J:$J, MATCH($A1303, 'calcolo base'!$A:$A, 0))
) / 1000</f>
        <v>#N/A</v>
      </c>
      <c r="J1303" s="50" t="e">
        <f t="shared" si="232"/>
        <v>#N/A</v>
      </c>
      <c r="K1303" s="50"/>
      <c r="L1303" s="267" t="e">
        <f>INDEX('calcolo base'!$H:$H, MATCH($A1303, 'calcolo base'!$A:$A, 0))</f>
        <v>#N/A</v>
      </c>
      <c r="M1303" s="50" t="e">
        <f t="shared" si="233"/>
        <v>#N/A</v>
      </c>
      <c r="N1303" s="50" t="e">
        <f t="shared" si="234"/>
        <v>#N/A</v>
      </c>
      <c r="O1303" s="50" t="e">
        <f t="shared" si="239"/>
        <v>#N/A</v>
      </c>
      <c r="P1303" s="50" t="e">
        <f t="shared" si="235"/>
        <v>#N/A</v>
      </c>
      <c r="Q1303" s="51" t="e">
        <f t="shared" si="236"/>
        <v>#N/A</v>
      </c>
      <c r="R1303" s="205" t="e">
        <f t="shared" si="237"/>
        <v>#N/A</v>
      </c>
      <c r="S1303" s="279" t="e">
        <f>IF(R1303="si",0,IF(E1303="si",0,IF(J1303&gt;K1303,0,+K1303-J1303)))+IF('calcolo base'!P1995="SI",('Commissioni De Angeli'!K1303-'Commissioni De Angeli'!J1303),0)</f>
        <v>#N/A</v>
      </c>
      <c r="T1303" s="117" t="e">
        <f t="shared" si="238"/>
        <v>#N/A</v>
      </c>
      <c r="U1303" s="272" t="e">
        <f>IF(Q1303=0,'calcolo base'!L3902,(T1303+Q1303))</f>
        <v>#N/A</v>
      </c>
      <c r="V1303" s="119"/>
      <c r="Z1303" s="118">
        <f t="shared" si="240"/>
        <v>0</v>
      </c>
      <c r="AA1303" s="118">
        <f t="shared" si="241"/>
        <v>0</v>
      </c>
    </row>
    <row r="1304" spans="2:27">
      <c r="B1304" s="47"/>
      <c r="C1304" s="35"/>
      <c r="D1304" s="53"/>
      <c r="E1304" s="53"/>
      <c r="F1304" s="48"/>
      <c r="G1304" s="243" t="e">
        <f>INDEX('calcolo base'!$B:$B, MATCH($A1304, 'calcolo base'!$A:$A, 0))</f>
        <v>#N/A</v>
      </c>
      <c r="H1304" s="54" t="e">
        <f t="shared" si="231"/>
        <v>#N/A</v>
      </c>
      <c r="I1304" s="259" t="e">
        <f>IF(  OR(      INDEX('calcolo base'!$D:$D, MATCH($A1304, 'calcolo base'!$A:$A, 0)) = 0,
      INDEX('calcolo base'!$D:$D, MATCH($A1304, 'calcolo base'!$A:$A, 0)) = ""   ),
   INDEX('calcolo base'!$K:$K, MATCH($A1304, 'calcolo base'!$A:$A, 0)),
   INDEX('calcolo base'!$J:$J, MATCH($A1304, 'calcolo base'!$A:$A, 0))
) / 1000</f>
        <v>#N/A</v>
      </c>
      <c r="J1304" s="50" t="e">
        <f t="shared" si="232"/>
        <v>#N/A</v>
      </c>
      <c r="K1304" s="50"/>
      <c r="L1304" s="267" t="e">
        <f>INDEX('calcolo base'!$H:$H, MATCH($A1304, 'calcolo base'!$A:$A, 0))</f>
        <v>#N/A</v>
      </c>
      <c r="M1304" s="50" t="e">
        <f t="shared" si="233"/>
        <v>#N/A</v>
      </c>
      <c r="N1304" s="50" t="e">
        <f t="shared" si="234"/>
        <v>#N/A</v>
      </c>
      <c r="O1304" s="50" t="e">
        <f t="shared" si="239"/>
        <v>#N/A</v>
      </c>
      <c r="P1304" s="50" t="e">
        <f t="shared" si="235"/>
        <v>#N/A</v>
      </c>
      <c r="Q1304" s="51" t="e">
        <f t="shared" si="236"/>
        <v>#N/A</v>
      </c>
      <c r="R1304" s="205" t="e">
        <f t="shared" si="237"/>
        <v>#N/A</v>
      </c>
      <c r="S1304" s="279" t="e">
        <f>IF(R1304="si",0,IF(E1304="si",0,IF(J1304&gt;K1304,0,+K1304-J1304)))+IF('calcolo base'!P1996="SI",('Commissioni De Angeli'!K1304-'Commissioni De Angeli'!J1304),0)</f>
        <v>#N/A</v>
      </c>
      <c r="T1304" s="117" t="e">
        <f t="shared" si="238"/>
        <v>#N/A</v>
      </c>
      <c r="U1304" s="272" t="e">
        <f>IF(Q1304=0,'calcolo base'!L3903,(T1304+Q1304))</f>
        <v>#N/A</v>
      </c>
      <c r="V1304" s="119"/>
      <c r="Z1304" s="118">
        <f t="shared" si="240"/>
        <v>0</v>
      </c>
      <c r="AA1304" s="118">
        <f t="shared" si="241"/>
        <v>0</v>
      </c>
    </row>
    <row r="1305" spans="2:27">
      <c r="B1305" s="47"/>
      <c r="C1305" s="35"/>
      <c r="D1305" s="53"/>
      <c r="E1305" s="53"/>
      <c r="F1305" s="48"/>
      <c r="G1305" s="243" t="e">
        <f>INDEX('calcolo base'!$B:$B, MATCH($A1305, 'calcolo base'!$A:$A, 0))</f>
        <v>#N/A</v>
      </c>
      <c r="H1305" s="54" t="e">
        <f t="shared" si="231"/>
        <v>#N/A</v>
      </c>
      <c r="I1305" s="259" t="e">
        <f>IF(  OR(      INDEX('calcolo base'!$D:$D, MATCH($A1305, 'calcolo base'!$A:$A, 0)) = 0,
      INDEX('calcolo base'!$D:$D, MATCH($A1305, 'calcolo base'!$A:$A, 0)) = ""   ),
   INDEX('calcolo base'!$K:$K, MATCH($A1305, 'calcolo base'!$A:$A, 0)),
   INDEX('calcolo base'!$J:$J, MATCH($A1305, 'calcolo base'!$A:$A, 0))
) / 1000</f>
        <v>#N/A</v>
      </c>
      <c r="J1305" s="50" t="e">
        <f t="shared" si="232"/>
        <v>#N/A</v>
      </c>
      <c r="K1305" s="50"/>
      <c r="L1305" s="267" t="e">
        <f>INDEX('calcolo base'!$H:$H, MATCH($A1305, 'calcolo base'!$A:$A, 0))</f>
        <v>#N/A</v>
      </c>
      <c r="M1305" s="50" t="e">
        <f t="shared" si="233"/>
        <v>#N/A</v>
      </c>
      <c r="N1305" s="50" t="e">
        <f t="shared" si="234"/>
        <v>#N/A</v>
      </c>
      <c r="O1305" s="50" t="e">
        <f t="shared" si="239"/>
        <v>#N/A</v>
      </c>
      <c r="P1305" s="50" t="e">
        <f t="shared" si="235"/>
        <v>#N/A</v>
      </c>
      <c r="Q1305" s="51" t="e">
        <f t="shared" si="236"/>
        <v>#N/A</v>
      </c>
      <c r="R1305" s="205" t="e">
        <f t="shared" si="237"/>
        <v>#N/A</v>
      </c>
      <c r="S1305" s="279" t="e">
        <f>IF(R1305="si",0,IF(E1305="si",0,IF(J1305&gt;K1305,0,+K1305-J1305)))+IF('calcolo base'!P1997="SI",('Commissioni De Angeli'!K1305-'Commissioni De Angeli'!J1305),0)</f>
        <v>#N/A</v>
      </c>
      <c r="T1305" s="117" t="e">
        <f t="shared" si="238"/>
        <v>#N/A</v>
      </c>
      <c r="U1305" s="272" t="e">
        <f>IF(Q1305=0,'calcolo base'!L3904,(T1305+Q1305))</f>
        <v>#N/A</v>
      </c>
      <c r="V1305" s="119"/>
      <c r="Z1305" s="118">
        <f t="shared" si="240"/>
        <v>0</v>
      </c>
      <c r="AA1305" s="118">
        <f t="shared" si="241"/>
        <v>0</v>
      </c>
    </row>
    <row r="1306" spans="2:27">
      <c r="B1306" s="47"/>
      <c r="C1306" s="35"/>
      <c r="D1306" s="53"/>
      <c r="E1306" s="53"/>
      <c r="F1306" s="48"/>
      <c r="G1306" s="243" t="e">
        <f>INDEX('calcolo base'!$B:$B, MATCH($A1306, 'calcolo base'!$A:$A, 0))</f>
        <v>#N/A</v>
      </c>
      <c r="H1306" s="54" t="e">
        <f t="shared" si="231"/>
        <v>#N/A</v>
      </c>
      <c r="I1306" s="259" t="e">
        <f>IF(  OR(      INDEX('calcolo base'!$D:$D, MATCH($A1306, 'calcolo base'!$A:$A, 0)) = 0,
      INDEX('calcolo base'!$D:$D, MATCH($A1306, 'calcolo base'!$A:$A, 0)) = ""   ),
   INDEX('calcolo base'!$K:$K, MATCH($A1306, 'calcolo base'!$A:$A, 0)),
   INDEX('calcolo base'!$J:$J, MATCH($A1306, 'calcolo base'!$A:$A, 0))
) / 1000</f>
        <v>#N/A</v>
      </c>
      <c r="J1306" s="50" t="e">
        <f t="shared" si="232"/>
        <v>#N/A</v>
      </c>
      <c r="K1306" s="50"/>
      <c r="L1306" s="267" t="e">
        <f>INDEX('calcolo base'!$H:$H, MATCH($A1306, 'calcolo base'!$A:$A, 0))</f>
        <v>#N/A</v>
      </c>
      <c r="M1306" s="50" t="e">
        <f t="shared" si="233"/>
        <v>#N/A</v>
      </c>
      <c r="N1306" s="50" t="e">
        <f t="shared" si="234"/>
        <v>#N/A</v>
      </c>
      <c r="O1306" s="50" t="e">
        <f t="shared" si="239"/>
        <v>#N/A</v>
      </c>
      <c r="P1306" s="50" t="e">
        <f t="shared" si="235"/>
        <v>#N/A</v>
      </c>
      <c r="Q1306" s="51" t="e">
        <f t="shared" si="236"/>
        <v>#N/A</v>
      </c>
      <c r="R1306" s="205" t="e">
        <f t="shared" si="237"/>
        <v>#N/A</v>
      </c>
      <c r="S1306" s="279" t="e">
        <f>IF(R1306="si",0,IF(E1306="si",0,IF(J1306&gt;K1306,0,+K1306-J1306)))+IF('calcolo base'!P1998="SI",('Commissioni De Angeli'!K1306-'Commissioni De Angeli'!J1306),0)</f>
        <v>#N/A</v>
      </c>
      <c r="T1306" s="117" t="e">
        <f t="shared" si="238"/>
        <v>#N/A</v>
      </c>
      <c r="U1306" s="272" t="e">
        <f>IF(Q1306=0,'calcolo base'!L3905,(T1306+Q1306))</f>
        <v>#N/A</v>
      </c>
      <c r="V1306" s="119"/>
      <c r="Z1306" s="118">
        <f t="shared" si="240"/>
        <v>0</v>
      </c>
      <c r="AA1306" s="118">
        <f t="shared" si="241"/>
        <v>0</v>
      </c>
    </row>
    <row r="1307" spans="2:27">
      <c r="B1307" s="47"/>
      <c r="C1307" s="35"/>
      <c r="D1307" s="53"/>
      <c r="E1307" s="53"/>
      <c r="F1307" s="48"/>
      <c r="G1307" s="243" t="e">
        <f>INDEX('calcolo base'!$B:$B, MATCH($A1307, 'calcolo base'!$A:$A, 0))</f>
        <v>#N/A</v>
      </c>
      <c r="H1307" s="54" t="e">
        <f t="shared" si="231"/>
        <v>#N/A</v>
      </c>
      <c r="I1307" s="259" t="e">
        <f>IF(  OR(      INDEX('calcolo base'!$D:$D, MATCH($A1307, 'calcolo base'!$A:$A, 0)) = 0,
      INDEX('calcolo base'!$D:$D, MATCH($A1307, 'calcolo base'!$A:$A, 0)) = ""   ),
   INDEX('calcolo base'!$K:$K, MATCH($A1307, 'calcolo base'!$A:$A, 0)),
   INDEX('calcolo base'!$J:$J, MATCH($A1307, 'calcolo base'!$A:$A, 0))
) / 1000</f>
        <v>#N/A</v>
      </c>
      <c r="J1307" s="50" t="e">
        <f t="shared" si="232"/>
        <v>#N/A</v>
      </c>
      <c r="K1307" s="50"/>
      <c r="L1307" s="267" t="e">
        <f>INDEX('calcolo base'!$H:$H, MATCH($A1307, 'calcolo base'!$A:$A, 0))</f>
        <v>#N/A</v>
      </c>
      <c r="M1307" s="50" t="e">
        <f t="shared" si="233"/>
        <v>#N/A</v>
      </c>
      <c r="N1307" s="50" t="e">
        <f t="shared" si="234"/>
        <v>#N/A</v>
      </c>
      <c r="O1307" s="50" t="e">
        <f t="shared" si="239"/>
        <v>#N/A</v>
      </c>
      <c r="P1307" s="50" t="e">
        <f t="shared" si="235"/>
        <v>#N/A</v>
      </c>
      <c r="Q1307" s="51" t="e">
        <f t="shared" si="236"/>
        <v>#N/A</v>
      </c>
      <c r="R1307" s="205" t="e">
        <f t="shared" si="237"/>
        <v>#N/A</v>
      </c>
      <c r="S1307" s="279" t="e">
        <f>IF(R1307="si",0,IF(E1307="si",0,IF(J1307&gt;K1307,0,+K1307-J1307)))+IF('calcolo base'!P1999="SI",('Commissioni De Angeli'!K1307-'Commissioni De Angeli'!J1307),0)</f>
        <v>#N/A</v>
      </c>
      <c r="T1307" s="117" t="e">
        <f t="shared" si="238"/>
        <v>#N/A</v>
      </c>
      <c r="U1307" s="272" t="e">
        <f>IF(Q1307=0,'calcolo base'!L3906,(T1307+Q1307))</f>
        <v>#N/A</v>
      </c>
      <c r="V1307" s="119"/>
      <c r="Z1307" s="118">
        <f t="shared" si="240"/>
        <v>0</v>
      </c>
      <c r="AA1307" s="118">
        <f t="shared" si="241"/>
        <v>0</v>
      </c>
    </row>
    <row r="1308" spans="2:27">
      <c r="B1308" s="47"/>
      <c r="C1308" s="35"/>
      <c r="D1308" s="53"/>
      <c r="E1308" s="53"/>
      <c r="F1308" s="48"/>
      <c r="G1308" s="243" t="e">
        <f>INDEX('calcolo base'!$B:$B, MATCH($A1308, 'calcolo base'!$A:$A, 0))</f>
        <v>#N/A</v>
      </c>
      <c r="H1308" s="54" t="e">
        <f t="shared" ref="H1308:H1371" si="242">IF(G1308=0,"",+G1308)</f>
        <v>#N/A</v>
      </c>
      <c r="I1308" s="259" t="e">
        <f>IF(  OR(      INDEX('calcolo base'!$D:$D, MATCH($A1308, 'calcolo base'!$A:$A, 0)) = 0,
      INDEX('calcolo base'!$D:$D, MATCH($A1308, 'calcolo base'!$A:$A, 0)) = ""   ),
   INDEX('calcolo base'!$K:$K, MATCH($A1308, 'calcolo base'!$A:$A, 0)),
   INDEX('calcolo base'!$J:$J, MATCH($A1308, 'calcolo base'!$A:$A, 0))
) / 1000</f>
        <v>#N/A</v>
      </c>
      <c r="J1308" s="50" t="e">
        <f t="shared" ref="J1308:J1371" si="243">+F1308+I1308</f>
        <v>#N/A</v>
      </c>
      <c r="K1308" s="50"/>
      <c r="L1308" s="267" t="e">
        <f>INDEX('calcolo base'!$H:$H, MATCH($A1308, 'calcolo base'!$A:$A, 0))</f>
        <v>#N/A</v>
      </c>
      <c r="M1308" s="50" t="e">
        <f t="shared" ref="M1308:M1371" si="244">IF(L1308=0,0,J1308*L1308)</f>
        <v>#N/A</v>
      </c>
      <c r="N1308" s="50" t="e">
        <f t="shared" ref="N1308:N1371" si="245">IF(E1308="si",K1308*1.5%,IF($L1308&gt;=5%,IF($I1308=0,0,(IF($G1308="RAME",($J1308)*1.5%,0)+IF($G1308="rame smaltato",($K1308)*1.5%,0))),0))</f>
        <v>#N/A</v>
      </c>
      <c r="O1308" s="50" t="e">
        <f t="shared" si="239"/>
        <v>#N/A</v>
      </c>
      <c r="P1308" s="50" t="e">
        <f t="shared" ref="P1308:P1371" si="246">IF(H1308="alluminio",0,IF(L1308&lt;5%,F1308*8%,0))</f>
        <v>#N/A</v>
      </c>
      <c r="Q1308" s="51" t="e">
        <f t="shared" ref="Q1308:Q1371" si="247">+(N1308*D1308)+(O1308*D1308)+(P1308*D1308)</f>
        <v>#N/A</v>
      </c>
      <c r="R1308" s="205" t="e">
        <f t="shared" ref="R1308:R1371" si="248">IF(H1308="ALLUMINIO",0,IF(L1308&lt;5%,"si",0))</f>
        <v>#N/A</v>
      </c>
      <c r="S1308" s="279" t="e">
        <f>IF(R1308="si",0,IF(E1308="si",0,IF(J1308&gt;K1308,0,+K1308-J1308)))+IF('calcolo base'!P2000="SI",('Commissioni De Angeli'!K1308-'Commissioni De Angeli'!J1308),0)</f>
        <v>#N/A</v>
      </c>
      <c r="T1308" s="117" t="e">
        <f t="shared" ref="T1308:T1371" si="249">+(S1308)*D1308*40%</f>
        <v>#N/A</v>
      </c>
      <c r="U1308" s="272" t="e">
        <f>IF(Q1308=0,'calcolo base'!L3907,(T1308+Q1308))</f>
        <v>#N/A</v>
      </c>
      <c r="V1308" s="119"/>
      <c r="Z1308" s="118">
        <f t="shared" si="240"/>
        <v>0</v>
      </c>
      <c r="AA1308" s="118">
        <f t="shared" si="241"/>
        <v>0</v>
      </c>
    </row>
    <row r="1309" spans="2:27">
      <c r="B1309" s="47"/>
      <c r="C1309" s="35"/>
      <c r="D1309" s="53"/>
      <c r="E1309" s="53"/>
      <c r="F1309" s="48"/>
      <c r="G1309" s="243" t="e">
        <f>INDEX('calcolo base'!$B:$B, MATCH($A1309, 'calcolo base'!$A:$A, 0))</f>
        <v>#N/A</v>
      </c>
      <c r="H1309" s="54" t="e">
        <f t="shared" si="242"/>
        <v>#N/A</v>
      </c>
      <c r="I1309" s="259" t="e">
        <f>IF(  OR(      INDEX('calcolo base'!$D:$D, MATCH($A1309, 'calcolo base'!$A:$A, 0)) = 0,
      INDEX('calcolo base'!$D:$D, MATCH($A1309, 'calcolo base'!$A:$A, 0)) = ""   ),
   INDEX('calcolo base'!$K:$K, MATCH($A1309, 'calcolo base'!$A:$A, 0)),
   INDEX('calcolo base'!$J:$J, MATCH($A1309, 'calcolo base'!$A:$A, 0))
) / 1000</f>
        <v>#N/A</v>
      </c>
      <c r="J1309" s="50" t="e">
        <f t="shared" si="243"/>
        <v>#N/A</v>
      </c>
      <c r="K1309" s="50"/>
      <c r="L1309" s="267" t="e">
        <f>INDEX('calcolo base'!$H:$H, MATCH($A1309, 'calcolo base'!$A:$A, 0))</f>
        <v>#N/A</v>
      </c>
      <c r="M1309" s="50" t="e">
        <f t="shared" si="244"/>
        <v>#N/A</v>
      </c>
      <c r="N1309" s="50" t="e">
        <f t="shared" si="245"/>
        <v>#N/A</v>
      </c>
      <c r="O1309" s="50" t="e">
        <f t="shared" si="239"/>
        <v>#N/A</v>
      </c>
      <c r="P1309" s="50" t="e">
        <f t="shared" si="246"/>
        <v>#N/A</v>
      </c>
      <c r="Q1309" s="51" t="e">
        <f t="shared" si="247"/>
        <v>#N/A</v>
      </c>
      <c r="R1309" s="205" t="e">
        <f t="shared" si="248"/>
        <v>#N/A</v>
      </c>
      <c r="S1309" s="279" t="e">
        <f>IF(R1309="si",0,IF(E1309="si",0,IF(J1309&gt;K1309,0,+K1309-J1309)))+IF('calcolo base'!P2001="SI",('Commissioni De Angeli'!K1309-'Commissioni De Angeli'!J1309),0)</f>
        <v>#N/A</v>
      </c>
      <c r="T1309" s="117" t="e">
        <f t="shared" si="249"/>
        <v>#N/A</v>
      </c>
      <c r="U1309" s="272" t="e">
        <f>IF(Q1309=0,'calcolo base'!L3908,(T1309+Q1309))</f>
        <v>#N/A</v>
      </c>
      <c r="V1309" s="119"/>
      <c r="Z1309" s="118">
        <f t="shared" si="240"/>
        <v>0</v>
      </c>
      <c r="AA1309" s="118">
        <f t="shared" si="241"/>
        <v>0</v>
      </c>
    </row>
    <row r="1310" spans="2:27">
      <c r="B1310" s="47"/>
      <c r="C1310" s="35"/>
      <c r="D1310" s="53"/>
      <c r="E1310" s="53"/>
      <c r="F1310" s="48"/>
      <c r="G1310" s="243" t="e">
        <f>INDEX('calcolo base'!$B:$B, MATCH($A1310, 'calcolo base'!$A:$A, 0))</f>
        <v>#N/A</v>
      </c>
      <c r="H1310" s="54" t="e">
        <f t="shared" si="242"/>
        <v>#N/A</v>
      </c>
      <c r="I1310" s="259" t="e">
        <f>IF(  OR(      INDEX('calcolo base'!$D:$D, MATCH($A1310, 'calcolo base'!$A:$A, 0)) = 0,
      INDEX('calcolo base'!$D:$D, MATCH($A1310, 'calcolo base'!$A:$A, 0)) = ""   ),
   INDEX('calcolo base'!$K:$K, MATCH($A1310, 'calcolo base'!$A:$A, 0)),
   INDEX('calcolo base'!$J:$J, MATCH($A1310, 'calcolo base'!$A:$A, 0))
) / 1000</f>
        <v>#N/A</v>
      </c>
      <c r="J1310" s="50" t="e">
        <f t="shared" si="243"/>
        <v>#N/A</v>
      </c>
      <c r="K1310" s="50"/>
      <c r="L1310" s="267" t="e">
        <f>INDEX('calcolo base'!$H:$H, MATCH($A1310, 'calcolo base'!$A:$A, 0))</f>
        <v>#N/A</v>
      </c>
      <c r="M1310" s="50" t="e">
        <f t="shared" si="244"/>
        <v>#N/A</v>
      </c>
      <c r="N1310" s="50" t="e">
        <f t="shared" si="245"/>
        <v>#N/A</v>
      </c>
      <c r="O1310" s="50" t="e">
        <f t="shared" si="239"/>
        <v>#N/A</v>
      </c>
      <c r="P1310" s="50" t="e">
        <f t="shared" si="246"/>
        <v>#N/A</v>
      </c>
      <c r="Q1310" s="51" t="e">
        <f t="shared" si="247"/>
        <v>#N/A</v>
      </c>
      <c r="R1310" s="205" t="e">
        <f t="shared" si="248"/>
        <v>#N/A</v>
      </c>
      <c r="S1310" s="279" t="e">
        <f>IF(R1310="si",0,IF(E1310="si",0,IF(J1310&gt;K1310,0,+K1310-J1310)))+IF('calcolo base'!P2002="SI",('Commissioni De Angeli'!K1310-'Commissioni De Angeli'!J1310),0)</f>
        <v>#N/A</v>
      </c>
      <c r="T1310" s="117" t="e">
        <f t="shared" si="249"/>
        <v>#N/A</v>
      </c>
      <c r="U1310" s="272" t="e">
        <f>IF(Q1310=0,'calcolo base'!L3909,(T1310+Q1310))</f>
        <v>#N/A</v>
      </c>
      <c r="V1310" s="119"/>
      <c r="Z1310" s="118">
        <f t="shared" si="240"/>
        <v>0</v>
      </c>
      <c r="AA1310" s="118">
        <f t="shared" si="241"/>
        <v>0</v>
      </c>
    </row>
    <row r="1311" spans="2:27">
      <c r="B1311" s="47"/>
      <c r="C1311" s="35"/>
      <c r="D1311" s="53"/>
      <c r="E1311" s="53"/>
      <c r="F1311" s="48"/>
      <c r="G1311" s="243" t="e">
        <f>INDEX('calcolo base'!$B:$B, MATCH($A1311, 'calcolo base'!$A:$A, 0))</f>
        <v>#N/A</v>
      </c>
      <c r="H1311" s="54" t="e">
        <f t="shared" si="242"/>
        <v>#N/A</v>
      </c>
      <c r="I1311" s="259" t="e">
        <f>IF(  OR(      INDEX('calcolo base'!$D:$D, MATCH($A1311, 'calcolo base'!$A:$A, 0)) = 0,
      INDEX('calcolo base'!$D:$D, MATCH($A1311, 'calcolo base'!$A:$A, 0)) = ""   ),
   INDEX('calcolo base'!$K:$K, MATCH($A1311, 'calcolo base'!$A:$A, 0)),
   INDEX('calcolo base'!$J:$J, MATCH($A1311, 'calcolo base'!$A:$A, 0))
) / 1000</f>
        <v>#N/A</v>
      </c>
      <c r="J1311" s="50" t="e">
        <f t="shared" si="243"/>
        <v>#N/A</v>
      </c>
      <c r="K1311" s="50"/>
      <c r="L1311" s="267" t="e">
        <f>INDEX('calcolo base'!$H:$H, MATCH($A1311, 'calcolo base'!$A:$A, 0))</f>
        <v>#N/A</v>
      </c>
      <c r="M1311" s="50" t="e">
        <f t="shared" si="244"/>
        <v>#N/A</v>
      </c>
      <c r="N1311" s="50" t="e">
        <f t="shared" si="245"/>
        <v>#N/A</v>
      </c>
      <c r="O1311" s="50" t="e">
        <f t="shared" si="239"/>
        <v>#N/A</v>
      </c>
      <c r="P1311" s="50" t="e">
        <f t="shared" si="246"/>
        <v>#N/A</v>
      </c>
      <c r="Q1311" s="51" t="e">
        <f t="shared" si="247"/>
        <v>#N/A</v>
      </c>
      <c r="R1311" s="205" t="e">
        <f t="shared" si="248"/>
        <v>#N/A</v>
      </c>
      <c r="S1311" s="279" t="e">
        <f>IF(R1311="si",0,IF(E1311="si",0,IF(J1311&gt;K1311,0,+K1311-J1311)))+IF('calcolo base'!P2003="SI",('Commissioni De Angeli'!K1311-'Commissioni De Angeli'!J1311),0)</f>
        <v>#N/A</v>
      </c>
      <c r="T1311" s="117" t="e">
        <f t="shared" si="249"/>
        <v>#N/A</v>
      </c>
      <c r="U1311" s="272" t="e">
        <f>IF(Q1311=0,'calcolo base'!L3910,(T1311+Q1311))</f>
        <v>#N/A</v>
      </c>
      <c r="V1311" s="119"/>
      <c r="Z1311" s="118">
        <f t="shared" si="240"/>
        <v>0</v>
      </c>
      <c r="AA1311" s="118">
        <f t="shared" si="241"/>
        <v>0</v>
      </c>
    </row>
    <row r="1312" spans="2:27">
      <c r="B1312" s="47"/>
      <c r="C1312" s="35"/>
      <c r="D1312" s="53"/>
      <c r="E1312" s="53"/>
      <c r="F1312" s="48"/>
      <c r="G1312" s="243" t="e">
        <f>INDEX('calcolo base'!$B:$B, MATCH($A1312, 'calcolo base'!$A:$A, 0))</f>
        <v>#N/A</v>
      </c>
      <c r="H1312" s="54" t="e">
        <f t="shared" si="242"/>
        <v>#N/A</v>
      </c>
      <c r="I1312" s="259" t="e">
        <f>IF(  OR(      INDEX('calcolo base'!$D:$D, MATCH($A1312, 'calcolo base'!$A:$A, 0)) = 0,
      INDEX('calcolo base'!$D:$D, MATCH($A1312, 'calcolo base'!$A:$A, 0)) = ""   ),
   INDEX('calcolo base'!$K:$K, MATCH($A1312, 'calcolo base'!$A:$A, 0)),
   INDEX('calcolo base'!$J:$J, MATCH($A1312, 'calcolo base'!$A:$A, 0))
) / 1000</f>
        <v>#N/A</v>
      </c>
      <c r="J1312" s="50" t="e">
        <f t="shared" si="243"/>
        <v>#N/A</v>
      </c>
      <c r="K1312" s="50"/>
      <c r="L1312" s="267" t="e">
        <f>INDEX('calcolo base'!$H:$H, MATCH($A1312, 'calcolo base'!$A:$A, 0))</f>
        <v>#N/A</v>
      </c>
      <c r="M1312" s="50" t="e">
        <f t="shared" si="244"/>
        <v>#N/A</v>
      </c>
      <c r="N1312" s="50" t="e">
        <f t="shared" si="245"/>
        <v>#N/A</v>
      </c>
      <c r="O1312" s="50" t="e">
        <f t="shared" si="239"/>
        <v>#N/A</v>
      </c>
      <c r="P1312" s="50" t="e">
        <f t="shared" si="246"/>
        <v>#N/A</v>
      </c>
      <c r="Q1312" s="51" t="e">
        <f t="shared" si="247"/>
        <v>#N/A</v>
      </c>
      <c r="R1312" s="205" t="e">
        <f t="shared" si="248"/>
        <v>#N/A</v>
      </c>
      <c r="S1312" s="279" t="e">
        <f>IF(R1312="si",0,IF(E1312="si",0,IF(J1312&gt;K1312,0,+K1312-J1312)))+IF('calcolo base'!P2004="SI",('Commissioni De Angeli'!K1312-'Commissioni De Angeli'!J1312),0)</f>
        <v>#N/A</v>
      </c>
      <c r="T1312" s="117" t="e">
        <f t="shared" si="249"/>
        <v>#N/A</v>
      </c>
      <c r="U1312" s="272" t="e">
        <f>IF(Q1312=0,'calcolo base'!L3911,(T1312+Q1312))</f>
        <v>#N/A</v>
      </c>
      <c r="V1312" s="119"/>
      <c r="Z1312" s="118">
        <f t="shared" si="240"/>
        <v>0</v>
      </c>
      <c r="AA1312" s="118">
        <f t="shared" si="241"/>
        <v>0</v>
      </c>
    </row>
    <row r="1313" spans="2:27">
      <c r="B1313" s="47"/>
      <c r="C1313" s="35"/>
      <c r="D1313" s="53"/>
      <c r="E1313" s="53"/>
      <c r="F1313" s="48"/>
      <c r="G1313" s="243" t="e">
        <f>INDEX('calcolo base'!$B:$B, MATCH($A1313, 'calcolo base'!$A:$A, 0))</f>
        <v>#N/A</v>
      </c>
      <c r="H1313" s="54" t="e">
        <f t="shared" si="242"/>
        <v>#N/A</v>
      </c>
      <c r="I1313" s="259" t="e">
        <f>IF(  OR(      INDEX('calcolo base'!$D:$D, MATCH($A1313, 'calcolo base'!$A:$A, 0)) = 0,
      INDEX('calcolo base'!$D:$D, MATCH($A1313, 'calcolo base'!$A:$A, 0)) = ""   ),
   INDEX('calcolo base'!$K:$K, MATCH($A1313, 'calcolo base'!$A:$A, 0)),
   INDEX('calcolo base'!$J:$J, MATCH($A1313, 'calcolo base'!$A:$A, 0))
) / 1000</f>
        <v>#N/A</v>
      </c>
      <c r="J1313" s="50" t="e">
        <f t="shared" si="243"/>
        <v>#N/A</v>
      </c>
      <c r="K1313" s="50"/>
      <c r="L1313" s="267" t="e">
        <f>INDEX('calcolo base'!$H:$H, MATCH($A1313, 'calcolo base'!$A:$A, 0))</f>
        <v>#N/A</v>
      </c>
      <c r="M1313" s="50" t="e">
        <f t="shared" si="244"/>
        <v>#N/A</v>
      </c>
      <c r="N1313" s="50" t="e">
        <f t="shared" si="245"/>
        <v>#N/A</v>
      </c>
      <c r="O1313" s="50" t="e">
        <f t="shared" si="239"/>
        <v>#N/A</v>
      </c>
      <c r="P1313" s="50" t="e">
        <f t="shared" si="246"/>
        <v>#N/A</v>
      </c>
      <c r="Q1313" s="51" t="e">
        <f t="shared" si="247"/>
        <v>#N/A</v>
      </c>
      <c r="R1313" s="205" t="e">
        <f t="shared" si="248"/>
        <v>#N/A</v>
      </c>
      <c r="S1313" s="279" t="e">
        <f>IF(R1313="si",0,IF(E1313="si",0,IF(J1313&gt;K1313,0,+K1313-J1313)))+IF('calcolo base'!P2005="SI",('Commissioni De Angeli'!K1313-'Commissioni De Angeli'!J1313),0)</f>
        <v>#N/A</v>
      </c>
      <c r="T1313" s="117" t="e">
        <f t="shared" si="249"/>
        <v>#N/A</v>
      </c>
      <c r="U1313" s="272" t="e">
        <f>IF(Q1313=0,'calcolo base'!L3912,(T1313+Q1313))</f>
        <v>#N/A</v>
      </c>
      <c r="V1313" s="119"/>
      <c r="Z1313" s="118">
        <f t="shared" si="240"/>
        <v>0</v>
      </c>
      <c r="AA1313" s="118">
        <f t="shared" si="241"/>
        <v>0</v>
      </c>
    </row>
    <row r="1314" spans="2:27">
      <c r="B1314" s="47"/>
      <c r="C1314" s="35"/>
      <c r="D1314" s="53"/>
      <c r="E1314" s="53"/>
      <c r="F1314" s="48"/>
      <c r="G1314" s="243" t="e">
        <f>INDEX('calcolo base'!$B:$B, MATCH($A1314, 'calcolo base'!$A:$A, 0))</f>
        <v>#N/A</v>
      </c>
      <c r="H1314" s="54" t="e">
        <f t="shared" si="242"/>
        <v>#N/A</v>
      </c>
      <c r="I1314" s="259" t="e">
        <f>IF(  OR(      INDEX('calcolo base'!$D:$D, MATCH($A1314, 'calcolo base'!$A:$A, 0)) = 0,
      INDEX('calcolo base'!$D:$D, MATCH($A1314, 'calcolo base'!$A:$A, 0)) = ""   ),
   INDEX('calcolo base'!$K:$K, MATCH($A1314, 'calcolo base'!$A:$A, 0)),
   INDEX('calcolo base'!$J:$J, MATCH($A1314, 'calcolo base'!$A:$A, 0))
) / 1000</f>
        <v>#N/A</v>
      </c>
      <c r="J1314" s="50" t="e">
        <f t="shared" si="243"/>
        <v>#N/A</v>
      </c>
      <c r="K1314" s="50"/>
      <c r="L1314" s="267" t="e">
        <f>INDEX('calcolo base'!$H:$H, MATCH($A1314, 'calcolo base'!$A:$A, 0))</f>
        <v>#N/A</v>
      </c>
      <c r="M1314" s="50" t="e">
        <f t="shared" si="244"/>
        <v>#N/A</v>
      </c>
      <c r="N1314" s="50" t="e">
        <f t="shared" si="245"/>
        <v>#N/A</v>
      </c>
      <c r="O1314" s="50" t="e">
        <f t="shared" si="239"/>
        <v>#N/A</v>
      </c>
      <c r="P1314" s="50" t="e">
        <f t="shared" si="246"/>
        <v>#N/A</v>
      </c>
      <c r="Q1314" s="51" t="e">
        <f t="shared" si="247"/>
        <v>#N/A</v>
      </c>
      <c r="R1314" s="205" t="e">
        <f t="shared" si="248"/>
        <v>#N/A</v>
      </c>
      <c r="S1314" s="279" t="e">
        <f>IF(R1314="si",0,IF(E1314="si",0,IF(J1314&gt;K1314,0,+K1314-J1314)))+IF('calcolo base'!P2006="SI",('Commissioni De Angeli'!K1314-'Commissioni De Angeli'!J1314),0)</f>
        <v>#N/A</v>
      </c>
      <c r="T1314" s="117" t="e">
        <f t="shared" si="249"/>
        <v>#N/A</v>
      </c>
      <c r="U1314" s="272" t="e">
        <f>IF(Q1314=0,'calcolo base'!L3913,(T1314+Q1314))</f>
        <v>#N/A</v>
      </c>
      <c r="V1314" s="119"/>
      <c r="Z1314" s="118">
        <f t="shared" si="240"/>
        <v>0</v>
      </c>
      <c r="AA1314" s="118">
        <f t="shared" si="241"/>
        <v>0</v>
      </c>
    </row>
    <row r="1315" spans="2:27">
      <c r="B1315" s="47"/>
      <c r="C1315" s="35"/>
      <c r="D1315" s="53"/>
      <c r="E1315" s="53"/>
      <c r="F1315" s="48"/>
      <c r="G1315" s="243" t="e">
        <f>INDEX('calcolo base'!$B:$B, MATCH($A1315, 'calcolo base'!$A:$A, 0))</f>
        <v>#N/A</v>
      </c>
      <c r="H1315" s="54" t="e">
        <f t="shared" si="242"/>
        <v>#N/A</v>
      </c>
      <c r="I1315" s="259" t="e">
        <f>IF(  OR(      INDEX('calcolo base'!$D:$D, MATCH($A1315, 'calcolo base'!$A:$A, 0)) = 0,
      INDEX('calcolo base'!$D:$D, MATCH($A1315, 'calcolo base'!$A:$A, 0)) = ""   ),
   INDEX('calcolo base'!$K:$K, MATCH($A1315, 'calcolo base'!$A:$A, 0)),
   INDEX('calcolo base'!$J:$J, MATCH($A1315, 'calcolo base'!$A:$A, 0))
) / 1000</f>
        <v>#N/A</v>
      </c>
      <c r="J1315" s="50" t="e">
        <f t="shared" si="243"/>
        <v>#N/A</v>
      </c>
      <c r="K1315" s="50"/>
      <c r="L1315" s="267" t="e">
        <f>INDEX('calcolo base'!$H:$H, MATCH($A1315, 'calcolo base'!$A:$A, 0))</f>
        <v>#N/A</v>
      </c>
      <c r="M1315" s="50" t="e">
        <f t="shared" si="244"/>
        <v>#N/A</v>
      </c>
      <c r="N1315" s="50" t="e">
        <f t="shared" si="245"/>
        <v>#N/A</v>
      </c>
      <c r="O1315" s="50" t="e">
        <f t="shared" si="239"/>
        <v>#N/A</v>
      </c>
      <c r="P1315" s="50" t="e">
        <f t="shared" si="246"/>
        <v>#N/A</v>
      </c>
      <c r="Q1315" s="51" t="e">
        <f t="shared" si="247"/>
        <v>#N/A</v>
      </c>
      <c r="R1315" s="205" t="e">
        <f t="shared" si="248"/>
        <v>#N/A</v>
      </c>
      <c r="S1315" s="279" t="e">
        <f>IF(R1315="si",0,IF(E1315="si",0,IF(J1315&gt;K1315,0,+K1315-J1315)))+IF('calcolo base'!P2007="SI",('Commissioni De Angeli'!K1315-'Commissioni De Angeli'!J1315),0)</f>
        <v>#N/A</v>
      </c>
      <c r="T1315" s="117" t="e">
        <f t="shared" si="249"/>
        <v>#N/A</v>
      </c>
      <c r="U1315" s="272" t="e">
        <f>IF(Q1315=0,'calcolo base'!L3914,(T1315+Q1315))</f>
        <v>#N/A</v>
      </c>
      <c r="V1315" s="119"/>
      <c r="Z1315" s="118">
        <f t="shared" si="240"/>
        <v>0</v>
      </c>
      <c r="AA1315" s="118">
        <f t="shared" si="241"/>
        <v>0</v>
      </c>
    </row>
    <row r="1316" spans="2:27">
      <c r="B1316" s="47"/>
      <c r="C1316" s="35"/>
      <c r="D1316" s="53"/>
      <c r="E1316" s="53"/>
      <c r="F1316" s="48"/>
      <c r="G1316" s="243" t="e">
        <f>INDEX('calcolo base'!$B:$B, MATCH($A1316, 'calcolo base'!$A:$A, 0))</f>
        <v>#N/A</v>
      </c>
      <c r="H1316" s="54" t="e">
        <f t="shared" si="242"/>
        <v>#N/A</v>
      </c>
      <c r="I1316" s="259" t="e">
        <f>IF(  OR(      INDEX('calcolo base'!$D:$D, MATCH($A1316, 'calcolo base'!$A:$A, 0)) = 0,
      INDEX('calcolo base'!$D:$D, MATCH($A1316, 'calcolo base'!$A:$A, 0)) = ""   ),
   INDEX('calcolo base'!$K:$K, MATCH($A1316, 'calcolo base'!$A:$A, 0)),
   INDEX('calcolo base'!$J:$J, MATCH($A1316, 'calcolo base'!$A:$A, 0))
) / 1000</f>
        <v>#N/A</v>
      </c>
      <c r="J1316" s="50" t="e">
        <f t="shared" si="243"/>
        <v>#N/A</v>
      </c>
      <c r="K1316" s="50"/>
      <c r="L1316" s="267" t="e">
        <f>INDEX('calcolo base'!$H:$H, MATCH($A1316, 'calcolo base'!$A:$A, 0))</f>
        <v>#N/A</v>
      </c>
      <c r="M1316" s="50" t="e">
        <f t="shared" si="244"/>
        <v>#N/A</v>
      </c>
      <c r="N1316" s="50" t="e">
        <f t="shared" si="245"/>
        <v>#N/A</v>
      </c>
      <c r="O1316" s="50" t="e">
        <f t="shared" si="239"/>
        <v>#N/A</v>
      </c>
      <c r="P1316" s="50" t="e">
        <f t="shared" si="246"/>
        <v>#N/A</v>
      </c>
      <c r="Q1316" s="51" t="e">
        <f t="shared" si="247"/>
        <v>#N/A</v>
      </c>
      <c r="R1316" s="205" t="e">
        <f t="shared" si="248"/>
        <v>#N/A</v>
      </c>
      <c r="S1316" s="279" t="e">
        <f>IF(R1316="si",0,IF(E1316="si",0,IF(J1316&gt;K1316,0,+K1316-J1316)))+IF('calcolo base'!P2008="SI",('Commissioni De Angeli'!K1316-'Commissioni De Angeli'!J1316),0)</f>
        <v>#N/A</v>
      </c>
      <c r="T1316" s="117" t="e">
        <f t="shared" si="249"/>
        <v>#N/A</v>
      </c>
      <c r="U1316" s="272" t="e">
        <f>IF(Q1316=0,'calcolo base'!L3915,(T1316+Q1316))</f>
        <v>#N/A</v>
      </c>
      <c r="V1316" s="119"/>
      <c r="Z1316" s="118">
        <f t="shared" si="240"/>
        <v>0</v>
      </c>
      <c r="AA1316" s="118">
        <f t="shared" si="241"/>
        <v>0</v>
      </c>
    </row>
    <row r="1317" spans="2:27">
      <c r="B1317" s="47"/>
      <c r="C1317" s="35"/>
      <c r="D1317" s="53"/>
      <c r="E1317" s="53"/>
      <c r="F1317" s="48"/>
      <c r="G1317" s="243" t="e">
        <f>INDEX('calcolo base'!$B:$B, MATCH($A1317, 'calcolo base'!$A:$A, 0))</f>
        <v>#N/A</v>
      </c>
      <c r="H1317" s="54" t="e">
        <f t="shared" si="242"/>
        <v>#N/A</v>
      </c>
      <c r="I1317" s="259" t="e">
        <f>IF(  OR(      INDEX('calcolo base'!$D:$D, MATCH($A1317, 'calcolo base'!$A:$A, 0)) = 0,
      INDEX('calcolo base'!$D:$D, MATCH($A1317, 'calcolo base'!$A:$A, 0)) = ""   ),
   INDEX('calcolo base'!$K:$K, MATCH($A1317, 'calcolo base'!$A:$A, 0)),
   INDEX('calcolo base'!$J:$J, MATCH($A1317, 'calcolo base'!$A:$A, 0))
) / 1000</f>
        <v>#N/A</v>
      </c>
      <c r="J1317" s="50" t="e">
        <f t="shared" si="243"/>
        <v>#N/A</v>
      </c>
      <c r="K1317" s="50"/>
      <c r="L1317" s="267" t="e">
        <f>INDEX('calcolo base'!$H:$H, MATCH($A1317, 'calcolo base'!$A:$A, 0))</f>
        <v>#N/A</v>
      </c>
      <c r="M1317" s="50" t="e">
        <f t="shared" si="244"/>
        <v>#N/A</v>
      </c>
      <c r="N1317" s="50" t="e">
        <f t="shared" si="245"/>
        <v>#N/A</v>
      </c>
      <c r="O1317" s="50" t="e">
        <f t="shared" si="239"/>
        <v>#N/A</v>
      </c>
      <c r="P1317" s="50" t="e">
        <f t="shared" si="246"/>
        <v>#N/A</v>
      </c>
      <c r="Q1317" s="51" t="e">
        <f t="shared" si="247"/>
        <v>#N/A</v>
      </c>
      <c r="R1317" s="205" t="e">
        <f t="shared" si="248"/>
        <v>#N/A</v>
      </c>
      <c r="S1317" s="279" t="e">
        <f>IF(R1317="si",0,IF(E1317="si",0,IF(J1317&gt;K1317,0,+K1317-J1317)))+IF('calcolo base'!P2009="SI",('Commissioni De Angeli'!K1317-'Commissioni De Angeli'!J1317),0)</f>
        <v>#N/A</v>
      </c>
      <c r="T1317" s="117" t="e">
        <f t="shared" si="249"/>
        <v>#N/A</v>
      </c>
      <c r="U1317" s="272" t="e">
        <f>IF(Q1317=0,'calcolo base'!L3916,(T1317+Q1317))</f>
        <v>#N/A</v>
      </c>
      <c r="V1317" s="119"/>
      <c r="Z1317" s="118">
        <f t="shared" si="240"/>
        <v>0</v>
      </c>
      <c r="AA1317" s="118">
        <f t="shared" si="241"/>
        <v>0</v>
      </c>
    </row>
    <row r="1318" spans="2:27">
      <c r="B1318" s="47"/>
      <c r="C1318" s="35"/>
      <c r="D1318" s="53"/>
      <c r="E1318" s="53"/>
      <c r="F1318" s="48"/>
      <c r="G1318" s="243" t="e">
        <f>INDEX('calcolo base'!$B:$B, MATCH($A1318, 'calcolo base'!$A:$A, 0))</f>
        <v>#N/A</v>
      </c>
      <c r="H1318" s="54" t="e">
        <f t="shared" si="242"/>
        <v>#N/A</v>
      </c>
      <c r="I1318" s="259" t="e">
        <f>IF(  OR(      INDEX('calcolo base'!$D:$D, MATCH($A1318, 'calcolo base'!$A:$A, 0)) = 0,
      INDEX('calcolo base'!$D:$D, MATCH($A1318, 'calcolo base'!$A:$A, 0)) = ""   ),
   INDEX('calcolo base'!$K:$K, MATCH($A1318, 'calcolo base'!$A:$A, 0)),
   INDEX('calcolo base'!$J:$J, MATCH($A1318, 'calcolo base'!$A:$A, 0))
) / 1000</f>
        <v>#N/A</v>
      </c>
      <c r="J1318" s="50" t="e">
        <f t="shared" si="243"/>
        <v>#N/A</v>
      </c>
      <c r="K1318" s="50"/>
      <c r="L1318" s="267" t="e">
        <f>INDEX('calcolo base'!$H:$H, MATCH($A1318, 'calcolo base'!$A:$A, 0))</f>
        <v>#N/A</v>
      </c>
      <c r="M1318" s="50" t="e">
        <f t="shared" si="244"/>
        <v>#N/A</v>
      </c>
      <c r="N1318" s="50" t="e">
        <f t="shared" si="245"/>
        <v>#N/A</v>
      </c>
      <c r="O1318" s="50" t="e">
        <f t="shared" si="239"/>
        <v>#N/A</v>
      </c>
      <c r="P1318" s="50" t="e">
        <f t="shared" si="246"/>
        <v>#N/A</v>
      </c>
      <c r="Q1318" s="51" t="e">
        <f t="shared" si="247"/>
        <v>#N/A</v>
      </c>
      <c r="R1318" s="205" t="e">
        <f t="shared" si="248"/>
        <v>#N/A</v>
      </c>
      <c r="S1318" s="279" t="e">
        <f>IF(R1318="si",0,IF(E1318="si",0,IF(J1318&gt;K1318,0,+K1318-J1318)))+IF('calcolo base'!P2010="SI",('Commissioni De Angeli'!K1318-'Commissioni De Angeli'!J1318),0)</f>
        <v>#N/A</v>
      </c>
      <c r="T1318" s="117" t="e">
        <f t="shared" si="249"/>
        <v>#N/A</v>
      </c>
      <c r="U1318" s="272" t="e">
        <f>IF(Q1318=0,'calcolo base'!L3917,(T1318+Q1318))</f>
        <v>#N/A</v>
      </c>
      <c r="V1318" s="119"/>
      <c r="Z1318" s="118">
        <f t="shared" si="240"/>
        <v>0</v>
      </c>
      <c r="AA1318" s="118">
        <f t="shared" si="241"/>
        <v>0</v>
      </c>
    </row>
    <row r="1319" spans="2:27">
      <c r="B1319" s="47"/>
      <c r="C1319" s="35"/>
      <c r="D1319" s="53"/>
      <c r="E1319" s="53"/>
      <c r="F1319" s="48"/>
      <c r="G1319" s="243" t="e">
        <f>INDEX('calcolo base'!$B:$B, MATCH($A1319, 'calcolo base'!$A:$A, 0))</f>
        <v>#N/A</v>
      </c>
      <c r="H1319" s="54" t="e">
        <f t="shared" si="242"/>
        <v>#N/A</v>
      </c>
      <c r="I1319" s="259" t="e">
        <f>IF(  OR(      INDEX('calcolo base'!$D:$D, MATCH($A1319, 'calcolo base'!$A:$A, 0)) = 0,
      INDEX('calcolo base'!$D:$D, MATCH($A1319, 'calcolo base'!$A:$A, 0)) = ""   ),
   INDEX('calcolo base'!$K:$K, MATCH($A1319, 'calcolo base'!$A:$A, 0)),
   INDEX('calcolo base'!$J:$J, MATCH($A1319, 'calcolo base'!$A:$A, 0))
) / 1000</f>
        <v>#N/A</v>
      </c>
      <c r="J1319" s="50" t="e">
        <f t="shared" si="243"/>
        <v>#N/A</v>
      </c>
      <c r="K1319" s="50"/>
      <c r="L1319" s="267" t="e">
        <f>INDEX('calcolo base'!$H:$H, MATCH($A1319, 'calcolo base'!$A:$A, 0))</f>
        <v>#N/A</v>
      </c>
      <c r="M1319" s="50" t="e">
        <f t="shared" si="244"/>
        <v>#N/A</v>
      </c>
      <c r="N1319" s="50" t="e">
        <f t="shared" si="245"/>
        <v>#N/A</v>
      </c>
      <c r="O1319" s="50" t="e">
        <f t="shared" si="239"/>
        <v>#N/A</v>
      </c>
      <c r="P1319" s="50" t="e">
        <f t="shared" si="246"/>
        <v>#N/A</v>
      </c>
      <c r="Q1319" s="51" t="e">
        <f t="shared" si="247"/>
        <v>#N/A</v>
      </c>
      <c r="R1319" s="205" t="e">
        <f t="shared" si="248"/>
        <v>#N/A</v>
      </c>
      <c r="S1319" s="279" t="e">
        <f>IF(R1319="si",0,IF(E1319="si",0,IF(J1319&gt;K1319,0,+K1319-J1319)))+IF('calcolo base'!P2011="SI",('Commissioni De Angeli'!K1319-'Commissioni De Angeli'!J1319),0)</f>
        <v>#N/A</v>
      </c>
      <c r="T1319" s="117" t="e">
        <f t="shared" si="249"/>
        <v>#N/A</v>
      </c>
      <c r="U1319" s="272" t="e">
        <f>IF(Q1319=0,'calcolo base'!L3918,(T1319+Q1319))</f>
        <v>#N/A</v>
      </c>
      <c r="V1319" s="119"/>
      <c r="Z1319" s="118">
        <f t="shared" si="240"/>
        <v>0</v>
      </c>
      <c r="AA1319" s="118">
        <f t="shared" si="241"/>
        <v>0</v>
      </c>
    </row>
    <row r="1320" spans="2:27">
      <c r="B1320" s="47"/>
      <c r="C1320" s="35"/>
      <c r="D1320" s="53"/>
      <c r="E1320" s="53"/>
      <c r="F1320" s="48"/>
      <c r="G1320" s="243" t="e">
        <f>INDEX('calcolo base'!$B:$B, MATCH($A1320, 'calcolo base'!$A:$A, 0))</f>
        <v>#N/A</v>
      </c>
      <c r="H1320" s="54" t="e">
        <f t="shared" si="242"/>
        <v>#N/A</v>
      </c>
      <c r="I1320" s="259" t="e">
        <f>IF(  OR(      INDEX('calcolo base'!$D:$D, MATCH($A1320, 'calcolo base'!$A:$A, 0)) = 0,
      INDEX('calcolo base'!$D:$D, MATCH($A1320, 'calcolo base'!$A:$A, 0)) = ""   ),
   INDEX('calcolo base'!$K:$K, MATCH($A1320, 'calcolo base'!$A:$A, 0)),
   INDEX('calcolo base'!$J:$J, MATCH($A1320, 'calcolo base'!$A:$A, 0))
) / 1000</f>
        <v>#N/A</v>
      </c>
      <c r="J1320" s="50" t="e">
        <f t="shared" si="243"/>
        <v>#N/A</v>
      </c>
      <c r="K1320" s="50"/>
      <c r="L1320" s="267" t="e">
        <f>INDEX('calcolo base'!$H:$H, MATCH($A1320, 'calcolo base'!$A:$A, 0))</f>
        <v>#N/A</v>
      </c>
      <c r="M1320" s="50" t="e">
        <f t="shared" si="244"/>
        <v>#N/A</v>
      </c>
      <c r="N1320" s="50" t="e">
        <f t="shared" si="245"/>
        <v>#N/A</v>
      </c>
      <c r="O1320" s="50" t="e">
        <f t="shared" si="239"/>
        <v>#N/A</v>
      </c>
      <c r="P1320" s="50" t="e">
        <f t="shared" si="246"/>
        <v>#N/A</v>
      </c>
      <c r="Q1320" s="51" t="e">
        <f t="shared" si="247"/>
        <v>#N/A</v>
      </c>
      <c r="R1320" s="205" t="e">
        <f t="shared" si="248"/>
        <v>#N/A</v>
      </c>
      <c r="S1320" s="279" t="e">
        <f>IF(R1320="si",0,IF(E1320="si",0,IF(J1320&gt;K1320,0,+K1320-J1320)))+IF('calcolo base'!P2012="SI",('Commissioni De Angeli'!K1320-'Commissioni De Angeli'!J1320),0)</f>
        <v>#N/A</v>
      </c>
      <c r="T1320" s="117" t="e">
        <f t="shared" si="249"/>
        <v>#N/A</v>
      </c>
      <c r="U1320" s="272" t="e">
        <f>IF(Q1320=0,'calcolo base'!L3919,(T1320+Q1320))</f>
        <v>#N/A</v>
      </c>
      <c r="V1320" s="119"/>
      <c r="Z1320" s="118">
        <f t="shared" si="240"/>
        <v>0</v>
      </c>
      <c r="AA1320" s="118">
        <f t="shared" si="241"/>
        <v>0</v>
      </c>
    </row>
    <row r="1321" spans="2:27">
      <c r="B1321" s="47"/>
      <c r="C1321" s="35"/>
      <c r="D1321" s="53"/>
      <c r="E1321" s="53"/>
      <c r="F1321" s="48"/>
      <c r="G1321" s="243" t="e">
        <f>INDEX('calcolo base'!$B:$B, MATCH($A1321, 'calcolo base'!$A:$A, 0))</f>
        <v>#N/A</v>
      </c>
      <c r="H1321" s="54" t="e">
        <f t="shared" si="242"/>
        <v>#N/A</v>
      </c>
      <c r="I1321" s="259" t="e">
        <f>IF(  OR(      INDEX('calcolo base'!$D:$D, MATCH($A1321, 'calcolo base'!$A:$A, 0)) = 0,
      INDEX('calcolo base'!$D:$D, MATCH($A1321, 'calcolo base'!$A:$A, 0)) = ""   ),
   INDEX('calcolo base'!$K:$K, MATCH($A1321, 'calcolo base'!$A:$A, 0)),
   INDEX('calcolo base'!$J:$J, MATCH($A1321, 'calcolo base'!$A:$A, 0))
) / 1000</f>
        <v>#N/A</v>
      </c>
      <c r="J1321" s="50" t="e">
        <f t="shared" si="243"/>
        <v>#N/A</v>
      </c>
      <c r="K1321" s="50"/>
      <c r="L1321" s="267" t="e">
        <f>INDEX('calcolo base'!$H:$H, MATCH($A1321, 'calcolo base'!$A:$A, 0))</f>
        <v>#N/A</v>
      </c>
      <c r="M1321" s="50" t="e">
        <f t="shared" si="244"/>
        <v>#N/A</v>
      </c>
      <c r="N1321" s="50" t="e">
        <f t="shared" si="245"/>
        <v>#N/A</v>
      </c>
      <c r="O1321" s="50" t="e">
        <f t="shared" si="239"/>
        <v>#N/A</v>
      </c>
      <c r="P1321" s="50" t="e">
        <f t="shared" si="246"/>
        <v>#N/A</v>
      </c>
      <c r="Q1321" s="51" t="e">
        <f t="shared" si="247"/>
        <v>#N/A</v>
      </c>
      <c r="R1321" s="205" t="e">
        <f t="shared" si="248"/>
        <v>#N/A</v>
      </c>
      <c r="S1321" s="279" t="e">
        <f>IF(R1321="si",0,IF(E1321="si",0,IF(J1321&gt;K1321,0,+K1321-J1321)))+IF('calcolo base'!P2013="SI",('Commissioni De Angeli'!K1321-'Commissioni De Angeli'!J1321),0)</f>
        <v>#N/A</v>
      </c>
      <c r="T1321" s="117" t="e">
        <f t="shared" si="249"/>
        <v>#N/A</v>
      </c>
      <c r="U1321" s="272" t="e">
        <f>IF(Q1321=0,'calcolo base'!L3920,(T1321+Q1321))</f>
        <v>#N/A</v>
      </c>
      <c r="V1321" s="119"/>
      <c r="Z1321" s="118">
        <f t="shared" si="240"/>
        <v>0</v>
      </c>
      <c r="AA1321" s="118">
        <f t="shared" si="241"/>
        <v>0</v>
      </c>
    </row>
    <row r="1322" spans="2:27">
      <c r="B1322" s="47"/>
      <c r="C1322" s="35"/>
      <c r="D1322" s="53"/>
      <c r="E1322" s="53"/>
      <c r="F1322" s="48"/>
      <c r="G1322" s="243" t="e">
        <f>INDEX('calcolo base'!$B:$B, MATCH($A1322, 'calcolo base'!$A:$A, 0))</f>
        <v>#N/A</v>
      </c>
      <c r="H1322" s="54" t="e">
        <f t="shared" si="242"/>
        <v>#N/A</v>
      </c>
      <c r="I1322" s="259" t="e">
        <f>IF(  OR(      INDEX('calcolo base'!$D:$D, MATCH($A1322, 'calcolo base'!$A:$A, 0)) = 0,
      INDEX('calcolo base'!$D:$D, MATCH($A1322, 'calcolo base'!$A:$A, 0)) = ""   ),
   INDEX('calcolo base'!$K:$K, MATCH($A1322, 'calcolo base'!$A:$A, 0)),
   INDEX('calcolo base'!$J:$J, MATCH($A1322, 'calcolo base'!$A:$A, 0))
) / 1000</f>
        <v>#N/A</v>
      </c>
      <c r="J1322" s="50" t="e">
        <f t="shared" si="243"/>
        <v>#N/A</v>
      </c>
      <c r="K1322" s="50"/>
      <c r="L1322" s="267" t="e">
        <f>INDEX('calcolo base'!$H:$H, MATCH($A1322, 'calcolo base'!$A:$A, 0))</f>
        <v>#N/A</v>
      </c>
      <c r="M1322" s="50" t="e">
        <f t="shared" si="244"/>
        <v>#N/A</v>
      </c>
      <c r="N1322" s="50" t="e">
        <f t="shared" si="245"/>
        <v>#N/A</v>
      </c>
      <c r="O1322" s="50" t="e">
        <f t="shared" si="239"/>
        <v>#N/A</v>
      </c>
      <c r="P1322" s="50" t="e">
        <f t="shared" si="246"/>
        <v>#N/A</v>
      </c>
      <c r="Q1322" s="51" t="e">
        <f t="shared" si="247"/>
        <v>#N/A</v>
      </c>
      <c r="R1322" s="205" t="e">
        <f t="shared" si="248"/>
        <v>#N/A</v>
      </c>
      <c r="S1322" s="279" t="e">
        <f>IF(R1322="si",0,IF(E1322="si",0,IF(J1322&gt;K1322,0,+K1322-J1322)))+IF('calcolo base'!P2014="SI",('Commissioni De Angeli'!K1322-'Commissioni De Angeli'!J1322),0)</f>
        <v>#N/A</v>
      </c>
      <c r="T1322" s="117" t="e">
        <f t="shared" si="249"/>
        <v>#N/A</v>
      </c>
      <c r="U1322" s="272" t="e">
        <f>IF(Q1322=0,'calcolo base'!L3921,(T1322+Q1322))</f>
        <v>#N/A</v>
      </c>
      <c r="V1322" s="119"/>
      <c r="Z1322" s="118">
        <f t="shared" si="240"/>
        <v>0</v>
      </c>
      <c r="AA1322" s="118">
        <f t="shared" si="241"/>
        <v>0</v>
      </c>
    </row>
    <row r="1323" spans="2:27">
      <c r="B1323" s="47"/>
      <c r="C1323" s="35"/>
      <c r="D1323" s="53"/>
      <c r="E1323" s="53"/>
      <c r="F1323" s="48"/>
      <c r="G1323" s="243" t="e">
        <f>INDEX('calcolo base'!$B:$B, MATCH($A1323, 'calcolo base'!$A:$A, 0))</f>
        <v>#N/A</v>
      </c>
      <c r="H1323" s="54" t="e">
        <f t="shared" si="242"/>
        <v>#N/A</v>
      </c>
      <c r="I1323" s="259" t="e">
        <f>IF(  OR(      INDEX('calcolo base'!$D:$D, MATCH($A1323, 'calcolo base'!$A:$A, 0)) = 0,
      INDEX('calcolo base'!$D:$D, MATCH($A1323, 'calcolo base'!$A:$A, 0)) = ""   ),
   INDEX('calcolo base'!$K:$K, MATCH($A1323, 'calcolo base'!$A:$A, 0)),
   INDEX('calcolo base'!$J:$J, MATCH($A1323, 'calcolo base'!$A:$A, 0))
) / 1000</f>
        <v>#N/A</v>
      </c>
      <c r="J1323" s="50" t="e">
        <f t="shared" si="243"/>
        <v>#N/A</v>
      </c>
      <c r="K1323" s="50"/>
      <c r="L1323" s="267" t="e">
        <f>INDEX('calcolo base'!$H:$H, MATCH($A1323, 'calcolo base'!$A:$A, 0))</f>
        <v>#N/A</v>
      </c>
      <c r="M1323" s="50" t="e">
        <f t="shared" si="244"/>
        <v>#N/A</v>
      </c>
      <c r="N1323" s="50" t="e">
        <f t="shared" si="245"/>
        <v>#N/A</v>
      </c>
      <c r="O1323" s="50" t="e">
        <f t="shared" si="239"/>
        <v>#N/A</v>
      </c>
      <c r="P1323" s="50" t="e">
        <f t="shared" si="246"/>
        <v>#N/A</v>
      </c>
      <c r="Q1323" s="51" t="e">
        <f t="shared" si="247"/>
        <v>#N/A</v>
      </c>
      <c r="R1323" s="205" t="e">
        <f t="shared" si="248"/>
        <v>#N/A</v>
      </c>
      <c r="S1323" s="279" t="e">
        <f>IF(R1323="si",0,IF(E1323="si",0,IF(J1323&gt;K1323,0,+K1323-J1323)))+IF('calcolo base'!P2015="SI",('Commissioni De Angeli'!K1323-'Commissioni De Angeli'!J1323),0)</f>
        <v>#N/A</v>
      </c>
      <c r="T1323" s="117" t="e">
        <f t="shared" si="249"/>
        <v>#N/A</v>
      </c>
      <c r="U1323" s="272" t="e">
        <f>IF(Q1323=0,'calcolo base'!L3922,(T1323+Q1323))</f>
        <v>#N/A</v>
      </c>
      <c r="V1323" s="119"/>
      <c r="Z1323" s="118">
        <f t="shared" si="240"/>
        <v>0</v>
      </c>
      <c r="AA1323" s="118">
        <f t="shared" si="241"/>
        <v>0</v>
      </c>
    </row>
    <row r="1324" spans="2:27">
      <c r="B1324" s="47"/>
      <c r="C1324" s="35"/>
      <c r="D1324" s="53"/>
      <c r="E1324" s="53"/>
      <c r="F1324" s="48"/>
      <c r="G1324" s="243" t="e">
        <f>INDEX('calcolo base'!$B:$B, MATCH($A1324, 'calcolo base'!$A:$A, 0))</f>
        <v>#N/A</v>
      </c>
      <c r="H1324" s="54" t="e">
        <f t="shared" si="242"/>
        <v>#N/A</v>
      </c>
      <c r="I1324" s="259" t="e">
        <f>IF(  OR(      INDEX('calcolo base'!$D:$D, MATCH($A1324, 'calcolo base'!$A:$A, 0)) = 0,
      INDEX('calcolo base'!$D:$D, MATCH($A1324, 'calcolo base'!$A:$A, 0)) = ""   ),
   INDEX('calcolo base'!$K:$K, MATCH($A1324, 'calcolo base'!$A:$A, 0)),
   INDEX('calcolo base'!$J:$J, MATCH($A1324, 'calcolo base'!$A:$A, 0))
) / 1000</f>
        <v>#N/A</v>
      </c>
      <c r="J1324" s="50" t="e">
        <f t="shared" si="243"/>
        <v>#N/A</v>
      </c>
      <c r="K1324" s="50"/>
      <c r="L1324" s="267" t="e">
        <f>INDEX('calcolo base'!$H:$H, MATCH($A1324, 'calcolo base'!$A:$A, 0))</f>
        <v>#N/A</v>
      </c>
      <c r="M1324" s="50" t="e">
        <f t="shared" si="244"/>
        <v>#N/A</v>
      </c>
      <c r="N1324" s="50" t="e">
        <f t="shared" si="245"/>
        <v>#N/A</v>
      </c>
      <c r="O1324" s="50" t="e">
        <f t="shared" si="239"/>
        <v>#N/A</v>
      </c>
      <c r="P1324" s="50" t="e">
        <f t="shared" si="246"/>
        <v>#N/A</v>
      </c>
      <c r="Q1324" s="51" t="e">
        <f t="shared" si="247"/>
        <v>#N/A</v>
      </c>
      <c r="R1324" s="205" t="e">
        <f t="shared" si="248"/>
        <v>#N/A</v>
      </c>
      <c r="S1324" s="279" t="e">
        <f>IF(R1324="si",0,IF(E1324="si",0,IF(J1324&gt;K1324,0,+K1324-J1324)))+IF('calcolo base'!P2016="SI",('Commissioni De Angeli'!K1324-'Commissioni De Angeli'!J1324),0)</f>
        <v>#N/A</v>
      </c>
      <c r="T1324" s="117" t="e">
        <f t="shared" si="249"/>
        <v>#N/A</v>
      </c>
      <c r="U1324" s="272" t="e">
        <f>IF(Q1324=0,'calcolo base'!L3923,(T1324+Q1324))</f>
        <v>#N/A</v>
      </c>
      <c r="V1324" s="119"/>
      <c r="Z1324" s="118">
        <f t="shared" si="240"/>
        <v>0</v>
      </c>
      <c r="AA1324" s="118">
        <f t="shared" si="241"/>
        <v>0</v>
      </c>
    </row>
    <row r="1325" spans="2:27">
      <c r="B1325" s="47"/>
      <c r="C1325" s="35"/>
      <c r="D1325" s="53"/>
      <c r="E1325" s="53"/>
      <c r="F1325" s="48"/>
      <c r="G1325" s="243" t="e">
        <f>INDEX('calcolo base'!$B:$B, MATCH($A1325, 'calcolo base'!$A:$A, 0))</f>
        <v>#N/A</v>
      </c>
      <c r="H1325" s="54" t="e">
        <f t="shared" si="242"/>
        <v>#N/A</v>
      </c>
      <c r="I1325" s="259" t="e">
        <f>IF(  OR(      INDEX('calcolo base'!$D:$D, MATCH($A1325, 'calcolo base'!$A:$A, 0)) = 0,
      INDEX('calcolo base'!$D:$D, MATCH($A1325, 'calcolo base'!$A:$A, 0)) = ""   ),
   INDEX('calcolo base'!$K:$K, MATCH($A1325, 'calcolo base'!$A:$A, 0)),
   INDEX('calcolo base'!$J:$J, MATCH($A1325, 'calcolo base'!$A:$A, 0))
) / 1000</f>
        <v>#N/A</v>
      </c>
      <c r="J1325" s="50" t="e">
        <f t="shared" si="243"/>
        <v>#N/A</v>
      </c>
      <c r="K1325" s="50"/>
      <c r="L1325" s="267" t="e">
        <f>INDEX('calcolo base'!$H:$H, MATCH($A1325, 'calcolo base'!$A:$A, 0))</f>
        <v>#N/A</v>
      </c>
      <c r="M1325" s="50" t="e">
        <f t="shared" si="244"/>
        <v>#N/A</v>
      </c>
      <c r="N1325" s="50" t="e">
        <f t="shared" si="245"/>
        <v>#N/A</v>
      </c>
      <c r="O1325" s="50" t="e">
        <f t="shared" ref="O1325:O1388" si="250">IF($I1325=0,0,(IF($G1325="alluminio",($J1325)*3%,0)+IF($G1325="alluminio smaltato",($K1325)*3%,0)))</f>
        <v>#N/A</v>
      </c>
      <c r="P1325" s="50" t="e">
        <f t="shared" si="246"/>
        <v>#N/A</v>
      </c>
      <c r="Q1325" s="51" t="e">
        <f t="shared" si="247"/>
        <v>#N/A</v>
      </c>
      <c r="R1325" s="205" t="e">
        <f t="shared" si="248"/>
        <v>#N/A</v>
      </c>
      <c r="S1325" s="279" t="e">
        <f>IF(R1325="si",0,IF(E1325="si",0,IF(J1325&gt;K1325,0,+K1325-J1325)))+IF('calcolo base'!P2017="SI",('Commissioni De Angeli'!K1325-'Commissioni De Angeli'!J1325),0)</f>
        <v>#N/A</v>
      </c>
      <c r="T1325" s="117" t="e">
        <f t="shared" si="249"/>
        <v>#N/A</v>
      </c>
      <c r="U1325" s="272" t="e">
        <f>IF(Q1325=0,'calcolo base'!L3924,(T1325+Q1325))</f>
        <v>#N/A</v>
      </c>
      <c r="V1325" s="119"/>
      <c r="Z1325" s="118">
        <f t="shared" si="240"/>
        <v>0</v>
      </c>
      <c r="AA1325" s="118">
        <f t="shared" si="241"/>
        <v>0</v>
      </c>
    </row>
    <row r="1326" spans="2:27">
      <c r="B1326" s="47"/>
      <c r="C1326" s="35"/>
      <c r="D1326" s="53"/>
      <c r="E1326" s="53"/>
      <c r="F1326" s="48"/>
      <c r="G1326" s="243" t="e">
        <f>INDEX('calcolo base'!$B:$B, MATCH($A1326, 'calcolo base'!$A:$A, 0))</f>
        <v>#N/A</v>
      </c>
      <c r="H1326" s="54" t="e">
        <f t="shared" si="242"/>
        <v>#N/A</v>
      </c>
      <c r="I1326" s="259" t="e">
        <f>IF(  OR(      INDEX('calcolo base'!$D:$D, MATCH($A1326, 'calcolo base'!$A:$A, 0)) = 0,
      INDEX('calcolo base'!$D:$D, MATCH($A1326, 'calcolo base'!$A:$A, 0)) = ""   ),
   INDEX('calcolo base'!$K:$K, MATCH($A1326, 'calcolo base'!$A:$A, 0)),
   INDEX('calcolo base'!$J:$J, MATCH($A1326, 'calcolo base'!$A:$A, 0))
) / 1000</f>
        <v>#N/A</v>
      </c>
      <c r="J1326" s="50" t="e">
        <f t="shared" si="243"/>
        <v>#N/A</v>
      </c>
      <c r="K1326" s="50"/>
      <c r="L1326" s="267" t="e">
        <f>INDEX('calcolo base'!$H:$H, MATCH($A1326, 'calcolo base'!$A:$A, 0))</f>
        <v>#N/A</v>
      </c>
      <c r="M1326" s="50" t="e">
        <f t="shared" si="244"/>
        <v>#N/A</v>
      </c>
      <c r="N1326" s="50" t="e">
        <f t="shared" si="245"/>
        <v>#N/A</v>
      </c>
      <c r="O1326" s="50" t="e">
        <f t="shared" si="250"/>
        <v>#N/A</v>
      </c>
      <c r="P1326" s="50" t="e">
        <f t="shared" si="246"/>
        <v>#N/A</v>
      </c>
      <c r="Q1326" s="51" t="e">
        <f t="shared" si="247"/>
        <v>#N/A</v>
      </c>
      <c r="R1326" s="205" t="e">
        <f t="shared" si="248"/>
        <v>#N/A</v>
      </c>
      <c r="S1326" s="279" t="e">
        <f>IF(R1326="si",0,IF(E1326="si",0,IF(J1326&gt;K1326,0,+K1326-J1326)))+IF('calcolo base'!P2018="SI",('Commissioni De Angeli'!K1326-'Commissioni De Angeli'!J1326),0)</f>
        <v>#N/A</v>
      </c>
      <c r="T1326" s="117" t="e">
        <f t="shared" si="249"/>
        <v>#N/A</v>
      </c>
      <c r="U1326" s="272" t="e">
        <f>IF(Q1326=0,'calcolo base'!L3925,(T1326+Q1326))</f>
        <v>#N/A</v>
      </c>
      <c r="V1326" s="119"/>
      <c r="Z1326" s="118">
        <f t="shared" si="240"/>
        <v>0</v>
      </c>
      <c r="AA1326" s="118">
        <f t="shared" si="241"/>
        <v>0</v>
      </c>
    </row>
    <row r="1327" spans="2:27">
      <c r="B1327" s="47"/>
      <c r="C1327" s="35"/>
      <c r="D1327" s="53"/>
      <c r="E1327" s="53"/>
      <c r="F1327" s="48"/>
      <c r="G1327" s="243" t="e">
        <f>INDEX('calcolo base'!$B:$B, MATCH($A1327, 'calcolo base'!$A:$A, 0))</f>
        <v>#N/A</v>
      </c>
      <c r="H1327" s="54" t="e">
        <f t="shared" si="242"/>
        <v>#N/A</v>
      </c>
      <c r="I1327" s="259" t="e">
        <f>IF(  OR(      INDEX('calcolo base'!$D:$D, MATCH($A1327, 'calcolo base'!$A:$A, 0)) = 0,
      INDEX('calcolo base'!$D:$D, MATCH($A1327, 'calcolo base'!$A:$A, 0)) = ""   ),
   INDEX('calcolo base'!$K:$K, MATCH($A1327, 'calcolo base'!$A:$A, 0)),
   INDEX('calcolo base'!$J:$J, MATCH($A1327, 'calcolo base'!$A:$A, 0))
) / 1000</f>
        <v>#N/A</v>
      </c>
      <c r="J1327" s="50" t="e">
        <f t="shared" si="243"/>
        <v>#N/A</v>
      </c>
      <c r="K1327" s="50"/>
      <c r="L1327" s="267" t="e">
        <f>INDEX('calcolo base'!$H:$H, MATCH($A1327, 'calcolo base'!$A:$A, 0))</f>
        <v>#N/A</v>
      </c>
      <c r="M1327" s="50" t="e">
        <f t="shared" si="244"/>
        <v>#N/A</v>
      </c>
      <c r="N1327" s="50" t="e">
        <f t="shared" si="245"/>
        <v>#N/A</v>
      </c>
      <c r="O1327" s="50" t="e">
        <f t="shared" si="250"/>
        <v>#N/A</v>
      </c>
      <c r="P1327" s="50" t="e">
        <f t="shared" si="246"/>
        <v>#N/A</v>
      </c>
      <c r="Q1327" s="51" t="e">
        <f t="shared" si="247"/>
        <v>#N/A</v>
      </c>
      <c r="R1327" s="205" t="e">
        <f t="shared" si="248"/>
        <v>#N/A</v>
      </c>
      <c r="S1327" s="279" t="e">
        <f>IF(R1327="si",0,IF(E1327="si",0,IF(J1327&gt;K1327,0,+K1327-J1327)))+IF('calcolo base'!P2019="SI",('Commissioni De Angeli'!K1327-'Commissioni De Angeli'!J1327),0)</f>
        <v>#N/A</v>
      </c>
      <c r="T1327" s="117" t="e">
        <f t="shared" si="249"/>
        <v>#N/A</v>
      </c>
      <c r="U1327" s="272" t="e">
        <f>IF(Q1327=0,'calcolo base'!L3926,(T1327+Q1327))</f>
        <v>#N/A</v>
      </c>
      <c r="V1327" s="119"/>
      <c r="Z1327" s="118">
        <f t="shared" si="240"/>
        <v>0</v>
      </c>
      <c r="AA1327" s="118">
        <f t="shared" si="241"/>
        <v>0</v>
      </c>
    </row>
    <row r="1328" spans="2:27">
      <c r="B1328" s="47"/>
      <c r="C1328" s="35"/>
      <c r="D1328" s="53"/>
      <c r="E1328" s="53"/>
      <c r="F1328" s="48"/>
      <c r="G1328" s="243" t="e">
        <f>INDEX('calcolo base'!$B:$B, MATCH($A1328, 'calcolo base'!$A:$A, 0))</f>
        <v>#N/A</v>
      </c>
      <c r="H1328" s="54" t="e">
        <f t="shared" si="242"/>
        <v>#N/A</v>
      </c>
      <c r="I1328" s="259" t="e">
        <f>IF(  OR(      INDEX('calcolo base'!$D:$D, MATCH($A1328, 'calcolo base'!$A:$A, 0)) = 0,
      INDEX('calcolo base'!$D:$D, MATCH($A1328, 'calcolo base'!$A:$A, 0)) = ""   ),
   INDEX('calcolo base'!$K:$K, MATCH($A1328, 'calcolo base'!$A:$A, 0)),
   INDEX('calcolo base'!$J:$J, MATCH($A1328, 'calcolo base'!$A:$A, 0))
) / 1000</f>
        <v>#N/A</v>
      </c>
      <c r="J1328" s="50" t="e">
        <f t="shared" si="243"/>
        <v>#N/A</v>
      </c>
      <c r="K1328" s="50"/>
      <c r="L1328" s="267" t="e">
        <f>INDEX('calcolo base'!$H:$H, MATCH($A1328, 'calcolo base'!$A:$A, 0))</f>
        <v>#N/A</v>
      </c>
      <c r="M1328" s="50" t="e">
        <f t="shared" si="244"/>
        <v>#N/A</v>
      </c>
      <c r="N1328" s="50" t="e">
        <f t="shared" si="245"/>
        <v>#N/A</v>
      </c>
      <c r="O1328" s="50" t="e">
        <f t="shared" si="250"/>
        <v>#N/A</v>
      </c>
      <c r="P1328" s="50" t="e">
        <f t="shared" si="246"/>
        <v>#N/A</v>
      </c>
      <c r="Q1328" s="51" t="e">
        <f t="shared" si="247"/>
        <v>#N/A</v>
      </c>
      <c r="R1328" s="205" t="e">
        <f t="shared" si="248"/>
        <v>#N/A</v>
      </c>
      <c r="S1328" s="279" t="e">
        <f>IF(R1328="si",0,IF(E1328="si",0,IF(J1328&gt;K1328,0,+K1328-J1328)))+IF('calcolo base'!P2020="SI",('Commissioni De Angeli'!K1328-'Commissioni De Angeli'!J1328),0)</f>
        <v>#N/A</v>
      </c>
      <c r="T1328" s="117" t="e">
        <f t="shared" si="249"/>
        <v>#N/A</v>
      </c>
      <c r="U1328" s="272" t="e">
        <f>IF(Q1328=0,'calcolo base'!L3927,(T1328+Q1328))</f>
        <v>#N/A</v>
      </c>
      <c r="V1328" s="119"/>
      <c r="Z1328" s="118">
        <f t="shared" si="240"/>
        <v>0</v>
      </c>
      <c r="AA1328" s="118">
        <f t="shared" si="241"/>
        <v>0</v>
      </c>
    </row>
    <row r="1329" spans="2:27">
      <c r="B1329" s="47"/>
      <c r="C1329" s="35"/>
      <c r="D1329" s="53"/>
      <c r="E1329" s="53"/>
      <c r="F1329" s="48"/>
      <c r="G1329" s="243" t="e">
        <f>INDEX('calcolo base'!$B:$B, MATCH($A1329, 'calcolo base'!$A:$A, 0))</f>
        <v>#N/A</v>
      </c>
      <c r="H1329" s="54" t="e">
        <f t="shared" si="242"/>
        <v>#N/A</v>
      </c>
      <c r="I1329" s="259" t="e">
        <f>IF(  OR(      INDEX('calcolo base'!$D:$D, MATCH($A1329, 'calcolo base'!$A:$A, 0)) = 0,
      INDEX('calcolo base'!$D:$D, MATCH($A1329, 'calcolo base'!$A:$A, 0)) = ""   ),
   INDEX('calcolo base'!$K:$K, MATCH($A1329, 'calcolo base'!$A:$A, 0)),
   INDEX('calcolo base'!$J:$J, MATCH($A1329, 'calcolo base'!$A:$A, 0))
) / 1000</f>
        <v>#N/A</v>
      </c>
      <c r="J1329" s="50" t="e">
        <f t="shared" si="243"/>
        <v>#N/A</v>
      </c>
      <c r="K1329" s="50"/>
      <c r="L1329" s="267" t="e">
        <f>INDEX('calcolo base'!$H:$H, MATCH($A1329, 'calcolo base'!$A:$A, 0))</f>
        <v>#N/A</v>
      </c>
      <c r="M1329" s="50" t="e">
        <f t="shared" si="244"/>
        <v>#N/A</v>
      </c>
      <c r="N1329" s="50" t="e">
        <f t="shared" si="245"/>
        <v>#N/A</v>
      </c>
      <c r="O1329" s="50" t="e">
        <f t="shared" si="250"/>
        <v>#N/A</v>
      </c>
      <c r="P1329" s="50" t="e">
        <f t="shared" si="246"/>
        <v>#N/A</v>
      </c>
      <c r="Q1329" s="51" t="e">
        <f t="shared" si="247"/>
        <v>#N/A</v>
      </c>
      <c r="R1329" s="205" t="e">
        <f t="shared" si="248"/>
        <v>#N/A</v>
      </c>
      <c r="S1329" s="279" t="e">
        <f>IF(R1329="si",0,IF(E1329="si",0,IF(J1329&gt;K1329,0,+K1329-J1329)))+IF('calcolo base'!P2021="SI",('Commissioni De Angeli'!K1329-'Commissioni De Angeli'!J1329),0)</f>
        <v>#N/A</v>
      </c>
      <c r="T1329" s="117" t="e">
        <f t="shared" si="249"/>
        <v>#N/A</v>
      </c>
      <c r="U1329" s="272" t="e">
        <f>IF(Q1329=0,'calcolo base'!L3928,(T1329+Q1329))</f>
        <v>#N/A</v>
      </c>
      <c r="V1329" s="119"/>
      <c r="Z1329" s="118">
        <f t="shared" si="240"/>
        <v>0</v>
      </c>
      <c r="AA1329" s="118">
        <f t="shared" si="241"/>
        <v>0</v>
      </c>
    </row>
    <row r="1330" spans="2:27">
      <c r="B1330" s="47"/>
      <c r="C1330" s="35"/>
      <c r="D1330" s="53"/>
      <c r="E1330" s="53"/>
      <c r="F1330" s="48"/>
      <c r="G1330" s="243" t="e">
        <f>INDEX('calcolo base'!$B:$B, MATCH($A1330, 'calcolo base'!$A:$A, 0))</f>
        <v>#N/A</v>
      </c>
      <c r="H1330" s="54" t="e">
        <f t="shared" si="242"/>
        <v>#N/A</v>
      </c>
      <c r="I1330" s="259" t="e">
        <f>IF(  OR(      INDEX('calcolo base'!$D:$D, MATCH($A1330, 'calcolo base'!$A:$A, 0)) = 0,
      INDEX('calcolo base'!$D:$D, MATCH($A1330, 'calcolo base'!$A:$A, 0)) = ""   ),
   INDEX('calcolo base'!$K:$K, MATCH($A1330, 'calcolo base'!$A:$A, 0)),
   INDEX('calcolo base'!$J:$J, MATCH($A1330, 'calcolo base'!$A:$A, 0))
) / 1000</f>
        <v>#N/A</v>
      </c>
      <c r="J1330" s="50" t="e">
        <f t="shared" si="243"/>
        <v>#N/A</v>
      </c>
      <c r="K1330" s="50"/>
      <c r="L1330" s="267" t="e">
        <f>INDEX('calcolo base'!$H:$H, MATCH($A1330, 'calcolo base'!$A:$A, 0))</f>
        <v>#N/A</v>
      </c>
      <c r="M1330" s="50" t="e">
        <f t="shared" si="244"/>
        <v>#N/A</v>
      </c>
      <c r="N1330" s="50" t="e">
        <f t="shared" si="245"/>
        <v>#N/A</v>
      </c>
      <c r="O1330" s="50" t="e">
        <f t="shared" si="250"/>
        <v>#N/A</v>
      </c>
      <c r="P1330" s="50" t="e">
        <f t="shared" si="246"/>
        <v>#N/A</v>
      </c>
      <c r="Q1330" s="51" t="e">
        <f t="shared" si="247"/>
        <v>#N/A</v>
      </c>
      <c r="R1330" s="205" t="e">
        <f t="shared" si="248"/>
        <v>#N/A</v>
      </c>
      <c r="S1330" s="279" t="e">
        <f>IF(R1330="si",0,IF(E1330="si",0,IF(J1330&gt;K1330,0,+K1330-J1330)))+IF('calcolo base'!P2022="SI",('Commissioni De Angeli'!K1330-'Commissioni De Angeli'!J1330),0)</f>
        <v>#N/A</v>
      </c>
      <c r="T1330" s="117" t="e">
        <f t="shared" si="249"/>
        <v>#N/A</v>
      </c>
      <c r="U1330" s="272" t="e">
        <f>IF(Q1330=0,'calcolo base'!L3929,(T1330+Q1330))</f>
        <v>#N/A</v>
      </c>
      <c r="V1330" s="119"/>
      <c r="Z1330" s="118">
        <f t="shared" si="240"/>
        <v>0</v>
      </c>
      <c r="AA1330" s="118">
        <f t="shared" si="241"/>
        <v>0</v>
      </c>
    </row>
    <row r="1331" spans="2:27">
      <c r="B1331" s="47"/>
      <c r="C1331" s="35"/>
      <c r="D1331" s="53"/>
      <c r="E1331" s="53"/>
      <c r="F1331" s="48"/>
      <c r="G1331" s="243" t="e">
        <f>INDEX('calcolo base'!$B:$B, MATCH($A1331, 'calcolo base'!$A:$A, 0))</f>
        <v>#N/A</v>
      </c>
      <c r="H1331" s="54" t="e">
        <f t="shared" si="242"/>
        <v>#N/A</v>
      </c>
      <c r="I1331" s="259" t="e">
        <f>IF(  OR(      INDEX('calcolo base'!$D:$D, MATCH($A1331, 'calcolo base'!$A:$A, 0)) = 0,
      INDEX('calcolo base'!$D:$D, MATCH($A1331, 'calcolo base'!$A:$A, 0)) = ""   ),
   INDEX('calcolo base'!$K:$K, MATCH($A1331, 'calcolo base'!$A:$A, 0)),
   INDEX('calcolo base'!$J:$J, MATCH($A1331, 'calcolo base'!$A:$A, 0))
) / 1000</f>
        <v>#N/A</v>
      </c>
      <c r="J1331" s="50" t="e">
        <f t="shared" si="243"/>
        <v>#N/A</v>
      </c>
      <c r="K1331" s="50"/>
      <c r="L1331" s="267" t="e">
        <f>INDEX('calcolo base'!$H:$H, MATCH($A1331, 'calcolo base'!$A:$A, 0))</f>
        <v>#N/A</v>
      </c>
      <c r="M1331" s="50" t="e">
        <f t="shared" si="244"/>
        <v>#N/A</v>
      </c>
      <c r="N1331" s="50" t="e">
        <f t="shared" si="245"/>
        <v>#N/A</v>
      </c>
      <c r="O1331" s="50" t="e">
        <f t="shared" si="250"/>
        <v>#N/A</v>
      </c>
      <c r="P1331" s="50" t="e">
        <f t="shared" si="246"/>
        <v>#N/A</v>
      </c>
      <c r="Q1331" s="51" t="e">
        <f t="shared" si="247"/>
        <v>#N/A</v>
      </c>
      <c r="R1331" s="205" t="e">
        <f t="shared" si="248"/>
        <v>#N/A</v>
      </c>
      <c r="S1331" s="279" t="e">
        <f>IF(R1331="si",0,IF(E1331="si",0,IF(J1331&gt;K1331,0,+K1331-J1331)))+IF('calcolo base'!P2023="SI",('Commissioni De Angeli'!K1331-'Commissioni De Angeli'!J1331),0)</f>
        <v>#N/A</v>
      </c>
      <c r="T1331" s="117" t="e">
        <f t="shared" si="249"/>
        <v>#N/A</v>
      </c>
      <c r="U1331" s="272" t="e">
        <f>IF(Q1331=0,'calcolo base'!L3930,(T1331+Q1331))</f>
        <v>#N/A</v>
      </c>
      <c r="V1331" s="119"/>
      <c r="Z1331" s="118">
        <f t="shared" si="240"/>
        <v>0</v>
      </c>
      <c r="AA1331" s="118">
        <f t="shared" si="241"/>
        <v>0</v>
      </c>
    </row>
    <row r="1332" spans="2:27">
      <c r="B1332" s="47"/>
      <c r="C1332" s="35"/>
      <c r="D1332" s="53"/>
      <c r="E1332" s="53"/>
      <c r="F1332" s="48"/>
      <c r="G1332" s="243" t="e">
        <f>INDEX('calcolo base'!$B:$B, MATCH($A1332, 'calcolo base'!$A:$A, 0))</f>
        <v>#N/A</v>
      </c>
      <c r="H1332" s="54" t="e">
        <f t="shared" si="242"/>
        <v>#N/A</v>
      </c>
      <c r="I1332" s="259" t="e">
        <f>IF(  OR(      INDEX('calcolo base'!$D:$D, MATCH($A1332, 'calcolo base'!$A:$A, 0)) = 0,
      INDEX('calcolo base'!$D:$D, MATCH($A1332, 'calcolo base'!$A:$A, 0)) = ""   ),
   INDEX('calcolo base'!$K:$K, MATCH($A1332, 'calcolo base'!$A:$A, 0)),
   INDEX('calcolo base'!$J:$J, MATCH($A1332, 'calcolo base'!$A:$A, 0))
) / 1000</f>
        <v>#N/A</v>
      </c>
      <c r="J1332" s="50" t="e">
        <f t="shared" si="243"/>
        <v>#N/A</v>
      </c>
      <c r="K1332" s="50"/>
      <c r="L1332" s="267" t="e">
        <f>INDEX('calcolo base'!$H:$H, MATCH($A1332, 'calcolo base'!$A:$A, 0))</f>
        <v>#N/A</v>
      </c>
      <c r="M1332" s="50" t="e">
        <f t="shared" si="244"/>
        <v>#N/A</v>
      </c>
      <c r="N1332" s="50" t="e">
        <f t="shared" si="245"/>
        <v>#N/A</v>
      </c>
      <c r="O1332" s="50" t="e">
        <f t="shared" si="250"/>
        <v>#N/A</v>
      </c>
      <c r="P1332" s="50" t="e">
        <f t="shared" si="246"/>
        <v>#N/A</v>
      </c>
      <c r="Q1332" s="51" t="e">
        <f t="shared" si="247"/>
        <v>#N/A</v>
      </c>
      <c r="R1332" s="205" t="e">
        <f t="shared" si="248"/>
        <v>#N/A</v>
      </c>
      <c r="S1332" s="279" t="e">
        <f>IF(R1332="si",0,IF(E1332="si",0,IF(J1332&gt;K1332,0,+K1332-J1332)))+IF('calcolo base'!P2024="SI",('Commissioni De Angeli'!K1332-'Commissioni De Angeli'!J1332),0)</f>
        <v>#N/A</v>
      </c>
      <c r="T1332" s="117" t="e">
        <f t="shared" si="249"/>
        <v>#N/A</v>
      </c>
      <c r="U1332" s="272" t="e">
        <f>IF(Q1332=0,'calcolo base'!L3931,(T1332+Q1332))</f>
        <v>#N/A</v>
      </c>
      <c r="V1332" s="119"/>
      <c r="Z1332" s="118">
        <f t="shared" si="240"/>
        <v>0</v>
      </c>
      <c r="AA1332" s="118">
        <f t="shared" si="241"/>
        <v>0</v>
      </c>
    </row>
    <row r="1333" spans="2:27">
      <c r="B1333" s="47"/>
      <c r="C1333" s="35"/>
      <c r="D1333" s="53"/>
      <c r="E1333" s="53"/>
      <c r="F1333" s="48"/>
      <c r="G1333" s="243" t="e">
        <f>INDEX('calcolo base'!$B:$B, MATCH($A1333, 'calcolo base'!$A:$A, 0))</f>
        <v>#N/A</v>
      </c>
      <c r="H1333" s="54" t="e">
        <f t="shared" si="242"/>
        <v>#N/A</v>
      </c>
      <c r="I1333" s="259" t="e">
        <f>IF(  OR(      INDEX('calcolo base'!$D:$D, MATCH($A1333, 'calcolo base'!$A:$A, 0)) = 0,
      INDEX('calcolo base'!$D:$D, MATCH($A1333, 'calcolo base'!$A:$A, 0)) = ""   ),
   INDEX('calcolo base'!$K:$K, MATCH($A1333, 'calcolo base'!$A:$A, 0)),
   INDEX('calcolo base'!$J:$J, MATCH($A1333, 'calcolo base'!$A:$A, 0))
) / 1000</f>
        <v>#N/A</v>
      </c>
      <c r="J1333" s="50" t="e">
        <f t="shared" si="243"/>
        <v>#N/A</v>
      </c>
      <c r="K1333" s="50"/>
      <c r="L1333" s="267" t="e">
        <f>INDEX('calcolo base'!$H:$H, MATCH($A1333, 'calcolo base'!$A:$A, 0))</f>
        <v>#N/A</v>
      </c>
      <c r="M1333" s="50" t="e">
        <f t="shared" si="244"/>
        <v>#N/A</v>
      </c>
      <c r="N1333" s="50" t="e">
        <f t="shared" si="245"/>
        <v>#N/A</v>
      </c>
      <c r="O1333" s="50" t="e">
        <f t="shared" si="250"/>
        <v>#N/A</v>
      </c>
      <c r="P1333" s="50" t="e">
        <f t="shared" si="246"/>
        <v>#N/A</v>
      </c>
      <c r="Q1333" s="51" t="e">
        <f t="shared" si="247"/>
        <v>#N/A</v>
      </c>
      <c r="R1333" s="205" t="e">
        <f t="shared" si="248"/>
        <v>#N/A</v>
      </c>
      <c r="S1333" s="279" t="e">
        <f>IF(R1333="si",0,IF(E1333="si",0,IF(J1333&gt;K1333,0,+K1333-J1333)))+IF('calcolo base'!P2025="SI",('Commissioni De Angeli'!K1333-'Commissioni De Angeli'!J1333),0)</f>
        <v>#N/A</v>
      </c>
      <c r="T1333" s="117" t="e">
        <f t="shared" si="249"/>
        <v>#N/A</v>
      </c>
      <c r="U1333" s="272" t="e">
        <f>IF(Q1333=0,'calcolo base'!L3932,(T1333+Q1333))</f>
        <v>#N/A</v>
      </c>
      <c r="V1333" s="119"/>
      <c r="Z1333" s="118">
        <f t="shared" si="240"/>
        <v>0</v>
      </c>
      <c r="AA1333" s="118">
        <f t="shared" si="241"/>
        <v>0</v>
      </c>
    </row>
    <row r="1334" spans="2:27">
      <c r="B1334" s="47"/>
      <c r="C1334" s="35"/>
      <c r="D1334" s="53"/>
      <c r="E1334" s="53"/>
      <c r="F1334" s="48"/>
      <c r="G1334" s="243" t="e">
        <f>INDEX('calcolo base'!$B:$B, MATCH($A1334, 'calcolo base'!$A:$A, 0))</f>
        <v>#N/A</v>
      </c>
      <c r="H1334" s="54" t="e">
        <f t="shared" si="242"/>
        <v>#N/A</v>
      </c>
      <c r="I1334" s="259" t="e">
        <f>IF(  OR(      INDEX('calcolo base'!$D:$D, MATCH($A1334, 'calcolo base'!$A:$A, 0)) = 0,
      INDEX('calcolo base'!$D:$D, MATCH($A1334, 'calcolo base'!$A:$A, 0)) = ""   ),
   INDEX('calcolo base'!$K:$K, MATCH($A1334, 'calcolo base'!$A:$A, 0)),
   INDEX('calcolo base'!$J:$J, MATCH($A1334, 'calcolo base'!$A:$A, 0))
) / 1000</f>
        <v>#N/A</v>
      </c>
      <c r="J1334" s="50" t="e">
        <f t="shared" si="243"/>
        <v>#N/A</v>
      </c>
      <c r="K1334" s="50"/>
      <c r="L1334" s="267" t="e">
        <f>INDEX('calcolo base'!$H:$H, MATCH($A1334, 'calcolo base'!$A:$A, 0))</f>
        <v>#N/A</v>
      </c>
      <c r="M1334" s="50" t="e">
        <f t="shared" si="244"/>
        <v>#N/A</v>
      </c>
      <c r="N1334" s="50" t="e">
        <f t="shared" si="245"/>
        <v>#N/A</v>
      </c>
      <c r="O1334" s="50" t="e">
        <f t="shared" si="250"/>
        <v>#N/A</v>
      </c>
      <c r="P1334" s="50" t="e">
        <f t="shared" si="246"/>
        <v>#N/A</v>
      </c>
      <c r="Q1334" s="51" t="e">
        <f t="shared" si="247"/>
        <v>#N/A</v>
      </c>
      <c r="R1334" s="205" t="e">
        <f t="shared" si="248"/>
        <v>#N/A</v>
      </c>
      <c r="S1334" s="279" t="e">
        <f>IF(R1334="si",0,IF(E1334="si",0,IF(J1334&gt;K1334,0,+K1334-J1334)))+IF('calcolo base'!P2026="SI",('Commissioni De Angeli'!K1334-'Commissioni De Angeli'!J1334),0)</f>
        <v>#N/A</v>
      </c>
      <c r="T1334" s="117" t="e">
        <f t="shared" si="249"/>
        <v>#N/A</v>
      </c>
      <c r="U1334" s="272" t="e">
        <f>IF(Q1334=0,'calcolo base'!L3933,(T1334+Q1334))</f>
        <v>#N/A</v>
      </c>
      <c r="V1334" s="119"/>
      <c r="Z1334" s="118">
        <f t="shared" si="240"/>
        <v>0</v>
      </c>
      <c r="AA1334" s="118">
        <f t="shared" si="241"/>
        <v>0</v>
      </c>
    </row>
    <row r="1335" spans="2:27">
      <c r="B1335" s="47"/>
      <c r="C1335" s="35"/>
      <c r="D1335" s="53"/>
      <c r="E1335" s="53"/>
      <c r="F1335" s="48"/>
      <c r="G1335" s="243" t="e">
        <f>INDEX('calcolo base'!$B:$B, MATCH($A1335, 'calcolo base'!$A:$A, 0))</f>
        <v>#N/A</v>
      </c>
      <c r="H1335" s="54" t="e">
        <f t="shared" si="242"/>
        <v>#N/A</v>
      </c>
      <c r="I1335" s="259" t="e">
        <f>IF(  OR(      INDEX('calcolo base'!$D:$D, MATCH($A1335, 'calcolo base'!$A:$A, 0)) = 0,
      INDEX('calcolo base'!$D:$D, MATCH($A1335, 'calcolo base'!$A:$A, 0)) = ""   ),
   INDEX('calcolo base'!$K:$K, MATCH($A1335, 'calcolo base'!$A:$A, 0)),
   INDEX('calcolo base'!$J:$J, MATCH($A1335, 'calcolo base'!$A:$A, 0))
) / 1000</f>
        <v>#N/A</v>
      </c>
      <c r="J1335" s="50" t="e">
        <f t="shared" si="243"/>
        <v>#N/A</v>
      </c>
      <c r="K1335" s="50"/>
      <c r="L1335" s="267" t="e">
        <f>INDEX('calcolo base'!$H:$H, MATCH($A1335, 'calcolo base'!$A:$A, 0))</f>
        <v>#N/A</v>
      </c>
      <c r="M1335" s="50" t="e">
        <f t="shared" si="244"/>
        <v>#N/A</v>
      </c>
      <c r="N1335" s="50" t="e">
        <f t="shared" si="245"/>
        <v>#N/A</v>
      </c>
      <c r="O1335" s="50" t="e">
        <f t="shared" si="250"/>
        <v>#N/A</v>
      </c>
      <c r="P1335" s="50" t="e">
        <f t="shared" si="246"/>
        <v>#N/A</v>
      </c>
      <c r="Q1335" s="51" t="e">
        <f t="shared" si="247"/>
        <v>#N/A</v>
      </c>
      <c r="R1335" s="205" t="e">
        <f t="shared" si="248"/>
        <v>#N/A</v>
      </c>
      <c r="S1335" s="279" t="e">
        <f>IF(R1335="si",0,IF(E1335="si",0,IF(J1335&gt;K1335,0,+K1335-J1335)))+IF('calcolo base'!P2027="SI",('Commissioni De Angeli'!K1335-'Commissioni De Angeli'!J1335),0)</f>
        <v>#N/A</v>
      </c>
      <c r="T1335" s="117" t="e">
        <f t="shared" si="249"/>
        <v>#N/A</v>
      </c>
      <c r="U1335" s="272" t="e">
        <f>IF(Q1335=0,'calcolo base'!L3934,(T1335+Q1335))</f>
        <v>#N/A</v>
      </c>
      <c r="V1335" s="119"/>
      <c r="Z1335" s="118">
        <f t="shared" si="240"/>
        <v>0</v>
      </c>
      <c r="AA1335" s="118">
        <f t="shared" si="241"/>
        <v>0</v>
      </c>
    </row>
    <row r="1336" spans="2:27">
      <c r="B1336" s="47"/>
      <c r="C1336" s="35"/>
      <c r="D1336" s="53"/>
      <c r="E1336" s="53"/>
      <c r="F1336" s="48"/>
      <c r="G1336" s="243" t="e">
        <f>INDEX('calcolo base'!$B:$B, MATCH($A1336, 'calcolo base'!$A:$A, 0))</f>
        <v>#N/A</v>
      </c>
      <c r="H1336" s="54" t="e">
        <f t="shared" si="242"/>
        <v>#N/A</v>
      </c>
      <c r="I1336" s="259" t="e">
        <f>IF(  OR(      INDEX('calcolo base'!$D:$D, MATCH($A1336, 'calcolo base'!$A:$A, 0)) = 0,
      INDEX('calcolo base'!$D:$D, MATCH($A1336, 'calcolo base'!$A:$A, 0)) = ""   ),
   INDEX('calcolo base'!$K:$K, MATCH($A1336, 'calcolo base'!$A:$A, 0)),
   INDEX('calcolo base'!$J:$J, MATCH($A1336, 'calcolo base'!$A:$A, 0))
) / 1000</f>
        <v>#N/A</v>
      </c>
      <c r="J1336" s="50" t="e">
        <f t="shared" si="243"/>
        <v>#N/A</v>
      </c>
      <c r="K1336" s="50"/>
      <c r="L1336" s="267" t="e">
        <f>INDEX('calcolo base'!$H:$H, MATCH($A1336, 'calcolo base'!$A:$A, 0))</f>
        <v>#N/A</v>
      </c>
      <c r="M1336" s="50" t="e">
        <f t="shared" si="244"/>
        <v>#N/A</v>
      </c>
      <c r="N1336" s="50" t="e">
        <f t="shared" si="245"/>
        <v>#N/A</v>
      </c>
      <c r="O1336" s="50" t="e">
        <f t="shared" si="250"/>
        <v>#N/A</v>
      </c>
      <c r="P1336" s="50" t="e">
        <f t="shared" si="246"/>
        <v>#N/A</v>
      </c>
      <c r="Q1336" s="51" t="e">
        <f t="shared" si="247"/>
        <v>#N/A</v>
      </c>
      <c r="R1336" s="205" t="e">
        <f t="shared" si="248"/>
        <v>#N/A</v>
      </c>
      <c r="S1336" s="279" t="e">
        <f>IF(R1336="si",0,IF(E1336="si",0,IF(J1336&gt;K1336,0,+K1336-J1336)))+IF('calcolo base'!P2028="SI",('Commissioni De Angeli'!K1336-'Commissioni De Angeli'!J1336),0)</f>
        <v>#N/A</v>
      </c>
      <c r="T1336" s="117" t="e">
        <f t="shared" si="249"/>
        <v>#N/A</v>
      </c>
      <c r="U1336" s="272" t="e">
        <f>IF(Q1336=0,'calcolo base'!L3935,(T1336+Q1336))</f>
        <v>#N/A</v>
      </c>
      <c r="V1336" s="119"/>
      <c r="Z1336" s="118">
        <f t="shared" si="240"/>
        <v>0</v>
      </c>
      <c r="AA1336" s="118">
        <f t="shared" si="241"/>
        <v>0</v>
      </c>
    </row>
    <row r="1337" spans="2:27">
      <c r="B1337" s="47"/>
      <c r="C1337" s="35"/>
      <c r="D1337" s="53"/>
      <c r="E1337" s="53"/>
      <c r="F1337" s="48"/>
      <c r="G1337" s="243" t="e">
        <f>INDEX('calcolo base'!$B:$B, MATCH($A1337, 'calcolo base'!$A:$A, 0))</f>
        <v>#N/A</v>
      </c>
      <c r="H1337" s="54" t="e">
        <f t="shared" si="242"/>
        <v>#N/A</v>
      </c>
      <c r="I1337" s="259" t="e">
        <f>IF(  OR(      INDEX('calcolo base'!$D:$D, MATCH($A1337, 'calcolo base'!$A:$A, 0)) = 0,
      INDEX('calcolo base'!$D:$D, MATCH($A1337, 'calcolo base'!$A:$A, 0)) = ""   ),
   INDEX('calcolo base'!$K:$K, MATCH($A1337, 'calcolo base'!$A:$A, 0)),
   INDEX('calcolo base'!$J:$J, MATCH($A1337, 'calcolo base'!$A:$A, 0))
) / 1000</f>
        <v>#N/A</v>
      </c>
      <c r="J1337" s="50" t="e">
        <f t="shared" si="243"/>
        <v>#N/A</v>
      </c>
      <c r="K1337" s="50"/>
      <c r="L1337" s="267" t="e">
        <f>INDEX('calcolo base'!$H:$H, MATCH($A1337, 'calcolo base'!$A:$A, 0))</f>
        <v>#N/A</v>
      </c>
      <c r="M1337" s="50" t="e">
        <f t="shared" si="244"/>
        <v>#N/A</v>
      </c>
      <c r="N1337" s="50" t="e">
        <f t="shared" si="245"/>
        <v>#N/A</v>
      </c>
      <c r="O1337" s="50" t="e">
        <f t="shared" si="250"/>
        <v>#N/A</v>
      </c>
      <c r="P1337" s="50" t="e">
        <f t="shared" si="246"/>
        <v>#N/A</v>
      </c>
      <c r="Q1337" s="51" t="e">
        <f t="shared" si="247"/>
        <v>#N/A</v>
      </c>
      <c r="R1337" s="205" t="e">
        <f t="shared" si="248"/>
        <v>#N/A</v>
      </c>
      <c r="S1337" s="279" t="e">
        <f>IF(R1337="si",0,IF(E1337="si",0,IF(J1337&gt;K1337,0,+K1337-J1337)))+IF('calcolo base'!P2029="SI",('Commissioni De Angeli'!K1337-'Commissioni De Angeli'!J1337),0)</f>
        <v>#N/A</v>
      </c>
      <c r="T1337" s="117" t="e">
        <f t="shared" si="249"/>
        <v>#N/A</v>
      </c>
      <c r="U1337" s="272" t="e">
        <f>IF(Q1337=0,'calcolo base'!L3936,(T1337+Q1337))</f>
        <v>#N/A</v>
      </c>
      <c r="V1337" s="119"/>
      <c r="Z1337" s="118">
        <f t="shared" si="240"/>
        <v>0</v>
      </c>
      <c r="AA1337" s="118">
        <f t="shared" si="241"/>
        <v>0</v>
      </c>
    </row>
    <row r="1338" spans="2:27">
      <c r="B1338" s="47"/>
      <c r="C1338" s="35"/>
      <c r="D1338" s="53"/>
      <c r="E1338" s="53"/>
      <c r="F1338" s="48"/>
      <c r="G1338" s="243" t="e">
        <f>INDEX('calcolo base'!$B:$B, MATCH($A1338, 'calcolo base'!$A:$A, 0))</f>
        <v>#N/A</v>
      </c>
      <c r="H1338" s="54" t="e">
        <f t="shared" si="242"/>
        <v>#N/A</v>
      </c>
      <c r="I1338" s="259" t="e">
        <f>IF(  OR(      INDEX('calcolo base'!$D:$D, MATCH($A1338, 'calcolo base'!$A:$A, 0)) = 0,
      INDEX('calcolo base'!$D:$D, MATCH($A1338, 'calcolo base'!$A:$A, 0)) = ""   ),
   INDEX('calcolo base'!$K:$K, MATCH($A1338, 'calcolo base'!$A:$A, 0)),
   INDEX('calcolo base'!$J:$J, MATCH($A1338, 'calcolo base'!$A:$A, 0))
) / 1000</f>
        <v>#N/A</v>
      </c>
      <c r="J1338" s="50" t="e">
        <f t="shared" si="243"/>
        <v>#N/A</v>
      </c>
      <c r="K1338" s="50"/>
      <c r="L1338" s="267" t="e">
        <f>INDEX('calcolo base'!$H:$H, MATCH($A1338, 'calcolo base'!$A:$A, 0))</f>
        <v>#N/A</v>
      </c>
      <c r="M1338" s="50" t="e">
        <f t="shared" si="244"/>
        <v>#N/A</v>
      </c>
      <c r="N1338" s="50" t="e">
        <f t="shared" si="245"/>
        <v>#N/A</v>
      </c>
      <c r="O1338" s="50" t="e">
        <f t="shared" si="250"/>
        <v>#N/A</v>
      </c>
      <c r="P1338" s="50" t="e">
        <f t="shared" si="246"/>
        <v>#N/A</v>
      </c>
      <c r="Q1338" s="51" t="e">
        <f t="shared" si="247"/>
        <v>#N/A</v>
      </c>
      <c r="R1338" s="205" t="e">
        <f t="shared" si="248"/>
        <v>#N/A</v>
      </c>
      <c r="S1338" s="279" t="e">
        <f>IF(R1338="si",0,IF(E1338="si",0,IF(J1338&gt;K1338,0,+K1338-J1338)))+IF('calcolo base'!P2030="SI",('Commissioni De Angeli'!K1338-'Commissioni De Angeli'!J1338),0)</f>
        <v>#N/A</v>
      </c>
      <c r="T1338" s="117" t="e">
        <f t="shared" si="249"/>
        <v>#N/A</v>
      </c>
      <c r="U1338" s="272" t="e">
        <f>IF(Q1338=0,'calcolo base'!L3937,(T1338+Q1338))</f>
        <v>#N/A</v>
      </c>
      <c r="V1338" s="119"/>
      <c r="Z1338" s="118">
        <f t="shared" si="240"/>
        <v>0</v>
      </c>
      <c r="AA1338" s="118">
        <f t="shared" si="241"/>
        <v>0</v>
      </c>
    </row>
    <row r="1339" spans="2:27">
      <c r="B1339" s="47"/>
      <c r="C1339" s="35"/>
      <c r="D1339" s="53"/>
      <c r="E1339" s="53"/>
      <c r="F1339" s="48"/>
      <c r="G1339" s="243" t="e">
        <f>INDEX('calcolo base'!$B:$B, MATCH($A1339, 'calcolo base'!$A:$A, 0))</f>
        <v>#N/A</v>
      </c>
      <c r="H1339" s="54" t="e">
        <f t="shared" si="242"/>
        <v>#N/A</v>
      </c>
      <c r="I1339" s="259" t="e">
        <f>IF(  OR(      INDEX('calcolo base'!$D:$D, MATCH($A1339, 'calcolo base'!$A:$A, 0)) = 0,
      INDEX('calcolo base'!$D:$D, MATCH($A1339, 'calcolo base'!$A:$A, 0)) = ""   ),
   INDEX('calcolo base'!$K:$K, MATCH($A1339, 'calcolo base'!$A:$A, 0)),
   INDEX('calcolo base'!$J:$J, MATCH($A1339, 'calcolo base'!$A:$A, 0))
) / 1000</f>
        <v>#N/A</v>
      </c>
      <c r="J1339" s="50" t="e">
        <f t="shared" si="243"/>
        <v>#N/A</v>
      </c>
      <c r="K1339" s="50"/>
      <c r="L1339" s="267" t="e">
        <f>INDEX('calcolo base'!$H:$H, MATCH($A1339, 'calcolo base'!$A:$A, 0))</f>
        <v>#N/A</v>
      </c>
      <c r="M1339" s="50" t="e">
        <f t="shared" si="244"/>
        <v>#N/A</v>
      </c>
      <c r="N1339" s="50" t="e">
        <f t="shared" si="245"/>
        <v>#N/A</v>
      </c>
      <c r="O1339" s="50" t="e">
        <f t="shared" si="250"/>
        <v>#N/A</v>
      </c>
      <c r="P1339" s="50" t="e">
        <f t="shared" si="246"/>
        <v>#N/A</v>
      </c>
      <c r="Q1339" s="51" t="e">
        <f t="shared" si="247"/>
        <v>#N/A</v>
      </c>
      <c r="R1339" s="205" t="e">
        <f t="shared" si="248"/>
        <v>#N/A</v>
      </c>
      <c r="S1339" s="279" t="e">
        <f>IF(R1339="si",0,IF(E1339="si",0,IF(J1339&gt;K1339,0,+K1339-J1339)))+IF('calcolo base'!P2031="SI",('Commissioni De Angeli'!K1339-'Commissioni De Angeli'!J1339),0)</f>
        <v>#N/A</v>
      </c>
      <c r="T1339" s="117" t="e">
        <f t="shared" si="249"/>
        <v>#N/A</v>
      </c>
      <c r="U1339" s="272" t="e">
        <f>IF(Q1339=0,'calcolo base'!L3938,(T1339+Q1339))</f>
        <v>#N/A</v>
      </c>
      <c r="V1339" s="119"/>
      <c r="Z1339" s="118">
        <f t="shared" si="240"/>
        <v>0</v>
      </c>
      <c r="AA1339" s="118">
        <f t="shared" si="241"/>
        <v>0</v>
      </c>
    </row>
    <row r="1340" spans="2:27">
      <c r="B1340" s="47"/>
      <c r="C1340" s="35"/>
      <c r="D1340" s="53"/>
      <c r="E1340" s="53"/>
      <c r="F1340" s="48"/>
      <c r="G1340" s="243" t="e">
        <f>INDEX('calcolo base'!$B:$B, MATCH($A1340, 'calcolo base'!$A:$A, 0))</f>
        <v>#N/A</v>
      </c>
      <c r="H1340" s="54" t="e">
        <f t="shared" si="242"/>
        <v>#N/A</v>
      </c>
      <c r="I1340" s="259" t="e">
        <f>IF(  OR(      INDEX('calcolo base'!$D:$D, MATCH($A1340, 'calcolo base'!$A:$A, 0)) = 0,
      INDEX('calcolo base'!$D:$D, MATCH($A1340, 'calcolo base'!$A:$A, 0)) = ""   ),
   INDEX('calcolo base'!$K:$K, MATCH($A1340, 'calcolo base'!$A:$A, 0)),
   INDEX('calcolo base'!$J:$J, MATCH($A1340, 'calcolo base'!$A:$A, 0))
) / 1000</f>
        <v>#N/A</v>
      </c>
      <c r="J1340" s="50" t="e">
        <f t="shared" si="243"/>
        <v>#N/A</v>
      </c>
      <c r="K1340" s="50"/>
      <c r="L1340" s="267" t="e">
        <f>INDEX('calcolo base'!$H:$H, MATCH($A1340, 'calcolo base'!$A:$A, 0))</f>
        <v>#N/A</v>
      </c>
      <c r="M1340" s="50" t="e">
        <f t="shared" si="244"/>
        <v>#N/A</v>
      </c>
      <c r="N1340" s="50" t="e">
        <f t="shared" si="245"/>
        <v>#N/A</v>
      </c>
      <c r="O1340" s="50" t="e">
        <f t="shared" si="250"/>
        <v>#N/A</v>
      </c>
      <c r="P1340" s="50" t="e">
        <f t="shared" si="246"/>
        <v>#N/A</v>
      </c>
      <c r="Q1340" s="51" t="e">
        <f t="shared" si="247"/>
        <v>#N/A</v>
      </c>
      <c r="R1340" s="205" t="e">
        <f t="shared" si="248"/>
        <v>#N/A</v>
      </c>
      <c r="S1340" s="279" t="e">
        <f>IF(R1340="si",0,IF(E1340="si",0,IF(J1340&gt;K1340,0,+K1340-J1340)))+IF('calcolo base'!P2032="SI",('Commissioni De Angeli'!K1340-'Commissioni De Angeli'!J1340),0)</f>
        <v>#N/A</v>
      </c>
      <c r="T1340" s="117" t="e">
        <f t="shared" si="249"/>
        <v>#N/A</v>
      </c>
      <c r="U1340" s="272" t="e">
        <f>IF(Q1340=0,'calcolo base'!L3939,(T1340+Q1340))</f>
        <v>#N/A</v>
      </c>
      <c r="V1340" s="119"/>
      <c r="Z1340" s="118">
        <f t="shared" si="240"/>
        <v>0</v>
      </c>
      <c r="AA1340" s="118">
        <f t="shared" si="241"/>
        <v>0</v>
      </c>
    </row>
    <row r="1341" spans="2:27">
      <c r="B1341" s="47"/>
      <c r="C1341" s="35"/>
      <c r="D1341" s="53"/>
      <c r="E1341" s="53"/>
      <c r="F1341" s="48"/>
      <c r="G1341" s="243" t="e">
        <f>INDEX('calcolo base'!$B:$B, MATCH($A1341, 'calcolo base'!$A:$A, 0))</f>
        <v>#N/A</v>
      </c>
      <c r="H1341" s="54" t="e">
        <f t="shared" si="242"/>
        <v>#N/A</v>
      </c>
      <c r="I1341" s="259" t="e">
        <f>IF(  OR(      INDEX('calcolo base'!$D:$D, MATCH($A1341, 'calcolo base'!$A:$A, 0)) = 0,
      INDEX('calcolo base'!$D:$D, MATCH($A1341, 'calcolo base'!$A:$A, 0)) = ""   ),
   INDEX('calcolo base'!$K:$K, MATCH($A1341, 'calcolo base'!$A:$A, 0)),
   INDEX('calcolo base'!$J:$J, MATCH($A1341, 'calcolo base'!$A:$A, 0))
) / 1000</f>
        <v>#N/A</v>
      </c>
      <c r="J1341" s="50" t="e">
        <f t="shared" si="243"/>
        <v>#N/A</v>
      </c>
      <c r="K1341" s="50"/>
      <c r="L1341" s="267" t="e">
        <f>INDEX('calcolo base'!$H:$H, MATCH($A1341, 'calcolo base'!$A:$A, 0))</f>
        <v>#N/A</v>
      </c>
      <c r="M1341" s="50" t="e">
        <f t="shared" si="244"/>
        <v>#N/A</v>
      </c>
      <c r="N1341" s="50" t="e">
        <f t="shared" si="245"/>
        <v>#N/A</v>
      </c>
      <c r="O1341" s="50" t="e">
        <f t="shared" si="250"/>
        <v>#N/A</v>
      </c>
      <c r="P1341" s="50" t="e">
        <f t="shared" si="246"/>
        <v>#N/A</v>
      </c>
      <c r="Q1341" s="51" t="e">
        <f t="shared" si="247"/>
        <v>#N/A</v>
      </c>
      <c r="R1341" s="205" t="e">
        <f t="shared" si="248"/>
        <v>#N/A</v>
      </c>
      <c r="S1341" s="279" t="e">
        <f>IF(R1341="si",0,IF(E1341="si",0,IF(J1341&gt;K1341,0,+K1341-J1341)))+IF('calcolo base'!P2033="SI",('Commissioni De Angeli'!K1341-'Commissioni De Angeli'!J1341),0)</f>
        <v>#N/A</v>
      </c>
      <c r="T1341" s="117" t="e">
        <f t="shared" si="249"/>
        <v>#N/A</v>
      </c>
      <c r="U1341" s="272" t="e">
        <f>IF(Q1341=0,'calcolo base'!L3940,(T1341+Q1341))</f>
        <v>#N/A</v>
      </c>
      <c r="V1341" s="119"/>
      <c r="Z1341" s="118">
        <f t="shared" si="240"/>
        <v>0</v>
      </c>
      <c r="AA1341" s="118">
        <f t="shared" si="241"/>
        <v>0</v>
      </c>
    </row>
    <row r="1342" spans="2:27">
      <c r="B1342" s="47"/>
      <c r="C1342" s="35"/>
      <c r="D1342" s="53"/>
      <c r="E1342" s="53"/>
      <c r="F1342" s="48"/>
      <c r="G1342" s="243" t="e">
        <f>INDEX('calcolo base'!$B:$B, MATCH($A1342, 'calcolo base'!$A:$A, 0))</f>
        <v>#N/A</v>
      </c>
      <c r="H1342" s="54" t="e">
        <f t="shared" si="242"/>
        <v>#N/A</v>
      </c>
      <c r="I1342" s="259" t="e">
        <f>IF(  OR(      INDEX('calcolo base'!$D:$D, MATCH($A1342, 'calcolo base'!$A:$A, 0)) = 0,
      INDEX('calcolo base'!$D:$D, MATCH($A1342, 'calcolo base'!$A:$A, 0)) = ""   ),
   INDEX('calcolo base'!$K:$K, MATCH($A1342, 'calcolo base'!$A:$A, 0)),
   INDEX('calcolo base'!$J:$J, MATCH($A1342, 'calcolo base'!$A:$A, 0))
) / 1000</f>
        <v>#N/A</v>
      </c>
      <c r="J1342" s="50" t="e">
        <f t="shared" si="243"/>
        <v>#N/A</v>
      </c>
      <c r="K1342" s="50"/>
      <c r="L1342" s="267" t="e">
        <f>INDEX('calcolo base'!$H:$H, MATCH($A1342, 'calcolo base'!$A:$A, 0))</f>
        <v>#N/A</v>
      </c>
      <c r="M1342" s="50" t="e">
        <f t="shared" si="244"/>
        <v>#N/A</v>
      </c>
      <c r="N1342" s="50" t="e">
        <f t="shared" si="245"/>
        <v>#N/A</v>
      </c>
      <c r="O1342" s="50" t="e">
        <f t="shared" si="250"/>
        <v>#N/A</v>
      </c>
      <c r="P1342" s="50" t="e">
        <f t="shared" si="246"/>
        <v>#N/A</v>
      </c>
      <c r="Q1342" s="51" t="e">
        <f t="shared" si="247"/>
        <v>#N/A</v>
      </c>
      <c r="R1342" s="205" t="e">
        <f t="shared" si="248"/>
        <v>#N/A</v>
      </c>
      <c r="S1342" s="279" t="e">
        <f>IF(R1342="si",0,IF(E1342="si",0,IF(J1342&gt;K1342,0,+K1342-J1342)))+IF('calcolo base'!P2034="SI",('Commissioni De Angeli'!K1342-'Commissioni De Angeli'!J1342),0)</f>
        <v>#N/A</v>
      </c>
      <c r="T1342" s="117" t="e">
        <f t="shared" si="249"/>
        <v>#N/A</v>
      </c>
      <c r="U1342" s="272" t="e">
        <f>IF(Q1342=0,'calcolo base'!L3941,(T1342+Q1342))</f>
        <v>#N/A</v>
      </c>
      <c r="V1342" s="119"/>
      <c r="Z1342" s="118">
        <f t="shared" si="240"/>
        <v>0</v>
      </c>
      <c r="AA1342" s="118">
        <f t="shared" si="241"/>
        <v>0</v>
      </c>
    </row>
    <row r="1343" spans="2:27">
      <c r="B1343" s="47"/>
      <c r="C1343" s="35"/>
      <c r="D1343" s="53"/>
      <c r="E1343" s="53"/>
      <c r="F1343" s="48"/>
      <c r="G1343" s="243" t="e">
        <f>INDEX('calcolo base'!$B:$B, MATCH($A1343, 'calcolo base'!$A:$A, 0))</f>
        <v>#N/A</v>
      </c>
      <c r="H1343" s="54" t="e">
        <f t="shared" si="242"/>
        <v>#N/A</v>
      </c>
      <c r="I1343" s="259" t="e">
        <f>IF(  OR(      INDEX('calcolo base'!$D:$D, MATCH($A1343, 'calcolo base'!$A:$A, 0)) = 0,
      INDEX('calcolo base'!$D:$D, MATCH($A1343, 'calcolo base'!$A:$A, 0)) = ""   ),
   INDEX('calcolo base'!$K:$K, MATCH($A1343, 'calcolo base'!$A:$A, 0)),
   INDEX('calcolo base'!$J:$J, MATCH($A1343, 'calcolo base'!$A:$A, 0))
) / 1000</f>
        <v>#N/A</v>
      </c>
      <c r="J1343" s="50" t="e">
        <f t="shared" si="243"/>
        <v>#N/A</v>
      </c>
      <c r="K1343" s="50"/>
      <c r="L1343" s="267" t="e">
        <f>INDEX('calcolo base'!$H:$H, MATCH($A1343, 'calcolo base'!$A:$A, 0))</f>
        <v>#N/A</v>
      </c>
      <c r="M1343" s="50" t="e">
        <f t="shared" si="244"/>
        <v>#N/A</v>
      </c>
      <c r="N1343" s="50" t="e">
        <f t="shared" si="245"/>
        <v>#N/A</v>
      </c>
      <c r="O1343" s="50" t="e">
        <f t="shared" si="250"/>
        <v>#N/A</v>
      </c>
      <c r="P1343" s="50" t="e">
        <f t="shared" si="246"/>
        <v>#N/A</v>
      </c>
      <c r="Q1343" s="51" t="e">
        <f t="shared" si="247"/>
        <v>#N/A</v>
      </c>
      <c r="R1343" s="205" t="e">
        <f t="shared" si="248"/>
        <v>#N/A</v>
      </c>
      <c r="S1343" s="279" t="e">
        <f>IF(R1343="si",0,IF(E1343="si",0,IF(J1343&gt;K1343,0,+K1343-J1343)))+IF('calcolo base'!P2035="SI",('Commissioni De Angeli'!K1343-'Commissioni De Angeli'!J1343),0)</f>
        <v>#N/A</v>
      </c>
      <c r="T1343" s="117" t="e">
        <f t="shared" si="249"/>
        <v>#N/A</v>
      </c>
      <c r="U1343" s="272" t="e">
        <f>IF(Q1343=0,'calcolo base'!L3942,(T1343+Q1343))</f>
        <v>#N/A</v>
      </c>
      <c r="V1343" s="119"/>
      <c r="Z1343" s="118">
        <f t="shared" si="240"/>
        <v>0</v>
      </c>
      <c r="AA1343" s="118">
        <f t="shared" si="241"/>
        <v>0</v>
      </c>
    </row>
    <row r="1344" spans="2:27">
      <c r="B1344" s="47"/>
      <c r="C1344" s="35"/>
      <c r="D1344" s="53"/>
      <c r="E1344" s="53"/>
      <c r="F1344" s="48"/>
      <c r="G1344" s="243" t="e">
        <f>INDEX('calcolo base'!$B:$B, MATCH($A1344, 'calcolo base'!$A:$A, 0))</f>
        <v>#N/A</v>
      </c>
      <c r="H1344" s="54" t="e">
        <f t="shared" si="242"/>
        <v>#N/A</v>
      </c>
      <c r="I1344" s="259" t="e">
        <f>IF(  OR(      INDEX('calcolo base'!$D:$D, MATCH($A1344, 'calcolo base'!$A:$A, 0)) = 0,
      INDEX('calcolo base'!$D:$D, MATCH($A1344, 'calcolo base'!$A:$A, 0)) = ""   ),
   INDEX('calcolo base'!$K:$K, MATCH($A1344, 'calcolo base'!$A:$A, 0)),
   INDEX('calcolo base'!$J:$J, MATCH($A1344, 'calcolo base'!$A:$A, 0))
) / 1000</f>
        <v>#N/A</v>
      </c>
      <c r="J1344" s="50" t="e">
        <f t="shared" si="243"/>
        <v>#N/A</v>
      </c>
      <c r="K1344" s="50"/>
      <c r="L1344" s="267" t="e">
        <f>INDEX('calcolo base'!$H:$H, MATCH($A1344, 'calcolo base'!$A:$A, 0))</f>
        <v>#N/A</v>
      </c>
      <c r="M1344" s="50" t="e">
        <f t="shared" si="244"/>
        <v>#N/A</v>
      </c>
      <c r="N1344" s="50" t="e">
        <f t="shared" si="245"/>
        <v>#N/A</v>
      </c>
      <c r="O1344" s="50" t="e">
        <f t="shared" si="250"/>
        <v>#N/A</v>
      </c>
      <c r="P1344" s="50" t="e">
        <f t="shared" si="246"/>
        <v>#N/A</v>
      </c>
      <c r="Q1344" s="51" t="e">
        <f t="shared" si="247"/>
        <v>#N/A</v>
      </c>
      <c r="R1344" s="205" t="e">
        <f t="shared" si="248"/>
        <v>#N/A</v>
      </c>
      <c r="S1344" s="279" t="e">
        <f>IF(R1344="si",0,IF(E1344="si",0,IF(J1344&gt;K1344,0,+K1344-J1344)))+IF('calcolo base'!P2036="SI",('Commissioni De Angeli'!K1344-'Commissioni De Angeli'!J1344),0)</f>
        <v>#N/A</v>
      </c>
      <c r="T1344" s="117" t="e">
        <f t="shared" si="249"/>
        <v>#N/A</v>
      </c>
      <c r="U1344" s="272" t="e">
        <f>IF(Q1344=0,'calcolo base'!L3943,(T1344+Q1344))</f>
        <v>#N/A</v>
      </c>
      <c r="V1344" s="119"/>
      <c r="Z1344" s="118">
        <f t="shared" si="240"/>
        <v>0</v>
      </c>
      <c r="AA1344" s="118">
        <f t="shared" si="241"/>
        <v>0</v>
      </c>
    </row>
    <row r="1345" spans="2:27">
      <c r="B1345" s="47"/>
      <c r="C1345" s="35"/>
      <c r="D1345" s="53"/>
      <c r="E1345" s="53"/>
      <c r="F1345" s="48"/>
      <c r="G1345" s="243" t="e">
        <f>INDEX('calcolo base'!$B:$B, MATCH($A1345, 'calcolo base'!$A:$A, 0))</f>
        <v>#N/A</v>
      </c>
      <c r="H1345" s="54" t="e">
        <f t="shared" si="242"/>
        <v>#N/A</v>
      </c>
      <c r="I1345" s="259" t="e">
        <f>IF(  OR(      INDEX('calcolo base'!$D:$D, MATCH($A1345, 'calcolo base'!$A:$A, 0)) = 0,
      INDEX('calcolo base'!$D:$D, MATCH($A1345, 'calcolo base'!$A:$A, 0)) = ""   ),
   INDEX('calcolo base'!$K:$K, MATCH($A1345, 'calcolo base'!$A:$A, 0)),
   INDEX('calcolo base'!$J:$J, MATCH($A1345, 'calcolo base'!$A:$A, 0))
) / 1000</f>
        <v>#N/A</v>
      </c>
      <c r="J1345" s="50" t="e">
        <f t="shared" si="243"/>
        <v>#N/A</v>
      </c>
      <c r="K1345" s="50"/>
      <c r="L1345" s="267" t="e">
        <f>INDEX('calcolo base'!$H:$H, MATCH($A1345, 'calcolo base'!$A:$A, 0))</f>
        <v>#N/A</v>
      </c>
      <c r="M1345" s="50" t="e">
        <f t="shared" si="244"/>
        <v>#N/A</v>
      </c>
      <c r="N1345" s="50" t="e">
        <f t="shared" si="245"/>
        <v>#N/A</v>
      </c>
      <c r="O1345" s="50" t="e">
        <f t="shared" si="250"/>
        <v>#N/A</v>
      </c>
      <c r="P1345" s="50" t="e">
        <f t="shared" si="246"/>
        <v>#N/A</v>
      </c>
      <c r="Q1345" s="51" t="e">
        <f t="shared" si="247"/>
        <v>#N/A</v>
      </c>
      <c r="R1345" s="205" t="e">
        <f t="shared" si="248"/>
        <v>#N/A</v>
      </c>
      <c r="S1345" s="279" t="e">
        <f>IF(R1345="si",0,IF(E1345="si",0,IF(J1345&gt;K1345,0,+K1345-J1345)))+IF('calcolo base'!P2037="SI",('Commissioni De Angeli'!K1345-'Commissioni De Angeli'!J1345),0)</f>
        <v>#N/A</v>
      </c>
      <c r="T1345" s="117" t="e">
        <f t="shared" si="249"/>
        <v>#N/A</v>
      </c>
      <c r="U1345" s="272" t="e">
        <f>IF(Q1345=0,'calcolo base'!L3944,(T1345+Q1345))</f>
        <v>#N/A</v>
      </c>
      <c r="V1345" s="119"/>
      <c r="Z1345" s="118">
        <f t="shared" si="240"/>
        <v>0</v>
      </c>
      <c r="AA1345" s="118">
        <f t="shared" si="241"/>
        <v>0</v>
      </c>
    </row>
    <row r="1346" spans="2:27">
      <c r="B1346" s="47"/>
      <c r="C1346" s="35"/>
      <c r="D1346" s="53"/>
      <c r="E1346" s="53"/>
      <c r="F1346" s="48"/>
      <c r="G1346" s="243" t="e">
        <f>INDEX('calcolo base'!$B:$B, MATCH($A1346, 'calcolo base'!$A:$A, 0))</f>
        <v>#N/A</v>
      </c>
      <c r="H1346" s="54" t="e">
        <f t="shared" si="242"/>
        <v>#N/A</v>
      </c>
      <c r="I1346" s="259" t="e">
        <f>IF(  OR(      INDEX('calcolo base'!$D:$D, MATCH($A1346, 'calcolo base'!$A:$A, 0)) = 0,
      INDEX('calcolo base'!$D:$D, MATCH($A1346, 'calcolo base'!$A:$A, 0)) = ""   ),
   INDEX('calcolo base'!$K:$K, MATCH($A1346, 'calcolo base'!$A:$A, 0)),
   INDEX('calcolo base'!$J:$J, MATCH($A1346, 'calcolo base'!$A:$A, 0))
) / 1000</f>
        <v>#N/A</v>
      </c>
      <c r="J1346" s="50" t="e">
        <f t="shared" si="243"/>
        <v>#N/A</v>
      </c>
      <c r="K1346" s="50"/>
      <c r="L1346" s="267" t="e">
        <f>INDEX('calcolo base'!$H:$H, MATCH($A1346, 'calcolo base'!$A:$A, 0))</f>
        <v>#N/A</v>
      </c>
      <c r="M1346" s="50" t="e">
        <f t="shared" si="244"/>
        <v>#N/A</v>
      </c>
      <c r="N1346" s="50" t="e">
        <f t="shared" si="245"/>
        <v>#N/A</v>
      </c>
      <c r="O1346" s="50" t="e">
        <f t="shared" si="250"/>
        <v>#N/A</v>
      </c>
      <c r="P1346" s="50" t="e">
        <f t="shared" si="246"/>
        <v>#N/A</v>
      </c>
      <c r="Q1346" s="51" t="e">
        <f t="shared" si="247"/>
        <v>#N/A</v>
      </c>
      <c r="R1346" s="205" t="e">
        <f t="shared" si="248"/>
        <v>#N/A</v>
      </c>
      <c r="S1346" s="279" t="e">
        <f>IF(R1346="si",0,IF(E1346="si",0,IF(J1346&gt;K1346,0,+K1346-J1346)))+IF('calcolo base'!P2038="SI",('Commissioni De Angeli'!K1346-'Commissioni De Angeli'!J1346),0)</f>
        <v>#N/A</v>
      </c>
      <c r="T1346" s="117" t="e">
        <f t="shared" si="249"/>
        <v>#N/A</v>
      </c>
      <c r="U1346" s="272" t="e">
        <f>IF(Q1346=0,'calcolo base'!L3945,(T1346+Q1346))</f>
        <v>#N/A</v>
      </c>
      <c r="V1346" s="119"/>
      <c r="Z1346" s="118">
        <f t="shared" si="240"/>
        <v>0</v>
      </c>
      <c r="AA1346" s="118">
        <f t="shared" si="241"/>
        <v>0</v>
      </c>
    </row>
    <row r="1347" spans="2:27">
      <c r="B1347" s="47"/>
      <c r="C1347" s="35"/>
      <c r="D1347" s="53"/>
      <c r="E1347" s="53"/>
      <c r="F1347" s="48"/>
      <c r="G1347" s="243" t="e">
        <f>INDEX('calcolo base'!$B:$B, MATCH($A1347, 'calcolo base'!$A:$A, 0))</f>
        <v>#N/A</v>
      </c>
      <c r="H1347" s="54" t="e">
        <f t="shared" si="242"/>
        <v>#N/A</v>
      </c>
      <c r="I1347" s="259" t="e">
        <f>IF(  OR(      INDEX('calcolo base'!$D:$D, MATCH($A1347, 'calcolo base'!$A:$A, 0)) = 0,
      INDEX('calcolo base'!$D:$D, MATCH($A1347, 'calcolo base'!$A:$A, 0)) = ""   ),
   INDEX('calcolo base'!$K:$K, MATCH($A1347, 'calcolo base'!$A:$A, 0)),
   INDEX('calcolo base'!$J:$J, MATCH($A1347, 'calcolo base'!$A:$A, 0))
) / 1000</f>
        <v>#N/A</v>
      </c>
      <c r="J1347" s="50" t="e">
        <f t="shared" si="243"/>
        <v>#N/A</v>
      </c>
      <c r="K1347" s="50"/>
      <c r="L1347" s="267" t="e">
        <f>INDEX('calcolo base'!$H:$H, MATCH($A1347, 'calcolo base'!$A:$A, 0))</f>
        <v>#N/A</v>
      </c>
      <c r="M1347" s="50" t="e">
        <f t="shared" si="244"/>
        <v>#N/A</v>
      </c>
      <c r="N1347" s="50" t="e">
        <f t="shared" si="245"/>
        <v>#N/A</v>
      </c>
      <c r="O1347" s="50" t="e">
        <f t="shared" si="250"/>
        <v>#N/A</v>
      </c>
      <c r="P1347" s="50" t="e">
        <f t="shared" si="246"/>
        <v>#N/A</v>
      </c>
      <c r="Q1347" s="51" t="e">
        <f t="shared" si="247"/>
        <v>#N/A</v>
      </c>
      <c r="R1347" s="205" t="e">
        <f t="shared" si="248"/>
        <v>#N/A</v>
      </c>
      <c r="S1347" s="279" t="e">
        <f>IF(R1347="si",0,IF(E1347="si",0,IF(J1347&gt;K1347,0,+K1347-J1347)))+IF('calcolo base'!P2039="SI",('Commissioni De Angeli'!K1347-'Commissioni De Angeli'!J1347),0)</f>
        <v>#N/A</v>
      </c>
      <c r="T1347" s="117" t="e">
        <f t="shared" si="249"/>
        <v>#N/A</v>
      </c>
      <c r="U1347" s="272" t="e">
        <f>IF(Q1347=0,'calcolo base'!L3946,(T1347+Q1347))</f>
        <v>#N/A</v>
      </c>
      <c r="V1347" s="119"/>
      <c r="Z1347" s="118">
        <f t="shared" si="240"/>
        <v>0</v>
      </c>
      <c r="AA1347" s="118">
        <f t="shared" si="241"/>
        <v>0</v>
      </c>
    </row>
    <row r="1348" spans="2:27">
      <c r="B1348" s="47"/>
      <c r="C1348" s="35"/>
      <c r="D1348" s="53"/>
      <c r="E1348" s="53"/>
      <c r="F1348" s="48"/>
      <c r="G1348" s="243" t="e">
        <f>INDEX('calcolo base'!$B:$B, MATCH($A1348, 'calcolo base'!$A:$A, 0))</f>
        <v>#N/A</v>
      </c>
      <c r="H1348" s="54" t="e">
        <f t="shared" si="242"/>
        <v>#N/A</v>
      </c>
      <c r="I1348" s="259" t="e">
        <f>IF(  OR(      INDEX('calcolo base'!$D:$D, MATCH($A1348, 'calcolo base'!$A:$A, 0)) = 0,
      INDEX('calcolo base'!$D:$D, MATCH($A1348, 'calcolo base'!$A:$A, 0)) = ""   ),
   INDEX('calcolo base'!$K:$K, MATCH($A1348, 'calcolo base'!$A:$A, 0)),
   INDEX('calcolo base'!$J:$J, MATCH($A1348, 'calcolo base'!$A:$A, 0))
) / 1000</f>
        <v>#N/A</v>
      </c>
      <c r="J1348" s="50" t="e">
        <f t="shared" si="243"/>
        <v>#N/A</v>
      </c>
      <c r="K1348" s="50"/>
      <c r="L1348" s="267" t="e">
        <f>INDEX('calcolo base'!$H:$H, MATCH($A1348, 'calcolo base'!$A:$A, 0))</f>
        <v>#N/A</v>
      </c>
      <c r="M1348" s="50" t="e">
        <f t="shared" si="244"/>
        <v>#N/A</v>
      </c>
      <c r="N1348" s="50" t="e">
        <f t="shared" si="245"/>
        <v>#N/A</v>
      </c>
      <c r="O1348" s="50" t="e">
        <f t="shared" si="250"/>
        <v>#N/A</v>
      </c>
      <c r="P1348" s="50" t="e">
        <f t="shared" si="246"/>
        <v>#N/A</v>
      </c>
      <c r="Q1348" s="51" t="e">
        <f t="shared" si="247"/>
        <v>#N/A</v>
      </c>
      <c r="R1348" s="205" t="e">
        <f t="shared" si="248"/>
        <v>#N/A</v>
      </c>
      <c r="S1348" s="279" t="e">
        <f>IF(R1348="si",0,IF(E1348="si",0,IF(J1348&gt;K1348,0,+K1348-J1348)))+IF('calcolo base'!P2040="SI",('Commissioni De Angeli'!K1348-'Commissioni De Angeli'!J1348),0)</f>
        <v>#N/A</v>
      </c>
      <c r="T1348" s="117" t="e">
        <f t="shared" si="249"/>
        <v>#N/A</v>
      </c>
      <c r="U1348" s="272" t="e">
        <f>IF(Q1348=0,'calcolo base'!L3947,(T1348+Q1348))</f>
        <v>#N/A</v>
      </c>
      <c r="V1348" s="119"/>
      <c r="Z1348" s="118">
        <f t="shared" si="240"/>
        <v>0</v>
      </c>
      <c r="AA1348" s="118">
        <f t="shared" si="241"/>
        <v>0</v>
      </c>
    </row>
    <row r="1349" spans="2:27">
      <c r="B1349" s="47"/>
      <c r="C1349" s="35"/>
      <c r="D1349" s="53"/>
      <c r="E1349" s="53"/>
      <c r="F1349" s="48"/>
      <c r="G1349" s="243" t="e">
        <f>INDEX('calcolo base'!$B:$B, MATCH($A1349, 'calcolo base'!$A:$A, 0))</f>
        <v>#N/A</v>
      </c>
      <c r="H1349" s="54" t="e">
        <f t="shared" si="242"/>
        <v>#N/A</v>
      </c>
      <c r="I1349" s="259" t="e">
        <f>IF(  OR(      INDEX('calcolo base'!$D:$D, MATCH($A1349, 'calcolo base'!$A:$A, 0)) = 0,
      INDEX('calcolo base'!$D:$D, MATCH($A1349, 'calcolo base'!$A:$A, 0)) = ""   ),
   INDEX('calcolo base'!$K:$K, MATCH($A1349, 'calcolo base'!$A:$A, 0)),
   INDEX('calcolo base'!$J:$J, MATCH($A1349, 'calcolo base'!$A:$A, 0))
) / 1000</f>
        <v>#N/A</v>
      </c>
      <c r="J1349" s="50" t="e">
        <f t="shared" si="243"/>
        <v>#N/A</v>
      </c>
      <c r="K1349" s="50"/>
      <c r="L1349" s="267" t="e">
        <f>INDEX('calcolo base'!$H:$H, MATCH($A1349, 'calcolo base'!$A:$A, 0))</f>
        <v>#N/A</v>
      </c>
      <c r="M1349" s="50" t="e">
        <f t="shared" si="244"/>
        <v>#N/A</v>
      </c>
      <c r="N1349" s="50" t="e">
        <f t="shared" si="245"/>
        <v>#N/A</v>
      </c>
      <c r="O1349" s="50" t="e">
        <f t="shared" si="250"/>
        <v>#N/A</v>
      </c>
      <c r="P1349" s="50" t="e">
        <f t="shared" si="246"/>
        <v>#N/A</v>
      </c>
      <c r="Q1349" s="51" t="e">
        <f t="shared" si="247"/>
        <v>#N/A</v>
      </c>
      <c r="R1349" s="205" t="e">
        <f t="shared" si="248"/>
        <v>#N/A</v>
      </c>
      <c r="S1349" s="279" t="e">
        <f>IF(R1349="si",0,IF(E1349="si",0,IF(J1349&gt;K1349,0,+K1349-J1349)))+IF('calcolo base'!P2041="SI",('Commissioni De Angeli'!K1349-'Commissioni De Angeli'!J1349),0)</f>
        <v>#N/A</v>
      </c>
      <c r="T1349" s="117" t="e">
        <f t="shared" si="249"/>
        <v>#N/A</v>
      </c>
      <c r="U1349" s="272" t="e">
        <f>IF(Q1349=0,'calcolo base'!L3948,(T1349+Q1349))</f>
        <v>#N/A</v>
      </c>
      <c r="V1349" s="119"/>
      <c r="Z1349" s="118">
        <f t="shared" si="240"/>
        <v>0</v>
      </c>
      <c r="AA1349" s="118">
        <f t="shared" si="241"/>
        <v>0</v>
      </c>
    </row>
    <row r="1350" spans="2:27">
      <c r="B1350" s="47"/>
      <c r="C1350" s="35"/>
      <c r="D1350" s="53"/>
      <c r="E1350" s="53"/>
      <c r="F1350" s="48"/>
      <c r="G1350" s="243" t="e">
        <f>INDEX('calcolo base'!$B:$B, MATCH($A1350, 'calcolo base'!$A:$A, 0))</f>
        <v>#N/A</v>
      </c>
      <c r="H1350" s="54" t="e">
        <f t="shared" si="242"/>
        <v>#N/A</v>
      </c>
      <c r="I1350" s="259" t="e">
        <f>IF(  OR(      INDEX('calcolo base'!$D:$D, MATCH($A1350, 'calcolo base'!$A:$A, 0)) = 0,
      INDEX('calcolo base'!$D:$D, MATCH($A1350, 'calcolo base'!$A:$A, 0)) = ""   ),
   INDEX('calcolo base'!$K:$K, MATCH($A1350, 'calcolo base'!$A:$A, 0)),
   INDEX('calcolo base'!$J:$J, MATCH($A1350, 'calcolo base'!$A:$A, 0))
) / 1000</f>
        <v>#N/A</v>
      </c>
      <c r="J1350" s="50" t="e">
        <f t="shared" si="243"/>
        <v>#N/A</v>
      </c>
      <c r="K1350" s="50"/>
      <c r="L1350" s="267" t="e">
        <f>INDEX('calcolo base'!$H:$H, MATCH($A1350, 'calcolo base'!$A:$A, 0))</f>
        <v>#N/A</v>
      </c>
      <c r="M1350" s="50" t="e">
        <f t="shared" si="244"/>
        <v>#N/A</v>
      </c>
      <c r="N1350" s="50" t="e">
        <f t="shared" si="245"/>
        <v>#N/A</v>
      </c>
      <c r="O1350" s="50" t="e">
        <f t="shared" si="250"/>
        <v>#N/A</v>
      </c>
      <c r="P1350" s="50" t="e">
        <f t="shared" si="246"/>
        <v>#N/A</v>
      </c>
      <c r="Q1350" s="51" t="e">
        <f t="shared" si="247"/>
        <v>#N/A</v>
      </c>
      <c r="R1350" s="205" t="e">
        <f t="shared" si="248"/>
        <v>#N/A</v>
      </c>
      <c r="S1350" s="279" t="e">
        <f>IF(R1350="si",0,IF(E1350="si",0,IF(J1350&gt;K1350,0,+K1350-J1350)))+IF('calcolo base'!P2042="SI",('Commissioni De Angeli'!K1350-'Commissioni De Angeli'!J1350),0)</f>
        <v>#N/A</v>
      </c>
      <c r="T1350" s="117" t="e">
        <f t="shared" si="249"/>
        <v>#N/A</v>
      </c>
      <c r="U1350" s="272" t="e">
        <f>IF(Q1350=0,'calcolo base'!L3949,(T1350+Q1350))</f>
        <v>#N/A</v>
      </c>
      <c r="V1350" s="119"/>
      <c r="Z1350" s="118">
        <f t="shared" si="240"/>
        <v>0</v>
      </c>
      <c r="AA1350" s="118">
        <f t="shared" si="241"/>
        <v>0</v>
      </c>
    </row>
    <row r="1351" spans="2:27">
      <c r="B1351" s="47"/>
      <c r="C1351" s="35"/>
      <c r="D1351" s="53"/>
      <c r="E1351" s="53"/>
      <c r="F1351" s="48"/>
      <c r="G1351" s="243" t="e">
        <f>INDEX('calcolo base'!$B:$B, MATCH($A1351, 'calcolo base'!$A:$A, 0))</f>
        <v>#N/A</v>
      </c>
      <c r="H1351" s="54" t="e">
        <f t="shared" si="242"/>
        <v>#N/A</v>
      </c>
      <c r="I1351" s="259" t="e">
        <f>IF(  OR(      INDEX('calcolo base'!$D:$D, MATCH($A1351, 'calcolo base'!$A:$A, 0)) = 0,
      INDEX('calcolo base'!$D:$D, MATCH($A1351, 'calcolo base'!$A:$A, 0)) = ""   ),
   INDEX('calcolo base'!$K:$K, MATCH($A1351, 'calcolo base'!$A:$A, 0)),
   INDEX('calcolo base'!$J:$J, MATCH($A1351, 'calcolo base'!$A:$A, 0))
) / 1000</f>
        <v>#N/A</v>
      </c>
      <c r="J1351" s="50" t="e">
        <f t="shared" si="243"/>
        <v>#N/A</v>
      </c>
      <c r="K1351" s="50"/>
      <c r="L1351" s="267" t="e">
        <f>INDEX('calcolo base'!$H:$H, MATCH($A1351, 'calcolo base'!$A:$A, 0))</f>
        <v>#N/A</v>
      </c>
      <c r="M1351" s="50" t="e">
        <f t="shared" si="244"/>
        <v>#N/A</v>
      </c>
      <c r="N1351" s="50" t="e">
        <f t="shared" si="245"/>
        <v>#N/A</v>
      </c>
      <c r="O1351" s="50" t="e">
        <f t="shared" si="250"/>
        <v>#N/A</v>
      </c>
      <c r="P1351" s="50" t="e">
        <f t="shared" si="246"/>
        <v>#N/A</v>
      </c>
      <c r="Q1351" s="51" t="e">
        <f t="shared" si="247"/>
        <v>#N/A</v>
      </c>
      <c r="R1351" s="205" t="e">
        <f t="shared" si="248"/>
        <v>#N/A</v>
      </c>
      <c r="S1351" s="279" t="e">
        <f>IF(R1351="si",0,IF(E1351="si",0,IF(J1351&gt;K1351,0,+K1351-J1351)))+IF('calcolo base'!P2043="SI",('Commissioni De Angeli'!K1351-'Commissioni De Angeli'!J1351),0)</f>
        <v>#N/A</v>
      </c>
      <c r="T1351" s="117" t="e">
        <f t="shared" si="249"/>
        <v>#N/A</v>
      </c>
      <c r="U1351" s="272" t="e">
        <f>IF(Q1351=0,'calcolo base'!L3950,(T1351+Q1351))</f>
        <v>#N/A</v>
      </c>
      <c r="V1351" s="119"/>
      <c r="Z1351" s="118">
        <f t="shared" si="240"/>
        <v>0</v>
      </c>
      <c r="AA1351" s="118">
        <f t="shared" si="241"/>
        <v>0</v>
      </c>
    </row>
    <row r="1352" spans="2:27">
      <c r="B1352" s="47"/>
      <c r="C1352" s="35"/>
      <c r="D1352" s="53"/>
      <c r="E1352" s="53"/>
      <c r="F1352" s="48"/>
      <c r="G1352" s="243" t="e">
        <f>INDEX('calcolo base'!$B:$B, MATCH($A1352, 'calcolo base'!$A:$A, 0))</f>
        <v>#N/A</v>
      </c>
      <c r="H1352" s="54" t="e">
        <f t="shared" si="242"/>
        <v>#N/A</v>
      </c>
      <c r="I1352" s="259" t="e">
        <f>IF(  OR(      INDEX('calcolo base'!$D:$D, MATCH($A1352, 'calcolo base'!$A:$A, 0)) = 0,
      INDEX('calcolo base'!$D:$D, MATCH($A1352, 'calcolo base'!$A:$A, 0)) = ""   ),
   INDEX('calcolo base'!$K:$K, MATCH($A1352, 'calcolo base'!$A:$A, 0)),
   INDEX('calcolo base'!$J:$J, MATCH($A1352, 'calcolo base'!$A:$A, 0))
) / 1000</f>
        <v>#N/A</v>
      </c>
      <c r="J1352" s="50" t="e">
        <f t="shared" si="243"/>
        <v>#N/A</v>
      </c>
      <c r="K1352" s="50"/>
      <c r="L1352" s="267" t="e">
        <f>INDEX('calcolo base'!$H:$H, MATCH($A1352, 'calcolo base'!$A:$A, 0))</f>
        <v>#N/A</v>
      </c>
      <c r="M1352" s="50" t="e">
        <f t="shared" si="244"/>
        <v>#N/A</v>
      </c>
      <c r="N1352" s="50" t="e">
        <f t="shared" si="245"/>
        <v>#N/A</v>
      </c>
      <c r="O1352" s="50" t="e">
        <f t="shared" si="250"/>
        <v>#N/A</v>
      </c>
      <c r="P1352" s="50" t="e">
        <f t="shared" si="246"/>
        <v>#N/A</v>
      </c>
      <c r="Q1352" s="51" t="e">
        <f t="shared" si="247"/>
        <v>#N/A</v>
      </c>
      <c r="R1352" s="205" t="e">
        <f t="shared" si="248"/>
        <v>#N/A</v>
      </c>
      <c r="S1352" s="279" t="e">
        <f>IF(R1352="si",0,IF(E1352="si",0,IF(J1352&gt;K1352,0,+K1352-J1352)))+IF('calcolo base'!P2044="SI",('Commissioni De Angeli'!K1352-'Commissioni De Angeli'!J1352),0)</f>
        <v>#N/A</v>
      </c>
      <c r="T1352" s="117" t="e">
        <f t="shared" si="249"/>
        <v>#N/A</v>
      </c>
      <c r="U1352" s="272" t="e">
        <f>IF(Q1352=0,'calcolo base'!L3951,(T1352+Q1352))</f>
        <v>#N/A</v>
      </c>
      <c r="V1352" s="119"/>
      <c r="Z1352" s="118">
        <f t="shared" si="240"/>
        <v>0</v>
      </c>
      <c r="AA1352" s="118">
        <f t="shared" si="241"/>
        <v>0</v>
      </c>
    </row>
    <row r="1353" spans="2:27">
      <c r="B1353" s="47"/>
      <c r="C1353" s="35"/>
      <c r="D1353" s="53"/>
      <c r="E1353" s="53"/>
      <c r="F1353" s="48"/>
      <c r="G1353" s="243" t="e">
        <f>INDEX('calcolo base'!$B:$B, MATCH($A1353, 'calcolo base'!$A:$A, 0))</f>
        <v>#N/A</v>
      </c>
      <c r="H1353" s="54" t="e">
        <f t="shared" si="242"/>
        <v>#N/A</v>
      </c>
      <c r="I1353" s="259" t="e">
        <f>IF(  OR(      INDEX('calcolo base'!$D:$D, MATCH($A1353, 'calcolo base'!$A:$A, 0)) = 0,
      INDEX('calcolo base'!$D:$D, MATCH($A1353, 'calcolo base'!$A:$A, 0)) = ""   ),
   INDEX('calcolo base'!$K:$K, MATCH($A1353, 'calcolo base'!$A:$A, 0)),
   INDEX('calcolo base'!$J:$J, MATCH($A1353, 'calcolo base'!$A:$A, 0))
) / 1000</f>
        <v>#N/A</v>
      </c>
      <c r="J1353" s="50" t="e">
        <f t="shared" si="243"/>
        <v>#N/A</v>
      </c>
      <c r="K1353" s="50"/>
      <c r="L1353" s="267" t="e">
        <f>INDEX('calcolo base'!$H:$H, MATCH($A1353, 'calcolo base'!$A:$A, 0))</f>
        <v>#N/A</v>
      </c>
      <c r="M1353" s="50" t="e">
        <f t="shared" si="244"/>
        <v>#N/A</v>
      </c>
      <c r="N1353" s="50" t="e">
        <f t="shared" si="245"/>
        <v>#N/A</v>
      </c>
      <c r="O1353" s="50" t="e">
        <f t="shared" si="250"/>
        <v>#N/A</v>
      </c>
      <c r="P1353" s="50" t="e">
        <f t="shared" si="246"/>
        <v>#N/A</v>
      </c>
      <c r="Q1353" s="51" t="e">
        <f t="shared" si="247"/>
        <v>#N/A</v>
      </c>
      <c r="R1353" s="205" t="e">
        <f t="shared" si="248"/>
        <v>#N/A</v>
      </c>
      <c r="S1353" s="279" t="e">
        <f>IF(R1353="si",0,IF(E1353="si",0,IF(J1353&gt;K1353,0,+K1353-J1353)))+IF('calcolo base'!P2045="SI",('Commissioni De Angeli'!K1353-'Commissioni De Angeli'!J1353),0)</f>
        <v>#N/A</v>
      </c>
      <c r="T1353" s="117" t="e">
        <f t="shared" si="249"/>
        <v>#N/A</v>
      </c>
      <c r="U1353" s="272" t="e">
        <f>IF(Q1353=0,'calcolo base'!L3952,(T1353+Q1353))</f>
        <v>#N/A</v>
      </c>
      <c r="V1353" s="119"/>
      <c r="Z1353" s="118">
        <f t="shared" si="240"/>
        <v>0</v>
      </c>
      <c r="AA1353" s="118">
        <f t="shared" si="241"/>
        <v>0</v>
      </c>
    </row>
    <row r="1354" spans="2:27">
      <c r="B1354" s="47"/>
      <c r="C1354" s="35"/>
      <c r="D1354" s="53"/>
      <c r="E1354" s="53"/>
      <c r="F1354" s="48"/>
      <c r="G1354" s="243" t="e">
        <f>INDEX('calcolo base'!$B:$B, MATCH($A1354, 'calcolo base'!$A:$A, 0))</f>
        <v>#N/A</v>
      </c>
      <c r="H1354" s="54" t="e">
        <f t="shared" si="242"/>
        <v>#N/A</v>
      </c>
      <c r="I1354" s="259" t="e">
        <f>IF(  OR(      INDEX('calcolo base'!$D:$D, MATCH($A1354, 'calcolo base'!$A:$A, 0)) = 0,
      INDEX('calcolo base'!$D:$D, MATCH($A1354, 'calcolo base'!$A:$A, 0)) = ""   ),
   INDEX('calcolo base'!$K:$K, MATCH($A1354, 'calcolo base'!$A:$A, 0)),
   INDEX('calcolo base'!$J:$J, MATCH($A1354, 'calcolo base'!$A:$A, 0))
) / 1000</f>
        <v>#N/A</v>
      </c>
      <c r="J1354" s="50" t="e">
        <f t="shared" si="243"/>
        <v>#N/A</v>
      </c>
      <c r="K1354" s="50"/>
      <c r="L1354" s="267" t="e">
        <f>INDEX('calcolo base'!$H:$H, MATCH($A1354, 'calcolo base'!$A:$A, 0))</f>
        <v>#N/A</v>
      </c>
      <c r="M1354" s="50" t="e">
        <f t="shared" si="244"/>
        <v>#N/A</v>
      </c>
      <c r="N1354" s="50" t="e">
        <f t="shared" si="245"/>
        <v>#N/A</v>
      </c>
      <c r="O1354" s="50" t="e">
        <f t="shared" si="250"/>
        <v>#N/A</v>
      </c>
      <c r="P1354" s="50" t="e">
        <f t="shared" si="246"/>
        <v>#N/A</v>
      </c>
      <c r="Q1354" s="51" t="e">
        <f t="shared" si="247"/>
        <v>#N/A</v>
      </c>
      <c r="R1354" s="205" t="e">
        <f t="shared" si="248"/>
        <v>#N/A</v>
      </c>
      <c r="S1354" s="279" t="e">
        <f>IF(R1354="si",0,IF(E1354="si",0,IF(J1354&gt;K1354,0,+K1354-J1354)))+IF('calcolo base'!P2046="SI",('Commissioni De Angeli'!K1354-'Commissioni De Angeli'!J1354),0)</f>
        <v>#N/A</v>
      </c>
      <c r="T1354" s="117" t="e">
        <f t="shared" si="249"/>
        <v>#N/A</v>
      </c>
      <c r="U1354" s="272" t="e">
        <f>IF(Q1354=0,'calcolo base'!L3953,(T1354+Q1354))</f>
        <v>#N/A</v>
      </c>
      <c r="V1354" s="119"/>
      <c r="Z1354" s="118">
        <f t="shared" si="240"/>
        <v>0</v>
      </c>
      <c r="AA1354" s="118">
        <f t="shared" si="241"/>
        <v>0</v>
      </c>
    </row>
    <row r="1355" spans="2:27">
      <c r="B1355" s="47"/>
      <c r="C1355" s="35"/>
      <c r="D1355" s="53"/>
      <c r="E1355" s="53"/>
      <c r="F1355" s="48"/>
      <c r="G1355" s="243" t="e">
        <f>INDEX('calcolo base'!$B:$B, MATCH($A1355, 'calcolo base'!$A:$A, 0))</f>
        <v>#N/A</v>
      </c>
      <c r="H1355" s="54" t="e">
        <f t="shared" si="242"/>
        <v>#N/A</v>
      </c>
      <c r="I1355" s="259" t="e">
        <f>IF(  OR(      INDEX('calcolo base'!$D:$D, MATCH($A1355, 'calcolo base'!$A:$A, 0)) = 0,
      INDEX('calcolo base'!$D:$D, MATCH($A1355, 'calcolo base'!$A:$A, 0)) = ""   ),
   INDEX('calcolo base'!$K:$K, MATCH($A1355, 'calcolo base'!$A:$A, 0)),
   INDEX('calcolo base'!$J:$J, MATCH($A1355, 'calcolo base'!$A:$A, 0))
) / 1000</f>
        <v>#N/A</v>
      </c>
      <c r="J1355" s="50" t="e">
        <f t="shared" si="243"/>
        <v>#N/A</v>
      </c>
      <c r="K1355" s="50"/>
      <c r="L1355" s="267" t="e">
        <f>INDEX('calcolo base'!$H:$H, MATCH($A1355, 'calcolo base'!$A:$A, 0))</f>
        <v>#N/A</v>
      </c>
      <c r="M1355" s="50" t="e">
        <f t="shared" si="244"/>
        <v>#N/A</v>
      </c>
      <c r="N1355" s="50" t="e">
        <f t="shared" si="245"/>
        <v>#N/A</v>
      </c>
      <c r="O1355" s="50" t="e">
        <f t="shared" si="250"/>
        <v>#N/A</v>
      </c>
      <c r="P1355" s="50" t="e">
        <f t="shared" si="246"/>
        <v>#N/A</v>
      </c>
      <c r="Q1355" s="51" t="e">
        <f t="shared" si="247"/>
        <v>#N/A</v>
      </c>
      <c r="R1355" s="205" t="e">
        <f t="shared" si="248"/>
        <v>#N/A</v>
      </c>
      <c r="S1355" s="279" t="e">
        <f>IF(R1355="si",0,IF(E1355="si",0,IF(J1355&gt;K1355,0,+K1355-J1355)))+IF('calcolo base'!P2047="SI",('Commissioni De Angeli'!K1355-'Commissioni De Angeli'!J1355),0)</f>
        <v>#N/A</v>
      </c>
      <c r="T1355" s="117" t="e">
        <f t="shared" si="249"/>
        <v>#N/A</v>
      </c>
      <c r="U1355" s="272" t="e">
        <f>IF(Q1355=0,'calcolo base'!L3954,(T1355+Q1355))</f>
        <v>#N/A</v>
      </c>
      <c r="V1355" s="119"/>
      <c r="Z1355" s="118">
        <f t="shared" si="240"/>
        <v>0</v>
      </c>
      <c r="AA1355" s="118">
        <f t="shared" si="241"/>
        <v>0</v>
      </c>
    </row>
    <row r="1356" spans="2:27">
      <c r="B1356" s="47"/>
      <c r="C1356" s="35"/>
      <c r="D1356" s="53"/>
      <c r="E1356" s="53"/>
      <c r="F1356" s="48"/>
      <c r="G1356" s="243" t="e">
        <f>INDEX('calcolo base'!$B:$B, MATCH($A1356, 'calcolo base'!$A:$A, 0))</f>
        <v>#N/A</v>
      </c>
      <c r="H1356" s="54" t="e">
        <f t="shared" si="242"/>
        <v>#N/A</v>
      </c>
      <c r="I1356" s="259" t="e">
        <f>IF(  OR(      INDEX('calcolo base'!$D:$D, MATCH($A1356, 'calcolo base'!$A:$A, 0)) = 0,
      INDEX('calcolo base'!$D:$D, MATCH($A1356, 'calcolo base'!$A:$A, 0)) = ""   ),
   INDEX('calcolo base'!$K:$K, MATCH($A1356, 'calcolo base'!$A:$A, 0)),
   INDEX('calcolo base'!$J:$J, MATCH($A1356, 'calcolo base'!$A:$A, 0))
) / 1000</f>
        <v>#N/A</v>
      </c>
      <c r="J1356" s="50" t="e">
        <f t="shared" si="243"/>
        <v>#N/A</v>
      </c>
      <c r="K1356" s="50"/>
      <c r="L1356" s="267" t="e">
        <f>INDEX('calcolo base'!$H:$H, MATCH($A1356, 'calcolo base'!$A:$A, 0))</f>
        <v>#N/A</v>
      </c>
      <c r="M1356" s="50" t="e">
        <f t="shared" si="244"/>
        <v>#N/A</v>
      </c>
      <c r="N1356" s="50" t="e">
        <f t="shared" si="245"/>
        <v>#N/A</v>
      </c>
      <c r="O1356" s="50" t="e">
        <f t="shared" si="250"/>
        <v>#N/A</v>
      </c>
      <c r="P1356" s="50" t="e">
        <f t="shared" si="246"/>
        <v>#N/A</v>
      </c>
      <c r="Q1356" s="51" t="e">
        <f t="shared" si="247"/>
        <v>#N/A</v>
      </c>
      <c r="R1356" s="205" t="e">
        <f t="shared" si="248"/>
        <v>#N/A</v>
      </c>
      <c r="S1356" s="279" t="e">
        <f>IF(R1356="si",0,IF(E1356="si",0,IF(J1356&gt;K1356,0,+K1356-J1356)))+IF('calcolo base'!P2048="SI",('Commissioni De Angeli'!K1356-'Commissioni De Angeli'!J1356),0)</f>
        <v>#N/A</v>
      </c>
      <c r="T1356" s="117" t="e">
        <f t="shared" si="249"/>
        <v>#N/A</v>
      </c>
      <c r="U1356" s="272" t="e">
        <f>IF(Q1356=0,'calcolo base'!L3955,(T1356+Q1356))</f>
        <v>#N/A</v>
      </c>
      <c r="V1356" s="119"/>
      <c r="Z1356" s="118">
        <f t="shared" si="240"/>
        <v>0</v>
      </c>
      <c r="AA1356" s="118">
        <f t="shared" si="241"/>
        <v>0</v>
      </c>
    </row>
    <row r="1357" spans="2:27">
      <c r="B1357" s="47"/>
      <c r="C1357" s="35"/>
      <c r="D1357" s="53"/>
      <c r="E1357" s="53"/>
      <c r="F1357" s="48"/>
      <c r="G1357" s="243" t="e">
        <f>INDEX('calcolo base'!$B:$B, MATCH($A1357, 'calcolo base'!$A:$A, 0))</f>
        <v>#N/A</v>
      </c>
      <c r="H1357" s="54" t="e">
        <f t="shared" si="242"/>
        <v>#N/A</v>
      </c>
      <c r="I1357" s="259" t="e">
        <f>IF(  OR(      INDEX('calcolo base'!$D:$D, MATCH($A1357, 'calcolo base'!$A:$A, 0)) = 0,
      INDEX('calcolo base'!$D:$D, MATCH($A1357, 'calcolo base'!$A:$A, 0)) = ""   ),
   INDEX('calcolo base'!$K:$K, MATCH($A1357, 'calcolo base'!$A:$A, 0)),
   INDEX('calcolo base'!$J:$J, MATCH($A1357, 'calcolo base'!$A:$A, 0))
) / 1000</f>
        <v>#N/A</v>
      </c>
      <c r="J1357" s="50" t="e">
        <f t="shared" si="243"/>
        <v>#N/A</v>
      </c>
      <c r="K1357" s="50"/>
      <c r="L1357" s="267" t="e">
        <f>INDEX('calcolo base'!$H:$H, MATCH($A1357, 'calcolo base'!$A:$A, 0))</f>
        <v>#N/A</v>
      </c>
      <c r="M1357" s="50" t="e">
        <f t="shared" si="244"/>
        <v>#N/A</v>
      </c>
      <c r="N1357" s="50" t="e">
        <f t="shared" si="245"/>
        <v>#N/A</v>
      </c>
      <c r="O1357" s="50" t="e">
        <f t="shared" si="250"/>
        <v>#N/A</v>
      </c>
      <c r="P1357" s="50" t="e">
        <f t="shared" si="246"/>
        <v>#N/A</v>
      </c>
      <c r="Q1357" s="51" t="e">
        <f t="shared" si="247"/>
        <v>#N/A</v>
      </c>
      <c r="R1357" s="205" t="e">
        <f t="shared" si="248"/>
        <v>#N/A</v>
      </c>
      <c r="S1357" s="279" t="e">
        <f>IF(R1357="si",0,IF(E1357="si",0,IF(J1357&gt;K1357,0,+K1357-J1357)))+IF('calcolo base'!P2049="SI",('Commissioni De Angeli'!K1357-'Commissioni De Angeli'!J1357),0)</f>
        <v>#N/A</v>
      </c>
      <c r="T1357" s="117" t="e">
        <f t="shared" si="249"/>
        <v>#N/A</v>
      </c>
      <c r="U1357" s="272" t="e">
        <f>IF(Q1357=0,'calcolo base'!L3956,(T1357+Q1357))</f>
        <v>#N/A</v>
      </c>
      <c r="V1357" s="119"/>
      <c r="Z1357" s="118">
        <f t="shared" si="240"/>
        <v>0</v>
      </c>
      <c r="AA1357" s="118">
        <f t="shared" si="241"/>
        <v>0</v>
      </c>
    </row>
    <row r="1358" spans="2:27">
      <c r="B1358" s="47"/>
      <c r="C1358" s="35"/>
      <c r="D1358" s="53"/>
      <c r="E1358" s="53"/>
      <c r="F1358" s="48"/>
      <c r="G1358" s="243" t="e">
        <f>INDEX('calcolo base'!$B:$B, MATCH($A1358, 'calcolo base'!$A:$A, 0))</f>
        <v>#N/A</v>
      </c>
      <c r="H1358" s="54" t="e">
        <f t="shared" si="242"/>
        <v>#N/A</v>
      </c>
      <c r="I1358" s="259" t="e">
        <f>IF(  OR(      INDEX('calcolo base'!$D:$D, MATCH($A1358, 'calcolo base'!$A:$A, 0)) = 0,
      INDEX('calcolo base'!$D:$D, MATCH($A1358, 'calcolo base'!$A:$A, 0)) = ""   ),
   INDEX('calcolo base'!$K:$K, MATCH($A1358, 'calcolo base'!$A:$A, 0)),
   INDEX('calcolo base'!$J:$J, MATCH($A1358, 'calcolo base'!$A:$A, 0))
) / 1000</f>
        <v>#N/A</v>
      </c>
      <c r="J1358" s="50" t="e">
        <f t="shared" si="243"/>
        <v>#N/A</v>
      </c>
      <c r="K1358" s="50"/>
      <c r="L1358" s="267" t="e">
        <f>INDEX('calcolo base'!$H:$H, MATCH($A1358, 'calcolo base'!$A:$A, 0))</f>
        <v>#N/A</v>
      </c>
      <c r="M1358" s="50" t="e">
        <f t="shared" si="244"/>
        <v>#N/A</v>
      </c>
      <c r="N1358" s="50" t="e">
        <f t="shared" si="245"/>
        <v>#N/A</v>
      </c>
      <c r="O1358" s="50" t="e">
        <f t="shared" si="250"/>
        <v>#N/A</v>
      </c>
      <c r="P1358" s="50" t="e">
        <f t="shared" si="246"/>
        <v>#N/A</v>
      </c>
      <c r="Q1358" s="51" t="e">
        <f t="shared" si="247"/>
        <v>#N/A</v>
      </c>
      <c r="R1358" s="205" t="e">
        <f t="shared" si="248"/>
        <v>#N/A</v>
      </c>
      <c r="S1358" s="279" t="e">
        <f>IF(R1358="si",0,IF(E1358="si",0,IF(J1358&gt;K1358,0,+K1358-J1358)))+IF('calcolo base'!P2050="SI",('Commissioni De Angeli'!K1358-'Commissioni De Angeli'!J1358),0)</f>
        <v>#N/A</v>
      </c>
      <c r="T1358" s="117" t="e">
        <f t="shared" si="249"/>
        <v>#N/A</v>
      </c>
      <c r="U1358" s="272" t="e">
        <f>IF(Q1358=0,'calcolo base'!L3957,(T1358+Q1358))</f>
        <v>#N/A</v>
      </c>
      <c r="V1358" s="119"/>
      <c r="Z1358" s="118">
        <f t="shared" si="240"/>
        <v>0</v>
      </c>
      <c r="AA1358" s="118">
        <f t="shared" si="241"/>
        <v>0</v>
      </c>
    </row>
    <row r="1359" spans="2:27">
      <c r="B1359" s="47"/>
      <c r="C1359" s="35"/>
      <c r="D1359" s="53"/>
      <c r="E1359" s="53"/>
      <c r="F1359" s="48"/>
      <c r="G1359" s="243" t="e">
        <f>INDEX('calcolo base'!$B:$B, MATCH($A1359, 'calcolo base'!$A:$A, 0))</f>
        <v>#N/A</v>
      </c>
      <c r="H1359" s="54" t="e">
        <f t="shared" si="242"/>
        <v>#N/A</v>
      </c>
      <c r="I1359" s="259" t="e">
        <f>IF(  OR(      INDEX('calcolo base'!$D:$D, MATCH($A1359, 'calcolo base'!$A:$A, 0)) = 0,
      INDEX('calcolo base'!$D:$D, MATCH($A1359, 'calcolo base'!$A:$A, 0)) = ""   ),
   INDEX('calcolo base'!$K:$K, MATCH($A1359, 'calcolo base'!$A:$A, 0)),
   INDEX('calcolo base'!$J:$J, MATCH($A1359, 'calcolo base'!$A:$A, 0))
) / 1000</f>
        <v>#N/A</v>
      </c>
      <c r="J1359" s="50" t="e">
        <f t="shared" si="243"/>
        <v>#N/A</v>
      </c>
      <c r="K1359" s="50"/>
      <c r="L1359" s="267" t="e">
        <f>INDEX('calcolo base'!$H:$H, MATCH($A1359, 'calcolo base'!$A:$A, 0))</f>
        <v>#N/A</v>
      </c>
      <c r="M1359" s="50" t="e">
        <f t="shared" si="244"/>
        <v>#N/A</v>
      </c>
      <c r="N1359" s="50" t="e">
        <f t="shared" si="245"/>
        <v>#N/A</v>
      </c>
      <c r="O1359" s="50" t="e">
        <f t="shared" si="250"/>
        <v>#N/A</v>
      </c>
      <c r="P1359" s="50" t="e">
        <f t="shared" si="246"/>
        <v>#N/A</v>
      </c>
      <c r="Q1359" s="51" t="e">
        <f t="shared" si="247"/>
        <v>#N/A</v>
      </c>
      <c r="R1359" s="205" t="e">
        <f t="shared" si="248"/>
        <v>#N/A</v>
      </c>
      <c r="S1359" s="279" t="e">
        <f>IF(R1359="si",0,IF(E1359="si",0,IF(J1359&gt;K1359,0,+K1359-J1359)))+IF('calcolo base'!P2051="SI",('Commissioni De Angeli'!K1359-'Commissioni De Angeli'!J1359),0)</f>
        <v>#N/A</v>
      </c>
      <c r="T1359" s="117" t="e">
        <f t="shared" si="249"/>
        <v>#N/A</v>
      </c>
      <c r="U1359" s="272" t="e">
        <f>IF(Q1359=0,'calcolo base'!L3958,(T1359+Q1359))</f>
        <v>#N/A</v>
      </c>
      <c r="V1359" s="119"/>
      <c r="Z1359" s="118">
        <f t="shared" si="240"/>
        <v>0</v>
      </c>
      <c r="AA1359" s="118">
        <f t="shared" si="241"/>
        <v>0</v>
      </c>
    </row>
    <row r="1360" spans="2:27">
      <c r="B1360" s="47"/>
      <c r="C1360" s="35"/>
      <c r="D1360" s="53"/>
      <c r="E1360" s="53"/>
      <c r="F1360" s="48"/>
      <c r="G1360" s="243" t="e">
        <f>INDEX('calcolo base'!$B:$B, MATCH($A1360, 'calcolo base'!$A:$A, 0))</f>
        <v>#N/A</v>
      </c>
      <c r="H1360" s="54" t="e">
        <f t="shared" si="242"/>
        <v>#N/A</v>
      </c>
      <c r="I1360" s="259" t="e">
        <f>IF(  OR(      INDEX('calcolo base'!$D:$D, MATCH($A1360, 'calcolo base'!$A:$A, 0)) = 0,
      INDEX('calcolo base'!$D:$D, MATCH($A1360, 'calcolo base'!$A:$A, 0)) = ""   ),
   INDEX('calcolo base'!$K:$K, MATCH($A1360, 'calcolo base'!$A:$A, 0)),
   INDEX('calcolo base'!$J:$J, MATCH($A1360, 'calcolo base'!$A:$A, 0))
) / 1000</f>
        <v>#N/A</v>
      </c>
      <c r="J1360" s="50" t="e">
        <f t="shared" si="243"/>
        <v>#N/A</v>
      </c>
      <c r="K1360" s="50"/>
      <c r="L1360" s="267" t="e">
        <f>INDEX('calcolo base'!$H:$H, MATCH($A1360, 'calcolo base'!$A:$A, 0))</f>
        <v>#N/A</v>
      </c>
      <c r="M1360" s="50" t="e">
        <f t="shared" si="244"/>
        <v>#N/A</v>
      </c>
      <c r="N1360" s="50" t="e">
        <f t="shared" si="245"/>
        <v>#N/A</v>
      </c>
      <c r="O1360" s="50" t="e">
        <f t="shared" si="250"/>
        <v>#N/A</v>
      </c>
      <c r="P1360" s="50" t="e">
        <f t="shared" si="246"/>
        <v>#N/A</v>
      </c>
      <c r="Q1360" s="51" t="e">
        <f t="shared" si="247"/>
        <v>#N/A</v>
      </c>
      <c r="R1360" s="205" t="e">
        <f t="shared" si="248"/>
        <v>#N/A</v>
      </c>
      <c r="S1360" s="279" t="e">
        <f>IF(R1360="si",0,IF(E1360="si",0,IF(J1360&gt;K1360,0,+K1360-J1360)))+IF('calcolo base'!P2052="SI",('Commissioni De Angeli'!K1360-'Commissioni De Angeli'!J1360),0)</f>
        <v>#N/A</v>
      </c>
      <c r="T1360" s="117" t="e">
        <f t="shared" si="249"/>
        <v>#N/A</v>
      </c>
      <c r="U1360" s="272" t="e">
        <f>IF(Q1360=0,'calcolo base'!L3959,(T1360+Q1360))</f>
        <v>#N/A</v>
      </c>
      <c r="V1360" s="119"/>
      <c r="Z1360" s="118">
        <f t="shared" si="240"/>
        <v>0</v>
      </c>
      <c r="AA1360" s="118">
        <f t="shared" si="241"/>
        <v>0</v>
      </c>
    </row>
    <row r="1361" spans="2:27">
      <c r="B1361" s="47"/>
      <c r="C1361" s="35"/>
      <c r="D1361" s="53"/>
      <c r="E1361" s="53"/>
      <c r="F1361" s="48"/>
      <c r="G1361" s="243" t="e">
        <f>INDEX('calcolo base'!$B:$B, MATCH($A1361, 'calcolo base'!$A:$A, 0))</f>
        <v>#N/A</v>
      </c>
      <c r="H1361" s="54" t="e">
        <f t="shared" si="242"/>
        <v>#N/A</v>
      </c>
      <c r="I1361" s="259" t="e">
        <f>IF(  OR(      INDEX('calcolo base'!$D:$D, MATCH($A1361, 'calcolo base'!$A:$A, 0)) = 0,
      INDEX('calcolo base'!$D:$D, MATCH($A1361, 'calcolo base'!$A:$A, 0)) = ""   ),
   INDEX('calcolo base'!$K:$K, MATCH($A1361, 'calcolo base'!$A:$A, 0)),
   INDEX('calcolo base'!$J:$J, MATCH($A1361, 'calcolo base'!$A:$A, 0))
) / 1000</f>
        <v>#N/A</v>
      </c>
      <c r="J1361" s="50" t="e">
        <f t="shared" si="243"/>
        <v>#N/A</v>
      </c>
      <c r="K1361" s="50"/>
      <c r="L1361" s="267" t="e">
        <f>INDEX('calcolo base'!$H:$H, MATCH($A1361, 'calcolo base'!$A:$A, 0))</f>
        <v>#N/A</v>
      </c>
      <c r="M1361" s="50" t="e">
        <f t="shared" si="244"/>
        <v>#N/A</v>
      </c>
      <c r="N1361" s="50" t="e">
        <f t="shared" si="245"/>
        <v>#N/A</v>
      </c>
      <c r="O1361" s="50" t="e">
        <f t="shared" si="250"/>
        <v>#N/A</v>
      </c>
      <c r="P1361" s="50" t="e">
        <f t="shared" si="246"/>
        <v>#N/A</v>
      </c>
      <c r="Q1361" s="51" t="e">
        <f t="shared" si="247"/>
        <v>#N/A</v>
      </c>
      <c r="R1361" s="205" t="e">
        <f t="shared" si="248"/>
        <v>#N/A</v>
      </c>
      <c r="S1361" s="279" t="e">
        <f>IF(R1361="si",0,IF(E1361="si",0,IF(J1361&gt;K1361,0,+K1361-J1361)))+IF('calcolo base'!P2053="SI",('Commissioni De Angeli'!K1361-'Commissioni De Angeli'!J1361),0)</f>
        <v>#N/A</v>
      </c>
      <c r="T1361" s="117" t="e">
        <f t="shared" si="249"/>
        <v>#N/A</v>
      </c>
      <c r="U1361" s="272" t="e">
        <f>IF(Q1361=0,'calcolo base'!L3960,(T1361+Q1361))</f>
        <v>#N/A</v>
      </c>
      <c r="V1361" s="119"/>
      <c r="Z1361" s="118">
        <f t="shared" si="240"/>
        <v>0</v>
      </c>
      <c r="AA1361" s="118">
        <f t="shared" si="241"/>
        <v>0</v>
      </c>
    </row>
    <row r="1362" spans="2:27">
      <c r="B1362" s="47"/>
      <c r="C1362" s="35"/>
      <c r="D1362" s="53"/>
      <c r="E1362" s="53"/>
      <c r="F1362" s="48"/>
      <c r="G1362" s="243" t="e">
        <f>INDEX('calcolo base'!$B:$B, MATCH($A1362, 'calcolo base'!$A:$A, 0))</f>
        <v>#N/A</v>
      </c>
      <c r="H1362" s="54" t="e">
        <f t="shared" si="242"/>
        <v>#N/A</v>
      </c>
      <c r="I1362" s="259" t="e">
        <f>IF(  OR(      INDEX('calcolo base'!$D:$D, MATCH($A1362, 'calcolo base'!$A:$A, 0)) = 0,
      INDEX('calcolo base'!$D:$D, MATCH($A1362, 'calcolo base'!$A:$A, 0)) = ""   ),
   INDEX('calcolo base'!$K:$K, MATCH($A1362, 'calcolo base'!$A:$A, 0)),
   INDEX('calcolo base'!$J:$J, MATCH($A1362, 'calcolo base'!$A:$A, 0))
) / 1000</f>
        <v>#N/A</v>
      </c>
      <c r="J1362" s="50" t="e">
        <f t="shared" si="243"/>
        <v>#N/A</v>
      </c>
      <c r="K1362" s="50"/>
      <c r="L1362" s="267" t="e">
        <f>INDEX('calcolo base'!$H:$H, MATCH($A1362, 'calcolo base'!$A:$A, 0))</f>
        <v>#N/A</v>
      </c>
      <c r="M1362" s="50" t="e">
        <f t="shared" si="244"/>
        <v>#N/A</v>
      </c>
      <c r="N1362" s="50" t="e">
        <f t="shared" si="245"/>
        <v>#N/A</v>
      </c>
      <c r="O1362" s="50" t="e">
        <f t="shared" si="250"/>
        <v>#N/A</v>
      </c>
      <c r="P1362" s="50" t="e">
        <f t="shared" si="246"/>
        <v>#N/A</v>
      </c>
      <c r="Q1362" s="51" t="e">
        <f t="shared" si="247"/>
        <v>#N/A</v>
      </c>
      <c r="R1362" s="205" t="e">
        <f t="shared" si="248"/>
        <v>#N/A</v>
      </c>
      <c r="S1362" s="279" t="e">
        <f>IF(R1362="si",0,IF(E1362="si",0,IF(J1362&gt;K1362,0,+K1362-J1362)))+IF('calcolo base'!P2054="SI",('Commissioni De Angeli'!K1362-'Commissioni De Angeli'!J1362),0)</f>
        <v>#N/A</v>
      </c>
      <c r="T1362" s="117" t="e">
        <f t="shared" si="249"/>
        <v>#N/A</v>
      </c>
      <c r="U1362" s="272" t="e">
        <f>IF(Q1362=0,'calcolo base'!L3961,(T1362+Q1362))</f>
        <v>#N/A</v>
      </c>
      <c r="V1362" s="119"/>
      <c r="Z1362" s="118">
        <f t="shared" si="240"/>
        <v>0</v>
      </c>
      <c r="AA1362" s="118">
        <f t="shared" si="241"/>
        <v>0</v>
      </c>
    </row>
    <row r="1363" spans="2:27">
      <c r="B1363" s="47"/>
      <c r="C1363" s="35"/>
      <c r="D1363" s="53"/>
      <c r="E1363" s="53"/>
      <c r="F1363" s="48"/>
      <c r="G1363" s="243" t="e">
        <f>INDEX('calcolo base'!$B:$B, MATCH($A1363, 'calcolo base'!$A:$A, 0))</f>
        <v>#N/A</v>
      </c>
      <c r="H1363" s="54" t="e">
        <f t="shared" si="242"/>
        <v>#N/A</v>
      </c>
      <c r="I1363" s="259" t="e">
        <f>IF(  OR(      INDEX('calcolo base'!$D:$D, MATCH($A1363, 'calcolo base'!$A:$A, 0)) = 0,
      INDEX('calcolo base'!$D:$D, MATCH($A1363, 'calcolo base'!$A:$A, 0)) = ""   ),
   INDEX('calcolo base'!$K:$K, MATCH($A1363, 'calcolo base'!$A:$A, 0)),
   INDEX('calcolo base'!$J:$J, MATCH($A1363, 'calcolo base'!$A:$A, 0))
) / 1000</f>
        <v>#N/A</v>
      </c>
      <c r="J1363" s="50" t="e">
        <f t="shared" si="243"/>
        <v>#N/A</v>
      </c>
      <c r="K1363" s="50"/>
      <c r="L1363" s="267" t="e">
        <f>INDEX('calcolo base'!$H:$H, MATCH($A1363, 'calcolo base'!$A:$A, 0))</f>
        <v>#N/A</v>
      </c>
      <c r="M1363" s="50" t="e">
        <f t="shared" si="244"/>
        <v>#N/A</v>
      </c>
      <c r="N1363" s="50" t="e">
        <f t="shared" si="245"/>
        <v>#N/A</v>
      </c>
      <c r="O1363" s="50" t="e">
        <f t="shared" si="250"/>
        <v>#N/A</v>
      </c>
      <c r="P1363" s="50" t="e">
        <f t="shared" si="246"/>
        <v>#N/A</v>
      </c>
      <c r="Q1363" s="51" t="e">
        <f t="shared" si="247"/>
        <v>#N/A</v>
      </c>
      <c r="R1363" s="205" t="e">
        <f t="shared" si="248"/>
        <v>#N/A</v>
      </c>
      <c r="S1363" s="279" t="e">
        <f>IF(R1363="si",0,IF(E1363="si",0,IF(J1363&gt;K1363,0,+K1363-J1363)))+IF('calcolo base'!P2055="SI",('Commissioni De Angeli'!K1363-'Commissioni De Angeli'!J1363),0)</f>
        <v>#N/A</v>
      </c>
      <c r="T1363" s="117" t="e">
        <f t="shared" si="249"/>
        <v>#N/A</v>
      </c>
      <c r="U1363" s="272" t="e">
        <f>IF(Q1363=0,'calcolo base'!L3962,(T1363+Q1363))</f>
        <v>#N/A</v>
      </c>
      <c r="V1363" s="119"/>
      <c r="Z1363" s="118">
        <f t="shared" si="240"/>
        <v>0</v>
      </c>
      <c r="AA1363" s="118">
        <f t="shared" si="241"/>
        <v>0</v>
      </c>
    </row>
    <row r="1364" spans="2:27">
      <c r="B1364" s="47"/>
      <c r="C1364" s="35"/>
      <c r="D1364" s="53"/>
      <c r="E1364" s="53"/>
      <c r="F1364" s="48"/>
      <c r="G1364" s="243" t="e">
        <f>INDEX('calcolo base'!$B:$B, MATCH($A1364, 'calcolo base'!$A:$A, 0))</f>
        <v>#N/A</v>
      </c>
      <c r="H1364" s="54" t="e">
        <f t="shared" si="242"/>
        <v>#N/A</v>
      </c>
      <c r="I1364" s="259" t="e">
        <f>IF(  OR(      INDEX('calcolo base'!$D:$D, MATCH($A1364, 'calcolo base'!$A:$A, 0)) = 0,
      INDEX('calcolo base'!$D:$D, MATCH($A1364, 'calcolo base'!$A:$A, 0)) = ""   ),
   INDEX('calcolo base'!$K:$K, MATCH($A1364, 'calcolo base'!$A:$A, 0)),
   INDEX('calcolo base'!$J:$J, MATCH($A1364, 'calcolo base'!$A:$A, 0))
) / 1000</f>
        <v>#N/A</v>
      </c>
      <c r="J1364" s="50" t="e">
        <f t="shared" si="243"/>
        <v>#N/A</v>
      </c>
      <c r="K1364" s="50"/>
      <c r="L1364" s="267" t="e">
        <f>INDEX('calcolo base'!$H:$H, MATCH($A1364, 'calcolo base'!$A:$A, 0))</f>
        <v>#N/A</v>
      </c>
      <c r="M1364" s="50" t="e">
        <f t="shared" si="244"/>
        <v>#N/A</v>
      </c>
      <c r="N1364" s="50" t="e">
        <f t="shared" si="245"/>
        <v>#N/A</v>
      </c>
      <c r="O1364" s="50" t="e">
        <f t="shared" si="250"/>
        <v>#N/A</v>
      </c>
      <c r="P1364" s="50" t="e">
        <f t="shared" si="246"/>
        <v>#N/A</v>
      </c>
      <c r="Q1364" s="51" t="e">
        <f t="shared" si="247"/>
        <v>#N/A</v>
      </c>
      <c r="R1364" s="205" t="e">
        <f t="shared" si="248"/>
        <v>#N/A</v>
      </c>
      <c r="S1364" s="279" t="e">
        <f>IF(R1364="si",0,IF(E1364="si",0,IF(J1364&gt;K1364,0,+K1364-J1364)))+IF('calcolo base'!P2056="SI",('Commissioni De Angeli'!K1364-'Commissioni De Angeli'!J1364),0)</f>
        <v>#N/A</v>
      </c>
      <c r="T1364" s="117" t="e">
        <f t="shared" si="249"/>
        <v>#N/A</v>
      </c>
      <c r="U1364" s="272" t="e">
        <f>IF(Q1364=0,'calcolo base'!L3963,(T1364+Q1364))</f>
        <v>#N/A</v>
      </c>
      <c r="V1364" s="119"/>
      <c r="Z1364" s="118">
        <f t="shared" si="240"/>
        <v>0</v>
      </c>
      <c r="AA1364" s="118">
        <f t="shared" si="241"/>
        <v>0</v>
      </c>
    </row>
    <row r="1365" spans="2:27">
      <c r="B1365" s="47"/>
      <c r="C1365" s="35"/>
      <c r="D1365" s="53"/>
      <c r="E1365" s="53"/>
      <c r="F1365" s="48"/>
      <c r="G1365" s="243" t="e">
        <f>INDEX('calcolo base'!$B:$B, MATCH($A1365, 'calcolo base'!$A:$A, 0))</f>
        <v>#N/A</v>
      </c>
      <c r="H1365" s="54" t="e">
        <f t="shared" si="242"/>
        <v>#N/A</v>
      </c>
      <c r="I1365" s="259" t="e">
        <f>IF(  OR(      INDEX('calcolo base'!$D:$D, MATCH($A1365, 'calcolo base'!$A:$A, 0)) = 0,
      INDEX('calcolo base'!$D:$D, MATCH($A1365, 'calcolo base'!$A:$A, 0)) = ""   ),
   INDEX('calcolo base'!$K:$K, MATCH($A1365, 'calcolo base'!$A:$A, 0)),
   INDEX('calcolo base'!$J:$J, MATCH($A1365, 'calcolo base'!$A:$A, 0))
) / 1000</f>
        <v>#N/A</v>
      </c>
      <c r="J1365" s="50" t="e">
        <f t="shared" si="243"/>
        <v>#N/A</v>
      </c>
      <c r="K1365" s="50"/>
      <c r="L1365" s="267" t="e">
        <f>INDEX('calcolo base'!$H:$H, MATCH($A1365, 'calcolo base'!$A:$A, 0))</f>
        <v>#N/A</v>
      </c>
      <c r="M1365" s="50" t="e">
        <f t="shared" si="244"/>
        <v>#N/A</v>
      </c>
      <c r="N1365" s="50" t="e">
        <f t="shared" si="245"/>
        <v>#N/A</v>
      </c>
      <c r="O1365" s="50" t="e">
        <f t="shared" si="250"/>
        <v>#N/A</v>
      </c>
      <c r="P1365" s="50" t="e">
        <f t="shared" si="246"/>
        <v>#N/A</v>
      </c>
      <c r="Q1365" s="51" t="e">
        <f t="shared" si="247"/>
        <v>#N/A</v>
      </c>
      <c r="R1365" s="205" t="e">
        <f t="shared" si="248"/>
        <v>#N/A</v>
      </c>
      <c r="S1365" s="279" t="e">
        <f>IF(R1365="si",0,IF(E1365="si",0,IF(J1365&gt;K1365,0,+K1365-J1365)))+IF('calcolo base'!P2057="SI",('Commissioni De Angeli'!K1365-'Commissioni De Angeli'!J1365),0)</f>
        <v>#N/A</v>
      </c>
      <c r="T1365" s="117" t="e">
        <f t="shared" si="249"/>
        <v>#N/A</v>
      </c>
      <c r="U1365" s="272" t="e">
        <f>IF(Q1365=0,'calcolo base'!L3964,(T1365+Q1365))</f>
        <v>#N/A</v>
      </c>
      <c r="V1365" s="119"/>
      <c r="Z1365" s="118">
        <f t="shared" ref="Z1365:Z1428" si="251">IF(V1365="",0,MONTH(V1365))</f>
        <v>0</v>
      </c>
      <c r="AA1365" s="118">
        <f t="shared" ref="AA1365:AA1428" si="252">IF(V1365="",0,YEAR(V1365))</f>
        <v>0</v>
      </c>
    </row>
    <row r="1366" spans="2:27">
      <c r="B1366" s="47"/>
      <c r="C1366" s="35"/>
      <c r="D1366" s="53"/>
      <c r="E1366" s="53"/>
      <c r="F1366" s="48"/>
      <c r="G1366" s="243" t="e">
        <f>INDEX('calcolo base'!$B:$B, MATCH($A1366, 'calcolo base'!$A:$A, 0))</f>
        <v>#N/A</v>
      </c>
      <c r="H1366" s="54" t="e">
        <f t="shared" si="242"/>
        <v>#N/A</v>
      </c>
      <c r="I1366" s="259" t="e">
        <f>IF(  OR(      INDEX('calcolo base'!$D:$D, MATCH($A1366, 'calcolo base'!$A:$A, 0)) = 0,
      INDEX('calcolo base'!$D:$D, MATCH($A1366, 'calcolo base'!$A:$A, 0)) = ""   ),
   INDEX('calcolo base'!$K:$K, MATCH($A1366, 'calcolo base'!$A:$A, 0)),
   INDEX('calcolo base'!$J:$J, MATCH($A1366, 'calcolo base'!$A:$A, 0))
) / 1000</f>
        <v>#N/A</v>
      </c>
      <c r="J1366" s="50" t="e">
        <f t="shared" si="243"/>
        <v>#N/A</v>
      </c>
      <c r="K1366" s="50"/>
      <c r="L1366" s="267" t="e">
        <f>INDEX('calcolo base'!$H:$H, MATCH($A1366, 'calcolo base'!$A:$A, 0))</f>
        <v>#N/A</v>
      </c>
      <c r="M1366" s="50" t="e">
        <f t="shared" si="244"/>
        <v>#N/A</v>
      </c>
      <c r="N1366" s="50" t="e">
        <f t="shared" si="245"/>
        <v>#N/A</v>
      </c>
      <c r="O1366" s="50" t="e">
        <f t="shared" si="250"/>
        <v>#N/A</v>
      </c>
      <c r="P1366" s="50" t="e">
        <f t="shared" si="246"/>
        <v>#N/A</v>
      </c>
      <c r="Q1366" s="51" t="e">
        <f t="shared" si="247"/>
        <v>#N/A</v>
      </c>
      <c r="R1366" s="205" t="e">
        <f t="shared" si="248"/>
        <v>#N/A</v>
      </c>
      <c r="S1366" s="279" t="e">
        <f>IF(R1366="si",0,IF(E1366="si",0,IF(J1366&gt;K1366,0,+K1366-J1366)))+IF('calcolo base'!P2058="SI",('Commissioni De Angeli'!K1366-'Commissioni De Angeli'!J1366),0)</f>
        <v>#N/A</v>
      </c>
      <c r="T1366" s="117" t="e">
        <f t="shared" si="249"/>
        <v>#N/A</v>
      </c>
      <c r="U1366" s="272" t="e">
        <f>IF(Q1366=0,'calcolo base'!L3965,(T1366+Q1366))</f>
        <v>#N/A</v>
      </c>
      <c r="V1366" s="119"/>
      <c r="Z1366" s="118">
        <f t="shared" si="251"/>
        <v>0</v>
      </c>
      <c r="AA1366" s="118">
        <f t="shared" si="252"/>
        <v>0</v>
      </c>
    </row>
    <row r="1367" spans="2:27">
      <c r="B1367" s="47"/>
      <c r="C1367" s="35"/>
      <c r="D1367" s="53"/>
      <c r="E1367" s="53"/>
      <c r="F1367" s="48"/>
      <c r="G1367" s="243" t="e">
        <f>INDEX('calcolo base'!$B:$B, MATCH($A1367, 'calcolo base'!$A:$A, 0))</f>
        <v>#N/A</v>
      </c>
      <c r="H1367" s="54" t="e">
        <f t="shared" si="242"/>
        <v>#N/A</v>
      </c>
      <c r="I1367" s="259" t="e">
        <f>IF(  OR(      INDEX('calcolo base'!$D:$D, MATCH($A1367, 'calcolo base'!$A:$A, 0)) = 0,
      INDEX('calcolo base'!$D:$D, MATCH($A1367, 'calcolo base'!$A:$A, 0)) = ""   ),
   INDEX('calcolo base'!$K:$K, MATCH($A1367, 'calcolo base'!$A:$A, 0)),
   INDEX('calcolo base'!$J:$J, MATCH($A1367, 'calcolo base'!$A:$A, 0))
) / 1000</f>
        <v>#N/A</v>
      </c>
      <c r="J1367" s="50" t="e">
        <f t="shared" si="243"/>
        <v>#N/A</v>
      </c>
      <c r="K1367" s="50"/>
      <c r="L1367" s="267" t="e">
        <f>INDEX('calcolo base'!$H:$H, MATCH($A1367, 'calcolo base'!$A:$A, 0))</f>
        <v>#N/A</v>
      </c>
      <c r="M1367" s="50" t="e">
        <f t="shared" si="244"/>
        <v>#N/A</v>
      </c>
      <c r="N1367" s="50" t="e">
        <f t="shared" si="245"/>
        <v>#N/A</v>
      </c>
      <c r="O1367" s="50" t="e">
        <f t="shared" si="250"/>
        <v>#N/A</v>
      </c>
      <c r="P1367" s="50" t="e">
        <f t="shared" si="246"/>
        <v>#N/A</v>
      </c>
      <c r="Q1367" s="51" t="e">
        <f t="shared" si="247"/>
        <v>#N/A</v>
      </c>
      <c r="R1367" s="205" t="e">
        <f t="shared" si="248"/>
        <v>#N/A</v>
      </c>
      <c r="S1367" s="279" t="e">
        <f>IF(R1367="si",0,IF(E1367="si",0,IF(J1367&gt;K1367,0,+K1367-J1367)))+IF('calcolo base'!P2059="SI",('Commissioni De Angeli'!K1367-'Commissioni De Angeli'!J1367),0)</f>
        <v>#N/A</v>
      </c>
      <c r="T1367" s="117" t="e">
        <f t="shared" si="249"/>
        <v>#N/A</v>
      </c>
      <c r="U1367" s="272" t="e">
        <f>IF(Q1367=0,'calcolo base'!L3966,(T1367+Q1367))</f>
        <v>#N/A</v>
      </c>
      <c r="V1367" s="119"/>
      <c r="Z1367" s="118">
        <f t="shared" si="251"/>
        <v>0</v>
      </c>
      <c r="AA1367" s="118">
        <f t="shared" si="252"/>
        <v>0</v>
      </c>
    </row>
    <row r="1368" spans="2:27">
      <c r="B1368" s="47"/>
      <c r="C1368" s="35"/>
      <c r="D1368" s="53"/>
      <c r="E1368" s="53"/>
      <c r="F1368" s="48"/>
      <c r="G1368" s="243" t="e">
        <f>INDEX('calcolo base'!$B:$B, MATCH($A1368, 'calcolo base'!$A:$A, 0))</f>
        <v>#N/A</v>
      </c>
      <c r="H1368" s="54" t="e">
        <f t="shared" si="242"/>
        <v>#N/A</v>
      </c>
      <c r="I1368" s="259" t="e">
        <f>IF(  OR(      INDEX('calcolo base'!$D:$D, MATCH($A1368, 'calcolo base'!$A:$A, 0)) = 0,
      INDEX('calcolo base'!$D:$D, MATCH($A1368, 'calcolo base'!$A:$A, 0)) = ""   ),
   INDEX('calcolo base'!$K:$K, MATCH($A1368, 'calcolo base'!$A:$A, 0)),
   INDEX('calcolo base'!$J:$J, MATCH($A1368, 'calcolo base'!$A:$A, 0))
) / 1000</f>
        <v>#N/A</v>
      </c>
      <c r="J1368" s="50" t="e">
        <f t="shared" si="243"/>
        <v>#N/A</v>
      </c>
      <c r="K1368" s="50"/>
      <c r="L1368" s="267" t="e">
        <f>INDEX('calcolo base'!$H:$H, MATCH($A1368, 'calcolo base'!$A:$A, 0))</f>
        <v>#N/A</v>
      </c>
      <c r="M1368" s="50" t="e">
        <f t="shared" si="244"/>
        <v>#N/A</v>
      </c>
      <c r="N1368" s="50" t="e">
        <f t="shared" si="245"/>
        <v>#N/A</v>
      </c>
      <c r="O1368" s="50" t="e">
        <f t="shared" si="250"/>
        <v>#N/A</v>
      </c>
      <c r="P1368" s="50" t="e">
        <f t="shared" si="246"/>
        <v>#N/A</v>
      </c>
      <c r="Q1368" s="51" t="e">
        <f t="shared" si="247"/>
        <v>#N/A</v>
      </c>
      <c r="R1368" s="205" t="e">
        <f t="shared" si="248"/>
        <v>#N/A</v>
      </c>
      <c r="S1368" s="279" t="e">
        <f>IF(R1368="si",0,IF(E1368="si",0,IF(J1368&gt;K1368,0,+K1368-J1368)))+IF('calcolo base'!P2060="SI",('Commissioni De Angeli'!K1368-'Commissioni De Angeli'!J1368),0)</f>
        <v>#N/A</v>
      </c>
      <c r="T1368" s="117" t="e">
        <f t="shared" si="249"/>
        <v>#N/A</v>
      </c>
      <c r="U1368" s="272" t="e">
        <f>IF(Q1368=0,'calcolo base'!L3967,(T1368+Q1368))</f>
        <v>#N/A</v>
      </c>
      <c r="V1368" s="119"/>
      <c r="Z1368" s="118">
        <f t="shared" si="251"/>
        <v>0</v>
      </c>
      <c r="AA1368" s="118">
        <f t="shared" si="252"/>
        <v>0</v>
      </c>
    </row>
    <row r="1369" spans="2:27">
      <c r="B1369" s="47"/>
      <c r="C1369" s="35"/>
      <c r="D1369" s="53"/>
      <c r="E1369" s="53"/>
      <c r="F1369" s="48"/>
      <c r="G1369" s="243" t="e">
        <f>INDEX('calcolo base'!$B:$B, MATCH($A1369, 'calcolo base'!$A:$A, 0))</f>
        <v>#N/A</v>
      </c>
      <c r="H1369" s="54" t="e">
        <f t="shared" si="242"/>
        <v>#N/A</v>
      </c>
      <c r="I1369" s="259" t="e">
        <f>IF(  OR(      INDEX('calcolo base'!$D:$D, MATCH($A1369, 'calcolo base'!$A:$A, 0)) = 0,
      INDEX('calcolo base'!$D:$D, MATCH($A1369, 'calcolo base'!$A:$A, 0)) = ""   ),
   INDEX('calcolo base'!$K:$K, MATCH($A1369, 'calcolo base'!$A:$A, 0)),
   INDEX('calcolo base'!$J:$J, MATCH($A1369, 'calcolo base'!$A:$A, 0))
) / 1000</f>
        <v>#N/A</v>
      </c>
      <c r="J1369" s="50" t="e">
        <f t="shared" si="243"/>
        <v>#N/A</v>
      </c>
      <c r="K1369" s="50"/>
      <c r="L1369" s="267" t="e">
        <f>INDEX('calcolo base'!$H:$H, MATCH($A1369, 'calcolo base'!$A:$A, 0))</f>
        <v>#N/A</v>
      </c>
      <c r="M1369" s="50" t="e">
        <f t="shared" si="244"/>
        <v>#N/A</v>
      </c>
      <c r="N1369" s="50" t="e">
        <f t="shared" si="245"/>
        <v>#N/A</v>
      </c>
      <c r="O1369" s="50" t="e">
        <f t="shared" si="250"/>
        <v>#N/A</v>
      </c>
      <c r="P1369" s="50" t="e">
        <f t="shared" si="246"/>
        <v>#N/A</v>
      </c>
      <c r="Q1369" s="51" t="e">
        <f t="shared" si="247"/>
        <v>#N/A</v>
      </c>
      <c r="R1369" s="205" t="e">
        <f t="shared" si="248"/>
        <v>#N/A</v>
      </c>
      <c r="S1369" s="279" t="e">
        <f>IF(R1369="si",0,IF(E1369="si",0,IF(J1369&gt;K1369,0,+K1369-J1369)))+IF('calcolo base'!P2061="SI",('Commissioni De Angeli'!K1369-'Commissioni De Angeli'!J1369),0)</f>
        <v>#N/A</v>
      </c>
      <c r="T1369" s="117" t="e">
        <f t="shared" si="249"/>
        <v>#N/A</v>
      </c>
      <c r="U1369" s="272" t="e">
        <f>IF(Q1369=0,'calcolo base'!L3968,(T1369+Q1369))</f>
        <v>#N/A</v>
      </c>
      <c r="V1369" s="119"/>
      <c r="Z1369" s="118">
        <f t="shared" si="251"/>
        <v>0</v>
      </c>
      <c r="AA1369" s="118">
        <f t="shared" si="252"/>
        <v>0</v>
      </c>
    </row>
    <row r="1370" spans="2:27">
      <c r="B1370" s="47"/>
      <c r="C1370" s="35"/>
      <c r="D1370" s="53"/>
      <c r="E1370" s="53"/>
      <c r="F1370" s="48"/>
      <c r="G1370" s="243" t="e">
        <f>INDEX('calcolo base'!$B:$B, MATCH($A1370, 'calcolo base'!$A:$A, 0))</f>
        <v>#N/A</v>
      </c>
      <c r="H1370" s="54" t="e">
        <f t="shared" si="242"/>
        <v>#N/A</v>
      </c>
      <c r="I1370" s="259" t="e">
        <f>IF(  OR(      INDEX('calcolo base'!$D:$D, MATCH($A1370, 'calcolo base'!$A:$A, 0)) = 0,
      INDEX('calcolo base'!$D:$D, MATCH($A1370, 'calcolo base'!$A:$A, 0)) = ""   ),
   INDEX('calcolo base'!$K:$K, MATCH($A1370, 'calcolo base'!$A:$A, 0)),
   INDEX('calcolo base'!$J:$J, MATCH($A1370, 'calcolo base'!$A:$A, 0))
) / 1000</f>
        <v>#N/A</v>
      </c>
      <c r="J1370" s="50" t="e">
        <f t="shared" si="243"/>
        <v>#N/A</v>
      </c>
      <c r="K1370" s="50"/>
      <c r="L1370" s="267" t="e">
        <f>INDEX('calcolo base'!$H:$H, MATCH($A1370, 'calcolo base'!$A:$A, 0))</f>
        <v>#N/A</v>
      </c>
      <c r="M1370" s="50" t="e">
        <f t="shared" si="244"/>
        <v>#N/A</v>
      </c>
      <c r="N1370" s="50" t="e">
        <f t="shared" si="245"/>
        <v>#N/A</v>
      </c>
      <c r="O1370" s="50" t="e">
        <f t="shared" si="250"/>
        <v>#N/A</v>
      </c>
      <c r="P1370" s="50" t="e">
        <f t="shared" si="246"/>
        <v>#N/A</v>
      </c>
      <c r="Q1370" s="51" t="e">
        <f t="shared" si="247"/>
        <v>#N/A</v>
      </c>
      <c r="R1370" s="205" t="e">
        <f t="shared" si="248"/>
        <v>#N/A</v>
      </c>
      <c r="S1370" s="279" t="e">
        <f>IF(R1370="si",0,IF(E1370="si",0,IF(J1370&gt;K1370,0,+K1370-J1370)))+IF('calcolo base'!P2062="SI",('Commissioni De Angeli'!K1370-'Commissioni De Angeli'!J1370),0)</f>
        <v>#N/A</v>
      </c>
      <c r="T1370" s="117" t="e">
        <f t="shared" si="249"/>
        <v>#N/A</v>
      </c>
      <c r="U1370" s="272" t="e">
        <f>IF(Q1370=0,'calcolo base'!L3969,(T1370+Q1370))</f>
        <v>#N/A</v>
      </c>
      <c r="V1370" s="119"/>
      <c r="Z1370" s="118">
        <f t="shared" si="251"/>
        <v>0</v>
      </c>
      <c r="AA1370" s="118">
        <f t="shared" si="252"/>
        <v>0</v>
      </c>
    </row>
    <row r="1371" spans="2:27">
      <c r="B1371" s="47"/>
      <c r="C1371" s="35"/>
      <c r="D1371" s="53"/>
      <c r="E1371" s="53"/>
      <c r="F1371" s="48"/>
      <c r="G1371" s="243" t="e">
        <f>INDEX('calcolo base'!$B:$B, MATCH($A1371, 'calcolo base'!$A:$A, 0))</f>
        <v>#N/A</v>
      </c>
      <c r="H1371" s="54" t="e">
        <f t="shared" si="242"/>
        <v>#N/A</v>
      </c>
      <c r="I1371" s="259" t="e">
        <f>IF(  OR(      INDEX('calcolo base'!$D:$D, MATCH($A1371, 'calcolo base'!$A:$A, 0)) = 0,
      INDEX('calcolo base'!$D:$D, MATCH($A1371, 'calcolo base'!$A:$A, 0)) = ""   ),
   INDEX('calcolo base'!$K:$K, MATCH($A1371, 'calcolo base'!$A:$A, 0)),
   INDEX('calcolo base'!$J:$J, MATCH($A1371, 'calcolo base'!$A:$A, 0))
) / 1000</f>
        <v>#N/A</v>
      </c>
      <c r="J1371" s="50" t="e">
        <f t="shared" si="243"/>
        <v>#N/A</v>
      </c>
      <c r="K1371" s="50"/>
      <c r="L1371" s="267" t="e">
        <f>INDEX('calcolo base'!$H:$H, MATCH($A1371, 'calcolo base'!$A:$A, 0))</f>
        <v>#N/A</v>
      </c>
      <c r="M1371" s="50" t="e">
        <f t="shared" si="244"/>
        <v>#N/A</v>
      </c>
      <c r="N1371" s="50" t="e">
        <f t="shared" si="245"/>
        <v>#N/A</v>
      </c>
      <c r="O1371" s="50" t="e">
        <f t="shared" si="250"/>
        <v>#N/A</v>
      </c>
      <c r="P1371" s="50" t="e">
        <f t="shared" si="246"/>
        <v>#N/A</v>
      </c>
      <c r="Q1371" s="51" t="e">
        <f t="shared" si="247"/>
        <v>#N/A</v>
      </c>
      <c r="R1371" s="205" t="e">
        <f t="shared" si="248"/>
        <v>#N/A</v>
      </c>
      <c r="S1371" s="279" t="e">
        <f>IF(R1371="si",0,IF(E1371="si",0,IF(J1371&gt;K1371,0,+K1371-J1371)))+IF('calcolo base'!P2063="SI",('Commissioni De Angeli'!K1371-'Commissioni De Angeli'!J1371),0)</f>
        <v>#N/A</v>
      </c>
      <c r="T1371" s="117" t="e">
        <f t="shared" si="249"/>
        <v>#N/A</v>
      </c>
      <c r="U1371" s="272" t="e">
        <f>IF(Q1371=0,'calcolo base'!L3970,(T1371+Q1371))</f>
        <v>#N/A</v>
      </c>
      <c r="V1371" s="119"/>
      <c r="Z1371" s="118">
        <f t="shared" si="251"/>
        <v>0</v>
      </c>
      <c r="AA1371" s="118">
        <f t="shared" si="252"/>
        <v>0</v>
      </c>
    </row>
    <row r="1372" spans="2:27">
      <c r="B1372" s="47"/>
      <c r="C1372" s="35"/>
      <c r="D1372" s="53"/>
      <c r="E1372" s="53"/>
      <c r="F1372" s="48"/>
      <c r="G1372" s="243" t="e">
        <f>INDEX('calcolo base'!$B:$B, MATCH($A1372, 'calcolo base'!$A:$A, 0))</f>
        <v>#N/A</v>
      </c>
      <c r="H1372" s="54" t="e">
        <f t="shared" ref="H1372:H1435" si="253">IF(G1372=0,"",+G1372)</f>
        <v>#N/A</v>
      </c>
      <c r="I1372" s="259" t="e">
        <f>IF(  OR(      INDEX('calcolo base'!$D:$D, MATCH($A1372, 'calcolo base'!$A:$A, 0)) = 0,
      INDEX('calcolo base'!$D:$D, MATCH($A1372, 'calcolo base'!$A:$A, 0)) = ""   ),
   INDEX('calcolo base'!$K:$K, MATCH($A1372, 'calcolo base'!$A:$A, 0)),
   INDEX('calcolo base'!$J:$J, MATCH($A1372, 'calcolo base'!$A:$A, 0))
) / 1000</f>
        <v>#N/A</v>
      </c>
      <c r="J1372" s="50" t="e">
        <f t="shared" ref="J1372:J1435" si="254">+F1372+I1372</f>
        <v>#N/A</v>
      </c>
      <c r="K1372" s="50"/>
      <c r="L1372" s="267" t="e">
        <f>INDEX('calcolo base'!$H:$H, MATCH($A1372, 'calcolo base'!$A:$A, 0))</f>
        <v>#N/A</v>
      </c>
      <c r="M1372" s="50" t="e">
        <f t="shared" ref="M1372:M1435" si="255">IF(L1372=0,0,J1372*L1372)</f>
        <v>#N/A</v>
      </c>
      <c r="N1372" s="50" t="e">
        <f t="shared" ref="N1372:N1435" si="256">IF(E1372="si",K1372*1.5%,IF($L1372&gt;=5%,IF($I1372=0,0,(IF($G1372="RAME",($J1372)*1.5%,0)+IF($G1372="rame smaltato",($K1372)*1.5%,0))),0))</f>
        <v>#N/A</v>
      </c>
      <c r="O1372" s="50" t="e">
        <f t="shared" si="250"/>
        <v>#N/A</v>
      </c>
      <c r="P1372" s="50" t="e">
        <f t="shared" ref="P1372:P1435" si="257">IF(H1372="alluminio",0,IF(L1372&lt;5%,F1372*8%,0))</f>
        <v>#N/A</v>
      </c>
      <c r="Q1372" s="51" t="e">
        <f t="shared" ref="Q1372:Q1435" si="258">+(N1372*D1372)+(O1372*D1372)+(P1372*D1372)</f>
        <v>#N/A</v>
      </c>
      <c r="R1372" s="205" t="e">
        <f t="shared" ref="R1372:R1435" si="259">IF(H1372="ALLUMINIO",0,IF(L1372&lt;5%,"si",0))</f>
        <v>#N/A</v>
      </c>
      <c r="S1372" s="279" t="e">
        <f>IF(R1372="si",0,IF(E1372="si",0,IF(J1372&gt;K1372,0,+K1372-J1372)))+IF('calcolo base'!P2064="SI",('Commissioni De Angeli'!K1372-'Commissioni De Angeli'!J1372),0)</f>
        <v>#N/A</v>
      </c>
      <c r="T1372" s="117" t="e">
        <f t="shared" ref="T1372:T1435" si="260">+(S1372)*D1372*40%</f>
        <v>#N/A</v>
      </c>
      <c r="U1372" s="272" t="e">
        <f>IF(Q1372=0,'calcolo base'!L3971,(T1372+Q1372))</f>
        <v>#N/A</v>
      </c>
      <c r="V1372" s="119"/>
      <c r="Z1372" s="118">
        <f t="shared" si="251"/>
        <v>0</v>
      </c>
      <c r="AA1372" s="118">
        <f t="shared" si="252"/>
        <v>0</v>
      </c>
    </row>
    <row r="1373" spans="2:27">
      <c r="B1373" s="47"/>
      <c r="C1373" s="35"/>
      <c r="D1373" s="53"/>
      <c r="E1373" s="53"/>
      <c r="F1373" s="48"/>
      <c r="G1373" s="243" t="e">
        <f>INDEX('calcolo base'!$B:$B, MATCH($A1373, 'calcolo base'!$A:$A, 0))</f>
        <v>#N/A</v>
      </c>
      <c r="H1373" s="54" t="e">
        <f t="shared" si="253"/>
        <v>#N/A</v>
      </c>
      <c r="I1373" s="259" t="e">
        <f>IF(  OR(      INDEX('calcolo base'!$D:$D, MATCH($A1373, 'calcolo base'!$A:$A, 0)) = 0,
      INDEX('calcolo base'!$D:$D, MATCH($A1373, 'calcolo base'!$A:$A, 0)) = ""   ),
   INDEX('calcolo base'!$K:$K, MATCH($A1373, 'calcolo base'!$A:$A, 0)),
   INDEX('calcolo base'!$J:$J, MATCH($A1373, 'calcolo base'!$A:$A, 0))
) / 1000</f>
        <v>#N/A</v>
      </c>
      <c r="J1373" s="50" t="e">
        <f t="shared" si="254"/>
        <v>#N/A</v>
      </c>
      <c r="K1373" s="50"/>
      <c r="L1373" s="267" t="e">
        <f>INDEX('calcolo base'!$H:$H, MATCH($A1373, 'calcolo base'!$A:$A, 0))</f>
        <v>#N/A</v>
      </c>
      <c r="M1373" s="50" t="e">
        <f t="shared" si="255"/>
        <v>#N/A</v>
      </c>
      <c r="N1373" s="50" t="e">
        <f t="shared" si="256"/>
        <v>#N/A</v>
      </c>
      <c r="O1373" s="50" t="e">
        <f t="shared" si="250"/>
        <v>#N/A</v>
      </c>
      <c r="P1373" s="50" t="e">
        <f t="shared" si="257"/>
        <v>#N/A</v>
      </c>
      <c r="Q1373" s="51" t="e">
        <f t="shared" si="258"/>
        <v>#N/A</v>
      </c>
      <c r="R1373" s="205" t="e">
        <f t="shared" si="259"/>
        <v>#N/A</v>
      </c>
      <c r="S1373" s="279" t="e">
        <f>IF(R1373="si",0,IF(E1373="si",0,IF(J1373&gt;K1373,0,+K1373-J1373)))+IF('calcolo base'!P2065="SI",('Commissioni De Angeli'!K1373-'Commissioni De Angeli'!J1373),0)</f>
        <v>#N/A</v>
      </c>
      <c r="T1373" s="117" t="e">
        <f t="shared" si="260"/>
        <v>#N/A</v>
      </c>
      <c r="U1373" s="272" t="e">
        <f>IF(Q1373=0,'calcolo base'!L3972,(T1373+Q1373))</f>
        <v>#N/A</v>
      </c>
      <c r="V1373" s="119"/>
      <c r="Z1373" s="118">
        <f t="shared" si="251"/>
        <v>0</v>
      </c>
      <c r="AA1373" s="118">
        <f t="shared" si="252"/>
        <v>0</v>
      </c>
    </row>
    <row r="1374" spans="2:27">
      <c r="B1374" s="47"/>
      <c r="C1374" s="35"/>
      <c r="D1374" s="53"/>
      <c r="E1374" s="53"/>
      <c r="F1374" s="48"/>
      <c r="G1374" s="243" t="e">
        <f>INDEX('calcolo base'!$B:$B, MATCH($A1374, 'calcolo base'!$A:$A, 0))</f>
        <v>#N/A</v>
      </c>
      <c r="H1374" s="54" t="e">
        <f t="shared" si="253"/>
        <v>#N/A</v>
      </c>
      <c r="I1374" s="259" t="e">
        <f>IF(  OR(      INDEX('calcolo base'!$D:$D, MATCH($A1374, 'calcolo base'!$A:$A, 0)) = 0,
      INDEX('calcolo base'!$D:$D, MATCH($A1374, 'calcolo base'!$A:$A, 0)) = ""   ),
   INDEX('calcolo base'!$K:$K, MATCH($A1374, 'calcolo base'!$A:$A, 0)),
   INDEX('calcolo base'!$J:$J, MATCH($A1374, 'calcolo base'!$A:$A, 0))
) / 1000</f>
        <v>#N/A</v>
      </c>
      <c r="J1374" s="50" t="e">
        <f t="shared" si="254"/>
        <v>#N/A</v>
      </c>
      <c r="K1374" s="50"/>
      <c r="L1374" s="267" t="e">
        <f>INDEX('calcolo base'!$H:$H, MATCH($A1374, 'calcolo base'!$A:$A, 0))</f>
        <v>#N/A</v>
      </c>
      <c r="M1374" s="50" t="e">
        <f t="shared" si="255"/>
        <v>#N/A</v>
      </c>
      <c r="N1374" s="50" t="e">
        <f t="shared" si="256"/>
        <v>#N/A</v>
      </c>
      <c r="O1374" s="50" t="e">
        <f t="shared" si="250"/>
        <v>#N/A</v>
      </c>
      <c r="P1374" s="50" t="e">
        <f t="shared" si="257"/>
        <v>#N/A</v>
      </c>
      <c r="Q1374" s="51" t="e">
        <f t="shared" si="258"/>
        <v>#N/A</v>
      </c>
      <c r="R1374" s="205" t="e">
        <f t="shared" si="259"/>
        <v>#N/A</v>
      </c>
      <c r="S1374" s="279" t="e">
        <f>IF(R1374="si",0,IF(E1374="si",0,IF(J1374&gt;K1374,0,+K1374-J1374)))+IF('calcolo base'!P2066="SI",('Commissioni De Angeli'!K1374-'Commissioni De Angeli'!J1374),0)</f>
        <v>#N/A</v>
      </c>
      <c r="T1374" s="117" t="e">
        <f t="shared" si="260"/>
        <v>#N/A</v>
      </c>
      <c r="U1374" s="272" t="e">
        <f>IF(Q1374=0,'calcolo base'!L3973,(T1374+Q1374))</f>
        <v>#N/A</v>
      </c>
      <c r="V1374" s="119"/>
      <c r="Z1374" s="118">
        <f t="shared" si="251"/>
        <v>0</v>
      </c>
      <c r="AA1374" s="118">
        <f t="shared" si="252"/>
        <v>0</v>
      </c>
    </row>
    <row r="1375" spans="2:27">
      <c r="B1375" s="47"/>
      <c r="C1375" s="35"/>
      <c r="D1375" s="53"/>
      <c r="E1375" s="53"/>
      <c r="F1375" s="48"/>
      <c r="G1375" s="243" t="e">
        <f>INDEX('calcolo base'!$B:$B, MATCH($A1375, 'calcolo base'!$A:$A, 0))</f>
        <v>#N/A</v>
      </c>
      <c r="H1375" s="54" t="e">
        <f t="shared" si="253"/>
        <v>#N/A</v>
      </c>
      <c r="I1375" s="259" t="e">
        <f>IF(  OR(      INDEX('calcolo base'!$D:$D, MATCH($A1375, 'calcolo base'!$A:$A, 0)) = 0,
      INDEX('calcolo base'!$D:$D, MATCH($A1375, 'calcolo base'!$A:$A, 0)) = ""   ),
   INDEX('calcolo base'!$K:$K, MATCH($A1375, 'calcolo base'!$A:$A, 0)),
   INDEX('calcolo base'!$J:$J, MATCH($A1375, 'calcolo base'!$A:$A, 0))
) / 1000</f>
        <v>#N/A</v>
      </c>
      <c r="J1375" s="50" t="e">
        <f t="shared" si="254"/>
        <v>#N/A</v>
      </c>
      <c r="K1375" s="50"/>
      <c r="L1375" s="267" t="e">
        <f>INDEX('calcolo base'!$H:$H, MATCH($A1375, 'calcolo base'!$A:$A, 0))</f>
        <v>#N/A</v>
      </c>
      <c r="M1375" s="50" t="e">
        <f t="shared" si="255"/>
        <v>#N/A</v>
      </c>
      <c r="N1375" s="50" t="e">
        <f t="shared" si="256"/>
        <v>#N/A</v>
      </c>
      <c r="O1375" s="50" t="e">
        <f t="shared" si="250"/>
        <v>#N/A</v>
      </c>
      <c r="P1375" s="50" t="e">
        <f t="shared" si="257"/>
        <v>#N/A</v>
      </c>
      <c r="Q1375" s="51" t="e">
        <f t="shared" si="258"/>
        <v>#N/A</v>
      </c>
      <c r="R1375" s="205" t="e">
        <f t="shared" si="259"/>
        <v>#N/A</v>
      </c>
      <c r="S1375" s="279" t="e">
        <f>IF(R1375="si",0,IF(E1375="si",0,IF(J1375&gt;K1375,0,+K1375-J1375)))+IF('calcolo base'!P2067="SI",('Commissioni De Angeli'!K1375-'Commissioni De Angeli'!J1375),0)</f>
        <v>#N/A</v>
      </c>
      <c r="T1375" s="117" t="e">
        <f t="shared" si="260"/>
        <v>#N/A</v>
      </c>
      <c r="U1375" s="272" t="e">
        <f>IF(Q1375=0,'calcolo base'!L3974,(T1375+Q1375))</f>
        <v>#N/A</v>
      </c>
      <c r="V1375" s="119"/>
      <c r="Z1375" s="118">
        <f t="shared" si="251"/>
        <v>0</v>
      </c>
      <c r="AA1375" s="118">
        <f t="shared" si="252"/>
        <v>0</v>
      </c>
    </row>
    <row r="1376" spans="2:27">
      <c r="B1376" s="47"/>
      <c r="C1376" s="35"/>
      <c r="D1376" s="53"/>
      <c r="E1376" s="53"/>
      <c r="F1376" s="48"/>
      <c r="G1376" s="243" t="e">
        <f>INDEX('calcolo base'!$B:$B, MATCH($A1376, 'calcolo base'!$A:$A, 0))</f>
        <v>#N/A</v>
      </c>
      <c r="H1376" s="54" t="e">
        <f t="shared" si="253"/>
        <v>#N/A</v>
      </c>
      <c r="I1376" s="259" t="e">
        <f>IF(  OR(      INDEX('calcolo base'!$D:$D, MATCH($A1376, 'calcolo base'!$A:$A, 0)) = 0,
      INDEX('calcolo base'!$D:$D, MATCH($A1376, 'calcolo base'!$A:$A, 0)) = ""   ),
   INDEX('calcolo base'!$K:$K, MATCH($A1376, 'calcolo base'!$A:$A, 0)),
   INDEX('calcolo base'!$J:$J, MATCH($A1376, 'calcolo base'!$A:$A, 0))
) / 1000</f>
        <v>#N/A</v>
      </c>
      <c r="J1376" s="50" t="e">
        <f t="shared" si="254"/>
        <v>#N/A</v>
      </c>
      <c r="K1376" s="50"/>
      <c r="L1376" s="267" t="e">
        <f>INDEX('calcolo base'!$H:$H, MATCH($A1376, 'calcolo base'!$A:$A, 0))</f>
        <v>#N/A</v>
      </c>
      <c r="M1376" s="50" t="e">
        <f t="shared" si="255"/>
        <v>#N/A</v>
      </c>
      <c r="N1376" s="50" t="e">
        <f t="shared" si="256"/>
        <v>#N/A</v>
      </c>
      <c r="O1376" s="50" t="e">
        <f t="shared" si="250"/>
        <v>#N/A</v>
      </c>
      <c r="P1376" s="50" t="e">
        <f t="shared" si="257"/>
        <v>#N/A</v>
      </c>
      <c r="Q1376" s="51" t="e">
        <f t="shared" si="258"/>
        <v>#N/A</v>
      </c>
      <c r="R1376" s="205" t="e">
        <f t="shared" si="259"/>
        <v>#N/A</v>
      </c>
      <c r="S1376" s="279" t="e">
        <f>IF(R1376="si",0,IF(E1376="si",0,IF(J1376&gt;K1376,0,+K1376-J1376)))+IF('calcolo base'!P2068="SI",('Commissioni De Angeli'!K1376-'Commissioni De Angeli'!J1376),0)</f>
        <v>#N/A</v>
      </c>
      <c r="T1376" s="117" t="e">
        <f t="shared" si="260"/>
        <v>#N/A</v>
      </c>
      <c r="U1376" s="272" t="e">
        <f>IF(Q1376=0,'calcolo base'!L3975,(T1376+Q1376))</f>
        <v>#N/A</v>
      </c>
      <c r="V1376" s="119"/>
      <c r="Z1376" s="118">
        <f t="shared" si="251"/>
        <v>0</v>
      </c>
      <c r="AA1376" s="118">
        <f t="shared" si="252"/>
        <v>0</v>
      </c>
    </row>
    <row r="1377" spans="2:27">
      <c r="B1377" s="47"/>
      <c r="C1377" s="35"/>
      <c r="D1377" s="53"/>
      <c r="E1377" s="53"/>
      <c r="F1377" s="48"/>
      <c r="G1377" s="243" t="e">
        <f>INDEX('calcolo base'!$B:$B, MATCH($A1377, 'calcolo base'!$A:$A, 0))</f>
        <v>#N/A</v>
      </c>
      <c r="H1377" s="54" t="e">
        <f t="shared" si="253"/>
        <v>#N/A</v>
      </c>
      <c r="I1377" s="259" t="e">
        <f>IF(  OR(      INDEX('calcolo base'!$D:$D, MATCH($A1377, 'calcolo base'!$A:$A, 0)) = 0,
      INDEX('calcolo base'!$D:$D, MATCH($A1377, 'calcolo base'!$A:$A, 0)) = ""   ),
   INDEX('calcolo base'!$K:$K, MATCH($A1377, 'calcolo base'!$A:$A, 0)),
   INDEX('calcolo base'!$J:$J, MATCH($A1377, 'calcolo base'!$A:$A, 0))
) / 1000</f>
        <v>#N/A</v>
      </c>
      <c r="J1377" s="50" t="e">
        <f t="shared" si="254"/>
        <v>#N/A</v>
      </c>
      <c r="K1377" s="50"/>
      <c r="L1377" s="267" t="e">
        <f>INDEX('calcolo base'!$H:$H, MATCH($A1377, 'calcolo base'!$A:$A, 0))</f>
        <v>#N/A</v>
      </c>
      <c r="M1377" s="50" t="e">
        <f t="shared" si="255"/>
        <v>#N/A</v>
      </c>
      <c r="N1377" s="50" t="e">
        <f t="shared" si="256"/>
        <v>#N/A</v>
      </c>
      <c r="O1377" s="50" t="e">
        <f t="shared" si="250"/>
        <v>#N/A</v>
      </c>
      <c r="P1377" s="50" t="e">
        <f t="shared" si="257"/>
        <v>#N/A</v>
      </c>
      <c r="Q1377" s="51" t="e">
        <f t="shared" si="258"/>
        <v>#N/A</v>
      </c>
      <c r="R1377" s="205" t="e">
        <f t="shared" si="259"/>
        <v>#N/A</v>
      </c>
      <c r="S1377" s="279" t="e">
        <f>IF(R1377="si",0,IF(E1377="si",0,IF(J1377&gt;K1377,0,+K1377-J1377)))+IF('calcolo base'!P2069="SI",('Commissioni De Angeli'!K1377-'Commissioni De Angeli'!J1377),0)</f>
        <v>#N/A</v>
      </c>
      <c r="T1377" s="117" t="e">
        <f t="shared" si="260"/>
        <v>#N/A</v>
      </c>
      <c r="U1377" s="272" t="e">
        <f>IF(Q1377=0,'calcolo base'!L3976,(T1377+Q1377))</f>
        <v>#N/A</v>
      </c>
      <c r="V1377" s="119"/>
      <c r="Z1377" s="118">
        <f t="shared" si="251"/>
        <v>0</v>
      </c>
      <c r="AA1377" s="118">
        <f t="shared" si="252"/>
        <v>0</v>
      </c>
    </row>
    <row r="1378" spans="2:27">
      <c r="B1378" s="47"/>
      <c r="C1378" s="35"/>
      <c r="D1378" s="53"/>
      <c r="E1378" s="53"/>
      <c r="F1378" s="48"/>
      <c r="G1378" s="243" t="e">
        <f>INDEX('calcolo base'!$B:$B, MATCH($A1378, 'calcolo base'!$A:$A, 0))</f>
        <v>#N/A</v>
      </c>
      <c r="H1378" s="54" t="e">
        <f t="shared" si="253"/>
        <v>#N/A</v>
      </c>
      <c r="I1378" s="259" t="e">
        <f>IF(  OR(      INDEX('calcolo base'!$D:$D, MATCH($A1378, 'calcolo base'!$A:$A, 0)) = 0,
      INDEX('calcolo base'!$D:$D, MATCH($A1378, 'calcolo base'!$A:$A, 0)) = ""   ),
   INDEX('calcolo base'!$K:$K, MATCH($A1378, 'calcolo base'!$A:$A, 0)),
   INDEX('calcolo base'!$J:$J, MATCH($A1378, 'calcolo base'!$A:$A, 0))
) / 1000</f>
        <v>#N/A</v>
      </c>
      <c r="J1378" s="50" t="e">
        <f t="shared" si="254"/>
        <v>#N/A</v>
      </c>
      <c r="K1378" s="50"/>
      <c r="L1378" s="267" t="e">
        <f>INDEX('calcolo base'!$H:$H, MATCH($A1378, 'calcolo base'!$A:$A, 0))</f>
        <v>#N/A</v>
      </c>
      <c r="M1378" s="50" t="e">
        <f t="shared" si="255"/>
        <v>#N/A</v>
      </c>
      <c r="N1378" s="50" t="e">
        <f t="shared" si="256"/>
        <v>#N/A</v>
      </c>
      <c r="O1378" s="50" t="e">
        <f t="shared" si="250"/>
        <v>#N/A</v>
      </c>
      <c r="P1378" s="50" t="e">
        <f t="shared" si="257"/>
        <v>#N/A</v>
      </c>
      <c r="Q1378" s="51" t="e">
        <f t="shared" si="258"/>
        <v>#N/A</v>
      </c>
      <c r="R1378" s="205" t="e">
        <f t="shared" si="259"/>
        <v>#N/A</v>
      </c>
      <c r="S1378" s="279" t="e">
        <f>IF(R1378="si",0,IF(E1378="si",0,IF(J1378&gt;K1378,0,+K1378-J1378)))+IF('calcolo base'!P2070="SI",('Commissioni De Angeli'!K1378-'Commissioni De Angeli'!J1378),0)</f>
        <v>#N/A</v>
      </c>
      <c r="T1378" s="117" t="e">
        <f t="shared" si="260"/>
        <v>#N/A</v>
      </c>
      <c r="U1378" s="272" t="e">
        <f>IF(Q1378=0,'calcolo base'!L3977,(T1378+Q1378))</f>
        <v>#N/A</v>
      </c>
      <c r="V1378" s="119"/>
      <c r="Z1378" s="118">
        <f t="shared" si="251"/>
        <v>0</v>
      </c>
      <c r="AA1378" s="118">
        <f t="shared" si="252"/>
        <v>0</v>
      </c>
    </row>
    <row r="1379" spans="2:27">
      <c r="B1379" s="47"/>
      <c r="C1379" s="35"/>
      <c r="D1379" s="53"/>
      <c r="E1379" s="53"/>
      <c r="F1379" s="48"/>
      <c r="G1379" s="243" t="e">
        <f>INDEX('calcolo base'!$B:$B, MATCH($A1379, 'calcolo base'!$A:$A, 0))</f>
        <v>#N/A</v>
      </c>
      <c r="H1379" s="54" t="e">
        <f t="shared" si="253"/>
        <v>#N/A</v>
      </c>
      <c r="I1379" s="259" t="e">
        <f>IF(  OR(      INDEX('calcolo base'!$D:$D, MATCH($A1379, 'calcolo base'!$A:$A, 0)) = 0,
      INDEX('calcolo base'!$D:$D, MATCH($A1379, 'calcolo base'!$A:$A, 0)) = ""   ),
   INDEX('calcolo base'!$K:$K, MATCH($A1379, 'calcolo base'!$A:$A, 0)),
   INDEX('calcolo base'!$J:$J, MATCH($A1379, 'calcolo base'!$A:$A, 0))
) / 1000</f>
        <v>#N/A</v>
      </c>
      <c r="J1379" s="50" t="e">
        <f t="shared" si="254"/>
        <v>#N/A</v>
      </c>
      <c r="K1379" s="50"/>
      <c r="L1379" s="267" t="e">
        <f>INDEX('calcolo base'!$H:$H, MATCH($A1379, 'calcolo base'!$A:$A, 0))</f>
        <v>#N/A</v>
      </c>
      <c r="M1379" s="50" t="e">
        <f t="shared" si="255"/>
        <v>#N/A</v>
      </c>
      <c r="N1379" s="50" t="e">
        <f t="shared" si="256"/>
        <v>#N/A</v>
      </c>
      <c r="O1379" s="50" t="e">
        <f t="shared" si="250"/>
        <v>#N/A</v>
      </c>
      <c r="P1379" s="50" t="e">
        <f t="shared" si="257"/>
        <v>#N/A</v>
      </c>
      <c r="Q1379" s="51" t="e">
        <f t="shared" si="258"/>
        <v>#N/A</v>
      </c>
      <c r="R1379" s="205" t="e">
        <f t="shared" si="259"/>
        <v>#N/A</v>
      </c>
      <c r="S1379" s="279" t="e">
        <f>IF(R1379="si",0,IF(E1379="si",0,IF(J1379&gt;K1379,0,+K1379-J1379)))+IF('calcolo base'!P2071="SI",('Commissioni De Angeli'!K1379-'Commissioni De Angeli'!J1379),0)</f>
        <v>#N/A</v>
      </c>
      <c r="T1379" s="117" t="e">
        <f t="shared" si="260"/>
        <v>#N/A</v>
      </c>
      <c r="U1379" s="272" t="e">
        <f>IF(Q1379=0,'calcolo base'!L3978,(T1379+Q1379))</f>
        <v>#N/A</v>
      </c>
      <c r="V1379" s="119"/>
      <c r="Z1379" s="118">
        <f t="shared" si="251"/>
        <v>0</v>
      </c>
      <c r="AA1379" s="118">
        <f t="shared" si="252"/>
        <v>0</v>
      </c>
    </row>
    <row r="1380" spans="2:27">
      <c r="B1380" s="47"/>
      <c r="C1380" s="35"/>
      <c r="D1380" s="53"/>
      <c r="E1380" s="53"/>
      <c r="F1380" s="48"/>
      <c r="G1380" s="243" t="e">
        <f>INDEX('calcolo base'!$B:$B, MATCH($A1380, 'calcolo base'!$A:$A, 0))</f>
        <v>#N/A</v>
      </c>
      <c r="H1380" s="54" t="e">
        <f t="shared" si="253"/>
        <v>#N/A</v>
      </c>
      <c r="I1380" s="259" t="e">
        <f>IF(  OR(      INDEX('calcolo base'!$D:$D, MATCH($A1380, 'calcolo base'!$A:$A, 0)) = 0,
      INDEX('calcolo base'!$D:$D, MATCH($A1380, 'calcolo base'!$A:$A, 0)) = ""   ),
   INDEX('calcolo base'!$K:$K, MATCH($A1380, 'calcolo base'!$A:$A, 0)),
   INDEX('calcolo base'!$J:$J, MATCH($A1380, 'calcolo base'!$A:$A, 0))
) / 1000</f>
        <v>#N/A</v>
      </c>
      <c r="J1380" s="50" t="e">
        <f t="shared" si="254"/>
        <v>#N/A</v>
      </c>
      <c r="K1380" s="50"/>
      <c r="L1380" s="267" t="e">
        <f>INDEX('calcolo base'!$H:$H, MATCH($A1380, 'calcolo base'!$A:$A, 0))</f>
        <v>#N/A</v>
      </c>
      <c r="M1380" s="50" t="e">
        <f t="shared" si="255"/>
        <v>#N/A</v>
      </c>
      <c r="N1380" s="50" t="e">
        <f t="shared" si="256"/>
        <v>#N/A</v>
      </c>
      <c r="O1380" s="50" t="e">
        <f t="shared" si="250"/>
        <v>#N/A</v>
      </c>
      <c r="P1380" s="50" t="e">
        <f t="shared" si="257"/>
        <v>#N/A</v>
      </c>
      <c r="Q1380" s="51" t="e">
        <f t="shared" si="258"/>
        <v>#N/A</v>
      </c>
      <c r="R1380" s="205" t="e">
        <f t="shared" si="259"/>
        <v>#N/A</v>
      </c>
      <c r="S1380" s="279" t="e">
        <f>IF(R1380="si",0,IF(E1380="si",0,IF(J1380&gt;K1380,0,+K1380-J1380)))+IF('calcolo base'!P2072="SI",('Commissioni De Angeli'!K1380-'Commissioni De Angeli'!J1380),0)</f>
        <v>#N/A</v>
      </c>
      <c r="T1380" s="117" t="e">
        <f t="shared" si="260"/>
        <v>#N/A</v>
      </c>
      <c r="U1380" s="272" t="e">
        <f>IF(Q1380=0,'calcolo base'!L3979,(T1380+Q1380))</f>
        <v>#N/A</v>
      </c>
      <c r="V1380" s="119"/>
      <c r="Z1380" s="118">
        <f t="shared" si="251"/>
        <v>0</v>
      </c>
      <c r="AA1380" s="118">
        <f t="shared" si="252"/>
        <v>0</v>
      </c>
    </row>
    <row r="1381" spans="2:27">
      <c r="B1381" s="47"/>
      <c r="C1381" s="35"/>
      <c r="D1381" s="53"/>
      <c r="E1381" s="53"/>
      <c r="F1381" s="48"/>
      <c r="G1381" s="243" t="e">
        <f>INDEX('calcolo base'!$B:$B, MATCH($A1381, 'calcolo base'!$A:$A, 0))</f>
        <v>#N/A</v>
      </c>
      <c r="H1381" s="54" t="e">
        <f t="shared" si="253"/>
        <v>#N/A</v>
      </c>
      <c r="I1381" s="259" t="e">
        <f>IF(  OR(      INDEX('calcolo base'!$D:$D, MATCH($A1381, 'calcolo base'!$A:$A, 0)) = 0,
      INDEX('calcolo base'!$D:$D, MATCH($A1381, 'calcolo base'!$A:$A, 0)) = ""   ),
   INDEX('calcolo base'!$K:$K, MATCH($A1381, 'calcolo base'!$A:$A, 0)),
   INDEX('calcolo base'!$J:$J, MATCH($A1381, 'calcolo base'!$A:$A, 0))
) / 1000</f>
        <v>#N/A</v>
      </c>
      <c r="J1381" s="50" t="e">
        <f t="shared" si="254"/>
        <v>#N/A</v>
      </c>
      <c r="K1381" s="50"/>
      <c r="L1381" s="267" t="e">
        <f>INDEX('calcolo base'!$H:$H, MATCH($A1381, 'calcolo base'!$A:$A, 0))</f>
        <v>#N/A</v>
      </c>
      <c r="M1381" s="50" t="e">
        <f t="shared" si="255"/>
        <v>#N/A</v>
      </c>
      <c r="N1381" s="50" t="e">
        <f t="shared" si="256"/>
        <v>#N/A</v>
      </c>
      <c r="O1381" s="50" t="e">
        <f t="shared" si="250"/>
        <v>#N/A</v>
      </c>
      <c r="P1381" s="50" t="e">
        <f t="shared" si="257"/>
        <v>#N/A</v>
      </c>
      <c r="Q1381" s="51" t="e">
        <f t="shared" si="258"/>
        <v>#N/A</v>
      </c>
      <c r="R1381" s="205" t="e">
        <f t="shared" si="259"/>
        <v>#N/A</v>
      </c>
      <c r="S1381" s="279" t="e">
        <f>IF(R1381="si",0,IF(E1381="si",0,IF(J1381&gt;K1381,0,+K1381-J1381)))+IF('calcolo base'!P2073="SI",('Commissioni De Angeli'!K1381-'Commissioni De Angeli'!J1381),0)</f>
        <v>#N/A</v>
      </c>
      <c r="T1381" s="117" t="e">
        <f t="shared" si="260"/>
        <v>#N/A</v>
      </c>
      <c r="U1381" s="272" t="e">
        <f>IF(Q1381=0,'calcolo base'!L3980,(T1381+Q1381))</f>
        <v>#N/A</v>
      </c>
      <c r="V1381" s="119"/>
      <c r="Z1381" s="118">
        <f t="shared" si="251"/>
        <v>0</v>
      </c>
      <c r="AA1381" s="118">
        <f t="shared" si="252"/>
        <v>0</v>
      </c>
    </row>
    <row r="1382" spans="2:27">
      <c r="B1382" s="47"/>
      <c r="C1382" s="35"/>
      <c r="D1382" s="53"/>
      <c r="E1382" s="53"/>
      <c r="F1382" s="48"/>
      <c r="G1382" s="243" t="e">
        <f>INDEX('calcolo base'!$B:$B, MATCH($A1382, 'calcolo base'!$A:$A, 0))</f>
        <v>#N/A</v>
      </c>
      <c r="H1382" s="54" t="e">
        <f t="shared" si="253"/>
        <v>#N/A</v>
      </c>
      <c r="I1382" s="259" t="e">
        <f>IF(  OR(      INDEX('calcolo base'!$D:$D, MATCH($A1382, 'calcolo base'!$A:$A, 0)) = 0,
      INDEX('calcolo base'!$D:$D, MATCH($A1382, 'calcolo base'!$A:$A, 0)) = ""   ),
   INDEX('calcolo base'!$K:$K, MATCH($A1382, 'calcolo base'!$A:$A, 0)),
   INDEX('calcolo base'!$J:$J, MATCH($A1382, 'calcolo base'!$A:$A, 0))
) / 1000</f>
        <v>#N/A</v>
      </c>
      <c r="J1382" s="50" t="e">
        <f t="shared" si="254"/>
        <v>#N/A</v>
      </c>
      <c r="K1382" s="50"/>
      <c r="L1382" s="267" t="e">
        <f>INDEX('calcolo base'!$H:$H, MATCH($A1382, 'calcolo base'!$A:$A, 0))</f>
        <v>#N/A</v>
      </c>
      <c r="M1382" s="50" t="e">
        <f t="shared" si="255"/>
        <v>#N/A</v>
      </c>
      <c r="N1382" s="50" t="e">
        <f t="shared" si="256"/>
        <v>#N/A</v>
      </c>
      <c r="O1382" s="50" t="e">
        <f t="shared" si="250"/>
        <v>#N/A</v>
      </c>
      <c r="P1382" s="50" t="e">
        <f t="shared" si="257"/>
        <v>#N/A</v>
      </c>
      <c r="Q1382" s="51" t="e">
        <f t="shared" si="258"/>
        <v>#N/A</v>
      </c>
      <c r="R1382" s="205" t="e">
        <f t="shared" si="259"/>
        <v>#N/A</v>
      </c>
      <c r="S1382" s="279" t="e">
        <f>IF(R1382="si",0,IF(E1382="si",0,IF(J1382&gt;K1382,0,+K1382-J1382)))+IF('calcolo base'!P2074="SI",('Commissioni De Angeli'!K1382-'Commissioni De Angeli'!J1382),0)</f>
        <v>#N/A</v>
      </c>
      <c r="T1382" s="117" t="e">
        <f t="shared" si="260"/>
        <v>#N/A</v>
      </c>
      <c r="U1382" s="272" t="e">
        <f>IF(Q1382=0,'calcolo base'!L3981,(T1382+Q1382))</f>
        <v>#N/A</v>
      </c>
      <c r="V1382" s="119"/>
      <c r="Z1382" s="118">
        <f t="shared" si="251"/>
        <v>0</v>
      </c>
      <c r="AA1382" s="118">
        <f t="shared" si="252"/>
        <v>0</v>
      </c>
    </row>
    <row r="1383" spans="2:27">
      <c r="B1383" s="47"/>
      <c r="C1383" s="35"/>
      <c r="D1383" s="53"/>
      <c r="E1383" s="53"/>
      <c r="F1383" s="48"/>
      <c r="G1383" s="243" t="e">
        <f>INDEX('calcolo base'!$B:$B, MATCH($A1383, 'calcolo base'!$A:$A, 0))</f>
        <v>#N/A</v>
      </c>
      <c r="H1383" s="54" t="e">
        <f t="shared" si="253"/>
        <v>#N/A</v>
      </c>
      <c r="I1383" s="259" t="e">
        <f>IF(  OR(      INDEX('calcolo base'!$D:$D, MATCH($A1383, 'calcolo base'!$A:$A, 0)) = 0,
      INDEX('calcolo base'!$D:$D, MATCH($A1383, 'calcolo base'!$A:$A, 0)) = ""   ),
   INDEX('calcolo base'!$K:$K, MATCH($A1383, 'calcolo base'!$A:$A, 0)),
   INDEX('calcolo base'!$J:$J, MATCH($A1383, 'calcolo base'!$A:$A, 0))
) / 1000</f>
        <v>#N/A</v>
      </c>
      <c r="J1383" s="50" t="e">
        <f t="shared" si="254"/>
        <v>#N/A</v>
      </c>
      <c r="K1383" s="50"/>
      <c r="L1383" s="267" t="e">
        <f>INDEX('calcolo base'!$H:$H, MATCH($A1383, 'calcolo base'!$A:$A, 0))</f>
        <v>#N/A</v>
      </c>
      <c r="M1383" s="50" t="e">
        <f t="shared" si="255"/>
        <v>#N/A</v>
      </c>
      <c r="N1383" s="50" t="e">
        <f t="shared" si="256"/>
        <v>#N/A</v>
      </c>
      <c r="O1383" s="50" t="e">
        <f t="shared" si="250"/>
        <v>#N/A</v>
      </c>
      <c r="P1383" s="50" t="e">
        <f t="shared" si="257"/>
        <v>#N/A</v>
      </c>
      <c r="Q1383" s="51" t="e">
        <f t="shared" si="258"/>
        <v>#N/A</v>
      </c>
      <c r="R1383" s="205" t="e">
        <f t="shared" si="259"/>
        <v>#N/A</v>
      </c>
      <c r="S1383" s="279" t="e">
        <f>IF(R1383="si",0,IF(E1383="si",0,IF(J1383&gt;K1383,0,+K1383-J1383)))+IF('calcolo base'!P2075="SI",('Commissioni De Angeli'!K1383-'Commissioni De Angeli'!J1383),0)</f>
        <v>#N/A</v>
      </c>
      <c r="T1383" s="117" t="e">
        <f t="shared" si="260"/>
        <v>#N/A</v>
      </c>
      <c r="U1383" s="272" t="e">
        <f>IF(Q1383=0,'calcolo base'!L3982,(T1383+Q1383))</f>
        <v>#N/A</v>
      </c>
      <c r="V1383" s="119"/>
      <c r="Z1383" s="118">
        <f t="shared" si="251"/>
        <v>0</v>
      </c>
      <c r="AA1383" s="118">
        <f t="shared" si="252"/>
        <v>0</v>
      </c>
    </row>
    <row r="1384" spans="2:27">
      <c r="B1384" s="47"/>
      <c r="C1384" s="35"/>
      <c r="D1384" s="53"/>
      <c r="E1384" s="53"/>
      <c r="F1384" s="48"/>
      <c r="G1384" s="243" t="e">
        <f>INDEX('calcolo base'!$B:$B, MATCH($A1384, 'calcolo base'!$A:$A, 0))</f>
        <v>#N/A</v>
      </c>
      <c r="H1384" s="54" t="e">
        <f t="shared" si="253"/>
        <v>#N/A</v>
      </c>
      <c r="I1384" s="259" t="e">
        <f>IF(  OR(      INDEX('calcolo base'!$D:$D, MATCH($A1384, 'calcolo base'!$A:$A, 0)) = 0,
      INDEX('calcolo base'!$D:$D, MATCH($A1384, 'calcolo base'!$A:$A, 0)) = ""   ),
   INDEX('calcolo base'!$K:$K, MATCH($A1384, 'calcolo base'!$A:$A, 0)),
   INDEX('calcolo base'!$J:$J, MATCH($A1384, 'calcolo base'!$A:$A, 0))
) / 1000</f>
        <v>#N/A</v>
      </c>
      <c r="J1384" s="50" t="e">
        <f t="shared" si="254"/>
        <v>#N/A</v>
      </c>
      <c r="K1384" s="50"/>
      <c r="L1384" s="267" t="e">
        <f>INDEX('calcolo base'!$H:$H, MATCH($A1384, 'calcolo base'!$A:$A, 0))</f>
        <v>#N/A</v>
      </c>
      <c r="M1384" s="50" t="e">
        <f t="shared" si="255"/>
        <v>#N/A</v>
      </c>
      <c r="N1384" s="50" t="e">
        <f t="shared" si="256"/>
        <v>#N/A</v>
      </c>
      <c r="O1384" s="50" t="e">
        <f t="shared" si="250"/>
        <v>#N/A</v>
      </c>
      <c r="P1384" s="50" t="e">
        <f t="shared" si="257"/>
        <v>#N/A</v>
      </c>
      <c r="Q1384" s="51" t="e">
        <f t="shared" si="258"/>
        <v>#N/A</v>
      </c>
      <c r="R1384" s="205" t="e">
        <f t="shared" si="259"/>
        <v>#N/A</v>
      </c>
      <c r="S1384" s="279" t="e">
        <f>IF(R1384="si",0,IF(E1384="si",0,IF(J1384&gt;K1384,0,+K1384-J1384)))+IF('calcolo base'!P2076="SI",('Commissioni De Angeli'!K1384-'Commissioni De Angeli'!J1384),0)</f>
        <v>#N/A</v>
      </c>
      <c r="T1384" s="117" t="e">
        <f t="shared" si="260"/>
        <v>#N/A</v>
      </c>
      <c r="U1384" s="272" t="e">
        <f>IF(Q1384=0,'calcolo base'!L3983,(T1384+Q1384))</f>
        <v>#N/A</v>
      </c>
      <c r="V1384" s="119"/>
      <c r="Z1384" s="118">
        <f t="shared" si="251"/>
        <v>0</v>
      </c>
      <c r="AA1384" s="118">
        <f t="shared" si="252"/>
        <v>0</v>
      </c>
    </row>
    <row r="1385" spans="2:27">
      <c r="B1385" s="47"/>
      <c r="C1385" s="35"/>
      <c r="D1385" s="53"/>
      <c r="E1385" s="53"/>
      <c r="F1385" s="48"/>
      <c r="G1385" s="243" t="e">
        <f>INDEX('calcolo base'!$B:$B, MATCH($A1385, 'calcolo base'!$A:$A, 0))</f>
        <v>#N/A</v>
      </c>
      <c r="H1385" s="54" t="e">
        <f t="shared" si="253"/>
        <v>#N/A</v>
      </c>
      <c r="I1385" s="259" t="e">
        <f>IF(  OR(      INDEX('calcolo base'!$D:$D, MATCH($A1385, 'calcolo base'!$A:$A, 0)) = 0,
      INDEX('calcolo base'!$D:$D, MATCH($A1385, 'calcolo base'!$A:$A, 0)) = ""   ),
   INDEX('calcolo base'!$K:$K, MATCH($A1385, 'calcolo base'!$A:$A, 0)),
   INDEX('calcolo base'!$J:$J, MATCH($A1385, 'calcolo base'!$A:$A, 0))
) / 1000</f>
        <v>#N/A</v>
      </c>
      <c r="J1385" s="50" t="e">
        <f t="shared" si="254"/>
        <v>#N/A</v>
      </c>
      <c r="K1385" s="50"/>
      <c r="L1385" s="267" t="e">
        <f>INDEX('calcolo base'!$H:$H, MATCH($A1385, 'calcolo base'!$A:$A, 0))</f>
        <v>#N/A</v>
      </c>
      <c r="M1385" s="50" t="e">
        <f t="shared" si="255"/>
        <v>#N/A</v>
      </c>
      <c r="N1385" s="50" t="e">
        <f t="shared" si="256"/>
        <v>#N/A</v>
      </c>
      <c r="O1385" s="50" t="e">
        <f t="shared" si="250"/>
        <v>#N/A</v>
      </c>
      <c r="P1385" s="50" t="e">
        <f t="shared" si="257"/>
        <v>#N/A</v>
      </c>
      <c r="Q1385" s="51" t="e">
        <f t="shared" si="258"/>
        <v>#N/A</v>
      </c>
      <c r="R1385" s="205" t="e">
        <f t="shared" si="259"/>
        <v>#N/A</v>
      </c>
      <c r="S1385" s="279" t="e">
        <f>IF(R1385="si",0,IF(E1385="si",0,IF(J1385&gt;K1385,0,+K1385-J1385)))+IF('calcolo base'!P2077="SI",('Commissioni De Angeli'!K1385-'Commissioni De Angeli'!J1385),0)</f>
        <v>#N/A</v>
      </c>
      <c r="T1385" s="117" t="e">
        <f t="shared" si="260"/>
        <v>#N/A</v>
      </c>
      <c r="U1385" s="272" t="e">
        <f>IF(Q1385=0,'calcolo base'!L3984,(T1385+Q1385))</f>
        <v>#N/A</v>
      </c>
      <c r="V1385" s="119"/>
      <c r="Z1385" s="118">
        <f t="shared" si="251"/>
        <v>0</v>
      </c>
      <c r="AA1385" s="118">
        <f t="shared" si="252"/>
        <v>0</v>
      </c>
    </row>
    <row r="1386" spans="2:27">
      <c r="B1386" s="47"/>
      <c r="C1386" s="35"/>
      <c r="D1386" s="53"/>
      <c r="E1386" s="53"/>
      <c r="F1386" s="48"/>
      <c r="G1386" s="243" t="e">
        <f>INDEX('calcolo base'!$B:$B, MATCH($A1386, 'calcolo base'!$A:$A, 0))</f>
        <v>#N/A</v>
      </c>
      <c r="H1386" s="54" t="e">
        <f t="shared" si="253"/>
        <v>#N/A</v>
      </c>
      <c r="I1386" s="259" t="e">
        <f>IF(  OR(      INDEX('calcolo base'!$D:$D, MATCH($A1386, 'calcolo base'!$A:$A, 0)) = 0,
      INDEX('calcolo base'!$D:$D, MATCH($A1386, 'calcolo base'!$A:$A, 0)) = ""   ),
   INDEX('calcolo base'!$K:$K, MATCH($A1386, 'calcolo base'!$A:$A, 0)),
   INDEX('calcolo base'!$J:$J, MATCH($A1386, 'calcolo base'!$A:$A, 0))
) / 1000</f>
        <v>#N/A</v>
      </c>
      <c r="J1386" s="50" t="e">
        <f t="shared" si="254"/>
        <v>#N/A</v>
      </c>
      <c r="K1386" s="50"/>
      <c r="L1386" s="267" t="e">
        <f>INDEX('calcolo base'!$H:$H, MATCH($A1386, 'calcolo base'!$A:$A, 0))</f>
        <v>#N/A</v>
      </c>
      <c r="M1386" s="50" t="e">
        <f t="shared" si="255"/>
        <v>#N/A</v>
      </c>
      <c r="N1386" s="50" t="e">
        <f t="shared" si="256"/>
        <v>#N/A</v>
      </c>
      <c r="O1386" s="50" t="e">
        <f t="shared" si="250"/>
        <v>#N/A</v>
      </c>
      <c r="P1386" s="50" t="e">
        <f t="shared" si="257"/>
        <v>#N/A</v>
      </c>
      <c r="Q1386" s="51" t="e">
        <f t="shared" si="258"/>
        <v>#N/A</v>
      </c>
      <c r="R1386" s="205" t="e">
        <f t="shared" si="259"/>
        <v>#N/A</v>
      </c>
      <c r="S1386" s="279" t="e">
        <f>IF(R1386="si",0,IF(E1386="si",0,IF(J1386&gt;K1386,0,+K1386-J1386)))+IF('calcolo base'!P2078="SI",('Commissioni De Angeli'!K1386-'Commissioni De Angeli'!J1386),0)</f>
        <v>#N/A</v>
      </c>
      <c r="T1386" s="117" t="e">
        <f t="shared" si="260"/>
        <v>#N/A</v>
      </c>
      <c r="U1386" s="272" t="e">
        <f>IF(Q1386=0,'calcolo base'!L3985,(T1386+Q1386))</f>
        <v>#N/A</v>
      </c>
      <c r="V1386" s="119"/>
      <c r="Z1386" s="118">
        <f t="shared" si="251"/>
        <v>0</v>
      </c>
      <c r="AA1386" s="118">
        <f t="shared" si="252"/>
        <v>0</v>
      </c>
    </row>
    <row r="1387" spans="2:27">
      <c r="B1387" s="47"/>
      <c r="C1387" s="35"/>
      <c r="D1387" s="53"/>
      <c r="E1387" s="53"/>
      <c r="F1387" s="48"/>
      <c r="G1387" s="243" t="e">
        <f>INDEX('calcolo base'!$B:$B, MATCH($A1387, 'calcolo base'!$A:$A, 0))</f>
        <v>#N/A</v>
      </c>
      <c r="H1387" s="54" t="e">
        <f t="shared" si="253"/>
        <v>#N/A</v>
      </c>
      <c r="I1387" s="259" t="e">
        <f>IF(  OR(      INDEX('calcolo base'!$D:$D, MATCH($A1387, 'calcolo base'!$A:$A, 0)) = 0,
      INDEX('calcolo base'!$D:$D, MATCH($A1387, 'calcolo base'!$A:$A, 0)) = ""   ),
   INDEX('calcolo base'!$K:$K, MATCH($A1387, 'calcolo base'!$A:$A, 0)),
   INDEX('calcolo base'!$J:$J, MATCH($A1387, 'calcolo base'!$A:$A, 0))
) / 1000</f>
        <v>#N/A</v>
      </c>
      <c r="J1387" s="50" t="e">
        <f t="shared" si="254"/>
        <v>#N/A</v>
      </c>
      <c r="K1387" s="50"/>
      <c r="L1387" s="267" t="e">
        <f>INDEX('calcolo base'!$H:$H, MATCH($A1387, 'calcolo base'!$A:$A, 0))</f>
        <v>#N/A</v>
      </c>
      <c r="M1387" s="50" t="e">
        <f t="shared" si="255"/>
        <v>#N/A</v>
      </c>
      <c r="N1387" s="50" t="e">
        <f t="shared" si="256"/>
        <v>#N/A</v>
      </c>
      <c r="O1387" s="50" t="e">
        <f t="shared" si="250"/>
        <v>#N/A</v>
      </c>
      <c r="P1387" s="50" t="e">
        <f t="shared" si="257"/>
        <v>#N/A</v>
      </c>
      <c r="Q1387" s="51" t="e">
        <f t="shared" si="258"/>
        <v>#N/A</v>
      </c>
      <c r="R1387" s="205" t="e">
        <f t="shared" si="259"/>
        <v>#N/A</v>
      </c>
      <c r="S1387" s="279" t="e">
        <f>IF(R1387="si",0,IF(E1387="si",0,IF(J1387&gt;K1387,0,+K1387-J1387)))+IF('calcolo base'!P2079="SI",('Commissioni De Angeli'!K1387-'Commissioni De Angeli'!J1387),0)</f>
        <v>#N/A</v>
      </c>
      <c r="T1387" s="117" t="e">
        <f t="shared" si="260"/>
        <v>#N/A</v>
      </c>
      <c r="U1387" s="272" t="e">
        <f>IF(Q1387=0,'calcolo base'!L3986,(T1387+Q1387))</f>
        <v>#N/A</v>
      </c>
      <c r="V1387" s="119"/>
      <c r="Z1387" s="118">
        <f t="shared" si="251"/>
        <v>0</v>
      </c>
      <c r="AA1387" s="118">
        <f t="shared" si="252"/>
        <v>0</v>
      </c>
    </row>
    <row r="1388" spans="2:27">
      <c r="B1388" s="47"/>
      <c r="C1388" s="35"/>
      <c r="D1388" s="53"/>
      <c r="E1388" s="53"/>
      <c r="F1388" s="48"/>
      <c r="G1388" s="243" t="e">
        <f>INDEX('calcolo base'!$B:$B, MATCH($A1388, 'calcolo base'!$A:$A, 0))</f>
        <v>#N/A</v>
      </c>
      <c r="H1388" s="54" t="e">
        <f t="shared" si="253"/>
        <v>#N/A</v>
      </c>
      <c r="I1388" s="259" t="e">
        <f>IF(  OR(      INDEX('calcolo base'!$D:$D, MATCH($A1388, 'calcolo base'!$A:$A, 0)) = 0,
      INDEX('calcolo base'!$D:$D, MATCH($A1388, 'calcolo base'!$A:$A, 0)) = ""   ),
   INDEX('calcolo base'!$K:$K, MATCH($A1388, 'calcolo base'!$A:$A, 0)),
   INDEX('calcolo base'!$J:$J, MATCH($A1388, 'calcolo base'!$A:$A, 0))
) / 1000</f>
        <v>#N/A</v>
      </c>
      <c r="J1388" s="50" t="e">
        <f t="shared" si="254"/>
        <v>#N/A</v>
      </c>
      <c r="K1388" s="50"/>
      <c r="L1388" s="267" t="e">
        <f>INDEX('calcolo base'!$H:$H, MATCH($A1388, 'calcolo base'!$A:$A, 0))</f>
        <v>#N/A</v>
      </c>
      <c r="M1388" s="50" t="e">
        <f t="shared" si="255"/>
        <v>#N/A</v>
      </c>
      <c r="N1388" s="50" t="e">
        <f t="shared" si="256"/>
        <v>#N/A</v>
      </c>
      <c r="O1388" s="50" t="e">
        <f t="shared" si="250"/>
        <v>#N/A</v>
      </c>
      <c r="P1388" s="50" t="e">
        <f t="shared" si="257"/>
        <v>#N/A</v>
      </c>
      <c r="Q1388" s="51" t="e">
        <f t="shared" si="258"/>
        <v>#N/A</v>
      </c>
      <c r="R1388" s="205" t="e">
        <f t="shared" si="259"/>
        <v>#N/A</v>
      </c>
      <c r="S1388" s="279" t="e">
        <f>IF(R1388="si",0,IF(E1388="si",0,IF(J1388&gt;K1388,0,+K1388-J1388)))+IF('calcolo base'!P2080="SI",('Commissioni De Angeli'!K1388-'Commissioni De Angeli'!J1388),0)</f>
        <v>#N/A</v>
      </c>
      <c r="T1388" s="117" t="e">
        <f t="shared" si="260"/>
        <v>#N/A</v>
      </c>
      <c r="U1388" s="272" t="e">
        <f>IF(Q1388=0,'calcolo base'!L3987,(T1388+Q1388))</f>
        <v>#N/A</v>
      </c>
      <c r="V1388" s="119"/>
      <c r="Z1388" s="118">
        <f t="shared" si="251"/>
        <v>0</v>
      </c>
      <c r="AA1388" s="118">
        <f t="shared" si="252"/>
        <v>0</v>
      </c>
    </row>
    <row r="1389" spans="2:27">
      <c r="B1389" s="47"/>
      <c r="C1389" s="35"/>
      <c r="D1389" s="53"/>
      <c r="E1389" s="53"/>
      <c r="F1389" s="48"/>
      <c r="G1389" s="243" t="e">
        <f>INDEX('calcolo base'!$B:$B, MATCH($A1389, 'calcolo base'!$A:$A, 0))</f>
        <v>#N/A</v>
      </c>
      <c r="H1389" s="54" t="e">
        <f t="shared" si="253"/>
        <v>#N/A</v>
      </c>
      <c r="I1389" s="259" t="e">
        <f>IF(  OR(      INDEX('calcolo base'!$D:$D, MATCH($A1389, 'calcolo base'!$A:$A, 0)) = 0,
      INDEX('calcolo base'!$D:$D, MATCH($A1389, 'calcolo base'!$A:$A, 0)) = ""   ),
   INDEX('calcolo base'!$K:$K, MATCH($A1389, 'calcolo base'!$A:$A, 0)),
   INDEX('calcolo base'!$J:$J, MATCH($A1389, 'calcolo base'!$A:$A, 0))
) / 1000</f>
        <v>#N/A</v>
      </c>
      <c r="J1389" s="50" t="e">
        <f t="shared" si="254"/>
        <v>#N/A</v>
      </c>
      <c r="K1389" s="50"/>
      <c r="L1389" s="267" t="e">
        <f>INDEX('calcolo base'!$H:$H, MATCH($A1389, 'calcolo base'!$A:$A, 0))</f>
        <v>#N/A</v>
      </c>
      <c r="M1389" s="50" t="e">
        <f t="shared" si="255"/>
        <v>#N/A</v>
      </c>
      <c r="N1389" s="50" t="e">
        <f t="shared" si="256"/>
        <v>#N/A</v>
      </c>
      <c r="O1389" s="50" t="e">
        <f t="shared" ref="O1389:O1452" si="261">IF($I1389=0,0,(IF($G1389="alluminio",($J1389)*3%,0)+IF($G1389="alluminio smaltato",($K1389)*3%,0)))</f>
        <v>#N/A</v>
      </c>
      <c r="P1389" s="50" t="e">
        <f t="shared" si="257"/>
        <v>#N/A</v>
      </c>
      <c r="Q1389" s="51" t="e">
        <f t="shared" si="258"/>
        <v>#N/A</v>
      </c>
      <c r="R1389" s="205" t="e">
        <f t="shared" si="259"/>
        <v>#N/A</v>
      </c>
      <c r="S1389" s="279" t="e">
        <f>IF(R1389="si",0,IF(E1389="si",0,IF(J1389&gt;K1389,0,+K1389-J1389)))+IF('calcolo base'!P2081="SI",('Commissioni De Angeli'!K1389-'Commissioni De Angeli'!J1389),0)</f>
        <v>#N/A</v>
      </c>
      <c r="T1389" s="117" t="e">
        <f t="shared" si="260"/>
        <v>#N/A</v>
      </c>
      <c r="U1389" s="272" t="e">
        <f>IF(Q1389=0,'calcolo base'!L3988,(T1389+Q1389))</f>
        <v>#N/A</v>
      </c>
      <c r="V1389" s="119"/>
      <c r="Z1389" s="118">
        <f t="shared" si="251"/>
        <v>0</v>
      </c>
      <c r="AA1389" s="118">
        <f t="shared" si="252"/>
        <v>0</v>
      </c>
    </row>
    <row r="1390" spans="2:27">
      <c r="B1390" s="47"/>
      <c r="C1390" s="35"/>
      <c r="D1390" s="53"/>
      <c r="E1390" s="53"/>
      <c r="F1390" s="48"/>
      <c r="G1390" s="243" t="e">
        <f>INDEX('calcolo base'!$B:$B, MATCH($A1390, 'calcolo base'!$A:$A, 0))</f>
        <v>#N/A</v>
      </c>
      <c r="H1390" s="54" t="e">
        <f t="shared" si="253"/>
        <v>#N/A</v>
      </c>
      <c r="I1390" s="259" t="e">
        <f>IF(  OR(      INDEX('calcolo base'!$D:$D, MATCH($A1390, 'calcolo base'!$A:$A, 0)) = 0,
      INDEX('calcolo base'!$D:$D, MATCH($A1390, 'calcolo base'!$A:$A, 0)) = ""   ),
   INDEX('calcolo base'!$K:$K, MATCH($A1390, 'calcolo base'!$A:$A, 0)),
   INDEX('calcolo base'!$J:$J, MATCH($A1390, 'calcolo base'!$A:$A, 0))
) / 1000</f>
        <v>#N/A</v>
      </c>
      <c r="J1390" s="50" t="e">
        <f t="shared" si="254"/>
        <v>#N/A</v>
      </c>
      <c r="K1390" s="50"/>
      <c r="L1390" s="267" t="e">
        <f>INDEX('calcolo base'!$H:$H, MATCH($A1390, 'calcolo base'!$A:$A, 0))</f>
        <v>#N/A</v>
      </c>
      <c r="M1390" s="50" t="e">
        <f t="shared" si="255"/>
        <v>#N/A</v>
      </c>
      <c r="N1390" s="50" t="e">
        <f t="shared" si="256"/>
        <v>#N/A</v>
      </c>
      <c r="O1390" s="50" t="e">
        <f t="shared" si="261"/>
        <v>#N/A</v>
      </c>
      <c r="P1390" s="50" t="e">
        <f t="shared" si="257"/>
        <v>#N/A</v>
      </c>
      <c r="Q1390" s="51" t="e">
        <f t="shared" si="258"/>
        <v>#N/A</v>
      </c>
      <c r="R1390" s="205" t="e">
        <f t="shared" si="259"/>
        <v>#N/A</v>
      </c>
      <c r="S1390" s="279" t="e">
        <f>IF(R1390="si",0,IF(E1390="si",0,IF(J1390&gt;K1390,0,+K1390-J1390)))+IF('calcolo base'!P2082="SI",('Commissioni De Angeli'!K1390-'Commissioni De Angeli'!J1390),0)</f>
        <v>#N/A</v>
      </c>
      <c r="T1390" s="117" t="e">
        <f t="shared" si="260"/>
        <v>#N/A</v>
      </c>
      <c r="U1390" s="272" t="e">
        <f>IF(Q1390=0,'calcolo base'!L3989,(T1390+Q1390))</f>
        <v>#N/A</v>
      </c>
      <c r="V1390" s="119"/>
      <c r="Z1390" s="118">
        <f t="shared" si="251"/>
        <v>0</v>
      </c>
      <c r="AA1390" s="118">
        <f t="shared" si="252"/>
        <v>0</v>
      </c>
    </row>
    <row r="1391" spans="2:27">
      <c r="B1391" s="47"/>
      <c r="C1391" s="35"/>
      <c r="D1391" s="53"/>
      <c r="E1391" s="53"/>
      <c r="F1391" s="48"/>
      <c r="G1391" s="243" t="e">
        <f>INDEX('calcolo base'!$B:$B, MATCH($A1391, 'calcolo base'!$A:$A, 0))</f>
        <v>#N/A</v>
      </c>
      <c r="H1391" s="54" t="e">
        <f t="shared" si="253"/>
        <v>#N/A</v>
      </c>
      <c r="I1391" s="259" t="e">
        <f>IF(  OR(      INDEX('calcolo base'!$D:$D, MATCH($A1391, 'calcolo base'!$A:$A, 0)) = 0,
      INDEX('calcolo base'!$D:$D, MATCH($A1391, 'calcolo base'!$A:$A, 0)) = ""   ),
   INDEX('calcolo base'!$K:$K, MATCH($A1391, 'calcolo base'!$A:$A, 0)),
   INDEX('calcolo base'!$J:$J, MATCH($A1391, 'calcolo base'!$A:$A, 0))
) / 1000</f>
        <v>#N/A</v>
      </c>
      <c r="J1391" s="50" t="e">
        <f t="shared" si="254"/>
        <v>#N/A</v>
      </c>
      <c r="K1391" s="50"/>
      <c r="L1391" s="267" t="e">
        <f>INDEX('calcolo base'!$H:$H, MATCH($A1391, 'calcolo base'!$A:$A, 0))</f>
        <v>#N/A</v>
      </c>
      <c r="M1391" s="50" t="e">
        <f t="shared" si="255"/>
        <v>#N/A</v>
      </c>
      <c r="N1391" s="50" t="e">
        <f t="shared" si="256"/>
        <v>#N/A</v>
      </c>
      <c r="O1391" s="50" t="e">
        <f t="shared" si="261"/>
        <v>#N/A</v>
      </c>
      <c r="P1391" s="50" t="e">
        <f t="shared" si="257"/>
        <v>#N/A</v>
      </c>
      <c r="Q1391" s="51" t="e">
        <f t="shared" si="258"/>
        <v>#N/A</v>
      </c>
      <c r="R1391" s="205" t="e">
        <f t="shared" si="259"/>
        <v>#N/A</v>
      </c>
      <c r="S1391" s="279" t="e">
        <f>IF(R1391="si",0,IF(E1391="si",0,IF(J1391&gt;K1391,0,+K1391-J1391)))+IF('calcolo base'!P2083="SI",('Commissioni De Angeli'!K1391-'Commissioni De Angeli'!J1391),0)</f>
        <v>#N/A</v>
      </c>
      <c r="T1391" s="117" t="e">
        <f t="shared" si="260"/>
        <v>#N/A</v>
      </c>
      <c r="U1391" s="272" t="e">
        <f>IF(Q1391=0,'calcolo base'!L3990,(T1391+Q1391))</f>
        <v>#N/A</v>
      </c>
      <c r="V1391" s="119"/>
      <c r="Z1391" s="118">
        <f t="shared" si="251"/>
        <v>0</v>
      </c>
      <c r="AA1391" s="118">
        <f t="shared" si="252"/>
        <v>0</v>
      </c>
    </row>
    <row r="1392" spans="2:27">
      <c r="B1392" s="47"/>
      <c r="C1392" s="35"/>
      <c r="D1392" s="53"/>
      <c r="E1392" s="53"/>
      <c r="F1392" s="48"/>
      <c r="G1392" s="243" t="e">
        <f>INDEX('calcolo base'!$B:$B, MATCH($A1392, 'calcolo base'!$A:$A, 0))</f>
        <v>#N/A</v>
      </c>
      <c r="H1392" s="54" t="e">
        <f t="shared" si="253"/>
        <v>#N/A</v>
      </c>
      <c r="I1392" s="259" t="e">
        <f>IF(  OR(      INDEX('calcolo base'!$D:$D, MATCH($A1392, 'calcolo base'!$A:$A, 0)) = 0,
      INDEX('calcolo base'!$D:$D, MATCH($A1392, 'calcolo base'!$A:$A, 0)) = ""   ),
   INDEX('calcolo base'!$K:$K, MATCH($A1392, 'calcolo base'!$A:$A, 0)),
   INDEX('calcolo base'!$J:$J, MATCH($A1392, 'calcolo base'!$A:$A, 0))
) / 1000</f>
        <v>#N/A</v>
      </c>
      <c r="J1392" s="50" t="e">
        <f t="shared" si="254"/>
        <v>#N/A</v>
      </c>
      <c r="K1392" s="50"/>
      <c r="L1392" s="267" t="e">
        <f>INDEX('calcolo base'!$H:$H, MATCH($A1392, 'calcolo base'!$A:$A, 0))</f>
        <v>#N/A</v>
      </c>
      <c r="M1392" s="50" t="e">
        <f t="shared" si="255"/>
        <v>#N/A</v>
      </c>
      <c r="N1392" s="50" t="e">
        <f t="shared" si="256"/>
        <v>#N/A</v>
      </c>
      <c r="O1392" s="50" t="e">
        <f t="shared" si="261"/>
        <v>#N/A</v>
      </c>
      <c r="P1392" s="50" t="e">
        <f t="shared" si="257"/>
        <v>#N/A</v>
      </c>
      <c r="Q1392" s="51" t="e">
        <f t="shared" si="258"/>
        <v>#N/A</v>
      </c>
      <c r="R1392" s="205" t="e">
        <f t="shared" si="259"/>
        <v>#N/A</v>
      </c>
      <c r="S1392" s="279" t="e">
        <f>IF(R1392="si",0,IF(E1392="si",0,IF(J1392&gt;K1392,0,+K1392-J1392)))+IF('calcolo base'!P2084="SI",('Commissioni De Angeli'!K1392-'Commissioni De Angeli'!J1392),0)</f>
        <v>#N/A</v>
      </c>
      <c r="T1392" s="117" t="e">
        <f t="shared" si="260"/>
        <v>#N/A</v>
      </c>
      <c r="U1392" s="272" t="e">
        <f>IF(Q1392=0,'calcolo base'!L3991,(T1392+Q1392))</f>
        <v>#N/A</v>
      </c>
      <c r="V1392" s="119"/>
      <c r="Z1392" s="118">
        <f t="shared" si="251"/>
        <v>0</v>
      </c>
      <c r="AA1392" s="118">
        <f t="shared" si="252"/>
        <v>0</v>
      </c>
    </row>
    <row r="1393" spans="2:27">
      <c r="B1393" s="47"/>
      <c r="C1393" s="35"/>
      <c r="D1393" s="53"/>
      <c r="E1393" s="53"/>
      <c r="F1393" s="48"/>
      <c r="G1393" s="243" t="e">
        <f>INDEX('calcolo base'!$B:$B, MATCH($A1393, 'calcolo base'!$A:$A, 0))</f>
        <v>#N/A</v>
      </c>
      <c r="H1393" s="54" t="e">
        <f t="shared" si="253"/>
        <v>#N/A</v>
      </c>
      <c r="I1393" s="259" t="e">
        <f>IF(  OR(      INDEX('calcolo base'!$D:$D, MATCH($A1393, 'calcolo base'!$A:$A, 0)) = 0,
      INDEX('calcolo base'!$D:$D, MATCH($A1393, 'calcolo base'!$A:$A, 0)) = ""   ),
   INDEX('calcolo base'!$K:$K, MATCH($A1393, 'calcolo base'!$A:$A, 0)),
   INDEX('calcolo base'!$J:$J, MATCH($A1393, 'calcolo base'!$A:$A, 0))
) / 1000</f>
        <v>#N/A</v>
      </c>
      <c r="J1393" s="50" t="e">
        <f t="shared" si="254"/>
        <v>#N/A</v>
      </c>
      <c r="K1393" s="50"/>
      <c r="L1393" s="267" t="e">
        <f>INDEX('calcolo base'!$H:$H, MATCH($A1393, 'calcolo base'!$A:$A, 0))</f>
        <v>#N/A</v>
      </c>
      <c r="M1393" s="50" t="e">
        <f t="shared" si="255"/>
        <v>#N/A</v>
      </c>
      <c r="N1393" s="50" t="e">
        <f t="shared" si="256"/>
        <v>#N/A</v>
      </c>
      <c r="O1393" s="50" t="e">
        <f t="shared" si="261"/>
        <v>#N/A</v>
      </c>
      <c r="P1393" s="50" t="e">
        <f t="shared" si="257"/>
        <v>#N/A</v>
      </c>
      <c r="Q1393" s="51" t="e">
        <f t="shared" si="258"/>
        <v>#N/A</v>
      </c>
      <c r="R1393" s="205" t="e">
        <f t="shared" si="259"/>
        <v>#N/A</v>
      </c>
      <c r="S1393" s="279" t="e">
        <f>IF(R1393="si",0,IF(E1393="si",0,IF(J1393&gt;K1393,0,+K1393-J1393)))+IF('calcolo base'!P2085="SI",('Commissioni De Angeli'!K1393-'Commissioni De Angeli'!J1393),0)</f>
        <v>#N/A</v>
      </c>
      <c r="T1393" s="117" t="e">
        <f t="shared" si="260"/>
        <v>#N/A</v>
      </c>
      <c r="U1393" s="272" t="e">
        <f>IF(Q1393=0,'calcolo base'!L3992,(T1393+Q1393))</f>
        <v>#N/A</v>
      </c>
      <c r="V1393" s="119"/>
      <c r="Z1393" s="118">
        <f t="shared" si="251"/>
        <v>0</v>
      </c>
      <c r="AA1393" s="118">
        <f t="shared" si="252"/>
        <v>0</v>
      </c>
    </row>
    <row r="1394" spans="2:27">
      <c r="B1394" s="47"/>
      <c r="C1394" s="35"/>
      <c r="D1394" s="53"/>
      <c r="E1394" s="53"/>
      <c r="F1394" s="48"/>
      <c r="G1394" s="243" t="e">
        <f>INDEX('calcolo base'!$B:$B, MATCH($A1394, 'calcolo base'!$A:$A, 0))</f>
        <v>#N/A</v>
      </c>
      <c r="H1394" s="54" t="e">
        <f t="shared" si="253"/>
        <v>#N/A</v>
      </c>
      <c r="I1394" s="259" t="e">
        <f>IF(  OR(      INDEX('calcolo base'!$D:$D, MATCH($A1394, 'calcolo base'!$A:$A, 0)) = 0,
      INDEX('calcolo base'!$D:$D, MATCH($A1394, 'calcolo base'!$A:$A, 0)) = ""   ),
   INDEX('calcolo base'!$K:$K, MATCH($A1394, 'calcolo base'!$A:$A, 0)),
   INDEX('calcolo base'!$J:$J, MATCH($A1394, 'calcolo base'!$A:$A, 0))
) / 1000</f>
        <v>#N/A</v>
      </c>
      <c r="J1394" s="50" t="e">
        <f t="shared" si="254"/>
        <v>#N/A</v>
      </c>
      <c r="K1394" s="50"/>
      <c r="L1394" s="267" t="e">
        <f>INDEX('calcolo base'!$H:$H, MATCH($A1394, 'calcolo base'!$A:$A, 0))</f>
        <v>#N/A</v>
      </c>
      <c r="M1394" s="50" t="e">
        <f t="shared" si="255"/>
        <v>#N/A</v>
      </c>
      <c r="N1394" s="50" t="e">
        <f t="shared" si="256"/>
        <v>#N/A</v>
      </c>
      <c r="O1394" s="50" t="e">
        <f t="shared" si="261"/>
        <v>#N/A</v>
      </c>
      <c r="P1394" s="50" t="e">
        <f t="shared" si="257"/>
        <v>#N/A</v>
      </c>
      <c r="Q1394" s="51" t="e">
        <f t="shared" si="258"/>
        <v>#N/A</v>
      </c>
      <c r="R1394" s="205" t="e">
        <f t="shared" si="259"/>
        <v>#N/A</v>
      </c>
      <c r="S1394" s="279" t="e">
        <f>IF(R1394="si",0,IF(E1394="si",0,IF(J1394&gt;K1394,0,+K1394-J1394)))+IF('calcolo base'!P2086="SI",('Commissioni De Angeli'!K1394-'Commissioni De Angeli'!J1394),0)</f>
        <v>#N/A</v>
      </c>
      <c r="T1394" s="117" t="e">
        <f t="shared" si="260"/>
        <v>#N/A</v>
      </c>
      <c r="U1394" s="272" t="e">
        <f>IF(Q1394=0,'calcolo base'!L3993,(T1394+Q1394))</f>
        <v>#N/A</v>
      </c>
      <c r="V1394" s="119"/>
      <c r="Z1394" s="118">
        <f t="shared" si="251"/>
        <v>0</v>
      </c>
      <c r="AA1394" s="118">
        <f t="shared" si="252"/>
        <v>0</v>
      </c>
    </row>
    <row r="1395" spans="2:27">
      <c r="B1395" s="47"/>
      <c r="C1395" s="35"/>
      <c r="D1395" s="53"/>
      <c r="E1395" s="53"/>
      <c r="F1395" s="48"/>
      <c r="G1395" s="243" t="e">
        <f>INDEX('calcolo base'!$B:$B, MATCH($A1395, 'calcolo base'!$A:$A, 0))</f>
        <v>#N/A</v>
      </c>
      <c r="H1395" s="54" t="e">
        <f t="shared" si="253"/>
        <v>#N/A</v>
      </c>
      <c r="I1395" s="259" t="e">
        <f>IF(  OR(      INDEX('calcolo base'!$D:$D, MATCH($A1395, 'calcolo base'!$A:$A, 0)) = 0,
      INDEX('calcolo base'!$D:$D, MATCH($A1395, 'calcolo base'!$A:$A, 0)) = ""   ),
   INDEX('calcolo base'!$K:$K, MATCH($A1395, 'calcolo base'!$A:$A, 0)),
   INDEX('calcolo base'!$J:$J, MATCH($A1395, 'calcolo base'!$A:$A, 0))
) / 1000</f>
        <v>#N/A</v>
      </c>
      <c r="J1395" s="50" t="e">
        <f t="shared" si="254"/>
        <v>#N/A</v>
      </c>
      <c r="K1395" s="50"/>
      <c r="L1395" s="267" t="e">
        <f>INDEX('calcolo base'!$H:$H, MATCH($A1395, 'calcolo base'!$A:$A, 0))</f>
        <v>#N/A</v>
      </c>
      <c r="M1395" s="50" t="e">
        <f t="shared" si="255"/>
        <v>#N/A</v>
      </c>
      <c r="N1395" s="50" t="e">
        <f t="shared" si="256"/>
        <v>#N/A</v>
      </c>
      <c r="O1395" s="50" t="e">
        <f t="shared" si="261"/>
        <v>#N/A</v>
      </c>
      <c r="P1395" s="50" t="e">
        <f t="shared" si="257"/>
        <v>#N/A</v>
      </c>
      <c r="Q1395" s="51" t="e">
        <f t="shared" si="258"/>
        <v>#N/A</v>
      </c>
      <c r="R1395" s="205" t="e">
        <f t="shared" si="259"/>
        <v>#N/A</v>
      </c>
      <c r="S1395" s="279" t="e">
        <f>IF(R1395="si",0,IF(E1395="si",0,IF(J1395&gt;K1395,0,+K1395-J1395)))+IF('calcolo base'!P2087="SI",('Commissioni De Angeli'!K1395-'Commissioni De Angeli'!J1395),0)</f>
        <v>#N/A</v>
      </c>
      <c r="T1395" s="117" t="e">
        <f t="shared" si="260"/>
        <v>#N/A</v>
      </c>
      <c r="U1395" s="272" t="e">
        <f>IF(Q1395=0,'calcolo base'!L3994,(T1395+Q1395))</f>
        <v>#N/A</v>
      </c>
      <c r="V1395" s="119"/>
      <c r="Z1395" s="118">
        <f t="shared" si="251"/>
        <v>0</v>
      </c>
      <c r="AA1395" s="118">
        <f t="shared" si="252"/>
        <v>0</v>
      </c>
    </row>
    <row r="1396" spans="2:27">
      <c r="B1396" s="47"/>
      <c r="C1396" s="35"/>
      <c r="D1396" s="53"/>
      <c r="E1396" s="53"/>
      <c r="F1396" s="48"/>
      <c r="G1396" s="243" t="e">
        <f>INDEX('calcolo base'!$B:$B, MATCH($A1396, 'calcolo base'!$A:$A, 0))</f>
        <v>#N/A</v>
      </c>
      <c r="H1396" s="54" t="e">
        <f t="shared" si="253"/>
        <v>#N/A</v>
      </c>
      <c r="I1396" s="259" t="e">
        <f>IF(  OR(      INDEX('calcolo base'!$D:$D, MATCH($A1396, 'calcolo base'!$A:$A, 0)) = 0,
      INDEX('calcolo base'!$D:$D, MATCH($A1396, 'calcolo base'!$A:$A, 0)) = ""   ),
   INDEX('calcolo base'!$K:$K, MATCH($A1396, 'calcolo base'!$A:$A, 0)),
   INDEX('calcolo base'!$J:$J, MATCH($A1396, 'calcolo base'!$A:$A, 0))
) / 1000</f>
        <v>#N/A</v>
      </c>
      <c r="J1396" s="50" t="e">
        <f t="shared" si="254"/>
        <v>#N/A</v>
      </c>
      <c r="K1396" s="50"/>
      <c r="L1396" s="267" t="e">
        <f>INDEX('calcolo base'!$H:$H, MATCH($A1396, 'calcolo base'!$A:$A, 0))</f>
        <v>#N/A</v>
      </c>
      <c r="M1396" s="50" t="e">
        <f t="shared" si="255"/>
        <v>#N/A</v>
      </c>
      <c r="N1396" s="50" t="e">
        <f t="shared" si="256"/>
        <v>#N/A</v>
      </c>
      <c r="O1396" s="50" t="e">
        <f t="shared" si="261"/>
        <v>#N/A</v>
      </c>
      <c r="P1396" s="50" t="e">
        <f t="shared" si="257"/>
        <v>#N/A</v>
      </c>
      <c r="Q1396" s="51" t="e">
        <f t="shared" si="258"/>
        <v>#N/A</v>
      </c>
      <c r="R1396" s="205" t="e">
        <f t="shared" si="259"/>
        <v>#N/A</v>
      </c>
      <c r="S1396" s="279" t="e">
        <f>IF(R1396="si",0,IF(E1396="si",0,IF(J1396&gt;K1396,0,+K1396-J1396)))+IF('calcolo base'!P2088="SI",('Commissioni De Angeli'!K1396-'Commissioni De Angeli'!J1396),0)</f>
        <v>#N/A</v>
      </c>
      <c r="T1396" s="117" t="e">
        <f t="shared" si="260"/>
        <v>#N/A</v>
      </c>
      <c r="U1396" s="272" t="e">
        <f>IF(Q1396=0,'calcolo base'!L3995,(T1396+Q1396))</f>
        <v>#N/A</v>
      </c>
      <c r="V1396" s="119"/>
      <c r="Z1396" s="118">
        <f t="shared" si="251"/>
        <v>0</v>
      </c>
      <c r="AA1396" s="118">
        <f t="shared" si="252"/>
        <v>0</v>
      </c>
    </row>
    <row r="1397" spans="2:27">
      <c r="B1397" s="47"/>
      <c r="C1397" s="35"/>
      <c r="D1397" s="53"/>
      <c r="E1397" s="53"/>
      <c r="F1397" s="48"/>
      <c r="G1397" s="243" t="e">
        <f>INDEX('calcolo base'!$B:$B, MATCH($A1397, 'calcolo base'!$A:$A, 0))</f>
        <v>#N/A</v>
      </c>
      <c r="H1397" s="54" t="e">
        <f t="shared" si="253"/>
        <v>#N/A</v>
      </c>
      <c r="I1397" s="259" t="e">
        <f>IF(  OR(      INDEX('calcolo base'!$D:$D, MATCH($A1397, 'calcolo base'!$A:$A, 0)) = 0,
      INDEX('calcolo base'!$D:$D, MATCH($A1397, 'calcolo base'!$A:$A, 0)) = ""   ),
   INDEX('calcolo base'!$K:$K, MATCH($A1397, 'calcolo base'!$A:$A, 0)),
   INDEX('calcolo base'!$J:$J, MATCH($A1397, 'calcolo base'!$A:$A, 0))
) / 1000</f>
        <v>#N/A</v>
      </c>
      <c r="J1397" s="50" t="e">
        <f t="shared" si="254"/>
        <v>#N/A</v>
      </c>
      <c r="K1397" s="50"/>
      <c r="L1397" s="267" t="e">
        <f>INDEX('calcolo base'!$H:$H, MATCH($A1397, 'calcolo base'!$A:$A, 0))</f>
        <v>#N/A</v>
      </c>
      <c r="M1397" s="50" t="e">
        <f t="shared" si="255"/>
        <v>#N/A</v>
      </c>
      <c r="N1397" s="50" t="e">
        <f t="shared" si="256"/>
        <v>#N/A</v>
      </c>
      <c r="O1397" s="50" t="e">
        <f t="shared" si="261"/>
        <v>#N/A</v>
      </c>
      <c r="P1397" s="50" t="e">
        <f t="shared" si="257"/>
        <v>#N/A</v>
      </c>
      <c r="Q1397" s="51" t="e">
        <f t="shared" si="258"/>
        <v>#N/A</v>
      </c>
      <c r="R1397" s="205" t="e">
        <f t="shared" si="259"/>
        <v>#N/A</v>
      </c>
      <c r="S1397" s="279" t="e">
        <f>IF(R1397="si",0,IF(E1397="si",0,IF(J1397&gt;K1397,0,+K1397-J1397)))+IF('calcolo base'!P2089="SI",('Commissioni De Angeli'!K1397-'Commissioni De Angeli'!J1397),0)</f>
        <v>#N/A</v>
      </c>
      <c r="T1397" s="117" t="e">
        <f t="shared" si="260"/>
        <v>#N/A</v>
      </c>
      <c r="U1397" s="272" t="e">
        <f>IF(Q1397=0,'calcolo base'!L3996,(T1397+Q1397))</f>
        <v>#N/A</v>
      </c>
      <c r="V1397" s="119"/>
      <c r="Z1397" s="118">
        <f t="shared" si="251"/>
        <v>0</v>
      </c>
      <c r="AA1397" s="118">
        <f t="shared" si="252"/>
        <v>0</v>
      </c>
    </row>
    <row r="1398" spans="2:27">
      <c r="B1398" s="47"/>
      <c r="C1398" s="35"/>
      <c r="D1398" s="53"/>
      <c r="E1398" s="53"/>
      <c r="F1398" s="48"/>
      <c r="G1398" s="243" t="e">
        <f>INDEX('calcolo base'!$B:$B, MATCH($A1398, 'calcolo base'!$A:$A, 0))</f>
        <v>#N/A</v>
      </c>
      <c r="H1398" s="54" t="e">
        <f t="shared" si="253"/>
        <v>#N/A</v>
      </c>
      <c r="I1398" s="259" t="e">
        <f>IF(  OR(      INDEX('calcolo base'!$D:$D, MATCH($A1398, 'calcolo base'!$A:$A, 0)) = 0,
      INDEX('calcolo base'!$D:$D, MATCH($A1398, 'calcolo base'!$A:$A, 0)) = ""   ),
   INDEX('calcolo base'!$K:$K, MATCH($A1398, 'calcolo base'!$A:$A, 0)),
   INDEX('calcolo base'!$J:$J, MATCH($A1398, 'calcolo base'!$A:$A, 0))
) / 1000</f>
        <v>#N/A</v>
      </c>
      <c r="J1398" s="50" t="e">
        <f t="shared" si="254"/>
        <v>#N/A</v>
      </c>
      <c r="K1398" s="50"/>
      <c r="L1398" s="267" t="e">
        <f>INDEX('calcolo base'!$H:$H, MATCH($A1398, 'calcolo base'!$A:$A, 0))</f>
        <v>#N/A</v>
      </c>
      <c r="M1398" s="50" t="e">
        <f t="shared" si="255"/>
        <v>#N/A</v>
      </c>
      <c r="N1398" s="50" t="e">
        <f t="shared" si="256"/>
        <v>#N/A</v>
      </c>
      <c r="O1398" s="50" t="e">
        <f t="shared" si="261"/>
        <v>#N/A</v>
      </c>
      <c r="P1398" s="50" t="e">
        <f t="shared" si="257"/>
        <v>#N/A</v>
      </c>
      <c r="Q1398" s="51" t="e">
        <f t="shared" si="258"/>
        <v>#N/A</v>
      </c>
      <c r="R1398" s="205" t="e">
        <f t="shared" si="259"/>
        <v>#N/A</v>
      </c>
      <c r="S1398" s="279" t="e">
        <f>IF(R1398="si",0,IF(E1398="si",0,IF(J1398&gt;K1398,0,+K1398-J1398)))+IF('calcolo base'!P2090="SI",('Commissioni De Angeli'!K1398-'Commissioni De Angeli'!J1398),0)</f>
        <v>#N/A</v>
      </c>
      <c r="T1398" s="117" t="e">
        <f t="shared" si="260"/>
        <v>#N/A</v>
      </c>
      <c r="U1398" s="272" t="e">
        <f>IF(Q1398=0,'calcolo base'!L3997,(T1398+Q1398))</f>
        <v>#N/A</v>
      </c>
      <c r="V1398" s="119"/>
      <c r="Z1398" s="118">
        <f t="shared" si="251"/>
        <v>0</v>
      </c>
      <c r="AA1398" s="118">
        <f t="shared" si="252"/>
        <v>0</v>
      </c>
    </row>
    <row r="1399" spans="2:27">
      <c r="B1399" s="47"/>
      <c r="C1399" s="35"/>
      <c r="D1399" s="53"/>
      <c r="E1399" s="53"/>
      <c r="F1399" s="48"/>
      <c r="G1399" s="243" t="e">
        <f>INDEX('calcolo base'!$B:$B, MATCH($A1399, 'calcolo base'!$A:$A, 0))</f>
        <v>#N/A</v>
      </c>
      <c r="H1399" s="54" t="e">
        <f t="shared" si="253"/>
        <v>#N/A</v>
      </c>
      <c r="I1399" s="259" t="e">
        <f>IF(  OR(      INDEX('calcolo base'!$D:$D, MATCH($A1399, 'calcolo base'!$A:$A, 0)) = 0,
      INDEX('calcolo base'!$D:$D, MATCH($A1399, 'calcolo base'!$A:$A, 0)) = ""   ),
   INDEX('calcolo base'!$K:$K, MATCH($A1399, 'calcolo base'!$A:$A, 0)),
   INDEX('calcolo base'!$J:$J, MATCH($A1399, 'calcolo base'!$A:$A, 0))
) / 1000</f>
        <v>#N/A</v>
      </c>
      <c r="J1399" s="50" t="e">
        <f t="shared" si="254"/>
        <v>#N/A</v>
      </c>
      <c r="K1399" s="50"/>
      <c r="L1399" s="267" t="e">
        <f>INDEX('calcolo base'!$H:$H, MATCH($A1399, 'calcolo base'!$A:$A, 0))</f>
        <v>#N/A</v>
      </c>
      <c r="M1399" s="50" t="e">
        <f t="shared" si="255"/>
        <v>#N/A</v>
      </c>
      <c r="N1399" s="50" t="e">
        <f t="shared" si="256"/>
        <v>#N/A</v>
      </c>
      <c r="O1399" s="50" t="e">
        <f t="shared" si="261"/>
        <v>#N/A</v>
      </c>
      <c r="P1399" s="50" t="e">
        <f t="shared" si="257"/>
        <v>#N/A</v>
      </c>
      <c r="Q1399" s="51" t="e">
        <f t="shared" si="258"/>
        <v>#N/A</v>
      </c>
      <c r="R1399" s="205" t="e">
        <f t="shared" si="259"/>
        <v>#N/A</v>
      </c>
      <c r="S1399" s="279" t="e">
        <f>IF(R1399="si",0,IF(E1399="si",0,IF(J1399&gt;K1399,0,+K1399-J1399)))+IF('calcolo base'!P2091="SI",('Commissioni De Angeli'!K1399-'Commissioni De Angeli'!J1399),0)</f>
        <v>#N/A</v>
      </c>
      <c r="T1399" s="117" t="e">
        <f t="shared" si="260"/>
        <v>#N/A</v>
      </c>
      <c r="U1399" s="272" t="e">
        <f>IF(Q1399=0,'calcolo base'!L3998,(T1399+Q1399))</f>
        <v>#N/A</v>
      </c>
      <c r="V1399" s="119"/>
      <c r="Z1399" s="118">
        <f t="shared" si="251"/>
        <v>0</v>
      </c>
      <c r="AA1399" s="118">
        <f t="shared" si="252"/>
        <v>0</v>
      </c>
    </row>
    <row r="1400" spans="2:27">
      <c r="B1400" s="47"/>
      <c r="C1400" s="35"/>
      <c r="D1400" s="53"/>
      <c r="E1400" s="53"/>
      <c r="F1400" s="48"/>
      <c r="G1400" s="243" t="e">
        <f>INDEX('calcolo base'!$B:$B, MATCH($A1400, 'calcolo base'!$A:$A, 0))</f>
        <v>#N/A</v>
      </c>
      <c r="H1400" s="54" t="e">
        <f t="shared" si="253"/>
        <v>#N/A</v>
      </c>
      <c r="I1400" s="259" t="e">
        <f>IF(  OR(      INDEX('calcolo base'!$D:$D, MATCH($A1400, 'calcolo base'!$A:$A, 0)) = 0,
      INDEX('calcolo base'!$D:$D, MATCH($A1400, 'calcolo base'!$A:$A, 0)) = ""   ),
   INDEX('calcolo base'!$K:$K, MATCH($A1400, 'calcolo base'!$A:$A, 0)),
   INDEX('calcolo base'!$J:$J, MATCH($A1400, 'calcolo base'!$A:$A, 0))
) / 1000</f>
        <v>#N/A</v>
      </c>
      <c r="J1400" s="50" t="e">
        <f t="shared" si="254"/>
        <v>#N/A</v>
      </c>
      <c r="K1400" s="50"/>
      <c r="L1400" s="267" t="e">
        <f>INDEX('calcolo base'!$H:$H, MATCH($A1400, 'calcolo base'!$A:$A, 0))</f>
        <v>#N/A</v>
      </c>
      <c r="M1400" s="50" t="e">
        <f t="shared" si="255"/>
        <v>#N/A</v>
      </c>
      <c r="N1400" s="50" t="e">
        <f t="shared" si="256"/>
        <v>#N/A</v>
      </c>
      <c r="O1400" s="50" t="e">
        <f t="shared" si="261"/>
        <v>#N/A</v>
      </c>
      <c r="P1400" s="50" t="e">
        <f t="shared" si="257"/>
        <v>#N/A</v>
      </c>
      <c r="Q1400" s="51" t="e">
        <f t="shared" si="258"/>
        <v>#N/A</v>
      </c>
      <c r="R1400" s="205" t="e">
        <f t="shared" si="259"/>
        <v>#N/A</v>
      </c>
      <c r="S1400" s="279" t="e">
        <f>IF(R1400="si",0,IF(E1400="si",0,IF(J1400&gt;K1400,0,+K1400-J1400)))+IF('calcolo base'!P2092="SI",('Commissioni De Angeli'!K1400-'Commissioni De Angeli'!J1400),0)</f>
        <v>#N/A</v>
      </c>
      <c r="T1400" s="117" t="e">
        <f t="shared" si="260"/>
        <v>#N/A</v>
      </c>
      <c r="U1400" s="272" t="e">
        <f>IF(Q1400=0,'calcolo base'!L3999,(T1400+Q1400))</f>
        <v>#N/A</v>
      </c>
      <c r="V1400" s="119"/>
      <c r="Z1400" s="118">
        <f t="shared" si="251"/>
        <v>0</v>
      </c>
      <c r="AA1400" s="118">
        <f t="shared" si="252"/>
        <v>0</v>
      </c>
    </row>
    <row r="1401" spans="2:27">
      <c r="B1401" s="47"/>
      <c r="C1401" s="35"/>
      <c r="D1401" s="53"/>
      <c r="E1401" s="53"/>
      <c r="F1401" s="48"/>
      <c r="G1401" s="243" t="e">
        <f>INDEX('calcolo base'!$B:$B, MATCH($A1401, 'calcolo base'!$A:$A, 0))</f>
        <v>#N/A</v>
      </c>
      <c r="H1401" s="54" t="e">
        <f t="shared" si="253"/>
        <v>#N/A</v>
      </c>
      <c r="I1401" s="259" t="e">
        <f>IF(  OR(      INDEX('calcolo base'!$D:$D, MATCH($A1401, 'calcolo base'!$A:$A, 0)) = 0,
      INDEX('calcolo base'!$D:$D, MATCH($A1401, 'calcolo base'!$A:$A, 0)) = ""   ),
   INDEX('calcolo base'!$K:$K, MATCH($A1401, 'calcolo base'!$A:$A, 0)),
   INDEX('calcolo base'!$J:$J, MATCH($A1401, 'calcolo base'!$A:$A, 0))
) / 1000</f>
        <v>#N/A</v>
      </c>
      <c r="J1401" s="50" t="e">
        <f t="shared" si="254"/>
        <v>#N/A</v>
      </c>
      <c r="K1401" s="50"/>
      <c r="L1401" s="267" t="e">
        <f>INDEX('calcolo base'!$H:$H, MATCH($A1401, 'calcolo base'!$A:$A, 0))</f>
        <v>#N/A</v>
      </c>
      <c r="M1401" s="50" t="e">
        <f t="shared" si="255"/>
        <v>#N/A</v>
      </c>
      <c r="N1401" s="50" t="e">
        <f t="shared" si="256"/>
        <v>#N/A</v>
      </c>
      <c r="O1401" s="50" t="e">
        <f t="shared" si="261"/>
        <v>#N/A</v>
      </c>
      <c r="P1401" s="50" t="e">
        <f t="shared" si="257"/>
        <v>#N/A</v>
      </c>
      <c r="Q1401" s="51" t="e">
        <f t="shared" si="258"/>
        <v>#N/A</v>
      </c>
      <c r="R1401" s="205" t="e">
        <f t="shared" si="259"/>
        <v>#N/A</v>
      </c>
      <c r="S1401" s="279" t="e">
        <f>IF(R1401="si",0,IF(E1401="si",0,IF(J1401&gt;K1401,0,+K1401-J1401)))+IF('calcolo base'!P2093="SI",('Commissioni De Angeli'!K1401-'Commissioni De Angeli'!J1401),0)</f>
        <v>#N/A</v>
      </c>
      <c r="T1401" s="117" t="e">
        <f t="shared" si="260"/>
        <v>#N/A</v>
      </c>
      <c r="U1401" s="272" t="e">
        <f>IF(Q1401=0,'calcolo base'!L4000,(T1401+Q1401))</f>
        <v>#N/A</v>
      </c>
      <c r="V1401" s="119"/>
      <c r="Z1401" s="118">
        <f t="shared" si="251"/>
        <v>0</v>
      </c>
      <c r="AA1401" s="118">
        <f t="shared" si="252"/>
        <v>0</v>
      </c>
    </row>
    <row r="1402" spans="2:27">
      <c r="B1402" s="47"/>
      <c r="C1402" s="35"/>
      <c r="D1402" s="53"/>
      <c r="E1402" s="53"/>
      <c r="F1402" s="48"/>
      <c r="G1402" s="243" t="e">
        <f>INDEX('calcolo base'!$B:$B, MATCH($A1402, 'calcolo base'!$A:$A, 0))</f>
        <v>#N/A</v>
      </c>
      <c r="H1402" s="54" t="e">
        <f t="shared" si="253"/>
        <v>#N/A</v>
      </c>
      <c r="I1402" s="259" t="e">
        <f>IF(  OR(      INDEX('calcolo base'!$D:$D, MATCH($A1402, 'calcolo base'!$A:$A, 0)) = 0,
      INDEX('calcolo base'!$D:$D, MATCH($A1402, 'calcolo base'!$A:$A, 0)) = ""   ),
   INDEX('calcolo base'!$K:$K, MATCH($A1402, 'calcolo base'!$A:$A, 0)),
   INDEX('calcolo base'!$J:$J, MATCH($A1402, 'calcolo base'!$A:$A, 0))
) / 1000</f>
        <v>#N/A</v>
      </c>
      <c r="J1402" s="50" t="e">
        <f t="shared" si="254"/>
        <v>#N/A</v>
      </c>
      <c r="K1402" s="50"/>
      <c r="L1402" s="267" t="e">
        <f>INDEX('calcolo base'!$H:$H, MATCH($A1402, 'calcolo base'!$A:$A, 0))</f>
        <v>#N/A</v>
      </c>
      <c r="M1402" s="50" t="e">
        <f t="shared" si="255"/>
        <v>#N/A</v>
      </c>
      <c r="N1402" s="50" t="e">
        <f t="shared" si="256"/>
        <v>#N/A</v>
      </c>
      <c r="O1402" s="50" t="e">
        <f t="shared" si="261"/>
        <v>#N/A</v>
      </c>
      <c r="P1402" s="50" t="e">
        <f t="shared" si="257"/>
        <v>#N/A</v>
      </c>
      <c r="Q1402" s="51" t="e">
        <f t="shared" si="258"/>
        <v>#N/A</v>
      </c>
      <c r="R1402" s="205" t="e">
        <f t="shared" si="259"/>
        <v>#N/A</v>
      </c>
      <c r="S1402" s="279" t="e">
        <f>IF(R1402="si",0,IF(E1402="si",0,IF(J1402&gt;K1402,0,+K1402-J1402)))+IF('calcolo base'!P2094="SI",('Commissioni De Angeli'!K1402-'Commissioni De Angeli'!J1402),0)</f>
        <v>#N/A</v>
      </c>
      <c r="T1402" s="117" t="e">
        <f t="shared" si="260"/>
        <v>#N/A</v>
      </c>
      <c r="U1402" s="272" t="e">
        <f>IF(Q1402=0,'calcolo base'!L4001,(T1402+Q1402))</f>
        <v>#N/A</v>
      </c>
      <c r="V1402" s="119"/>
      <c r="Z1402" s="118">
        <f t="shared" si="251"/>
        <v>0</v>
      </c>
      <c r="AA1402" s="118">
        <f t="shared" si="252"/>
        <v>0</v>
      </c>
    </row>
    <row r="1403" spans="2:27">
      <c r="B1403" s="47"/>
      <c r="C1403" s="35"/>
      <c r="D1403" s="53"/>
      <c r="E1403" s="53"/>
      <c r="F1403" s="48"/>
      <c r="G1403" s="243" t="e">
        <f>INDEX('calcolo base'!$B:$B, MATCH($A1403, 'calcolo base'!$A:$A, 0))</f>
        <v>#N/A</v>
      </c>
      <c r="H1403" s="54" t="e">
        <f t="shared" si="253"/>
        <v>#N/A</v>
      </c>
      <c r="I1403" s="259" t="e">
        <f>IF(  OR(      INDEX('calcolo base'!$D:$D, MATCH($A1403, 'calcolo base'!$A:$A, 0)) = 0,
      INDEX('calcolo base'!$D:$D, MATCH($A1403, 'calcolo base'!$A:$A, 0)) = ""   ),
   INDEX('calcolo base'!$K:$K, MATCH($A1403, 'calcolo base'!$A:$A, 0)),
   INDEX('calcolo base'!$J:$J, MATCH($A1403, 'calcolo base'!$A:$A, 0))
) / 1000</f>
        <v>#N/A</v>
      </c>
      <c r="J1403" s="50" t="e">
        <f t="shared" si="254"/>
        <v>#N/A</v>
      </c>
      <c r="K1403" s="50"/>
      <c r="L1403" s="267" t="e">
        <f>INDEX('calcolo base'!$H:$H, MATCH($A1403, 'calcolo base'!$A:$A, 0))</f>
        <v>#N/A</v>
      </c>
      <c r="M1403" s="50" t="e">
        <f t="shared" si="255"/>
        <v>#N/A</v>
      </c>
      <c r="N1403" s="50" t="e">
        <f t="shared" si="256"/>
        <v>#N/A</v>
      </c>
      <c r="O1403" s="50" t="e">
        <f t="shared" si="261"/>
        <v>#N/A</v>
      </c>
      <c r="P1403" s="50" t="e">
        <f t="shared" si="257"/>
        <v>#N/A</v>
      </c>
      <c r="Q1403" s="51" t="e">
        <f t="shared" si="258"/>
        <v>#N/A</v>
      </c>
      <c r="R1403" s="205" t="e">
        <f t="shared" si="259"/>
        <v>#N/A</v>
      </c>
      <c r="S1403" s="279" t="e">
        <f>IF(R1403="si",0,IF(E1403="si",0,IF(J1403&gt;K1403,0,+K1403-J1403)))+IF('calcolo base'!P2095="SI",('Commissioni De Angeli'!K1403-'Commissioni De Angeli'!J1403),0)</f>
        <v>#N/A</v>
      </c>
      <c r="T1403" s="117" t="e">
        <f t="shared" si="260"/>
        <v>#N/A</v>
      </c>
      <c r="U1403" s="272" t="e">
        <f>IF(Q1403=0,'calcolo base'!L4002,(T1403+Q1403))</f>
        <v>#N/A</v>
      </c>
      <c r="V1403" s="119"/>
      <c r="Z1403" s="118">
        <f t="shared" si="251"/>
        <v>0</v>
      </c>
      <c r="AA1403" s="118">
        <f t="shared" si="252"/>
        <v>0</v>
      </c>
    </row>
    <row r="1404" spans="2:27">
      <c r="B1404" s="47"/>
      <c r="C1404" s="35"/>
      <c r="D1404" s="53"/>
      <c r="E1404" s="53"/>
      <c r="F1404" s="48"/>
      <c r="G1404" s="243" t="e">
        <f>INDEX('calcolo base'!$B:$B, MATCH($A1404, 'calcolo base'!$A:$A, 0))</f>
        <v>#N/A</v>
      </c>
      <c r="H1404" s="54" t="e">
        <f t="shared" si="253"/>
        <v>#N/A</v>
      </c>
      <c r="I1404" s="259" t="e">
        <f>IF(  OR(      INDEX('calcolo base'!$D:$D, MATCH($A1404, 'calcolo base'!$A:$A, 0)) = 0,
      INDEX('calcolo base'!$D:$D, MATCH($A1404, 'calcolo base'!$A:$A, 0)) = ""   ),
   INDEX('calcolo base'!$K:$K, MATCH($A1404, 'calcolo base'!$A:$A, 0)),
   INDEX('calcolo base'!$J:$J, MATCH($A1404, 'calcolo base'!$A:$A, 0))
) / 1000</f>
        <v>#N/A</v>
      </c>
      <c r="J1404" s="50" t="e">
        <f t="shared" si="254"/>
        <v>#N/A</v>
      </c>
      <c r="K1404" s="50"/>
      <c r="L1404" s="267" t="e">
        <f>INDEX('calcolo base'!$H:$H, MATCH($A1404, 'calcolo base'!$A:$A, 0))</f>
        <v>#N/A</v>
      </c>
      <c r="M1404" s="50" t="e">
        <f t="shared" si="255"/>
        <v>#N/A</v>
      </c>
      <c r="N1404" s="50" t="e">
        <f t="shared" si="256"/>
        <v>#N/A</v>
      </c>
      <c r="O1404" s="50" t="e">
        <f t="shared" si="261"/>
        <v>#N/A</v>
      </c>
      <c r="P1404" s="50" t="e">
        <f t="shared" si="257"/>
        <v>#N/A</v>
      </c>
      <c r="Q1404" s="51" t="e">
        <f t="shared" si="258"/>
        <v>#N/A</v>
      </c>
      <c r="R1404" s="205" t="e">
        <f t="shared" si="259"/>
        <v>#N/A</v>
      </c>
      <c r="S1404" s="279" t="e">
        <f>IF(R1404="si",0,IF(E1404="si",0,IF(J1404&gt;K1404,0,+K1404-J1404)))+IF('calcolo base'!P2096="SI",('Commissioni De Angeli'!K1404-'Commissioni De Angeli'!J1404),0)</f>
        <v>#N/A</v>
      </c>
      <c r="T1404" s="117" t="e">
        <f t="shared" si="260"/>
        <v>#N/A</v>
      </c>
      <c r="U1404" s="272" t="e">
        <f>IF(Q1404=0,'calcolo base'!L4003,(T1404+Q1404))</f>
        <v>#N/A</v>
      </c>
      <c r="V1404" s="119"/>
      <c r="Z1404" s="118">
        <f t="shared" si="251"/>
        <v>0</v>
      </c>
      <c r="AA1404" s="118">
        <f t="shared" si="252"/>
        <v>0</v>
      </c>
    </row>
    <row r="1405" spans="2:27">
      <c r="B1405" s="47"/>
      <c r="C1405" s="35"/>
      <c r="D1405" s="53"/>
      <c r="E1405" s="53"/>
      <c r="F1405" s="48"/>
      <c r="G1405" s="243" t="e">
        <f>INDEX('calcolo base'!$B:$B, MATCH($A1405, 'calcolo base'!$A:$A, 0))</f>
        <v>#N/A</v>
      </c>
      <c r="H1405" s="54" t="e">
        <f t="shared" si="253"/>
        <v>#N/A</v>
      </c>
      <c r="I1405" s="259" t="e">
        <f>IF(  OR(      INDEX('calcolo base'!$D:$D, MATCH($A1405, 'calcolo base'!$A:$A, 0)) = 0,
      INDEX('calcolo base'!$D:$D, MATCH($A1405, 'calcolo base'!$A:$A, 0)) = ""   ),
   INDEX('calcolo base'!$K:$K, MATCH($A1405, 'calcolo base'!$A:$A, 0)),
   INDEX('calcolo base'!$J:$J, MATCH($A1405, 'calcolo base'!$A:$A, 0))
) / 1000</f>
        <v>#N/A</v>
      </c>
      <c r="J1405" s="50" t="e">
        <f t="shared" si="254"/>
        <v>#N/A</v>
      </c>
      <c r="K1405" s="50"/>
      <c r="L1405" s="267" t="e">
        <f>INDEX('calcolo base'!$H:$H, MATCH($A1405, 'calcolo base'!$A:$A, 0))</f>
        <v>#N/A</v>
      </c>
      <c r="M1405" s="50" t="e">
        <f t="shared" si="255"/>
        <v>#N/A</v>
      </c>
      <c r="N1405" s="50" t="e">
        <f t="shared" si="256"/>
        <v>#N/A</v>
      </c>
      <c r="O1405" s="50" t="e">
        <f t="shared" si="261"/>
        <v>#N/A</v>
      </c>
      <c r="P1405" s="50" t="e">
        <f t="shared" si="257"/>
        <v>#N/A</v>
      </c>
      <c r="Q1405" s="51" t="e">
        <f t="shared" si="258"/>
        <v>#N/A</v>
      </c>
      <c r="R1405" s="205" t="e">
        <f t="shared" si="259"/>
        <v>#N/A</v>
      </c>
      <c r="S1405" s="279" t="e">
        <f>IF(R1405="si",0,IF(E1405="si",0,IF(J1405&gt;K1405,0,+K1405-J1405)))+IF('calcolo base'!P2097="SI",('Commissioni De Angeli'!K1405-'Commissioni De Angeli'!J1405),0)</f>
        <v>#N/A</v>
      </c>
      <c r="T1405" s="117" t="e">
        <f t="shared" si="260"/>
        <v>#N/A</v>
      </c>
      <c r="U1405" s="272" t="e">
        <f>IF(Q1405=0,'calcolo base'!L4004,(T1405+Q1405))</f>
        <v>#N/A</v>
      </c>
      <c r="V1405" s="119"/>
      <c r="Z1405" s="118">
        <f t="shared" si="251"/>
        <v>0</v>
      </c>
      <c r="AA1405" s="118">
        <f t="shared" si="252"/>
        <v>0</v>
      </c>
    </row>
    <row r="1406" spans="2:27">
      <c r="B1406" s="47"/>
      <c r="C1406" s="35"/>
      <c r="D1406" s="53"/>
      <c r="E1406" s="53"/>
      <c r="F1406" s="48"/>
      <c r="G1406" s="243" t="e">
        <f>INDEX('calcolo base'!$B:$B, MATCH($A1406, 'calcolo base'!$A:$A, 0))</f>
        <v>#N/A</v>
      </c>
      <c r="H1406" s="54" t="e">
        <f t="shared" si="253"/>
        <v>#N/A</v>
      </c>
      <c r="I1406" s="259" t="e">
        <f>IF(  OR(      INDEX('calcolo base'!$D:$D, MATCH($A1406, 'calcolo base'!$A:$A, 0)) = 0,
      INDEX('calcolo base'!$D:$D, MATCH($A1406, 'calcolo base'!$A:$A, 0)) = ""   ),
   INDEX('calcolo base'!$K:$K, MATCH($A1406, 'calcolo base'!$A:$A, 0)),
   INDEX('calcolo base'!$J:$J, MATCH($A1406, 'calcolo base'!$A:$A, 0))
) / 1000</f>
        <v>#N/A</v>
      </c>
      <c r="J1406" s="50" t="e">
        <f t="shared" si="254"/>
        <v>#N/A</v>
      </c>
      <c r="K1406" s="50"/>
      <c r="L1406" s="267" t="e">
        <f>INDEX('calcolo base'!$H:$H, MATCH($A1406, 'calcolo base'!$A:$A, 0))</f>
        <v>#N/A</v>
      </c>
      <c r="M1406" s="50" t="e">
        <f t="shared" si="255"/>
        <v>#N/A</v>
      </c>
      <c r="N1406" s="50" t="e">
        <f t="shared" si="256"/>
        <v>#N/A</v>
      </c>
      <c r="O1406" s="50" t="e">
        <f t="shared" si="261"/>
        <v>#N/A</v>
      </c>
      <c r="P1406" s="50" t="e">
        <f t="shared" si="257"/>
        <v>#N/A</v>
      </c>
      <c r="Q1406" s="51" t="e">
        <f t="shared" si="258"/>
        <v>#N/A</v>
      </c>
      <c r="R1406" s="205" t="e">
        <f t="shared" si="259"/>
        <v>#N/A</v>
      </c>
      <c r="S1406" s="279" t="e">
        <f>IF(R1406="si",0,IF(E1406="si",0,IF(J1406&gt;K1406,0,+K1406-J1406)))+IF('calcolo base'!P2098="SI",('Commissioni De Angeli'!K1406-'Commissioni De Angeli'!J1406),0)</f>
        <v>#N/A</v>
      </c>
      <c r="T1406" s="117" t="e">
        <f t="shared" si="260"/>
        <v>#N/A</v>
      </c>
      <c r="U1406" s="272" t="e">
        <f>IF(Q1406=0,'calcolo base'!L4005,(T1406+Q1406))</f>
        <v>#N/A</v>
      </c>
      <c r="V1406" s="119"/>
      <c r="Z1406" s="118">
        <f t="shared" si="251"/>
        <v>0</v>
      </c>
      <c r="AA1406" s="118">
        <f t="shared" si="252"/>
        <v>0</v>
      </c>
    </row>
    <row r="1407" spans="2:27">
      <c r="B1407" s="47"/>
      <c r="C1407" s="35"/>
      <c r="D1407" s="53"/>
      <c r="E1407" s="53"/>
      <c r="F1407" s="48"/>
      <c r="G1407" s="243" t="e">
        <f>INDEX('calcolo base'!$B:$B, MATCH($A1407, 'calcolo base'!$A:$A, 0))</f>
        <v>#N/A</v>
      </c>
      <c r="H1407" s="54" t="e">
        <f t="shared" si="253"/>
        <v>#N/A</v>
      </c>
      <c r="I1407" s="259" t="e">
        <f>IF(  OR(      INDEX('calcolo base'!$D:$D, MATCH($A1407, 'calcolo base'!$A:$A, 0)) = 0,
      INDEX('calcolo base'!$D:$D, MATCH($A1407, 'calcolo base'!$A:$A, 0)) = ""   ),
   INDEX('calcolo base'!$K:$K, MATCH($A1407, 'calcolo base'!$A:$A, 0)),
   INDEX('calcolo base'!$J:$J, MATCH($A1407, 'calcolo base'!$A:$A, 0))
) / 1000</f>
        <v>#N/A</v>
      </c>
      <c r="J1407" s="50" t="e">
        <f t="shared" si="254"/>
        <v>#N/A</v>
      </c>
      <c r="K1407" s="50"/>
      <c r="L1407" s="267" t="e">
        <f>INDEX('calcolo base'!$H:$H, MATCH($A1407, 'calcolo base'!$A:$A, 0))</f>
        <v>#N/A</v>
      </c>
      <c r="M1407" s="50" t="e">
        <f t="shared" si="255"/>
        <v>#N/A</v>
      </c>
      <c r="N1407" s="50" t="e">
        <f t="shared" si="256"/>
        <v>#N/A</v>
      </c>
      <c r="O1407" s="50" t="e">
        <f t="shared" si="261"/>
        <v>#N/A</v>
      </c>
      <c r="P1407" s="50" t="e">
        <f t="shared" si="257"/>
        <v>#N/A</v>
      </c>
      <c r="Q1407" s="51" t="e">
        <f t="shared" si="258"/>
        <v>#N/A</v>
      </c>
      <c r="R1407" s="205" t="e">
        <f t="shared" si="259"/>
        <v>#N/A</v>
      </c>
      <c r="S1407" s="279" t="e">
        <f>IF(R1407="si",0,IF(E1407="si",0,IF(J1407&gt;K1407,0,+K1407-J1407)))+IF('calcolo base'!P2099="SI",('Commissioni De Angeli'!K1407-'Commissioni De Angeli'!J1407),0)</f>
        <v>#N/A</v>
      </c>
      <c r="T1407" s="117" t="e">
        <f t="shared" si="260"/>
        <v>#N/A</v>
      </c>
      <c r="U1407" s="272" t="e">
        <f>IF(Q1407=0,'calcolo base'!L4006,(T1407+Q1407))</f>
        <v>#N/A</v>
      </c>
      <c r="V1407" s="119"/>
      <c r="Z1407" s="118">
        <f t="shared" si="251"/>
        <v>0</v>
      </c>
      <c r="AA1407" s="118">
        <f t="shared" si="252"/>
        <v>0</v>
      </c>
    </row>
    <row r="1408" spans="2:27">
      <c r="B1408" s="47"/>
      <c r="C1408" s="35"/>
      <c r="D1408" s="53"/>
      <c r="E1408" s="53"/>
      <c r="F1408" s="48"/>
      <c r="G1408" s="243" t="e">
        <f>INDEX('calcolo base'!$B:$B, MATCH($A1408, 'calcolo base'!$A:$A, 0))</f>
        <v>#N/A</v>
      </c>
      <c r="H1408" s="54" t="e">
        <f t="shared" si="253"/>
        <v>#N/A</v>
      </c>
      <c r="I1408" s="259" t="e">
        <f>IF(  OR(      INDEX('calcolo base'!$D:$D, MATCH($A1408, 'calcolo base'!$A:$A, 0)) = 0,
      INDEX('calcolo base'!$D:$D, MATCH($A1408, 'calcolo base'!$A:$A, 0)) = ""   ),
   INDEX('calcolo base'!$K:$K, MATCH($A1408, 'calcolo base'!$A:$A, 0)),
   INDEX('calcolo base'!$J:$J, MATCH($A1408, 'calcolo base'!$A:$A, 0))
) / 1000</f>
        <v>#N/A</v>
      </c>
      <c r="J1408" s="50" t="e">
        <f t="shared" si="254"/>
        <v>#N/A</v>
      </c>
      <c r="K1408" s="50"/>
      <c r="L1408" s="267" t="e">
        <f>INDEX('calcolo base'!$H:$H, MATCH($A1408, 'calcolo base'!$A:$A, 0))</f>
        <v>#N/A</v>
      </c>
      <c r="M1408" s="50" t="e">
        <f t="shared" si="255"/>
        <v>#N/A</v>
      </c>
      <c r="N1408" s="50" t="e">
        <f t="shared" si="256"/>
        <v>#N/A</v>
      </c>
      <c r="O1408" s="50" t="e">
        <f t="shared" si="261"/>
        <v>#N/A</v>
      </c>
      <c r="P1408" s="50" t="e">
        <f t="shared" si="257"/>
        <v>#N/A</v>
      </c>
      <c r="Q1408" s="51" t="e">
        <f t="shared" si="258"/>
        <v>#N/A</v>
      </c>
      <c r="R1408" s="205" t="e">
        <f t="shared" si="259"/>
        <v>#N/A</v>
      </c>
      <c r="S1408" s="279" t="e">
        <f>IF(R1408="si",0,IF(E1408="si",0,IF(J1408&gt;K1408,0,+K1408-J1408)))+IF('calcolo base'!P2100="SI",('Commissioni De Angeli'!K1408-'Commissioni De Angeli'!J1408),0)</f>
        <v>#N/A</v>
      </c>
      <c r="T1408" s="117" t="e">
        <f t="shared" si="260"/>
        <v>#N/A</v>
      </c>
      <c r="U1408" s="272" t="e">
        <f>IF(Q1408=0,'calcolo base'!L4007,(T1408+Q1408))</f>
        <v>#N/A</v>
      </c>
      <c r="V1408" s="119"/>
      <c r="Z1408" s="118">
        <f t="shared" si="251"/>
        <v>0</v>
      </c>
      <c r="AA1408" s="118">
        <f t="shared" si="252"/>
        <v>0</v>
      </c>
    </row>
    <row r="1409" spans="2:27">
      <c r="B1409" s="47"/>
      <c r="C1409" s="35"/>
      <c r="D1409" s="53"/>
      <c r="E1409" s="53"/>
      <c r="F1409" s="48"/>
      <c r="G1409" s="243" t="e">
        <f>INDEX('calcolo base'!$B:$B, MATCH($A1409, 'calcolo base'!$A:$A, 0))</f>
        <v>#N/A</v>
      </c>
      <c r="H1409" s="54" t="e">
        <f t="shared" si="253"/>
        <v>#N/A</v>
      </c>
      <c r="I1409" s="259" t="e">
        <f>IF(  OR(      INDEX('calcolo base'!$D:$D, MATCH($A1409, 'calcolo base'!$A:$A, 0)) = 0,
      INDEX('calcolo base'!$D:$D, MATCH($A1409, 'calcolo base'!$A:$A, 0)) = ""   ),
   INDEX('calcolo base'!$K:$K, MATCH($A1409, 'calcolo base'!$A:$A, 0)),
   INDEX('calcolo base'!$J:$J, MATCH($A1409, 'calcolo base'!$A:$A, 0))
) / 1000</f>
        <v>#N/A</v>
      </c>
      <c r="J1409" s="50" t="e">
        <f t="shared" si="254"/>
        <v>#N/A</v>
      </c>
      <c r="K1409" s="50"/>
      <c r="L1409" s="267" t="e">
        <f>INDEX('calcolo base'!$H:$H, MATCH($A1409, 'calcolo base'!$A:$A, 0))</f>
        <v>#N/A</v>
      </c>
      <c r="M1409" s="50" t="e">
        <f t="shared" si="255"/>
        <v>#N/A</v>
      </c>
      <c r="N1409" s="50" t="e">
        <f t="shared" si="256"/>
        <v>#N/A</v>
      </c>
      <c r="O1409" s="50" t="e">
        <f t="shared" si="261"/>
        <v>#N/A</v>
      </c>
      <c r="P1409" s="50" t="e">
        <f t="shared" si="257"/>
        <v>#N/A</v>
      </c>
      <c r="Q1409" s="51" t="e">
        <f t="shared" si="258"/>
        <v>#N/A</v>
      </c>
      <c r="R1409" s="205" t="e">
        <f t="shared" si="259"/>
        <v>#N/A</v>
      </c>
      <c r="S1409" s="279" t="e">
        <f>IF(R1409="si",0,IF(E1409="si",0,IF(J1409&gt;K1409,0,+K1409-J1409)))+IF('calcolo base'!P2101="SI",('Commissioni De Angeli'!K1409-'Commissioni De Angeli'!J1409),0)</f>
        <v>#N/A</v>
      </c>
      <c r="T1409" s="117" t="e">
        <f t="shared" si="260"/>
        <v>#N/A</v>
      </c>
      <c r="U1409" s="272" t="e">
        <f>IF(Q1409=0,'calcolo base'!L4008,(T1409+Q1409))</f>
        <v>#N/A</v>
      </c>
      <c r="V1409" s="119"/>
      <c r="Z1409" s="118">
        <f t="shared" si="251"/>
        <v>0</v>
      </c>
      <c r="AA1409" s="118">
        <f t="shared" si="252"/>
        <v>0</v>
      </c>
    </row>
    <row r="1410" spans="2:27">
      <c r="B1410" s="47"/>
      <c r="C1410" s="35"/>
      <c r="D1410" s="53"/>
      <c r="E1410" s="53"/>
      <c r="F1410" s="48"/>
      <c r="G1410" s="243" t="e">
        <f>INDEX('calcolo base'!$B:$B, MATCH($A1410, 'calcolo base'!$A:$A, 0))</f>
        <v>#N/A</v>
      </c>
      <c r="H1410" s="54" t="e">
        <f t="shared" si="253"/>
        <v>#N/A</v>
      </c>
      <c r="I1410" s="259" t="e">
        <f>IF(  OR(      INDEX('calcolo base'!$D:$D, MATCH($A1410, 'calcolo base'!$A:$A, 0)) = 0,
      INDEX('calcolo base'!$D:$D, MATCH($A1410, 'calcolo base'!$A:$A, 0)) = ""   ),
   INDEX('calcolo base'!$K:$K, MATCH($A1410, 'calcolo base'!$A:$A, 0)),
   INDEX('calcolo base'!$J:$J, MATCH($A1410, 'calcolo base'!$A:$A, 0))
) / 1000</f>
        <v>#N/A</v>
      </c>
      <c r="J1410" s="50" t="e">
        <f t="shared" si="254"/>
        <v>#N/A</v>
      </c>
      <c r="K1410" s="50"/>
      <c r="L1410" s="267" t="e">
        <f>INDEX('calcolo base'!$H:$H, MATCH($A1410, 'calcolo base'!$A:$A, 0))</f>
        <v>#N/A</v>
      </c>
      <c r="M1410" s="50" t="e">
        <f t="shared" si="255"/>
        <v>#N/A</v>
      </c>
      <c r="N1410" s="50" t="e">
        <f t="shared" si="256"/>
        <v>#N/A</v>
      </c>
      <c r="O1410" s="50" t="e">
        <f t="shared" si="261"/>
        <v>#N/A</v>
      </c>
      <c r="P1410" s="50" t="e">
        <f t="shared" si="257"/>
        <v>#N/A</v>
      </c>
      <c r="Q1410" s="51" t="e">
        <f t="shared" si="258"/>
        <v>#N/A</v>
      </c>
      <c r="R1410" s="205" t="e">
        <f t="shared" si="259"/>
        <v>#N/A</v>
      </c>
      <c r="S1410" s="279" t="e">
        <f>IF(R1410="si",0,IF(E1410="si",0,IF(J1410&gt;K1410,0,+K1410-J1410)))+IF('calcolo base'!P2102="SI",('Commissioni De Angeli'!K1410-'Commissioni De Angeli'!J1410),0)</f>
        <v>#N/A</v>
      </c>
      <c r="T1410" s="117" t="e">
        <f t="shared" si="260"/>
        <v>#N/A</v>
      </c>
      <c r="U1410" s="272" t="e">
        <f>IF(Q1410=0,'calcolo base'!L4009,(T1410+Q1410))</f>
        <v>#N/A</v>
      </c>
      <c r="V1410" s="119"/>
      <c r="Z1410" s="118">
        <f t="shared" si="251"/>
        <v>0</v>
      </c>
      <c r="AA1410" s="118">
        <f t="shared" si="252"/>
        <v>0</v>
      </c>
    </row>
    <row r="1411" spans="2:27">
      <c r="B1411" s="47"/>
      <c r="C1411" s="35"/>
      <c r="D1411" s="53"/>
      <c r="E1411" s="53"/>
      <c r="F1411" s="48"/>
      <c r="G1411" s="243" t="e">
        <f>INDEX('calcolo base'!$B:$B, MATCH($A1411, 'calcolo base'!$A:$A, 0))</f>
        <v>#N/A</v>
      </c>
      <c r="H1411" s="54" t="e">
        <f t="shared" si="253"/>
        <v>#N/A</v>
      </c>
      <c r="I1411" s="259" t="e">
        <f>IF(  OR(      INDEX('calcolo base'!$D:$D, MATCH($A1411, 'calcolo base'!$A:$A, 0)) = 0,
      INDEX('calcolo base'!$D:$D, MATCH($A1411, 'calcolo base'!$A:$A, 0)) = ""   ),
   INDEX('calcolo base'!$K:$K, MATCH($A1411, 'calcolo base'!$A:$A, 0)),
   INDEX('calcolo base'!$J:$J, MATCH($A1411, 'calcolo base'!$A:$A, 0))
) / 1000</f>
        <v>#N/A</v>
      </c>
      <c r="J1411" s="50" t="e">
        <f t="shared" si="254"/>
        <v>#N/A</v>
      </c>
      <c r="K1411" s="50"/>
      <c r="L1411" s="267" t="e">
        <f>INDEX('calcolo base'!$H:$H, MATCH($A1411, 'calcolo base'!$A:$A, 0))</f>
        <v>#N/A</v>
      </c>
      <c r="M1411" s="50" t="e">
        <f t="shared" si="255"/>
        <v>#N/A</v>
      </c>
      <c r="N1411" s="50" t="e">
        <f t="shared" si="256"/>
        <v>#N/A</v>
      </c>
      <c r="O1411" s="50" t="e">
        <f t="shared" si="261"/>
        <v>#N/A</v>
      </c>
      <c r="P1411" s="50" t="e">
        <f t="shared" si="257"/>
        <v>#N/A</v>
      </c>
      <c r="Q1411" s="51" t="e">
        <f t="shared" si="258"/>
        <v>#N/A</v>
      </c>
      <c r="R1411" s="205" t="e">
        <f t="shared" si="259"/>
        <v>#N/A</v>
      </c>
      <c r="S1411" s="279" t="e">
        <f>IF(R1411="si",0,IF(E1411="si",0,IF(J1411&gt;K1411,0,+K1411-J1411)))+IF('calcolo base'!P2103="SI",('Commissioni De Angeli'!K1411-'Commissioni De Angeli'!J1411),0)</f>
        <v>#N/A</v>
      </c>
      <c r="T1411" s="117" t="e">
        <f t="shared" si="260"/>
        <v>#N/A</v>
      </c>
      <c r="U1411" s="272" t="e">
        <f>IF(Q1411=0,'calcolo base'!L4010,(T1411+Q1411))</f>
        <v>#N/A</v>
      </c>
      <c r="V1411" s="119"/>
      <c r="Z1411" s="118">
        <f t="shared" si="251"/>
        <v>0</v>
      </c>
      <c r="AA1411" s="118">
        <f t="shared" si="252"/>
        <v>0</v>
      </c>
    </row>
    <row r="1412" spans="2:27">
      <c r="B1412" s="47"/>
      <c r="C1412" s="35"/>
      <c r="D1412" s="53"/>
      <c r="E1412" s="53"/>
      <c r="F1412" s="48"/>
      <c r="G1412" s="243" t="e">
        <f>INDEX('calcolo base'!$B:$B, MATCH($A1412, 'calcolo base'!$A:$A, 0))</f>
        <v>#N/A</v>
      </c>
      <c r="H1412" s="54" t="e">
        <f t="shared" si="253"/>
        <v>#N/A</v>
      </c>
      <c r="I1412" s="259" t="e">
        <f>IF(  OR(      INDEX('calcolo base'!$D:$D, MATCH($A1412, 'calcolo base'!$A:$A, 0)) = 0,
      INDEX('calcolo base'!$D:$D, MATCH($A1412, 'calcolo base'!$A:$A, 0)) = ""   ),
   INDEX('calcolo base'!$K:$K, MATCH($A1412, 'calcolo base'!$A:$A, 0)),
   INDEX('calcolo base'!$J:$J, MATCH($A1412, 'calcolo base'!$A:$A, 0))
) / 1000</f>
        <v>#N/A</v>
      </c>
      <c r="J1412" s="50" t="e">
        <f t="shared" si="254"/>
        <v>#N/A</v>
      </c>
      <c r="K1412" s="50"/>
      <c r="L1412" s="267" t="e">
        <f>INDEX('calcolo base'!$H:$H, MATCH($A1412, 'calcolo base'!$A:$A, 0))</f>
        <v>#N/A</v>
      </c>
      <c r="M1412" s="50" t="e">
        <f t="shared" si="255"/>
        <v>#N/A</v>
      </c>
      <c r="N1412" s="50" t="e">
        <f t="shared" si="256"/>
        <v>#N/A</v>
      </c>
      <c r="O1412" s="50" t="e">
        <f t="shared" si="261"/>
        <v>#N/A</v>
      </c>
      <c r="P1412" s="50" t="e">
        <f t="shared" si="257"/>
        <v>#N/A</v>
      </c>
      <c r="Q1412" s="51" t="e">
        <f t="shared" si="258"/>
        <v>#N/A</v>
      </c>
      <c r="R1412" s="205" t="e">
        <f t="shared" si="259"/>
        <v>#N/A</v>
      </c>
      <c r="S1412" s="279" t="e">
        <f>IF(R1412="si",0,IF(E1412="si",0,IF(J1412&gt;K1412,0,+K1412-J1412)))+IF('calcolo base'!P2104="SI",('Commissioni De Angeli'!K1412-'Commissioni De Angeli'!J1412),0)</f>
        <v>#N/A</v>
      </c>
      <c r="T1412" s="117" t="e">
        <f t="shared" si="260"/>
        <v>#N/A</v>
      </c>
      <c r="U1412" s="272" t="e">
        <f>IF(Q1412=0,'calcolo base'!L4011,(T1412+Q1412))</f>
        <v>#N/A</v>
      </c>
      <c r="V1412" s="119"/>
      <c r="Z1412" s="118">
        <f t="shared" si="251"/>
        <v>0</v>
      </c>
      <c r="AA1412" s="118">
        <f t="shared" si="252"/>
        <v>0</v>
      </c>
    </row>
    <row r="1413" spans="2:27">
      <c r="B1413" s="47"/>
      <c r="C1413" s="35"/>
      <c r="D1413" s="53"/>
      <c r="E1413" s="53"/>
      <c r="F1413" s="48"/>
      <c r="G1413" s="243" t="e">
        <f>INDEX('calcolo base'!$B:$B, MATCH($A1413, 'calcolo base'!$A:$A, 0))</f>
        <v>#N/A</v>
      </c>
      <c r="H1413" s="54" t="e">
        <f t="shared" si="253"/>
        <v>#N/A</v>
      </c>
      <c r="I1413" s="259" t="e">
        <f>IF(  OR(      INDEX('calcolo base'!$D:$D, MATCH($A1413, 'calcolo base'!$A:$A, 0)) = 0,
      INDEX('calcolo base'!$D:$D, MATCH($A1413, 'calcolo base'!$A:$A, 0)) = ""   ),
   INDEX('calcolo base'!$K:$K, MATCH($A1413, 'calcolo base'!$A:$A, 0)),
   INDEX('calcolo base'!$J:$J, MATCH($A1413, 'calcolo base'!$A:$A, 0))
) / 1000</f>
        <v>#N/A</v>
      </c>
      <c r="J1413" s="50" t="e">
        <f t="shared" si="254"/>
        <v>#N/A</v>
      </c>
      <c r="K1413" s="50"/>
      <c r="L1413" s="267" t="e">
        <f>INDEX('calcolo base'!$H:$H, MATCH($A1413, 'calcolo base'!$A:$A, 0))</f>
        <v>#N/A</v>
      </c>
      <c r="M1413" s="50" t="e">
        <f t="shared" si="255"/>
        <v>#N/A</v>
      </c>
      <c r="N1413" s="50" t="e">
        <f t="shared" si="256"/>
        <v>#N/A</v>
      </c>
      <c r="O1413" s="50" t="e">
        <f t="shared" si="261"/>
        <v>#N/A</v>
      </c>
      <c r="P1413" s="50" t="e">
        <f t="shared" si="257"/>
        <v>#N/A</v>
      </c>
      <c r="Q1413" s="51" t="e">
        <f t="shared" si="258"/>
        <v>#N/A</v>
      </c>
      <c r="R1413" s="205" t="e">
        <f t="shared" si="259"/>
        <v>#N/A</v>
      </c>
      <c r="S1413" s="279" t="e">
        <f>IF(R1413="si",0,IF(E1413="si",0,IF(J1413&gt;K1413,0,+K1413-J1413)))+IF('calcolo base'!P2105="SI",('Commissioni De Angeli'!K1413-'Commissioni De Angeli'!J1413),0)</f>
        <v>#N/A</v>
      </c>
      <c r="T1413" s="117" t="e">
        <f t="shared" si="260"/>
        <v>#N/A</v>
      </c>
      <c r="U1413" s="272" t="e">
        <f>IF(Q1413=0,'calcolo base'!L4012,(T1413+Q1413))</f>
        <v>#N/A</v>
      </c>
      <c r="V1413" s="119"/>
      <c r="Z1413" s="118">
        <f t="shared" si="251"/>
        <v>0</v>
      </c>
      <c r="AA1413" s="118">
        <f t="shared" si="252"/>
        <v>0</v>
      </c>
    </row>
    <row r="1414" spans="2:27">
      <c r="B1414" s="47"/>
      <c r="C1414" s="35"/>
      <c r="D1414" s="53"/>
      <c r="E1414" s="53"/>
      <c r="F1414" s="48"/>
      <c r="G1414" s="243" t="e">
        <f>INDEX('calcolo base'!$B:$B, MATCH($A1414, 'calcolo base'!$A:$A, 0))</f>
        <v>#N/A</v>
      </c>
      <c r="H1414" s="54" t="e">
        <f t="shared" si="253"/>
        <v>#N/A</v>
      </c>
      <c r="I1414" s="259" t="e">
        <f>IF(  OR(      INDEX('calcolo base'!$D:$D, MATCH($A1414, 'calcolo base'!$A:$A, 0)) = 0,
      INDEX('calcolo base'!$D:$D, MATCH($A1414, 'calcolo base'!$A:$A, 0)) = ""   ),
   INDEX('calcolo base'!$K:$K, MATCH($A1414, 'calcolo base'!$A:$A, 0)),
   INDEX('calcolo base'!$J:$J, MATCH($A1414, 'calcolo base'!$A:$A, 0))
) / 1000</f>
        <v>#N/A</v>
      </c>
      <c r="J1414" s="50" t="e">
        <f t="shared" si="254"/>
        <v>#N/A</v>
      </c>
      <c r="K1414" s="50"/>
      <c r="L1414" s="267" t="e">
        <f>INDEX('calcolo base'!$H:$H, MATCH($A1414, 'calcolo base'!$A:$A, 0))</f>
        <v>#N/A</v>
      </c>
      <c r="M1414" s="50" t="e">
        <f t="shared" si="255"/>
        <v>#N/A</v>
      </c>
      <c r="N1414" s="50" t="e">
        <f t="shared" si="256"/>
        <v>#N/A</v>
      </c>
      <c r="O1414" s="50" t="e">
        <f t="shared" si="261"/>
        <v>#N/A</v>
      </c>
      <c r="P1414" s="50" t="e">
        <f t="shared" si="257"/>
        <v>#N/A</v>
      </c>
      <c r="Q1414" s="51" t="e">
        <f t="shared" si="258"/>
        <v>#N/A</v>
      </c>
      <c r="R1414" s="205" t="e">
        <f t="shared" si="259"/>
        <v>#N/A</v>
      </c>
      <c r="S1414" s="279" t="e">
        <f>IF(R1414="si",0,IF(E1414="si",0,IF(J1414&gt;K1414,0,+K1414-J1414)))+IF('calcolo base'!P2106="SI",('Commissioni De Angeli'!K1414-'Commissioni De Angeli'!J1414),0)</f>
        <v>#N/A</v>
      </c>
      <c r="T1414" s="117" t="e">
        <f t="shared" si="260"/>
        <v>#N/A</v>
      </c>
      <c r="U1414" s="272" t="e">
        <f>IF(Q1414=0,'calcolo base'!L4013,(T1414+Q1414))</f>
        <v>#N/A</v>
      </c>
      <c r="V1414" s="119"/>
      <c r="Z1414" s="118">
        <f t="shared" si="251"/>
        <v>0</v>
      </c>
      <c r="AA1414" s="118">
        <f t="shared" si="252"/>
        <v>0</v>
      </c>
    </row>
    <row r="1415" spans="2:27">
      <c r="B1415" s="47"/>
      <c r="C1415" s="35"/>
      <c r="D1415" s="53"/>
      <c r="E1415" s="53"/>
      <c r="F1415" s="48"/>
      <c r="G1415" s="243" t="e">
        <f>INDEX('calcolo base'!$B:$B, MATCH($A1415, 'calcolo base'!$A:$A, 0))</f>
        <v>#N/A</v>
      </c>
      <c r="H1415" s="54" t="e">
        <f t="shared" si="253"/>
        <v>#N/A</v>
      </c>
      <c r="I1415" s="259" t="e">
        <f>IF(  OR(      INDEX('calcolo base'!$D:$D, MATCH($A1415, 'calcolo base'!$A:$A, 0)) = 0,
      INDEX('calcolo base'!$D:$D, MATCH($A1415, 'calcolo base'!$A:$A, 0)) = ""   ),
   INDEX('calcolo base'!$K:$K, MATCH($A1415, 'calcolo base'!$A:$A, 0)),
   INDEX('calcolo base'!$J:$J, MATCH($A1415, 'calcolo base'!$A:$A, 0))
) / 1000</f>
        <v>#N/A</v>
      </c>
      <c r="J1415" s="50" t="e">
        <f t="shared" si="254"/>
        <v>#N/A</v>
      </c>
      <c r="K1415" s="50"/>
      <c r="L1415" s="267" t="e">
        <f>INDEX('calcolo base'!$H:$H, MATCH($A1415, 'calcolo base'!$A:$A, 0))</f>
        <v>#N/A</v>
      </c>
      <c r="M1415" s="50" t="e">
        <f t="shared" si="255"/>
        <v>#N/A</v>
      </c>
      <c r="N1415" s="50" t="e">
        <f t="shared" si="256"/>
        <v>#N/A</v>
      </c>
      <c r="O1415" s="50" t="e">
        <f t="shared" si="261"/>
        <v>#N/A</v>
      </c>
      <c r="P1415" s="50" t="e">
        <f t="shared" si="257"/>
        <v>#N/A</v>
      </c>
      <c r="Q1415" s="51" t="e">
        <f t="shared" si="258"/>
        <v>#N/A</v>
      </c>
      <c r="R1415" s="205" t="e">
        <f t="shared" si="259"/>
        <v>#N/A</v>
      </c>
      <c r="S1415" s="279" t="e">
        <f>IF(R1415="si",0,IF(E1415="si",0,IF(J1415&gt;K1415,0,+K1415-J1415)))+IF('calcolo base'!P2107="SI",('Commissioni De Angeli'!K1415-'Commissioni De Angeli'!J1415),0)</f>
        <v>#N/A</v>
      </c>
      <c r="T1415" s="117" t="e">
        <f t="shared" si="260"/>
        <v>#N/A</v>
      </c>
      <c r="U1415" s="272" t="e">
        <f>IF(Q1415=0,'calcolo base'!L4014,(T1415+Q1415))</f>
        <v>#N/A</v>
      </c>
      <c r="V1415" s="119"/>
      <c r="Z1415" s="118">
        <f t="shared" si="251"/>
        <v>0</v>
      </c>
      <c r="AA1415" s="118">
        <f t="shared" si="252"/>
        <v>0</v>
      </c>
    </row>
    <row r="1416" spans="2:27">
      <c r="B1416" s="47"/>
      <c r="C1416" s="35"/>
      <c r="D1416" s="53"/>
      <c r="E1416" s="53"/>
      <c r="F1416" s="48"/>
      <c r="G1416" s="243" t="e">
        <f>INDEX('calcolo base'!$B:$B, MATCH($A1416, 'calcolo base'!$A:$A, 0))</f>
        <v>#N/A</v>
      </c>
      <c r="H1416" s="54" t="e">
        <f t="shared" si="253"/>
        <v>#N/A</v>
      </c>
      <c r="I1416" s="259" t="e">
        <f>IF(  OR(      INDEX('calcolo base'!$D:$D, MATCH($A1416, 'calcolo base'!$A:$A, 0)) = 0,
      INDEX('calcolo base'!$D:$D, MATCH($A1416, 'calcolo base'!$A:$A, 0)) = ""   ),
   INDEX('calcolo base'!$K:$K, MATCH($A1416, 'calcolo base'!$A:$A, 0)),
   INDEX('calcolo base'!$J:$J, MATCH($A1416, 'calcolo base'!$A:$A, 0))
) / 1000</f>
        <v>#N/A</v>
      </c>
      <c r="J1416" s="50" t="e">
        <f t="shared" si="254"/>
        <v>#N/A</v>
      </c>
      <c r="K1416" s="50"/>
      <c r="L1416" s="267" t="e">
        <f>INDEX('calcolo base'!$H:$H, MATCH($A1416, 'calcolo base'!$A:$A, 0))</f>
        <v>#N/A</v>
      </c>
      <c r="M1416" s="50" t="e">
        <f t="shared" si="255"/>
        <v>#N/A</v>
      </c>
      <c r="N1416" s="50" t="e">
        <f t="shared" si="256"/>
        <v>#N/A</v>
      </c>
      <c r="O1416" s="50" t="e">
        <f t="shared" si="261"/>
        <v>#N/A</v>
      </c>
      <c r="P1416" s="50" t="e">
        <f t="shared" si="257"/>
        <v>#N/A</v>
      </c>
      <c r="Q1416" s="51" t="e">
        <f t="shared" si="258"/>
        <v>#N/A</v>
      </c>
      <c r="R1416" s="205" t="e">
        <f t="shared" si="259"/>
        <v>#N/A</v>
      </c>
      <c r="S1416" s="279" t="e">
        <f>IF(R1416="si",0,IF(E1416="si",0,IF(J1416&gt;K1416,0,+K1416-J1416)))+IF('calcolo base'!P2108="SI",('Commissioni De Angeli'!K1416-'Commissioni De Angeli'!J1416),0)</f>
        <v>#N/A</v>
      </c>
      <c r="T1416" s="117" t="e">
        <f t="shared" si="260"/>
        <v>#N/A</v>
      </c>
      <c r="U1416" s="272" t="e">
        <f>IF(Q1416=0,'calcolo base'!L4015,(T1416+Q1416))</f>
        <v>#N/A</v>
      </c>
      <c r="V1416" s="119"/>
      <c r="Z1416" s="118">
        <f t="shared" si="251"/>
        <v>0</v>
      </c>
      <c r="AA1416" s="118">
        <f t="shared" si="252"/>
        <v>0</v>
      </c>
    </row>
    <row r="1417" spans="2:27">
      <c r="B1417" s="47"/>
      <c r="C1417" s="35"/>
      <c r="D1417" s="53"/>
      <c r="E1417" s="53"/>
      <c r="F1417" s="48"/>
      <c r="G1417" s="243" t="e">
        <f>INDEX('calcolo base'!$B:$B, MATCH($A1417, 'calcolo base'!$A:$A, 0))</f>
        <v>#N/A</v>
      </c>
      <c r="H1417" s="54" t="e">
        <f t="shared" si="253"/>
        <v>#N/A</v>
      </c>
      <c r="I1417" s="259" t="e">
        <f>IF(  OR(      INDEX('calcolo base'!$D:$D, MATCH($A1417, 'calcolo base'!$A:$A, 0)) = 0,
      INDEX('calcolo base'!$D:$D, MATCH($A1417, 'calcolo base'!$A:$A, 0)) = ""   ),
   INDEX('calcolo base'!$K:$K, MATCH($A1417, 'calcolo base'!$A:$A, 0)),
   INDEX('calcolo base'!$J:$J, MATCH($A1417, 'calcolo base'!$A:$A, 0))
) / 1000</f>
        <v>#N/A</v>
      </c>
      <c r="J1417" s="50" t="e">
        <f t="shared" si="254"/>
        <v>#N/A</v>
      </c>
      <c r="K1417" s="50"/>
      <c r="L1417" s="267" t="e">
        <f>INDEX('calcolo base'!$H:$H, MATCH($A1417, 'calcolo base'!$A:$A, 0))</f>
        <v>#N/A</v>
      </c>
      <c r="M1417" s="50" t="e">
        <f t="shared" si="255"/>
        <v>#N/A</v>
      </c>
      <c r="N1417" s="50" t="e">
        <f t="shared" si="256"/>
        <v>#N/A</v>
      </c>
      <c r="O1417" s="50" t="e">
        <f t="shared" si="261"/>
        <v>#N/A</v>
      </c>
      <c r="P1417" s="50" t="e">
        <f t="shared" si="257"/>
        <v>#N/A</v>
      </c>
      <c r="Q1417" s="51" t="e">
        <f t="shared" si="258"/>
        <v>#N/A</v>
      </c>
      <c r="R1417" s="205" t="e">
        <f t="shared" si="259"/>
        <v>#N/A</v>
      </c>
      <c r="S1417" s="279" t="e">
        <f>IF(R1417="si",0,IF(E1417="si",0,IF(J1417&gt;K1417,0,+K1417-J1417)))+IF('calcolo base'!P2109="SI",('Commissioni De Angeli'!K1417-'Commissioni De Angeli'!J1417),0)</f>
        <v>#N/A</v>
      </c>
      <c r="T1417" s="117" t="e">
        <f t="shared" si="260"/>
        <v>#N/A</v>
      </c>
      <c r="U1417" s="272" t="e">
        <f>IF(Q1417=0,'calcolo base'!L4016,(T1417+Q1417))</f>
        <v>#N/A</v>
      </c>
      <c r="V1417" s="119"/>
      <c r="Z1417" s="118">
        <f t="shared" si="251"/>
        <v>0</v>
      </c>
      <c r="AA1417" s="118">
        <f t="shared" si="252"/>
        <v>0</v>
      </c>
    </row>
    <row r="1418" spans="2:27">
      <c r="B1418" s="47"/>
      <c r="C1418" s="35"/>
      <c r="D1418" s="53"/>
      <c r="E1418" s="53"/>
      <c r="F1418" s="48"/>
      <c r="G1418" s="243" t="e">
        <f>INDEX('calcolo base'!$B:$B, MATCH($A1418, 'calcolo base'!$A:$A, 0))</f>
        <v>#N/A</v>
      </c>
      <c r="H1418" s="54" t="e">
        <f t="shared" si="253"/>
        <v>#N/A</v>
      </c>
      <c r="I1418" s="259" t="e">
        <f>IF(  OR(      INDEX('calcolo base'!$D:$D, MATCH($A1418, 'calcolo base'!$A:$A, 0)) = 0,
      INDEX('calcolo base'!$D:$D, MATCH($A1418, 'calcolo base'!$A:$A, 0)) = ""   ),
   INDEX('calcolo base'!$K:$K, MATCH($A1418, 'calcolo base'!$A:$A, 0)),
   INDEX('calcolo base'!$J:$J, MATCH($A1418, 'calcolo base'!$A:$A, 0))
) / 1000</f>
        <v>#N/A</v>
      </c>
      <c r="J1418" s="50" t="e">
        <f t="shared" si="254"/>
        <v>#N/A</v>
      </c>
      <c r="K1418" s="50"/>
      <c r="L1418" s="267" t="e">
        <f>INDEX('calcolo base'!$H:$H, MATCH($A1418, 'calcolo base'!$A:$A, 0))</f>
        <v>#N/A</v>
      </c>
      <c r="M1418" s="50" t="e">
        <f t="shared" si="255"/>
        <v>#N/A</v>
      </c>
      <c r="N1418" s="50" t="e">
        <f t="shared" si="256"/>
        <v>#N/A</v>
      </c>
      <c r="O1418" s="50" t="e">
        <f t="shared" si="261"/>
        <v>#N/A</v>
      </c>
      <c r="P1418" s="50" t="e">
        <f t="shared" si="257"/>
        <v>#N/A</v>
      </c>
      <c r="Q1418" s="51" t="e">
        <f t="shared" si="258"/>
        <v>#N/A</v>
      </c>
      <c r="R1418" s="205" t="e">
        <f t="shared" si="259"/>
        <v>#N/A</v>
      </c>
      <c r="S1418" s="279" t="e">
        <f>IF(R1418="si",0,IF(E1418="si",0,IF(J1418&gt;K1418,0,+K1418-J1418)))+IF('calcolo base'!P2110="SI",('Commissioni De Angeli'!K1418-'Commissioni De Angeli'!J1418),0)</f>
        <v>#N/A</v>
      </c>
      <c r="T1418" s="117" t="e">
        <f t="shared" si="260"/>
        <v>#N/A</v>
      </c>
      <c r="U1418" s="272" t="e">
        <f>IF(Q1418=0,'calcolo base'!L4017,(T1418+Q1418))</f>
        <v>#N/A</v>
      </c>
      <c r="V1418" s="119"/>
      <c r="Z1418" s="118">
        <f t="shared" si="251"/>
        <v>0</v>
      </c>
      <c r="AA1418" s="118">
        <f t="shared" si="252"/>
        <v>0</v>
      </c>
    </row>
    <row r="1419" spans="2:27">
      <c r="B1419" s="47"/>
      <c r="C1419" s="35"/>
      <c r="D1419" s="53"/>
      <c r="E1419" s="53"/>
      <c r="F1419" s="48"/>
      <c r="G1419" s="243" t="e">
        <f>INDEX('calcolo base'!$B:$B, MATCH($A1419, 'calcolo base'!$A:$A, 0))</f>
        <v>#N/A</v>
      </c>
      <c r="H1419" s="54" t="e">
        <f t="shared" si="253"/>
        <v>#N/A</v>
      </c>
      <c r="I1419" s="259" t="e">
        <f>IF(  OR(      INDEX('calcolo base'!$D:$D, MATCH($A1419, 'calcolo base'!$A:$A, 0)) = 0,
      INDEX('calcolo base'!$D:$D, MATCH($A1419, 'calcolo base'!$A:$A, 0)) = ""   ),
   INDEX('calcolo base'!$K:$K, MATCH($A1419, 'calcolo base'!$A:$A, 0)),
   INDEX('calcolo base'!$J:$J, MATCH($A1419, 'calcolo base'!$A:$A, 0))
) / 1000</f>
        <v>#N/A</v>
      </c>
      <c r="J1419" s="50" t="e">
        <f t="shared" si="254"/>
        <v>#N/A</v>
      </c>
      <c r="K1419" s="50"/>
      <c r="L1419" s="267" t="e">
        <f>INDEX('calcolo base'!$H:$H, MATCH($A1419, 'calcolo base'!$A:$A, 0))</f>
        <v>#N/A</v>
      </c>
      <c r="M1419" s="50" t="e">
        <f t="shared" si="255"/>
        <v>#N/A</v>
      </c>
      <c r="N1419" s="50" t="e">
        <f t="shared" si="256"/>
        <v>#N/A</v>
      </c>
      <c r="O1419" s="50" t="e">
        <f t="shared" si="261"/>
        <v>#N/A</v>
      </c>
      <c r="P1419" s="50" t="e">
        <f t="shared" si="257"/>
        <v>#N/A</v>
      </c>
      <c r="Q1419" s="51" t="e">
        <f t="shared" si="258"/>
        <v>#N/A</v>
      </c>
      <c r="R1419" s="205" t="e">
        <f t="shared" si="259"/>
        <v>#N/A</v>
      </c>
      <c r="S1419" s="279" t="e">
        <f>IF(R1419="si",0,IF(E1419="si",0,IF(J1419&gt;K1419,0,+K1419-J1419)))+IF('calcolo base'!P2111="SI",('Commissioni De Angeli'!K1419-'Commissioni De Angeli'!J1419),0)</f>
        <v>#N/A</v>
      </c>
      <c r="T1419" s="117" t="e">
        <f t="shared" si="260"/>
        <v>#N/A</v>
      </c>
      <c r="U1419" s="272" t="e">
        <f>IF(Q1419=0,'calcolo base'!L4018,(T1419+Q1419))</f>
        <v>#N/A</v>
      </c>
      <c r="V1419" s="119"/>
      <c r="Z1419" s="118">
        <f t="shared" si="251"/>
        <v>0</v>
      </c>
      <c r="AA1419" s="118">
        <f t="shared" si="252"/>
        <v>0</v>
      </c>
    </row>
    <row r="1420" spans="2:27">
      <c r="B1420" s="47"/>
      <c r="C1420" s="35"/>
      <c r="D1420" s="53"/>
      <c r="E1420" s="53"/>
      <c r="F1420" s="48"/>
      <c r="G1420" s="243" t="e">
        <f>INDEX('calcolo base'!$B:$B, MATCH($A1420, 'calcolo base'!$A:$A, 0))</f>
        <v>#N/A</v>
      </c>
      <c r="H1420" s="54" t="e">
        <f t="shared" si="253"/>
        <v>#N/A</v>
      </c>
      <c r="I1420" s="259" t="e">
        <f>IF(  OR(      INDEX('calcolo base'!$D:$D, MATCH($A1420, 'calcolo base'!$A:$A, 0)) = 0,
      INDEX('calcolo base'!$D:$D, MATCH($A1420, 'calcolo base'!$A:$A, 0)) = ""   ),
   INDEX('calcolo base'!$K:$K, MATCH($A1420, 'calcolo base'!$A:$A, 0)),
   INDEX('calcolo base'!$J:$J, MATCH($A1420, 'calcolo base'!$A:$A, 0))
) / 1000</f>
        <v>#N/A</v>
      </c>
      <c r="J1420" s="50" t="e">
        <f t="shared" si="254"/>
        <v>#N/A</v>
      </c>
      <c r="K1420" s="50"/>
      <c r="L1420" s="267" t="e">
        <f>INDEX('calcolo base'!$H:$H, MATCH($A1420, 'calcolo base'!$A:$A, 0))</f>
        <v>#N/A</v>
      </c>
      <c r="M1420" s="50" t="e">
        <f t="shared" si="255"/>
        <v>#N/A</v>
      </c>
      <c r="N1420" s="50" t="e">
        <f t="shared" si="256"/>
        <v>#N/A</v>
      </c>
      <c r="O1420" s="50" t="e">
        <f t="shared" si="261"/>
        <v>#N/A</v>
      </c>
      <c r="P1420" s="50" t="e">
        <f t="shared" si="257"/>
        <v>#N/A</v>
      </c>
      <c r="Q1420" s="51" t="e">
        <f t="shared" si="258"/>
        <v>#N/A</v>
      </c>
      <c r="R1420" s="205" t="e">
        <f t="shared" si="259"/>
        <v>#N/A</v>
      </c>
      <c r="S1420" s="279" t="e">
        <f>IF(R1420="si",0,IF(E1420="si",0,IF(J1420&gt;K1420,0,+K1420-J1420)))+IF('calcolo base'!P2112="SI",('Commissioni De Angeli'!K1420-'Commissioni De Angeli'!J1420),0)</f>
        <v>#N/A</v>
      </c>
      <c r="T1420" s="117" t="e">
        <f t="shared" si="260"/>
        <v>#N/A</v>
      </c>
      <c r="U1420" s="272" t="e">
        <f>IF(Q1420=0,'calcolo base'!L4019,(T1420+Q1420))</f>
        <v>#N/A</v>
      </c>
      <c r="V1420" s="119"/>
      <c r="Z1420" s="118">
        <f t="shared" si="251"/>
        <v>0</v>
      </c>
      <c r="AA1420" s="118">
        <f t="shared" si="252"/>
        <v>0</v>
      </c>
    </row>
    <row r="1421" spans="2:27">
      <c r="B1421" s="47"/>
      <c r="C1421" s="35"/>
      <c r="D1421" s="53"/>
      <c r="E1421" s="53"/>
      <c r="F1421" s="48"/>
      <c r="G1421" s="243" t="e">
        <f>INDEX('calcolo base'!$B:$B, MATCH($A1421, 'calcolo base'!$A:$A, 0))</f>
        <v>#N/A</v>
      </c>
      <c r="H1421" s="54" t="e">
        <f t="shared" si="253"/>
        <v>#N/A</v>
      </c>
      <c r="I1421" s="259" t="e">
        <f>IF(  OR(      INDEX('calcolo base'!$D:$D, MATCH($A1421, 'calcolo base'!$A:$A, 0)) = 0,
      INDEX('calcolo base'!$D:$D, MATCH($A1421, 'calcolo base'!$A:$A, 0)) = ""   ),
   INDEX('calcolo base'!$K:$K, MATCH($A1421, 'calcolo base'!$A:$A, 0)),
   INDEX('calcolo base'!$J:$J, MATCH($A1421, 'calcolo base'!$A:$A, 0))
) / 1000</f>
        <v>#N/A</v>
      </c>
      <c r="J1421" s="50" t="e">
        <f t="shared" si="254"/>
        <v>#N/A</v>
      </c>
      <c r="K1421" s="50"/>
      <c r="L1421" s="267" t="e">
        <f>INDEX('calcolo base'!$H:$H, MATCH($A1421, 'calcolo base'!$A:$A, 0))</f>
        <v>#N/A</v>
      </c>
      <c r="M1421" s="50" t="e">
        <f t="shared" si="255"/>
        <v>#N/A</v>
      </c>
      <c r="N1421" s="50" t="e">
        <f t="shared" si="256"/>
        <v>#N/A</v>
      </c>
      <c r="O1421" s="50" t="e">
        <f t="shared" si="261"/>
        <v>#N/A</v>
      </c>
      <c r="P1421" s="50" t="e">
        <f t="shared" si="257"/>
        <v>#N/A</v>
      </c>
      <c r="Q1421" s="51" t="e">
        <f t="shared" si="258"/>
        <v>#N/A</v>
      </c>
      <c r="R1421" s="205" t="e">
        <f t="shared" si="259"/>
        <v>#N/A</v>
      </c>
      <c r="S1421" s="279" t="e">
        <f>IF(R1421="si",0,IF(E1421="si",0,IF(J1421&gt;K1421,0,+K1421-J1421)))+IF('calcolo base'!P2113="SI",('Commissioni De Angeli'!K1421-'Commissioni De Angeli'!J1421),0)</f>
        <v>#N/A</v>
      </c>
      <c r="T1421" s="117" t="e">
        <f t="shared" si="260"/>
        <v>#N/A</v>
      </c>
      <c r="U1421" s="272" t="e">
        <f>IF(Q1421=0,'calcolo base'!L4020,(T1421+Q1421))</f>
        <v>#N/A</v>
      </c>
      <c r="V1421" s="119"/>
      <c r="Z1421" s="118">
        <f t="shared" si="251"/>
        <v>0</v>
      </c>
      <c r="AA1421" s="118">
        <f t="shared" si="252"/>
        <v>0</v>
      </c>
    </row>
    <row r="1422" spans="2:27">
      <c r="B1422" s="47"/>
      <c r="C1422" s="35"/>
      <c r="D1422" s="53"/>
      <c r="E1422" s="53"/>
      <c r="F1422" s="48"/>
      <c r="G1422" s="243" t="e">
        <f>INDEX('calcolo base'!$B:$B, MATCH($A1422, 'calcolo base'!$A:$A, 0))</f>
        <v>#N/A</v>
      </c>
      <c r="H1422" s="54" t="e">
        <f t="shared" si="253"/>
        <v>#N/A</v>
      </c>
      <c r="I1422" s="259" t="e">
        <f>IF(  OR(      INDEX('calcolo base'!$D:$D, MATCH($A1422, 'calcolo base'!$A:$A, 0)) = 0,
      INDEX('calcolo base'!$D:$D, MATCH($A1422, 'calcolo base'!$A:$A, 0)) = ""   ),
   INDEX('calcolo base'!$K:$K, MATCH($A1422, 'calcolo base'!$A:$A, 0)),
   INDEX('calcolo base'!$J:$J, MATCH($A1422, 'calcolo base'!$A:$A, 0))
) / 1000</f>
        <v>#N/A</v>
      </c>
      <c r="J1422" s="50" t="e">
        <f t="shared" si="254"/>
        <v>#N/A</v>
      </c>
      <c r="K1422" s="50"/>
      <c r="L1422" s="267" t="e">
        <f>INDEX('calcolo base'!$H:$H, MATCH($A1422, 'calcolo base'!$A:$A, 0))</f>
        <v>#N/A</v>
      </c>
      <c r="M1422" s="50" t="e">
        <f t="shared" si="255"/>
        <v>#N/A</v>
      </c>
      <c r="N1422" s="50" t="e">
        <f t="shared" si="256"/>
        <v>#N/A</v>
      </c>
      <c r="O1422" s="50" t="e">
        <f t="shared" si="261"/>
        <v>#N/A</v>
      </c>
      <c r="P1422" s="50" t="e">
        <f t="shared" si="257"/>
        <v>#N/A</v>
      </c>
      <c r="Q1422" s="51" t="e">
        <f t="shared" si="258"/>
        <v>#N/A</v>
      </c>
      <c r="R1422" s="205" t="e">
        <f t="shared" si="259"/>
        <v>#N/A</v>
      </c>
      <c r="S1422" s="279" t="e">
        <f>IF(R1422="si",0,IF(E1422="si",0,IF(J1422&gt;K1422,0,+K1422-J1422)))+IF('calcolo base'!P2114="SI",('Commissioni De Angeli'!K1422-'Commissioni De Angeli'!J1422),0)</f>
        <v>#N/A</v>
      </c>
      <c r="T1422" s="117" t="e">
        <f t="shared" si="260"/>
        <v>#N/A</v>
      </c>
      <c r="U1422" s="272" t="e">
        <f>IF(Q1422=0,'calcolo base'!L4021,(T1422+Q1422))</f>
        <v>#N/A</v>
      </c>
      <c r="V1422" s="119"/>
      <c r="Z1422" s="118">
        <f t="shared" si="251"/>
        <v>0</v>
      </c>
      <c r="AA1422" s="118">
        <f t="shared" si="252"/>
        <v>0</v>
      </c>
    </row>
    <row r="1423" spans="2:27">
      <c r="B1423" s="47"/>
      <c r="C1423" s="35"/>
      <c r="D1423" s="53"/>
      <c r="E1423" s="53"/>
      <c r="F1423" s="48"/>
      <c r="G1423" s="243" t="e">
        <f>INDEX('calcolo base'!$B:$B, MATCH($A1423, 'calcolo base'!$A:$A, 0))</f>
        <v>#N/A</v>
      </c>
      <c r="H1423" s="54" t="e">
        <f t="shared" si="253"/>
        <v>#N/A</v>
      </c>
      <c r="I1423" s="259" t="e">
        <f>IF(  OR(      INDEX('calcolo base'!$D:$D, MATCH($A1423, 'calcolo base'!$A:$A, 0)) = 0,
      INDEX('calcolo base'!$D:$D, MATCH($A1423, 'calcolo base'!$A:$A, 0)) = ""   ),
   INDEX('calcolo base'!$K:$K, MATCH($A1423, 'calcolo base'!$A:$A, 0)),
   INDEX('calcolo base'!$J:$J, MATCH($A1423, 'calcolo base'!$A:$A, 0))
) / 1000</f>
        <v>#N/A</v>
      </c>
      <c r="J1423" s="50" t="e">
        <f t="shared" si="254"/>
        <v>#N/A</v>
      </c>
      <c r="K1423" s="50"/>
      <c r="L1423" s="267" t="e">
        <f>INDEX('calcolo base'!$H:$H, MATCH($A1423, 'calcolo base'!$A:$A, 0))</f>
        <v>#N/A</v>
      </c>
      <c r="M1423" s="50" t="e">
        <f t="shared" si="255"/>
        <v>#N/A</v>
      </c>
      <c r="N1423" s="50" t="e">
        <f t="shared" si="256"/>
        <v>#N/A</v>
      </c>
      <c r="O1423" s="50" t="e">
        <f t="shared" si="261"/>
        <v>#N/A</v>
      </c>
      <c r="P1423" s="50" t="e">
        <f t="shared" si="257"/>
        <v>#N/A</v>
      </c>
      <c r="Q1423" s="51" t="e">
        <f t="shared" si="258"/>
        <v>#N/A</v>
      </c>
      <c r="R1423" s="205" t="e">
        <f t="shared" si="259"/>
        <v>#N/A</v>
      </c>
      <c r="S1423" s="279" t="e">
        <f>IF(R1423="si",0,IF(E1423="si",0,IF(J1423&gt;K1423,0,+K1423-J1423)))+IF('calcolo base'!P2115="SI",('Commissioni De Angeli'!K1423-'Commissioni De Angeli'!J1423),0)</f>
        <v>#N/A</v>
      </c>
      <c r="T1423" s="117" t="e">
        <f t="shared" si="260"/>
        <v>#N/A</v>
      </c>
      <c r="U1423" s="272" t="e">
        <f>IF(Q1423=0,'calcolo base'!L4022,(T1423+Q1423))</f>
        <v>#N/A</v>
      </c>
      <c r="V1423" s="119"/>
      <c r="Z1423" s="118">
        <f t="shared" si="251"/>
        <v>0</v>
      </c>
      <c r="AA1423" s="118">
        <f t="shared" si="252"/>
        <v>0</v>
      </c>
    </row>
    <row r="1424" spans="2:27">
      <c r="B1424" s="47"/>
      <c r="C1424" s="35"/>
      <c r="D1424" s="53"/>
      <c r="E1424" s="53"/>
      <c r="F1424" s="48"/>
      <c r="G1424" s="243" t="e">
        <f>INDEX('calcolo base'!$B:$B, MATCH($A1424, 'calcolo base'!$A:$A, 0))</f>
        <v>#N/A</v>
      </c>
      <c r="H1424" s="54" t="e">
        <f t="shared" si="253"/>
        <v>#N/A</v>
      </c>
      <c r="I1424" s="259" t="e">
        <f>IF(  OR(      INDEX('calcolo base'!$D:$D, MATCH($A1424, 'calcolo base'!$A:$A, 0)) = 0,
      INDEX('calcolo base'!$D:$D, MATCH($A1424, 'calcolo base'!$A:$A, 0)) = ""   ),
   INDEX('calcolo base'!$K:$K, MATCH($A1424, 'calcolo base'!$A:$A, 0)),
   INDEX('calcolo base'!$J:$J, MATCH($A1424, 'calcolo base'!$A:$A, 0))
) / 1000</f>
        <v>#N/A</v>
      </c>
      <c r="J1424" s="50" t="e">
        <f t="shared" si="254"/>
        <v>#N/A</v>
      </c>
      <c r="K1424" s="50"/>
      <c r="L1424" s="267" t="e">
        <f>INDEX('calcolo base'!$H:$H, MATCH($A1424, 'calcolo base'!$A:$A, 0))</f>
        <v>#N/A</v>
      </c>
      <c r="M1424" s="50" t="e">
        <f t="shared" si="255"/>
        <v>#N/A</v>
      </c>
      <c r="N1424" s="50" t="e">
        <f t="shared" si="256"/>
        <v>#N/A</v>
      </c>
      <c r="O1424" s="50" t="e">
        <f t="shared" si="261"/>
        <v>#N/A</v>
      </c>
      <c r="P1424" s="50" t="e">
        <f t="shared" si="257"/>
        <v>#N/A</v>
      </c>
      <c r="Q1424" s="51" t="e">
        <f t="shared" si="258"/>
        <v>#N/A</v>
      </c>
      <c r="R1424" s="205" t="e">
        <f t="shared" si="259"/>
        <v>#N/A</v>
      </c>
      <c r="S1424" s="279" t="e">
        <f>IF(R1424="si",0,IF(E1424="si",0,IF(J1424&gt;K1424,0,+K1424-J1424)))+IF('calcolo base'!P2116="SI",('Commissioni De Angeli'!K1424-'Commissioni De Angeli'!J1424),0)</f>
        <v>#N/A</v>
      </c>
      <c r="T1424" s="117" t="e">
        <f t="shared" si="260"/>
        <v>#N/A</v>
      </c>
      <c r="U1424" s="272" t="e">
        <f>IF(Q1424=0,'calcolo base'!L4023,(T1424+Q1424))</f>
        <v>#N/A</v>
      </c>
      <c r="V1424" s="119"/>
      <c r="Z1424" s="118">
        <f t="shared" si="251"/>
        <v>0</v>
      </c>
      <c r="AA1424" s="118">
        <f t="shared" si="252"/>
        <v>0</v>
      </c>
    </row>
    <row r="1425" spans="2:27">
      <c r="B1425" s="47"/>
      <c r="C1425" s="35"/>
      <c r="D1425" s="53"/>
      <c r="E1425" s="53"/>
      <c r="F1425" s="48"/>
      <c r="G1425" s="243" t="e">
        <f>INDEX('calcolo base'!$B:$B, MATCH($A1425, 'calcolo base'!$A:$A, 0))</f>
        <v>#N/A</v>
      </c>
      <c r="H1425" s="54" t="e">
        <f t="shared" si="253"/>
        <v>#N/A</v>
      </c>
      <c r="I1425" s="259" t="e">
        <f>IF(  OR(      INDEX('calcolo base'!$D:$D, MATCH($A1425, 'calcolo base'!$A:$A, 0)) = 0,
      INDEX('calcolo base'!$D:$D, MATCH($A1425, 'calcolo base'!$A:$A, 0)) = ""   ),
   INDEX('calcolo base'!$K:$K, MATCH($A1425, 'calcolo base'!$A:$A, 0)),
   INDEX('calcolo base'!$J:$J, MATCH($A1425, 'calcolo base'!$A:$A, 0))
) / 1000</f>
        <v>#N/A</v>
      </c>
      <c r="J1425" s="50" t="e">
        <f t="shared" si="254"/>
        <v>#N/A</v>
      </c>
      <c r="K1425" s="50"/>
      <c r="L1425" s="267" t="e">
        <f>INDEX('calcolo base'!$H:$H, MATCH($A1425, 'calcolo base'!$A:$A, 0))</f>
        <v>#N/A</v>
      </c>
      <c r="M1425" s="50" t="e">
        <f t="shared" si="255"/>
        <v>#N/A</v>
      </c>
      <c r="N1425" s="50" t="e">
        <f t="shared" si="256"/>
        <v>#N/A</v>
      </c>
      <c r="O1425" s="50" t="e">
        <f t="shared" si="261"/>
        <v>#N/A</v>
      </c>
      <c r="P1425" s="50" t="e">
        <f t="shared" si="257"/>
        <v>#N/A</v>
      </c>
      <c r="Q1425" s="51" t="e">
        <f t="shared" si="258"/>
        <v>#N/A</v>
      </c>
      <c r="R1425" s="205" t="e">
        <f t="shared" si="259"/>
        <v>#N/A</v>
      </c>
      <c r="S1425" s="279" t="e">
        <f>IF(R1425="si",0,IF(E1425="si",0,IF(J1425&gt;K1425,0,+K1425-J1425)))+IF('calcolo base'!P2117="SI",('Commissioni De Angeli'!K1425-'Commissioni De Angeli'!J1425),0)</f>
        <v>#N/A</v>
      </c>
      <c r="T1425" s="117" t="e">
        <f t="shared" si="260"/>
        <v>#N/A</v>
      </c>
      <c r="U1425" s="272" t="e">
        <f>IF(Q1425=0,'calcolo base'!L4024,(T1425+Q1425))</f>
        <v>#N/A</v>
      </c>
      <c r="V1425" s="119"/>
      <c r="Z1425" s="118">
        <f t="shared" si="251"/>
        <v>0</v>
      </c>
      <c r="AA1425" s="118">
        <f t="shared" si="252"/>
        <v>0</v>
      </c>
    </row>
    <row r="1426" spans="2:27">
      <c r="B1426" s="47"/>
      <c r="C1426" s="35"/>
      <c r="D1426" s="53"/>
      <c r="E1426" s="53"/>
      <c r="F1426" s="48"/>
      <c r="G1426" s="243" t="e">
        <f>INDEX('calcolo base'!$B:$B, MATCH($A1426, 'calcolo base'!$A:$A, 0))</f>
        <v>#N/A</v>
      </c>
      <c r="H1426" s="54" t="e">
        <f t="shared" si="253"/>
        <v>#N/A</v>
      </c>
      <c r="I1426" s="259" t="e">
        <f>IF(  OR(      INDEX('calcolo base'!$D:$D, MATCH($A1426, 'calcolo base'!$A:$A, 0)) = 0,
      INDEX('calcolo base'!$D:$D, MATCH($A1426, 'calcolo base'!$A:$A, 0)) = ""   ),
   INDEX('calcolo base'!$K:$K, MATCH($A1426, 'calcolo base'!$A:$A, 0)),
   INDEX('calcolo base'!$J:$J, MATCH($A1426, 'calcolo base'!$A:$A, 0))
) / 1000</f>
        <v>#N/A</v>
      </c>
      <c r="J1426" s="50" t="e">
        <f t="shared" si="254"/>
        <v>#N/A</v>
      </c>
      <c r="K1426" s="50"/>
      <c r="L1426" s="267" t="e">
        <f>INDEX('calcolo base'!$H:$H, MATCH($A1426, 'calcolo base'!$A:$A, 0))</f>
        <v>#N/A</v>
      </c>
      <c r="M1426" s="50" t="e">
        <f t="shared" si="255"/>
        <v>#N/A</v>
      </c>
      <c r="N1426" s="50" t="e">
        <f t="shared" si="256"/>
        <v>#N/A</v>
      </c>
      <c r="O1426" s="50" t="e">
        <f t="shared" si="261"/>
        <v>#N/A</v>
      </c>
      <c r="P1426" s="50" t="e">
        <f t="shared" si="257"/>
        <v>#N/A</v>
      </c>
      <c r="Q1426" s="51" t="e">
        <f t="shared" si="258"/>
        <v>#N/A</v>
      </c>
      <c r="R1426" s="205" t="e">
        <f t="shared" si="259"/>
        <v>#N/A</v>
      </c>
      <c r="S1426" s="279" t="e">
        <f>IF(R1426="si",0,IF(E1426="si",0,IF(J1426&gt;K1426,0,+K1426-J1426)))+IF('calcolo base'!P2118="SI",('Commissioni De Angeli'!K1426-'Commissioni De Angeli'!J1426),0)</f>
        <v>#N/A</v>
      </c>
      <c r="T1426" s="117" t="e">
        <f t="shared" si="260"/>
        <v>#N/A</v>
      </c>
      <c r="U1426" s="272" t="e">
        <f>IF(Q1426=0,'calcolo base'!L4025,(T1426+Q1426))</f>
        <v>#N/A</v>
      </c>
      <c r="V1426" s="119"/>
      <c r="Z1426" s="118">
        <f t="shared" si="251"/>
        <v>0</v>
      </c>
      <c r="AA1426" s="118">
        <f t="shared" si="252"/>
        <v>0</v>
      </c>
    </row>
    <row r="1427" spans="2:27">
      <c r="B1427" s="47"/>
      <c r="C1427" s="35"/>
      <c r="D1427" s="53"/>
      <c r="E1427" s="53"/>
      <c r="F1427" s="48"/>
      <c r="G1427" s="243" t="e">
        <f>INDEX('calcolo base'!$B:$B, MATCH($A1427, 'calcolo base'!$A:$A, 0))</f>
        <v>#N/A</v>
      </c>
      <c r="H1427" s="54" t="e">
        <f t="shared" si="253"/>
        <v>#N/A</v>
      </c>
      <c r="I1427" s="259" t="e">
        <f>IF(  OR(      INDEX('calcolo base'!$D:$D, MATCH($A1427, 'calcolo base'!$A:$A, 0)) = 0,
      INDEX('calcolo base'!$D:$D, MATCH($A1427, 'calcolo base'!$A:$A, 0)) = ""   ),
   INDEX('calcolo base'!$K:$K, MATCH($A1427, 'calcolo base'!$A:$A, 0)),
   INDEX('calcolo base'!$J:$J, MATCH($A1427, 'calcolo base'!$A:$A, 0))
) / 1000</f>
        <v>#N/A</v>
      </c>
      <c r="J1427" s="50" t="e">
        <f t="shared" si="254"/>
        <v>#N/A</v>
      </c>
      <c r="K1427" s="50"/>
      <c r="L1427" s="267" t="e">
        <f>INDEX('calcolo base'!$H:$H, MATCH($A1427, 'calcolo base'!$A:$A, 0))</f>
        <v>#N/A</v>
      </c>
      <c r="M1427" s="50" t="e">
        <f t="shared" si="255"/>
        <v>#N/A</v>
      </c>
      <c r="N1427" s="50" t="e">
        <f t="shared" si="256"/>
        <v>#N/A</v>
      </c>
      <c r="O1427" s="50" t="e">
        <f t="shared" si="261"/>
        <v>#N/A</v>
      </c>
      <c r="P1427" s="50" t="e">
        <f t="shared" si="257"/>
        <v>#N/A</v>
      </c>
      <c r="Q1427" s="51" t="e">
        <f t="shared" si="258"/>
        <v>#N/A</v>
      </c>
      <c r="R1427" s="205" t="e">
        <f t="shared" si="259"/>
        <v>#N/A</v>
      </c>
      <c r="S1427" s="279" t="e">
        <f>IF(R1427="si",0,IF(E1427="si",0,IF(J1427&gt;K1427,0,+K1427-J1427)))+IF('calcolo base'!P2119="SI",('Commissioni De Angeli'!K1427-'Commissioni De Angeli'!J1427),0)</f>
        <v>#N/A</v>
      </c>
      <c r="T1427" s="117" t="e">
        <f t="shared" si="260"/>
        <v>#N/A</v>
      </c>
      <c r="U1427" s="272" t="e">
        <f>IF(Q1427=0,'calcolo base'!L4026,(T1427+Q1427))</f>
        <v>#N/A</v>
      </c>
      <c r="V1427" s="119"/>
      <c r="Z1427" s="118">
        <f t="shared" si="251"/>
        <v>0</v>
      </c>
      <c r="AA1427" s="118">
        <f t="shared" si="252"/>
        <v>0</v>
      </c>
    </row>
    <row r="1428" spans="2:27">
      <c r="B1428" s="47"/>
      <c r="C1428" s="35"/>
      <c r="D1428" s="53"/>
      <c r="E1428" s="53"/>
      <c r="F1428" s="48"/>
      <c r="G1428" s="243" t="e">
        <f>INDEX('calcolo base'!$B:$B, MATCH($A1428, 'calcolo base'!$A:$A, 0))</f>
        <v>#N/A</v>
      </c>
      <c r="H1428" s="54" t="e">
        <f t="shared" si="253"/>
        <v>#N/A</v>
      </c>
      <c r="I1428" s="259" t="e">
        <f>IF(  OR(      INDEX('calcolo base'!$D:$D, MATCH($A1428, 'calcolo base'!$A:$A, 0)) = 0,
      INDEX('calcolo base'!$D:$D, MATCH($A1428, 'calcolo base'!$A:$A, 0)) = ""   ),
   INDEX('calcolo base'!$K:$K, MATCH($A1428, 'calcolo base'!$A:$A, 0)),
   INDEX('calcolo base'!$J:$J, MATCH($A1428, 'calcolo base'!$A:$A, 0))
) / 1000</f>
        <v>#N/A</v>
      </c>
      <c r="J1428" s="50" t="e">
        <f t="shared" si="254"/>
        <v>#N/A</v>
      </c>
      <c r="K1428" s="50"/>
      <c r="L1428" s="267" t="e">
        <f>INDEX('calcolo base'!$H:$H, MATCH($A1428, 'calcolo base'!$A:$A, 0))</f>
        <v>#N/A</v>
      </c>
      <c r="M1428" s="50" t="e">
        <f t="shared" si="255"/>
        <v>#N/A</v>
      </c>
      <c r="N1428" s="50" t="e">
        <f t="shared" si="256"/>
        <v>#N/A</v>
      </c>
      <c r="O1428" s="50" t="e">
        <f t="shared" si="261"/>
        <v>#N/A</v>
      </c>
      <c r="P1428" s="50" t="e">
        <f t="shared" si="257"/>
        <v>#N/A</v>
      </c>
      <c r="Q1428" s="51" t="e">
        <f t="shared" si="258"/>
        <v>#N/A</v>
      </c>
      <c r="R1428" s="205" t="e">
        <f t="shared" si="259"/>
        <v>#N/A</v>
      </c>
      <c r="S1428" s="279" t="e">
        <f>IF(R1428="si",0,IF(E1428="si",0,IF(J1428&gt;K1428,0,+K1428-J1428)))+IF('calcolo base'!P2120="SI",('Commissioni De Angeli'!K1428-'Commissioni De Angeli'!J1428),0)</f>
        <v>#N/A</v>
      </c>
      <c r="T1428" s="117" t="e">
        <f t="shared" si="260"/>
        <v>#N/A</v>
      </c>
      <c r="U1428" s="272" t="e">
        <f>IF(Q1428=0,'calcolo base'!L4027,(T1428+Q1428))</f>
        <v>#N/A</v>
      </c>
      <c r="V1428" s="119"/>
      <c r="Z1428" s="118">
        <f t="shared" si="251"/>
        <v>0</v>
      </c>
      <c r="AA1428" s="118">
        <f t="shared" si="252"/>
        <v>0</v>
      </c>
    </row>
    <row r="1429" spans="2:27">
      <c r="B1429" s="47"/>
      <c r="C1429" s="35"/>
      <c r="D1429" s="53"/>
      <c r="E1429" s="53"/>
      <c r="F1429" s="48"/>
      <c r="G1429" s="243" t="e">
        <f>INDEX('calcolo base'!$B:$B, MATCH($A1429, 'calcolo base'!$A:$A, 0))</f>
        <v>#N/A</v>
      </c>
      <c r="H1429" s="54" t="e">
        <f t="shared" si="253"/>
        <v>#N/A</v>
      </c>
      <c r="I1429" s="259" t="e">
        <f>IF(  OR(      INDEX('calcolo base'!$D:$D, MATCH($A1429, 'calcolo base'!$A:$A, 0)) = 0,
      INDEX('calcolo base'!$D:$D, MATCH($A1429, 'calcolo base'!$A:$A, 0)) = ""   ),
   INDEX('calcolo base'!$K:$K, MATCH($A1429, 'calcolo base'!$A:$A, 0)),
   INDEX('calcolo base'!$J:$J, MATCH($A1429, 'calcolo base'!$A:$A, 0))
) / 1000</f>
        <v>#N/A</v>
      </c>
      <c r="J1429" s="50" t="e">
        <f t="shared" si="254"/>
        <v>#N/A</v>
      </c>
      <c r="K1429" s="50"/>
      <c r="L1429" s="267" t="e">
        <f>INDEX('calcolo base'!$H:$H, MATCH($A1429, 'calcolo base'!$A:$A, 0))</f>
        <v>#N/A</v>
      </c>
      <c r="M1429" s="50" t="e">
        <f t="shared" si="255"/>
        <v>#N/A</v>
      </c>
      <c r="N1429" s="50" t="e">
        <f t="shared" si="256"/>
        <v>#N/A</v>
      </c>
      <c r="O1429" s="50" t="e">
        <f t="shared" si="261"/>
        <v>#N/A</v>
      </c>
      <c r="P1429" s="50" t="e">
        <f t="shared" si="257"/>
        <v>#N/A</v>
      </c>
      <c r="Q1429" s="51" t="e">
        <f t="shared" si="258"/>
        <v>#N/A</v>
      </c>
      <c r="R1429" s="205" t="e">
        <f t="shared" si="259"/>
        <v>#N/A</v>
      </c>
      <c r="S1429" s="279" t="e">
        <f>IF(R1429="si",0,IF(E1429="si",0,IF(J1429&gt;K1429,0,+K1429-J1429)))+IF('calcolo base'!P2121="SI",('Commissioni De Angeli'!K1429-'Commissioni De Angeli'!J1429),0)</f>
        <v>#N/A</v>
      </c>
      <c r="T1429" s="117" t="e">
        <f t="shared" si="260"/>
        <v>#N/A</v>
      </c>
      <c r="U1429" s="272" t="e">
        <f>IF(Q1429=0,'calcolo base'!L4028,(T1429+Q1429))</f>
        <v>#N/A</v>
      </c>
      <c r="V1429" s="119"/>
      <c r="Z1429" s="118">
        <f t="shared" ref="Z1429:Z1492" si="262">IF(V1429="",0,MONTH(V1429))</f>
        <v>0</v>
      </c>
      <c r="AA1429" s="118">
        <f t="shared" ref="AA1429:AA1492" si="263">IF(V1429="",0,YEAR(V1429))</f>
        <v>0</v>
      </c>
    </row>
    <row r="1430" spans="2:27">
      <c r="B1430" s="47"/>
      <c r="C1430" s="35"/>
      <c r="D1430" s="53"/>
      <c r="E1430" s="53"/>
      <c r="F1430" s="48"/>
      <c r="G1430" s="243" t="e">
        <f>INDEX('calcolo base'!$B:$B, MATCH($A1430, 'calcolo base'!$A:$A, 0))</f>
        <v>#N/A</v>
      </c>
      <c r="H1430" s="54" t="e">
        <f t="shared" si="253"/>
        <v>#N/A</v>
      </c>
      <c r="I1430" s="259" t="e">
        <f>IF(  OR(      INDEX('calcolo base'!$D:$D, MATCH($A1430, 'calcolo base'!$A:$A, 0)) = 0,
      INDEX('calcolo base'!$D:$D, MATCH($A1430, 'calcolo base'!$A:$A, 0)) = ""   ),
   INDEX('calcolo base'!$K:$K, MATCH($A1430, 'calcolo base'!$A:$A, 0)),
   INDEX('calcolo base'!$J:$J, MATCH($A1430, 'calcolo base'!$A:$A, 0))
) / 1000</f>
        <v>#N/A</v>
      </c>
      <c r="J1430" s="50" t="e">
        <f t="shared" si="254"/>
        <v>#N/A</v>
      </c>
      <c r="K1430" s="50"/>
      <c r="L1430" s="267" t="e">
        <f>INDEX('calcolo base'!$H:$H, MATCH($A1430, 'calcolo base'!$A:$A, 0))</f>
        <v>#N/A</v>
      </c>
      <c r="M1430" s="50" t="e">
        <f t="shared" si="255"/>
        <v>#N/A</v>
      </c>
      <c r="N1430" s="50" t="e">
        <f t="shared" si="256"/>
        <v>#N/A</v>
      </c>
      <c r="O1430" s="50" t="e">
        <f t="shared" si="261"/>
        <v>#N/A</v>
      </c>
      <c r="P1430" s="50" t="e">
        <f t="shared" si="257"/>
        <v>#N/A</v>
      </c>
      <c r="Q1430" s="51" t="e">
        <f t="shared" si="258"/>
        <v>#N/A</v>
      </c>
      <c r="R1430" s="205" t="e">
        <f t="shared" si="259"/>
        <v>#N/A</v>
      </c>
      <c r="S1430" s="279" t="e">
        <f>IF(R1430="si",0,IF(E1430="si",0,IF(J1430&gt;K1430,0,+K1430-J1430)))+IF('calcolo base'!P2122="SI",('Commissioni De Angeli'!K1430-'Commissioni De Angeli'!J1430),0)</f>
        <v>#N/A</v>
      </c>
      <c r="T1430" s="117" t="e">
        <f t="shared" si="260"/>
        <v>#N/A</v>
      </c>
      <c r="U1430" s="272" t="e">
        <f>IF(Q1430=0,'calcolo base'!L4029,(T1430+Q1430))</f>
        <v>#N/A</v>
      </c>
      <c r="V1430" s="119"/>
      <c r="Z1430" s="118">
        <f t="shared" si="262"/>
        <v>0</v>
      </c>
      <c r="AA1430" s="118">
        <f t="shared" si="263"/>
        <v>0</v>
      </c>
    </row>
    <row r="1431" spans="2:27">
      <c r="B1431" s="47"/>
      <c r="C1431" s="35"/>
      <c r="D1431" s="53"/>
      <c r="E1431" s="53"/>
      <c r="F1431" s="48"/>
      <c r="G1431" s="243" t="e">
        <f>INDEX('calcolo base'!$B:$B, MATCH($A1431, 'calcolo base'!$A:$A, 0))</f>
        <v>#N/A</v>
      </c>
      <c r="H1431" s="54" t="e">
        <f t="shared" si="253"/>
        <v>#N/A</v>
      </c>
      <c r="I1431" s="259" t="e">
        <f>IF(  OR(      INDEX('calcolo base'!$D:$D, MATCH($A1431, 'calcolo base'!$A:$A, 0)) = 0,
      INDEX('calcolo base'!$D:$D, MATCH($A1431, 'calcolo base'!$A:$A, 0)) = ""   ),
   INDEX('calcolo base'!$K:$K, MATCH($A1431, 'calcolo base'!$A:$A, 0)),
   INDEX('calcolo base'!$J:$J, MATCH($A1431, 'calcolo base'!$A:$A, 0))
) / 1000</f>
        <v>#N/A</v>
      </c>
      <c r="J1431" s="50" t="e">
        <f t="shared" si="254"/>
        <v>#N/A</v>
      </c>
      <c r="K1431" s="50"/>
      <c r="L1431" s="267" t="e">
        <f>INDEX('calcolo base'!$H:$H, MATCH($A1431, 'calcolo base'!$A:$A, 0))</f>
        <v>#N/A</v>
      </c>
      <c r="M1431" s="50" t="e">
        <f t="shared" si="255"/>
        <v>#N/A</v>
      </c>
      <c r="N1431" s="50" t="e">
        <f t="shared" si="256"/>
        <v>#N/A</v>
      </c>
      <c r="O1431" s="50" t="e">
        <f t="shared" si="261"/>
        <v>#N/A</v>
      </c>
      <c r="P1431" s="50" t="e">
        <f t="shared" si="257"/>
        <v>#N/A</v>
      </c>
      <c r="Q1431" s="51" t="e">
        <f t="shared" si="258"/>
        <v>#N/A</v>
      </c>
      <c r="R1431" s="205" t="e">
        <f t="shared" si="259"/>
        <v>#N/A</v>
      </c>
      <c r="S1431" s="279" t="e">
        <f>IF(R1431="si",0,IF(E1431="si",0,IF(J1431&gt;K1431,0,+K1431-J1431)))+IF('calcolo base'!P2123="SI",('Commissioni De Angeli'!K1431-'Commissioni De Angeli'!J1431),0)</f>
        <v>#N/A</v>
      </c>
      <c r="T1431" s="117" t="e">
        <f t="shared" si="260"/>
        <v>#N/A</v>
      </c>
      <c r="U1431" s="272" t="e">
        <f>IF(Q1431=0,'calcolo base'!L4030,(T1431+Q1431))</f>
        <v>#N/A</v>
      </c>
      <c r="V1431" s="119"/>
      <c r="Z1431" s="118">
        <f t="shared" si="262"/>
        <v>0</v>
      </c>
      <c r="AA1431" s="118">
        <f t="shared" si="263"/>
        <v>0</v>
      </c>
    </row>
    <row r="1432" spans="2:27">
      <c r="B1432" s="47"/>
      <c r="C1432" s="35"/>
      <c r="D1432" s="53"/>
      <c r="E1432" s="53"/>
      <c r="F1432" s="48"/>
      <c r="G1432" s="243" t="e">
        <f>INDEX('calcolo base'!$B:$B, MATCH($A1432, 'calcolo base'!$A:$A, 0))</f>
        <v>#N/A</v>
      </c>
      <c r="H1432" s="54" t="e">
        <f t="shared" si="253"/>
        <v>#N/A</v>
      </c>
      <c r="I1432" s="259" t="e">
        <f>IF(  OR(      INDEX('calcolo base'!$D:$D, MATCH($A1432, 'calcolo base'!$A:$A, 0)) = 0,
      INDEX('calcolo base'!$D:$D, MATCH($A1432, 'calcolo base'!$A:$A, 0)) = ""   ),
   INDEX('calcolo base'!$K:$K, MATCH($A1432, 'calcolo base'!$A:$A, 0)),
   INDEX('calcolo base'!$J:$J, MATCH($A1432, 'calcolo base'!$A:$A, 0))
) / 1000</f>
        <v>#N/A</v>
      </c>
      <c r="J1432" s="50" t="e">
        <f t="shared" si="254"/>
        <v>#N/A</v>
      </c>
      <c r="K1432" s="50"/>
      <c r="L1432" s="267" t="e">
        <f>INDEX('calcolo base'!$H:$H, MATCH($A1432, 'calcolo base'!$A:$A, 0))</f>
        <v>#N/A</v>
      </c>
      <c r="M1432" s="50" t="e">
        <f t="shared" si="255"/>
        <v>#N/A</v>
      </c>
      <c r="N1432" s="50" t="e">
        <f t="shared" si="256"/>
        <v>#N/A</v>
      </c>
      <c r="O1432" s="50" t="e">
        <f t="shared" si="261"/>
        <v>#N/A</v>
      </c>
      <c r="P1432" s="50" t="e">
        <f t="shared" si="257"/>
        <v>#N/A</v>
      </c>
      <c r="Q1432" s="51" t="e">
        <f t="shared" si="258"/>
        <v>#N/A</v>
      </c>
      <c r="R1432" s="205" t="e">
        <f t="shared" si="259"/>
        <v>#N/A</v>
      </c>
      <c r="S1432" s="279" t="e">
        <f>IF(R1432="si",0,IF(E1432="si",0,IF(J1432&gt;K1432,0,+K1432-J1432)))+IF('calcolo base'!P2124="SI",('Commissioni De Angeli'!K1432-'Commissioni De Angeli'!J1432),0)</f>
        <v>#N/A</v>
      </c>
      <c r="T1432" s="117" t="e">
        <f t="shared" si="260"/>
        <v>#N/A</v>
      </c>
      <c r="U1432" s="272" t="e">
        <f>IF(Q1432=0,'calcolo base'!L4031,(T1432+Q1432))</f>
        <v>#N/A</v>
      </c>
      <c r="V1432" s="119"/>
      <c r="Z1432" s="118">
        <f t="shared" si="262"/>
        <v>0</v>
      </c>
      <c r="AA1432" s="118">
        <f t="shared" si="263"/>
        <v>0</v>
      </c>
    </row>
    <row r="1433" spans="2:27">
      <c r="B1433" s="47"/>
      <c r="C1433" s="35"/>
      <c r="D1433" s="53"/>
      <c r="E1433" s="53"/>
      <c r="F1433" s="48"/>
      <c r="G1433" s="243" t="e">
        <f>INDEX('calcolo base'!$B:$B, MATCH($A1433, 'calcolo base'!$A:$A, 0))</f>
        <v>#N/A</v>
      </c>
      <c r="H1433" s="54" t="e">
        <f t="shared" si="253"/>
        <v>#N/A</v>
      </c>
      <c r="I1433" s="259" t="e">
        <f>IF(  OR(      INDEX('calcolo base'!$D:$D, MATCH($A1433, 'calcolo base'!$A:$A, 0)) = 0,
      INDEX('calcolo base'!$D:$D, MATCH($A1433, 'calcolo base'!$A:$A, 0)) = ""   ),
   INDEX('calcolo base'!$K:$K, MATCH($A1433, 'calcolo base'!$A:$A, 0)),
   INDEX('calcolo base'!$J:$J, MATCH($A1433, 'calcolo base'!$A:$A, 0))
) / 1000</f>
        <v>#N/A</v>
      </c>
      <c r="J1433" s="50" t="e">
        <f t="shared" si="254"/>
        <v>#N/A</v>
      </c>
      <c r="K1433" s="50"/>
      <c r="L1433" s="267" t="e">
        <f>INDEX('calcolo base'!$H:$H, MATCH($A1433, 'calcolo base'!$A:$A, 0))</f>
        <v>#N/A</v>
      </c>
      <c r="M1433" s="50" t="e">
        <f t="shared" si="255"/>
        <v>#N/A</v>
      </c>
      <c r="N1433" s="50" t="e">
        <f t="shared" si="256"/>
        <v>#N/A</v>
      </c>
      <c r="O1433" s="50" t="e">
        <f t="shared" si="261"/>
        <v>#N/A</v>
      </c>
      <c r="P1433" s="50" t="e">
        <f t="shared" si="257"/>
        <v>#N/A</v>
      </c>
      <c r="Q1433" s="51" t="e">
        <f t="shared" si="258"/>
        <v>#N/A</v>
      </c>
      <c r="R1433" s="205" t="e">
        <f t="shared" si="259"/>
        <v>#N/A</v>
      </c>
      <c r="S1433" s="279" t="e">
        <f>IF(R1433="si",0,IF(E1433="si",0,IF(J1433&gt;K1433,0,+K1433-J1433)))+IF('calcolo base'!P2125="SI",('Commissioni De Angeli'!K1433-'Commissioni De Angeli'!J1433),0)</f>
        <v>#N/A</v>
      </c>
      <c r="T1433" s="117" t="e">
        <f t="shared" si="260"/>
        <v>#N/A</v>
      </c>
      <c r="U1433" s="272" t="e">
        <f>IF(Q1433=0,'calcolo base'!L4032,(T1433+Q1433))</f>
        <v>#N/A</v>
      </c>
      <c r="V1433" s="119"/>
      <c r="Z1433" s="118">
        <f t="shared" si="262"/>
        <v>0</v>
      </c>
      <c r="AA1433" s="118">
        <f t="shared" si="263"/>
        <v>0</v>
      </c>
    </row>
    <row r="1434" spans="2:27">
      <c r="B1434" s="47"/>
      <c r="C1434" s="35"/>
      <c r="D1434" s="53"/>
      <c r="E1434" s="53"/>
      <c r="F1434" s="48"/>
      <c r="G1434" s="243" t="e">
        <f>INDEX('calcolo base'!$B:$B, MATCH($A1434, 'calcolo base'!$A:$A, 0))</f>
        <v>#N/A</v>
      </c>
      <c r="H1434" s="54" t="e">
        <f t="shared" si="253"/>
        <v>#N/A</v>
      </c>
      <c r="I1434" s="259" t="e">
        <f>IF(  OR(      INDEX('calcolo base'!$D:$D, MATCH($A1434, 'calcolo base'!$A:$A, 0)) = 0,
      INDEX('calcolo base'!$D:$D, MATCH($A1434, 'calcolo base'!$A:$A, 0)) = ""   ),
   INDEX('calcolo base'!$K:$K, MATCH($A1434, 'calcolo base'!$A:$A, 0)),
   INDEX('calcolo base'!$J:$J, MATCH($A1434, 'calcolo base'!$A:$A, 0))
) / 1000</f>
        <v>#N/A</v>
      </c>
      <c r="J1434" s="50" t="e">
        <f t="shared" si="254"/>
        <v>#N/A</v>
      </c>
      <c r="K1434" s="50"/>
      <c r="L1434" s="267" t="e">
        <f>INDEX('calcolo base'!$H:$H, MATCH($A1434, 'calcolo base'!$A:$A, 0))</f>
        <v>#N/A</v>
      </c>
      <c r="M1434" s="50" t="e">
        <f t="shared" si="255"/>
        <v>#N/A</v>
      </c>
      <c r="N1434" s="50" t="e">
        <f t="shared" si="256"/>
        <v>#N/A</v>
      </c>
      <c r="O1434" s="50" t="e">
        <f t="shared" si="261"/>
        <v>#N/A</v>
      </c>
      <c r="P1434" s="50" t="e">
        <f t="shared" si="257"/>
        <v>#N/A</v>
      </c>
      <c r="Q1434" s="51" t="e">
        <f t="shared" si="258"/>
        <v>#N/A</v>
      </c>
      <c r="R1434" s="205" t="e">
        <f t="shared" si="259"/>
        <v>#N/A</v>
      </c>
      <c r="S1434" s="279" t="e">
        <f>IF(R1434="si",0,IF(E1434="si",0,IF(J1434&gt;K1434,0,+K1434-J1434)))+IF('calcolo base'!P2126="SI",('Commissioni De Angeli'!K1434-'Commissioni De Angeli'!J1434),0)</f>
        <v>#N/A</v>
      </c>
      <c r="T1434" s="117" t="e">
        <f t="shared" si="260"/>
        <v>#N/A</v>
      </c>
      <c r="U1434" s="272" t="e">
        <f>IF(Q1434=0,'calcolo base'!L4033,(T1434+Q1434))</f>
        <v>#N/A</v>
      </c>
      <c r="V1434" s="119"/>
      <c r="Z1434" s="118">
        <f t="shared" si="262"/>
        <v>0</v>
      </c>
      <c r="AA1434" s="118">
        <f t="shared" si="263"/>
        <v>0</v>
      </c>
    </row>
    <row r="1435" spans="2:27">
      <c r="B1435" s="47"/>
      <c r="C1435" s="35"/>
      <c r="D1435" s="53"/>
      <c r="E1435" s="53"/>
      <c r="F1435" s="48"/>
      <c r="G1435" s="243" t="e">
        <f>INDEX('calcolo base'!$B:$B, MATCH($A1435, 'calcolo base'!$A:$A, 0))</f>
        <v>#N/A</v>
      </c>
      <c r="H1435" s="54" t="e">
        <f t="shared" si="253"/>
        <v>#N/A</v>
      </c>
      <c r="I1435" s="259" t="e">
        <f>IF(  OR(      INDEX('calcolo base'!$D:$D, MATCH($A1435, 'calcolo base'!$A:$A, 0)) = 0,
      INDEX('calcolo base'!$D:$D, MATCH($A1435, 'calcolo base'!$A:$A, 0)) = ""   ),
   INDEX('calcolo base'!$K:$K, MATCH($A1435, 'calcolo base'!$A:$A, 0)),
   INDEX('calcolo base'!$J:$J, MATCH($A1435, 'calcolo base'!$A:$A, 0))
) / 1000</f>
        <v>#N/A</v>
      </c>
      <c r="J1435" s="50" t="e">
        <f t="shared" si="254"/>
        <v>#N/A</v>
      </c>
      <c r="K1435" s="50"/>
      <c r="L1435" s="267" t="e">
        <f>INDEX('calcolo base'!$H:$H, MATCH($A1435, 'calcolo base'!$A:$A, 0))</f>
        <v>#N/A</v>
      </c>
      <c r="M1435" s="50" t="e">
        <f t="shared" si="255"/>
        <v>#N/A</v>
      </c>
      <c r="N1435" s="50" t="e">
        <f t="shared" si="256"/>
        <v>#N/A</v>
      </c>
      <c r="O1435" s="50" t="e">
        <f t="shared" si="261"/>
        <v>#N/A</v>
      </c>
      <c r="P1435" s="50" t="e">
        <f t="shared" si="257"/>
        <v>#N/A</v>
      </c>
      <c r="Q1435" s="51" t="e">
        <f t="shared" si="258"/>
        <v>#N/A</v>
      </c>
      <c r="R1435" s="205" t="e">
        <f t="shared" si="259"/>
        <v>#N/A</v>
      </c>
      <c r="S1435" s="279" t="e">
        <f>IF(R1435="si",0,IF(E1435="si",0,IF(J1435&gt;K1435,0,+K1435-J1435)))+IF('calcolo base'!P2127="SI",('Commissioni De Angeli'!K1435-'Commissioni De Angeli'!J1435),0)</f>
        <v>#N/A</v>
      </c>
      <c r="T1435" s="117" t="e">
        <f t="shared" si="260"/>
        <v>#N/A</v>
      </c>
      <c r="U1435" s="272" t="e">
        <f>IF(Q1435=0,'calcolo base'!L4034,(T1435+Q1435))</f>
        <v>#N/A</v>
      </c>
      <c r="V1435" s="119"/>
      <c r="Z1435" s="118">
        <f t="shared" si="262"/>
        <v>0</v>
      </c>
      <c r="AA1435" s="118">
        <f t="shared" si="263"/>
        <v>0</v>
      </c>
    </row>
    <row r="1436" spans="2:27">
      <c r="B1436" s="47"/>
      <c r="C1436" s="35"/>
      <c r="D1436" s="53"/>
      <c r="E1436" s="53"/>
      <c r="F1436" s="48"/>
      <c r="G1436" s="243" t="e">
        <f>INDEX('calcolo base'!$B:$B, MATCH($A1436, 'calcolo base'!$A:$A, 0))</f>
        <v>#N/A</v>
      </c>
      <c r="H1436" s="54" t="e">
        <f t="shared" ref="H1436:H1499" si="264">IF(G1436=0,"",+G1436)</f>
        <v>#N/A</v>
      </c>
      <c r="I1436" s="259" t="e">
        <f>IF(  OR(      INDEX('calcolo base'!$D:$D, MATCH($A1436, 'calcolo base'!$A:$A, 0)) = 0,
      INDEX('calcolo base'!$D:$D, MATCH($A1436, 'calcolo base'!$A:$A, 0)) = ""   ),
   INDEX('calcolo base'!$K:$K, MATCH($A1436, 'calcolo base'!$A:$A, 0)),
   INDEX('calcolo base'!$J:$J, MATCH($A1436, 'calcolo base'!$A:$A, 0))
) / 1000</f>
        <v>#N/A</v>
      </c>
      <c r="J1436" s="50" t="e">
        <f t="shared" ref="J1436:J1499" si="265">+F1436+I1436</f>
        <v>#N/A</v>
      </c>
      <c r="K1436" s="50"/>
      <c r="L1436" s="267" t="e">
        <f>INDEX('calcolo base'!$H:$H, MATCH($A1436, 'calcolo base'!$A:$A, 0))</f>
        <v>#N/A</v>
      </c>
      <c r="M1436" s="50" t="e">
        <f t="shared" ref="M1436:M1499" si="266">IF(L1436=0,0,J1436*L1436)</f>
        <v>#N/A</v>
      </c>
      <c r="N1436" s="50" t="e">
        <f t="shared" ref="N1436:N1499" si="267">IF(E1436="si",K1436*1.5%,IF($L1436&gt;=5%,IF($I1436=0,0,(IF($G1436="RAME",($J1436)*1.5%,0)+IF($G1436="rame smaltato",($K1436)*1.5%,0))),0))</f>
        <v>#N/A</v>
      </c>
      <c r="O1436" s="50" t="e">
        <f t="shared" si="261"/>
        <v>#N/A</v>
      </c>
      <c r="P1436" s="50" t="e">
        <f t="shared" ref="P1436:P1499" si="268">IF(H1436="alluminio",0,IF(L1436&lt;5%,F1436*8%,0))</f>
        <v>#N/A</v>
      </c>
      <c r="Q1436" s="51" t="e">
        <f t="shared" ref="Q1436:Q1499" si="269">+(N1436*D1436)+(O1436*D1436)+(P1436*D1436)</f>
        <v>#N/A</v>
      </c>
      <c r="R1436" s="205" t="e">
        <f t="shared" ref="R1436:R1499" si="270">IF(H1436="ALLUMINIO",0,IF(L1436&lt;5%,"si",0))</f>
        <v>#N/A</v>
      </c>
      <c r="S1436" s="279" t="e">
        <f>IF(R1436="si",0,IF(E1436="si",0,IF(J1436&gt;K1436,0,+K1436-J1436)))+IF('calcolo base'!P2128="SI",('Commissioni De Angeli'!K1436-'Commissioni De Angeli'!J1436),0)</f>
        <v>#N/A</v>
      </c>
      <c r="T1436" s="117" t="e">
        <f t="shared" ref="T1436:T1499" si="271">+(S1436)*D1436*40%</f>
        <v>#N/A</v>
      </c>
      <c r="U1436" s="272" t="e">
        <f>IF(Q1436=0,'calcolo base'!L4035,(T1436+Q1436))</f>
        <v>#N/A</v>
      </c>
      <c r="V1436" s="119"/>
      <c r="Z1436" s="118">
        <f t="shared" si="262"/>
        <v>0</v>
      </c>
      <c r="AA1436" s="118">
        <f t="shared" si="263"/>
        <v>0</v>
      </c>
    </row>
    <row r="1437" spans="2:27">
      <c r="B1437" s="47"/>
      <c r="C1437" s="35"/>
      <c r="D1437" s="53"/>
      <c r="E1437" s="53"/>
      <c r="F1437" s="48"/>
      <c r="G1437" s="243" t="e">
        <f>INDEX('calcolo base'!$B:$B, MATCH($A1437, 'calcolo base'!$A:$A, 0))</f>
        <v>#N/A</v>
      </c>
      <c r="H1437" s="54" t="e">
        <f t="shared" si="264"/>
        <v>#N/A</v>
      </c>
      <c r="I1437" s="259" t="e">
        <f>IF(  OR(      INDEX('calcolo base'!$D:$D, MATCH($A1437, 'calcolo base'!$A:$A, 0)) = 0,
      INDEX('calcolo base'!$D:$D, MATCH($A1437, 'calcolo base'!$A:$A, 0)) = ""   ),
   INDEX('calcolo base'!$K:$K, MATCH($A1437, 'calcolo base'!$A:$A, 0)),
   INDEX('calcolo base'!$J:$J, MATCH($A1437, 'calcolo base'!$A:$A, 0))
) / 1000</f>
        <v>#N/A</v>
      </c>
      <c r="J1437" s="50" t="e">
        <f t="shared" si="265"/>
        <v>#N/A</v>
      </c>
      <c r="K1437" s="50"/>
      <c r="L1437" s="267" t="e">
        <f>INDEX('calcolo base'!$H:$H, MATCH($A1437, 'calcolo base'!$A:$A, 0))</f>
        <v>#N/A</v>
      </c>
      <c r="M1437" s="50" t="e">
        <f t="shared" si="266"/>
        <v>#N/A</v>
      </c>
      <c r="N1437" s="50" t="e">
        <f t="shared" si="267"/>
        <v>#N/A</v>
      </c>
      <c r="O1437" s="50" t="e">
        <f t="shared" si="261"/>
        <v>#N/A</v>
      </c>
      <c r="P1437" s="50" t="e">
        <f t="shared" si="268"/>
        <v>#N/A</v>
      </c>
      <c r="Q1437" s="51" t="e">
        <f t="shared" si="269"/>
        <v>#N/A</v>
      </c>
      <c r="R1437" s="205" t="e">
        <f t="shared" si="270"/>
        <v>#N/A</v>
      </c>
      <c r="S1437" s="279" t="e">
        <f>IF(R1437="si",0,IF(E1437="si",0,IF(J1437&gt;K1437,0,+K1437-J1437)))+IF('calcolo base'!P2129="SI",('Commissioni De Angeli'!K1437-'Commissioni De Angeli'!J1437),0)</f>
        <v>#N/A</v>
      </c>
      <c r="T1437" s="117" t="e">
        <f t="shared" si="271"/>
        <v>#N/A</v>
      </c>
      <c r="U1437" s="272" t="e">
        <f>IF(Q1437=0,'calcolo base'!L4036,(T1437+Q1437))</f>
        <v>#N/A</v>
      </c>
      <c r="V1437" s="119"/>
      <c r="Z1437" s="118">
        <f t="shared" si="262"/>
        <v>0</v>
      </c>
      <c r="AA1437" s="118">
        <f t="shared" si="263"/>
        <v>0</v>
      </c>
    </row>
    <row r="1438" spans="2:27">
      <c r="B1438" s="47"/>
      <c r="C1438" s="35"/>
      <c r="D1438" s="53"/>
      <c r="E1438" s="53"/>
      <c r="F1438" s="48"/>
      <c r="G1438" s="243" t="e">
        <f>INDEX('calcolo base'!$B:$B, MATCH($A1438, 'calcolo base'!$A:$A, 0))</f>
        <v>#N/A</v>
      </c>
      <c r="H1438" s="54" t="e">
        <f t="shared" si="264"/>
        <v>#N/A</v>
      </c>
      <c r="I1438" s="259" t="e">
        <f>IF(  OR(      INDEX('calcolo base'!$D:$D, MATCH($A1438, 'calcolo base'!$A:$A, 0)) = 0,
      INDEX('calcolo base'!$D:$D, MATCH($A1438, 'calcolo base'!$A:$A, 0)) = ""   ),
   INDEX('calcolo base'!$K:$K, MATCH($A1438, 'calcolo base'!$A:$A, 0)),
   INDEX('calcolo base'!$J:$J, MATCH($A1438, 'calcolo base'!$A:$A, 0))
) / 1000</f>
        <v>#N/A</v>
      </c>
      <c r="J1438" s="50" t="e">
        <f t="shared" si="265"/>
        <v>#N/A</v>
      </c>
      <c r="K1438" s="50"/>
      <c r="L1438" s="267" t="e">
        <f>INDEX('calcolo base'!$H:$H, MATCH($A1438, 'calcolo base'!$A:$A, 0))</f>
        <v>#N/A</v>
      </c>
      <c r="M1438" s="50" t="e">
        <f t="shared" si="266"/>
        <v>#N/A</v>
      </c>
      <c r="N1438" s="50" t="e">
        <f t="shared" si="267"/>
        <v>#N/A</v>
      </c>
      <c r="O1438" s="50" t="e">
        <f t="shared" si="261"/>
        <v>#N/A</v>
      </c>
      <c r="P1438" s="50" t="e">
        <f t="shared" si="268"/>
        <v>#N/A</v>
      </c>
      <c r="Q1438" s="51" t="e">
        <f t="shared" si="269"/>
        <v>#N/A</v>
      </c>
      <c r="R1438" s="205" t="e">
        <f t="shared" si="270"/>
        <v>#N/A</v>
      </c>
      <c r="S1438" s="279" t="e">
        <f>IF(R1438="si",0,IF(E1438="si",0,IF(J1438&gt;K1438,0,+K1438-J1438)))+IF('calcolo base'!P2130="SI",('Commissioni De Angeli'!K1438-'Commissioni De Angeli'!J1438),0)</f>
        <v>#N/A</v>
      </c>
      <c r="T1438" s="117" t="e">
        <f t="shared" si="271"/>
        <v>#N/A</v>
      </c>
      <c r="U1438" s="272" t="e">
        <f>IF(Q1438=0,'calcolo base'!L4037,(T1438+Q1438))</f>
        <v>#N/A</v>
      </c>
      <c r="V1438" s="119"/>
      <c r="Z1438" s="118">
        <f t="shared" si="262"/>
        <v>0</v>
      </c>
      <c r="AA1438" s="118">
        <f t="shared" si="263"/>
        <v>0</v>
      </c>
    </row>
    <row r="1439" spans="2:27">
      <c r="B1439" s="47"/>
      <c r="C1439" s="35"/>
      <c r="D1439" s="53"/>
      <c r="E1439" s="53"/>
      <c r="F1439" s="48"/>
      <c r="G1439" s="243" t="e">
        <f>INDEX('calcolo base'!$B:$B, MATCH($A1439, 'calcolo base'!$A:$A, 0))</f>
        <v>#N/A</v>
      </c>
      <c r="H1439" s="54" t="e">
        <f t="shared" si="264"/>
        <v>#N/A</v>
      </c>
      <c r="I1439" s="259" t="e">
        <f>IF(  OR(      INDEX('calcolo base'!$D:$D, MATCH($A1439, 'calcolo base'!$A:$A, 0)) = 0,
      INDEX('calcolo base'!$D:$D, MATCH($A1439, 'calcolo base'!$A:$A, 0)) = ""   ),
   INDEX('calcolo base'!$K:$K, MATCH($A1439, 'calcolo base'!$A:$A, 0)),
   INDEX('calcolo base'!$J:$J, MATCH($A1439, 'calcolo base'!$A:$A, 0))
) / 1000</f>
        <v>#N/A</v>
      </c>
      <c r="J1439" s="50" t="e">
        <f t="shared" si="265"/>
        <v>#N/A</v>
      </c>
      <c r="K1439" s="50"/>
      <c r="L1439" s="267" t="e">
        <f>INDEX('calcolo base'!$H:$H, MATCH($A1439, 'calcolo base'!$A:$A, 0))</f>
        <v>#N/A</v>
      </c>
      <c r="M1439" s="50" t="e">
        <f t="shared" si="266"/>
        <v>#N/A</v>
      </c>
      <c r="N1439" s="50" t="e">
        <f t="shared" si="267"/>
        <v>#N/A</v>
      </c>
      <c r="O1439" s="50" t="e">
        <f t="shared" si="261"/>
        <v>#N/A</v>
      </c>
      <c r="P1439" s="50" t="e">
        <f t="shared" si="268"/>
        <v>#N/A</v>
      </c>
      <c r="Q1439" s="51" t="e">
        <f t="shared" si="269"/>
        <v>#N/A</v>
      </c>
      <c r="R1439" s="205" t="e">
        <f t="shared" si="270"/>
        <v>#N/A</v>
      </c>
      <c r="S1439" s="279" t="e">
        <f>IF(R1439="si",0,IF(E1439="si",0,IF(J1439&gt;K1439,0,+K1439-J1439)))+IF('calcolo base'!P2131="SI",('Commissioni De Angeli'!K1439-'Commissioni De Angeli'!J1439),0)</f>
        <v>#N/A</v>
      </c>
      <c r="T1439" s="117" t="e">
        <f t="shared" si="271"/>
        <v>#N/A</v>
      </c>
      <c r="U1439" s="272" t="e">
        <f>IF(Q1439=0,'calcolo base'!L4038,(T1439+Q1439))</f>
        <v>#N/A</v>
      </c>
      <c r="V1439" s="119"/>
      <c r="Z1439" s="118">
        <f t="shared" si="262"/>
        <v>0</v>
      </c>
      <c r="AA1439" s="118">
        <f t="shared" si="263"/>
        <v>0</v>
      </c>
    </row>
    <row r="1440" spans="2:27">
      <c r="B1440" s="47"/>
      <c r="C1440" s="35"/>
      <c r="D1440" s="53"/>
      <c r="E1440" s="53"/>
      <c r="F1440" s="48"/>
      <c r="G1440" s="243" t="e">
        <f>INDEX('calcolo base'!$B:$B, MATCH($A1440, 'calcolo base'!$A:$A, 0))</f>
        <v>#N/A</v>
      </c>
      <c r="H1440" s="54" t="e">
        <f t="shared" si="264"/>
        <v>#N/A</v>
      </c>
      <c r="I1440" s="259" t="e">
        <f>IF(  OR(      INDEX('calcolo base'!$D:$D, MATCH($A1440, 'calcolo base'!$A:$A, 0)) = 0,
      INDEX('calcolo base'!$D:$D, MATCH($A1440, 'calcolo base'!$A:$A, 0)) = ""   ),
   INDEX('calcolo base'!$K:$K, MATCH($A1440, 'calcolo base'!$A:$A, 0)),
   INDEX('calcolo base'!$J:$J, MATCH($A1440, 'calcolo base'!$A:$A, 0))
) / 1000</f>
        <v>#N/A</v>
      </c>
      <c r="J1440" s="50" t="e">
        <f t="shared" si="265"/>
        <v>#N/A</v>
      </c>
      <c r="K1440" s="50"/>
      <c r="L1440" s="267" t="e">
        <f>INDEX('calcolo base'!$H:$H, MATCH($A1440, 'calcolo base'!$A:$A, 0))</f>
        <v>#N/A</v>
      </c>
      <c r="M1440" s="50" t="e">
        <f t="shared" si="266"/>
        <v>#N/A</v>
      </c>
      <c r="N1440" s="50" t="e">
        <f t="shared" si="267"/>
        <v>#N/A</v>
      </c>
      <c r="O1440" s="50" t="e">
        <f t="shared" si="261"/>
        <v>#N/A</v>
      </c>
      <c r="P1440" s="50" t="e">
        <f t="shared" si="268"/>
        <v>#N/A</v>
      </c>
      <c r="Q1440" s="51" t="e">
        <f t="shared" si="269"/>
        <v>#N/A</v>
      </c>
      <c r="R1440" s="205" t="e">
        <f t="shared" si="270"/>
        <v>#N/A</v>
      </c>
      <c r="S1440" s="279" t="e">
        <f>IF(R1440="si",0,IF(E1440="si",0,IF(J1440&gt;K1440,0,+K1440-J1440)))+IF('calcolo base'!P2132="SI",('Commissioni De Angeli'!K1440-'Commissioni De Angeli'!J1440),0)</f>
        <v>#N/A</v>
      </c>
      <c r="T1440" s="117" t="e">
        <f t="shared" si="271"/>
        <v>#N/A</v>
      </c>
      <c r="U1440" s="272" t="e">
        <f>IF(Q1440=0,'calcolo base'!L4039,(T1440+Q1440))</f>
        <v>#N/A</v>
      </c>
      <c r="V1440" s="119"/>
      <c r="Z1440" s="118">
        <f t="shared" si="262"/>
        <v>0</v>
      </c>
      <c r="AA1440" s="118">
        <f t="shared" si="263"/>
        <v>0</v>
      </c>
    </row>
    <row r="1441" spans="2:27">
      <c r="B1441" s="47"/>
      <c r="C1441" s="35"/>
      <c r="D1441" s="53"/>
      <c r="E1441" s="53"/>
      <c r="F1441" s="48"/>
      <c r="G1441" s="243" t="e">
        <f>INDEX('calcolo base'!$B:$B, MATCH($A1441, 'calcolo base'!$A:$A, 0))</f>
        <v>#N/A</v>
      </c>
      <c r="H1441" s="54" t="e">
        <f t="shared" si="264"/>
        <v>#N/A</v>
      </c>
      <c r="I1441" s="259" t="e">
        <f>IF(  OR(      INDEX('calcolo base'!$D:$D, MATCH($A1441, 'calcolo base'!$A:$A, 0)) = 0,
      INDEX('calcolo base'!$D:$D, MATCH($A1441, 'calcolo base'!$A:$A, 0)) = ""   ),
   INDEX('calcolo base'!$K:$K, MATCH($A1441, 'calcolo base'!$A:$A, 0)),
   INDEX('calcolo base'!$J:$J, MATCH($A1441, 'calcolo base'!$A:$A, 0))
) / 1000</f>
        <v>#N/A</v>
      </c>
      <c r="J1441" s="50" t="e">
        <f t="shared" si="265"/>
        <v>#N/A</v>
      </c>
      <c r="K1441" s="50"/>
      <c r="L1441" s="267" t="e">
        <f>INDEX('calcolo base'!$H:$H, MATCH($A1441, 'calcolo base'!$A:$A, 0))</f>
        <v>#N/A</v>
      </c>
      <c r="M1441" s="50" t="e">
        <f t="shared" si="266"/>
        <v>#N/A</v>
      </c>
      <c r="N1441" s="50" t="e">
        <f t="shared" si="267"/>
        <v>#N/A</v>
      </c>
      <c r="O1441" s="50" t="e">
        <f t="shared" si="261"/>
        <v>#N/A</v>
      </c>
      <c r="P1441" s="50" t="e">
        <f t="shared" si="268"/>
        <v>#N/A</v>
      </c>
      <c r="Q1441" s="51" t="e">
        <f t="shared" si="269"/>
        <v>#N/A</v>
      </c>
      <c r="R1441" s="205" t="e">
        <f t="shared" si="270"/>
        <v>#N/A</v>
      </c>
      <c r="S1441" s="279" t="e">
        <f>IF(R1441="si",0,IF(E1441="si",0,IF(J1441&gt;K1441,0,+K1441-J1441)))+IF('calcolo base'!P2133="SI",('Commissioni De Angeli'!K1441-'Commissioni De Angeli'!J1441),0)</f>
        <v>#N/A</v>
      </c>
      <c r="T1441" s="117" t="e">
        <f t="shared" si="271"/>
        <v>#N/A</v>
      </c>
      <c r="U1441" s="272" t="e">
        <f>IF(Q1441=0,'calcolo base'!L4040,(T1441+Q1441))</f>
        <v>#N/A</v>
      </c>
      <c r="V1441" s="119"/>
      <c r="Z1441" s="118">
        <f t="shared" si="262"/>
        <v>0</v>
      </c>
      <c r="AA1441" s="118">
        <f t="shared" si="263"/>
        <v>0</v>
      </c>
    </row>
    <row r="1442" spans="2:27">
      <c r="B1442" s="47"/>
      <c r="C1442" s="35"/>
      <c r="D1442" s="53"/>
      <c r="E1442" s="53"/>
      <c r="F1442" s="48"/>
      <c r="G1442" s="243" t="e">
        <f>INDEX('calcolo base'!$B:$B, MATCH($A1442, 'calcolo base'!$A:$A, 0))</f>
        <v>#N/A</v>
      </c>
      <c r="H1442" s="54" t="e">
        <f t="shared" si="264"/>
        <v>#N/A</v>
      </c>
      <c r="I1442" s="259" t="e">
        <f>IF(  OR(      INDEX('calcolo base'!$D:$D, MATCH($A1442, 'calcolo base'!$A:$A, 0)) = 0,
      INDEX('calcolo base'!$D:$D, MATCH($A1442, 'calcolo base'!$A:$A, 0)) = ""   ),
   INDEX('calcolo base'!$K:$K, MATCH($A1442, 'calcolo base'!$A:$A, 0)),
   INDEX('calcolo base'!$J:$J, MATCH($A1442, 'calcolo base'!$A:$A, 0))
) / 1000</f>
        <v>#N/A</v>
      </c>
      <c r="J1442" s="50" t="e">
        <f t="shared" si="265"/>
        <v>#N/A</v>
      </c>
      <c r="K1442" s="50"/>
      <c r="L1442" s="267" t="e">
        <f>INDEX('calcolo base'!$H:$H, MATCH($A1442, 'calcolo base'!$A:$A, 0))</f>
        <v>#N/A</v>
      </c>
      <c r="M1442" s="50" t="e">
        <f t="shared" si="266"/>
        <v>#N/A</v>
      </c>
      <c r="N1442" s="50" t="e">
        <f t="shared" si="267"/>
        <v>#N/A</v>
      </c>
      <c r="O1442" s="50" t="e">
        <f t="shared" si="261"/>
        <v>#N/A</v>
      </c>
      <c r="P1442" s="50" t="e">
        <f t="shared" si="268"/>
        <v>#N/A</v>
      </c>
      <c r="Q1442" s="51" t="e">
        <f t="shared" si="269"/>
        <v>#N/A</v>
      </c>
      <c r="R1442" s="205" t="e">
        <f t="shared" si="270"/>
        <v>#N/A</v>
      </c>
      <c r="S1442" s="279" t="e">
        <f>IF(R1442="si",0,IF(E1442="si",0,IF(J1442&gt;K1442,0,+K1442-J1442)))+IF('calcolo base'!P2134="SI",('Commissioni De Angeli'!K1442-'Commissioni De Angeli'!J1442),0)</f>
        <v>#N/A</v>
      </c>
      <c r="T1442" s="117" t="e">
        <f t="shared" si="271"/>
        <v>#N/A</v>
      </c>
      <c r="U1442" s="272" t="e">
        <f>IF(Q1442=0,'calcolo base'!L4041,(T1442+Q1442))</f>
        <v>#N/A</v>
      </c>
      <c r="V1442" s="119"/>
      <c r="Z1442" s="118">
        <f t="shared" si="262"/>
        <v>0</v>
      </c>
      <c r="AA1442" s="118">
        <f t="shared" si="263"/>
        <v>0</v>
      </c>
    </row>
    <row r="1443" spans="2:27">
      <c r="B1443" s="47"/>
      <c r="C1443" s="35"/>
      <c r="D1443" s="53"/>
      <c r="E1443" s="53"/>
      <c r="F1443" s="48"/>
      <c r="G1443" s="243" t="e">
        <f>INDEX('calcolo base'!$B:$B, MATCH($A1443, 'calcolo base'!$A:$A, 0))</f>
        <v>#N/A</v>
      </c>
      <c r="H1443" s="54" t="e">
        <f t="shared" si="264"/>
        <v>#N/A</v>
      </c>
      <c r="I1443" s="259" t="e">
        <f>IF(  OR(      INDEX('calcolo base'!$D:$D, MATCH($A1443, 'calcolo base'!$A:$A, 0)) = 0,
      INDEX('calcolo base'!$D:$D, MATCH($A1443, 'calcolo base'!$A:$A, 0)) = ""   ),
   INDEX('calcolo base'!$K:$K, MATCH($A1443, 'calcolo base'!$A:$A, 0)),
   INDEX('calcolo base'!$J:$J, MATCH($A1443, 'calcolo base'!$A:$A, 0))
) / 1000</f>
        <v>#N/A</v>
      </c>
      <c r="J1443" s="50" t="e">
        <f t="shared" si="265"/>
        <v>#N/A</v>
      </c>
      <c r="K1443" s="50"/>
      <c r="L1443" s="267" t="e">
        <f>INDEX('calcolo base'!$H:$H, MATCH($A1443, 'calcolo base'!$A:$A, 0))</f>
        <v>#N/A</v>
      </c>
      <c r="M1443" s="50" t="e">
        <f t="shared" si="266"/>
        <v>#N/A</v>
      </c>
      <c r="N1443" s="50" t="e">
        <f t="shared" si="267"/>
        <v>#N/A</v>
      </c>
      <c r="O1443" s="50" t="e">
        <f t="shared" si="261"/>
        <v>#N/A</v>
      </c>
      <c r="P1443" s="50" t="e">
        <f t="shared" si="268"/>
        <v>#N/A</v>
      </c>
      <c r="Q1443" s="51" t="e">
        <f t="shared" si="269"/>
        <v>#N/A</v>
      </c>
      <c r="R1443" s="205" t="e">
        <f t="shared" si="270"/>
        <v>#N/A</v>
      </c>
      <c r="S1443" s="279" t="e">
        <f>IF(R1443="si",0,IF(E1443="si",0,IF(J1443&gt;K1443,0,+K1443-J1443)))+IF('calcolo base'!P2135="SI",('Commissioni De Angeli'!K1443-'Commissioni De Angeli'!J1443),0)</f>
        <v>#N/A</v>
      </c>
      <c r="T1443" s="117" t="e">
        <f t="shared" si="271"/>
        <v>#N/A</v>
      </c>
      <c r="U1443" s="272" t="e">
        <f>IF(Q1443=0,'calcolo base'!L4042,(T1443+Q1443))</f>
        <v>#N/A</v>
      </c>
      <c r="V1443" s="119"/>
      <c r="Z1443" s="118">
        <f t="shared" si="262"/>
        <v>0</v>
      </c>
      <c r="AA1443" s="118">
        <f t="shared" si="263"/>
        <v>0</v>
      </c>
    </row>
    <row r="1444" spans="2:27">
      <c r="B1444" s="47"/>
      <c r="C1444" s="35"/>
      <c r="D1444" s="53"/>
      <c r="E1444" s="53"/>
      <c r="F1444" s="48"/>
      <c r="G1444" s="243" t="e">
        <f>INDEX('calcolo base'!$B:$B, MATCH($A1444, 'calcolo base'!$A:$A, 0))</f>
        <v>#N/A</v>
      </c>
      <c r="H1444" s="54" t="e">
        <f t="shared" si="264"/>
        <v>#N/A</v>
      </c>
      <c r="I1444" s="259" t="e">
        <f>IF(  OR(      INDEX('calcolo base'!$D:$D, MATCH($A1444, 'calcolo base'!$A:$A, 0)) = 0,
      INDEX('calcolo base'!$D:$D, MATCH($A1444, 'calcolo base'!$A:$A, 0)) = ""   ),
   INDEX('calcolo base'!$K:$K, MATCH($A1444, 'calcolo base'!$A:$A, 0)),
   INDEX('calcolo base'!$J:$J, MATCH($A1444, 'calcolo base'!$A:$A, 0))
) / 1000</f>
        <v>#N/A</v>
      </c>
      <c r="J1444" s="50" t="e">
        <f t="shared" si="265"/>
        <v>#N/A</v>
      </c>
      <c r="K1444" s="50"/>
      <c r="L1444" s="267" t="e">
        <f>INDEX('calcolo base'!$H:$H, MATCH($A1444, 'calcolo base'!$A:$A, 0))</f>
        <v>#N/A</v>
      </c>
      <c r="M1444" s="50" t="e">
        <f t="shared" si="266"/>
        <v>#N/A</v>
      </c>
      <c r="N1444" s="50" t="e">
        <f t="shared" si="267"/>
        <v>#N/A</v>
      </c>
      <c r="O1444" s="50" t="e">
        <f t="shared" si="261"/>
        <v>#N/A</v>
      </c>
      <c r="P1444" s="50" t="e">
        <f t="shared" si="268"/>
        <v>#N/A</v>
      </c>
      <c r="Q1444" s="51" t="e">
        <f t="shared" si="269"/>
        <v>#N/A</v>
      </c>
      <c r="R1444" s="205" t="e">
        <f t="shared" si="270"/>
        <v>#N/A</v>
      </c>
      <c r="S1444" s="279" t="e">
        <f>IF(R1444="si",0,IF(E1444="si",0,IF(J1444&gt;K1444,0,+K1444-J1444)))+IF('calcolo base'!P2136="SI",('Commissioni De Angeli'!K1444-'Commissioni De Angeli'!J1444),0)</f>
        <v>#N/A</v>
      </c>
      <c r="T1444" s="117" t="e">
        <f t="shared" si="271"/>
        <v>#N/A</v>
      </c>
      <c r="U1444" s="272" t="e">
        <f>IF(Q1444=0,'calcolo base'!L4043,(T1444+Q1444))</f>
        <v>#N/A</v>
      </c>
      <c r="V1444" s="119"/>
      <c r="Z1444" s="118">
        <f t="shared" si="262"/>
        <v>0</v>
      </c>
      <c r="AA1444" s="118">
        <f t="shared" si="263"/>
        <v>0</v>
      </c>
    </row>
    <row r="1445" spans="2:27">
      <c r="B1445" s="47"/>
      <c r="C1445" s="35"/>
      <c r="D1445" s="53"/>
      <c r="E1445" s="53"/>
      <c r="F1445" s="48"/>
      <c r="G1445" s="243" t="e">
        <f>INDEX('calcolo base'!$B:$B, MATCH($A1445, 'calcolo base'!$A:$A, 0))</f>
        <v>#N/A</v>
      </c>
      <c r="H1445" s="54" t="e">
        <f t="shared" si="264"/>
        <v>#N/A</v>
      </c>
      <c r="I1445" s="259" t="e">
        <f>IF(  OR(      INDEX('calcolo base'!$D:$D, MATCH($A1445, 'calcolo base'!$A:$A, 0)) = 0,
      INDEX('calcolo base'!$D:$D, MATCH($A1445, 'calcolo base'!$A:$A, 0)) = ""   ),
   INDEX('calcolo base'!$K:$K, MATCH($A1445, 'calcolo base'!$A:$A, 0)),
   INDEX('calcolo base'!$J:$J, MATCH($A1445, 'calcolo base'!$A:$A, 0))
) / 1000</f>
        <v>#N/A</v>
      </c>
      <c r="J1445" s="50" t="e">
        <f t="shared" si="265"/>
        <v>#N/A</v>
      </c>
      <c r="K1445" s="50"/>
      <c r="L1445" s="267" t="e">
        <f>INDEX('calcolo base'!$H:$H, MATCH($A1445, 'calcolo base'!$A:$A, 0))</f>
        <v>#N/A</v>
      </c>
      <c r="M1445" s="50" t="e">
        <f t="shared" si="266"/>
        <v>#N/A</v>
      </c>
      <c r="N1445" s="50" t="e">
        <f t="shared" si="267"/>
        <v>#N/A</v>
      </c>
      <c r="O1445" s="50" t="e">
        <f t="shared" si="261"/>
        <v>#N/A</v>
      </c>
      <c r="P1445" s="50" t="e">
        <f t="shared" si="268"/>
        <v>#N/A</v>
      </c>
      <c r="Q1445" s="51" t="e">
        <f t="shared" si="269"/>
        <v>#N/A</v>
      </c>
      <c r="R1445" s="205" t="e">
        <f t="shared" si="270"/>
        <v>#N/A</v>
      </c>
      <c r="S1445" s="279" t="e">
        <f>IF(R1445="si",0,IF(E1445="si",0,IF(J1445&gt;K1445,0,+K1445-J1445)))+IF('calcolo base'!P2137="SI",('Commissioni De Angeli'!K1445-'Commissioni De Angeli'!J1445),0)</f>
        <v>#N/A</v>
      </c>
      <c r="T1445" s="117" t="e">
        <f t="shared" si="271"/>
        <v>#N/A</v>
      </c>
      <c r="U1445" s="272" t="e">
        <f>IF(Q1445=0,'calcolo base'!L4044,(T1445+Q1445))</f>
        <v>#N/A</v>
      </c>
      <c r="V1445" s="119"/>
      <c r="Z1445" s="118">
        <f t="shared" si="262"/>
        <v>0</v>
      </c>
      <c r="AA1445" s="118">
        <f t="shared" si="263"/>
        <v>0</v>
      </c>
    </row>
    <row r="1446" spans="2:27">
      <c r="B1446" s="47"/>
      <c r="C1446" s="35"/>
      <c r="D1446" s="53"/>
      <c r="E1446" s="53"/>
      <c r="F1446" s="48"/>
      <c r="G1446" s="243" t="e">
        <f>INDEX('calcolo base'!$B:$B, MATCH($A1446, 'calcolo base'!$A:$A, 0))</f>
        <v>#N/A</v>
      </c>
      <c r="H1446" s="54" t="e">
        <f t="shared" si="264"/>
        <v>#N/A</v>
      </c>
      <c r="I1446" s="259" t="e">
        <f>IF(  OR(      INDEX('calcolo base'!$D:$D, MATCH($A1446, 'calcolo base'!$A:$A, 0)) = 0,
      INDEX('calcolo base'!$D:$D, MATCH($A1446, 'calcolo base'!$A:$A, 0)) = ""   ),
   INDEX('calcolo base'!$K:$K, MATCH($A1446, 'calcolo base'!$A:$A, 0)),
   INDEX('calcolo base'!$J:$J, MATCH($A1446, 'calcolo base'!$A:$A, 0))
) / 1000</f>
        <v>#N/A</v>
      </c>
      <c r="J1446" s="50" t="e">
        <f t="shared" si="265"/>
        <v>#N/A</v>
      </c>
      <c r="K1446" s="50"/>
      <c r="L1446" s="267" t="e">
        <f>INDEX('calcolo base'!$H:$H, MATCH($A1446, 'calcolo base'!$A:$A, 0))</f>
        <v>#N/A</v>
      </c>
      <c r="M1446" s="50" t="e">
        <f t="shared" si="266"/>
        <v>#N/A</v>
      </c>
      <c r="N1446" s="50" t="e">
        <f t="shared" si="267"/>
        <v>#N/A</v>
      </c>
      <c r="O1446" s="50" t="e">
        <f t="shared" si="261"/>
        <v>#N/A</v>
      </c>
      <c r="P1446" s="50" t="e">
        <f t="shared" si="268"/>
        <v>#N/A</v>
      </c>
      <c r="Q1446" s="51" t="e">
        <f t="shared" si="269"/>
        <v>#N/A</v>
      </c>
      <c r="R1446" s="205" t="e">
        <f t="shared" si="270"/>
        <v>#N/A</v>
      </c>
      <c r="S1446" s="279" t="e">
        <f>IF(R1446="si",0,IF(E1446="si",0,IF(J1446&gt;K1446,0,+K1446-J1446)))+IF('calcolo base'!P2138="SI",('Commissioni De Angeli'!K1446-'Commissioni De Angeli'!J1446),0)</f>
        <v>#N/A</v>
      </c>
      <c r="T1446" s="117" t="e">
        <f t="shared" si="271"/>
        <v>#N/A</v>
      </c>
      <c r="U1446" s="272" t="e">
        <f>IF(Q1446=0,'calcolo base'!L4045,(T1446+Q1446))</f>
        <v>#N/A</v>
      </c>
      <c r="V1446" s="119"/>
      <c r="Z1446" s="118">
        <f t="shared" si="262"/>
        <v>0</v>
      </c>
      <c r="AA1446" s="118">
        <f t="shared" si="263"/>
        <v>0</v>
      </c>
    </row>
    <row r="1447" spans="2:27">
      <c r="B1447" s="47"/>
      <c r="C1447" s="35"/>
      <c r="D1447" s="53"/>
      <c r="E1447" s="53"/>
      <c r="F1447" s="48"/>
      <c r="G1447" s="243" t="e">
        <f>INDEX('calcolo base'!$B:$B, MATCH($A1447, 'calcolo base'!$A:$A, 0))</f>
        <v>#N/A</v>
      </c>
      <c r="H1447" s="54" t="e">
        <f t="shared" si="264"/>
        <v>#N/A</v>
      </c>
      <c r="I1447" s="259" t="e">
        <f>IF(  OR(      INDEX('calcolo base'!$D:$D, MATCH($A1447, 'calcolo base'!$A:$A, 0)) = 0,
      INDEX('calcolo base'!$D:$D, MATCH($A1447, 'calcolo base'!$A:$A, 0)) = ""   ),
   INDEX('calcolo base'!$K:$K, MATCH($A1447, 'calcolo base'!$A:$A, 0)),
   INDEX('calcolo base'!$J:$J, MATCH($A1447, 'calcolo base'!$A:$A, 0))
) / 1000</f>
        <v>#N/A</v>
      </c>
      <c r="J1447" s="50" t="e">
        <f t="shared" si="265"/>
        <v>#N/A</v>
      </c>
      <c r="K1447" s="50"/>
      <c r="L1447" s="267" t="e">
        <f>INDEX('calcolo base'!$H:$H, MATCH($A1447, 'calcolo base'!$A:$A, 0))</f>
        <v>#N/A</v>
      </c>
      <c r="M1447" s="50" t="e">
        <f t="shared" si="266"/>
        <v>#N/A</v>
      </c>
      <c r="N1447" s="50" t="e">
        <f t="shared" si="267"/>
        <v>#N/A</v>
      </c>
      <c r="O1447" s="50" t="e">
        <f t="shared" si="261"/>
        <v>#N/A</v>
      </c>
      <c r="P1447" s="50" t="e">
        <f t="shared" si="268"/>
        <v>#N/A</v>
      </c>
      <c r="Q1447" s="51" t="e">
        <f t="shared" si="269"/>
        <v>#N/A</v>
      </c>
      <c r="R1447" s="205" t="e">
        <f t="shared" si="270"/>
        <v>#N/A</v>
      </c>
      <c r="S1447" s="279" t="e">
        <f>IF(R1447="si",0,IF(E1447="si",0,IF(J1447&gt;K1447,0,+K1447-J1447)))+IF('calcolo base'!P2139="SI",('Commissioni De Angeli'!K1447-'Commissioni De Angeli'!J1447),0)</f>
        <v>#N/A</v>
      </c>
      <c r="T1447" s="117" t="e">
        <f t="shared" si="271"/>
        <v>#N/A</v>
      </c>
      <c r="U1447" s="272" t="e">
        <f>IF(Q1447=0,'calcolo base'!L4046,(T1447+Q1447))</f>
        <v>#N/A</v>
      </c>
      <c r="V1447" s="119"/>
      <c r="Z1447" s="118">
        <f t="shared" si="262"/>
        <v>0</v>
      </c>
      <c r="AA1447" s="118">
        <f t="shared" si="263"/>
        <v>0</v>
      </c>
    </row>
    <row r="1448" spans="2:27">
      <c r="B1448" s="47"/>
      <c r="C1448" s="35"/>
      <c r="D1448" s="53"/>
      <c r="E1448" s="53"/>
      <c r="F1448" s="48"/>
      <c r="G1448" s="243" t="e">
        <f>INDEX('calcolo base'!$B:$B, MATCH($A1448, 'calcolo base'!$A:$A, 0))</f>
        <v>#N/A</v>
      </c>
      <c r="H1448" s="54" t="e">
        <f t="shared" si="264"/>
        <v>#N/A</v>
      </c>
      <c r="I1448" s="259" t="e">
        <f>IF(  OR(      INDEX('calcolo base'!$D:$D, MATCH($A1448, 'calcolo base'!$A:$A, 0)) = 0,
      INDEX('calcolo base'!$D:$D, MATCH($A1448, 'calcolo base'!$A:$A, 0)) = ""   ),
   INDEX('calcolo base'!$K:$K, MATCH($A1448, 'calcolo base'!$A:$A, 0)),
   INDEX('calcolo base'!$J:$J, MATCH($A1448, 'calcolo base'!$A:$A, 0))
) / 1000</f>
        <v>#N/A</v>
      </c>
      <c r="J1448" s="50" t="e">
        <f t="shared" si="265"/>
        <v>#N/A</v>
      </c>
      <c r="K1448" s="50"/>
      <c r="L1448" s="267" t="e">
        <f>INDEX('calcolo base'!$H:$H, MATCH($A1448, 'calcolo base'!$A:$A, 0))</f>
        <v>#N/A</v>
      </c>
      <c r="M1448" s="50" t="e">
        <f t="shared" si="266"/>
        <v>#N/A</v>
      </c>
      <c r="N1448" s="50" t="e">
        <f t="shared" si="267"/>
        <v>#N/A</v>
      </c>
      <c r="O1448" s="50" t="e">
        <f t="shared" si="261"/>
        <v>#N/A</v>
      </c>
      <c r="P1448" s="50" t="e">
        <f t="shared" si="268"/>
        <v>#N/A</v>
      </c>
      <c r="Q1448" s="51" t="e">
        <f t="shared" si="269"/>
        <v>#N/A</v>
      </c>
      <c r="R1448" s="205" t="e">
        <f t="shared" si="270"/>
        <v>#N/A</v>
      </c>
      <c r="S1448" s="279" t="e">
        <f>IF(R1448="si",0,IF(E1448="si",0,IF(J1448&gt;K1448,0,+K1448-J1448)))+IF('calcolo base'!P2140="SI",('Commissioni De Angeli'!K1448-'Commissioni De Angeli'!J1448),0)</f>
        <v>#N/A</v>
      </c>
      <c r="T1448" s="117" t="e">
        <f t="shared" si="271"/>
        <v>#N/A</v>
      </c>
      <c r="U1448" s="272" t="e">
        <f>IF(Q1448=0,'calcolo base'!L4047,(T1448+Q1448))</f>
        <v>#N/A</v>
      </c>
      <c r="V1448" s="119"/>
      <c r="Z1448" s="118">
        <f t="shared" si="262"/>
        <v>0</v>
      </c>
      <c r="AA1448" s="118">
        <f t="shared" si="263"/>
        <v>0</v>
      </c>
    </row>
    <row r="1449" spans="2:27">
      <c r="B1449" s="47"/>
      <c r="C1449" s="35"/>
      <c r="D1449" s="53"/>
      <c r="E1449" s="53"/>
      <c r="F1449" s="48"/>
      <c r="G1449" s="243" t="e">
        <f>INDEX('calcolo base'!$B:$B, MATCH($A1449, 'calcolo base'!$A:$A, 0))</f>
        <v>#N/A</v>
      </c>
      <c r="H1449" s="54" t="e">
        <f t="shared" si="264"/>
        <v>#N/A</v>
      </c>
      <c r="I1449" s="259" t="e">
        <f>IF(  OR(      INDEX('calcolo base'!$D:$D, MATCH($A1449, 'calcolo base'!$A:$A, 0)) = 0,
      INDEX('calcolo base'!$D:$D, MATCH($A1449, 'calcolo base'!$A:$A, 0)) = ""   ),
   INDEX('calcolo base'!$K:$K, MATCH($A1449, 'calcolo base'!$A:$A, 0)),
   INDEX('calcolo base'!$J:$J, MATCH($A1449, 'calcolo base'!$A:$A, 0))
) / 1000</f>
        <v>#N/A</v>
      </c>
      <c r="J1449" s="50" t="e">
        <f t="shared" si="265"/>
        <v>#N/A</v>
      </c>
      <c r="K1449" s="50"/>
      <c r="L1449" s="267" t="e">
        <f>INDEX('calcolo base'!$H:$H, MATCH($A1449, 'calcolo base'!$A:$A, 0))</f>
        <v>#N/A</v>
      </c>
      <c r="M1449" s="50" t="e">
        <f t="shared" si="266"/>
        <v>#N/A</v>
      </c>
      <c r="N1449" s="50" t="e">
        <f t="shared" si="267"/>
        <v>#N/A</v>
      </c>
      <c r="O1449" s="50" t="e">
        <f t="shared" si="261"/>
        <v>#N/A</v>
      </c>
      <c r="P1449" s="50" t="e">
        <f t="shared" si="268"/>
        <v>#N/A</v>
      </c>
      <c r="Q1449" s="51" t="e">
        <f t="shared" si="269"/>
        <v>#N/A</v>
      </c>
      <c r="R1449" s="205" t="e">
        <f t="shared" si="270"/>
        <v>#N/A</v>
      </c>
      <c r="S1449" s="279" t="e">
        <f>IF(R1449="si",0,IF(E1449="si",0,IF(J1449&gt;K1449,0,+K1449-J1449)))+IF('calcolo base'!P2141="SI",('Commissioni De Angeli'!K1449-'Commissioni De Angeli'!J1449),0)</f>
        <v>#N/A</v>
      </c>
      <c r="T1449" s="117" t="e">
        <f t="shared" si="271"/>
        <v>#N/A</v>
      </c>
      <c r="U1449" s="272" t="e">
        <f>IF(Q1449=0,'calcolo base'!L4048,(T1449+Q1449))</f>
        <v>#N/A</v>
      </c>
      <c r="V1449" s="119"/>
      <c r="Z1449" s="118">
        <f t="shared" si="262"/>
        <v>0</v>
      </c>
      <c r="AA1449" s="118">
        <f t="shared" si="263"/>
        <v>0</v>
      </c>
    </row>
    <row r="1450" spans="2:27">
      <c r="B1450" s="47"/>
      <c r="C1450" s="35"/>
      <c r="D1450" s="53"/>
      <c r="E1450" s="53"/>
      <c r="F1450" s="48"/>
      <c r="G1450" s="243" t="e">
        <f>INDEX('calcolo base'!$B:$B, MATCH($A1450, 'calcolo base'!$A:$A, 0))</f>
        <v>#N/A</v>
      </c>
      <c r="H1450" s="54" t="e">
        <f t="shared" si="264"/>
        <v>#N/A</v>
      </c>
      <c r="I1450" s="259" t="e">
        <f>IF(  OR(      INDEX('calcolo base'!$D:$D, MATCH($A1450, 'calcolo base'!$A:$A, 0)) = 0,
      INDEX('calcolo base'!$D:$D, MATCH($A1450, 'calcolo base'!$A:$A, 0)) = ""   ),
   INDEX('calcolo base'!$K:$K, MATCH($A1450, 'calcolo base'!$A:$A, 0)),
   INDEX('calcolo base'!$J:$J, MATCH($A1450, 'calcolo base'!$A:$A, 0))
) / 1000</f>
        <v>#N/A</v>
      </c>
      <c r="J1450" s="50" t="e">
        <f t="shared" si="265"/>
        <v>#N/A</v>
      </c>
      <c r="K1450" s="50"/>
      <c r="L1450" s="267" t="e">
        <f>INDEX('calcolo base'!$H:$H, MATCH($A1450, 'calcolo base'!$A:$A, 0))</f>
        <v>#N/A</v>
      </c>
      <c r="M1450" s="50" t="e">
        <f t="shared" si="266"/>
        <v>#N/A</v>
      </c>
      <c r="N1450" s="50" t="e">
        <f t="shared" si="267"/>
        <v>#N/A</v>
      </c>
      <c r="O1450" s="50" t="e">
        <f t="shared" si="261"/>
        <v>#N/A</v>
      </c>
      <c r="P1450" s="50" t="e">
        <f t="shared" si="268"/>
        <v>#N/A</v>
      </c>
      <c r="Q1450" s="51" t="e">
        <f t="shared" si="269"/>
        <v>#N/A</v>
      </c>
      <c r="R1450" s="205" t="e">
        <f t="shared" si="270"/>
        <v>#N/A</v>
      </c>
      <c r="S1450" s="279" t="e">
        <f>IF(R1450="si",0,IF(E1450="si",0,IF(J1450&gt;K1450,0,+K1450-J1450)))+IF('calcolo base'!P2142="SI",('Commissioni De Angeli'!K1450-'Commissioni De Angeli'!J1450),0)</f>
        <v>#N/A</v>
      </c>
      <c r="T1450" s="117" t="e">
        <f t="shared" si="271"/>
        <v>#N/A</v>
      </c>
      <c r="U1450" s="272" t="e">
        <f>IF(Q1450=0,'calcolo base'!L4049,(T1450+Q1450))</f>
        <v>#N/A</v>
      </c>
      <c r="V1450" s="119"/>
      <c r="Z1450" s="118">
        <f t="shared" si="262"/>
        <v>0</v>
      </c>
      <c r="AA1450" s="118">
        <f t="shared" si="263"/>
        <v>0</v>
      </c>
    </row>
    <row r="1451" spans="2:27">
      <c r="B1451" s="47"/>
      <c r="C1451" s="35"/>
      <c r="D1451" s="53"/>
      <c r="E1451" s="53"/>
      <c r="F1451" s="48"/>
      <c r="G1451" s="243" t="e">
        <f>INDEX('calcolo base'!$B:$B, MATCH($A1451, 'calcolo base'!$A:$A, 0))</f>
        <v>#N/A</v>
      </c>
      <c r="H1451" s="54" t="e">
        <f t="shared" si="264"/>
        <v>#N/A</v>
      </c>
      <c r="I1451" s="259" t="e">
        <f>IF(  OR(      INDEX('calcolo base'!$D:$D, MATCH($A1451, 'calcolo base'!$A:$A, 0)) = 0,
      INDEX('calcolo base'!$D:$D, MATCH($A1451, 'calcolo base'!$A:$A, 0)) = ""   ),
   INDEX('calcolo base'!$K:$K, MATCH($A1451, 'calcolo base'!$A:$A, 0)),
   INDEX('calcolo base'!$J:$J, MATCH($A1451, 'calcolo base'!$A:$A, 0))
) / 1000</f>
        <v>#N/A</v>
      </c>
      <c r="J1451" s="50" t="e">
        <f t="shared" si="265"/>
        <v>#N/A</v>
      </c>
      <c r="K1451" s="50"/>
      <c r="L1451" s="267" t="e">
        <f>INDEX('calcolo base'!$H:$H, MATCH($A1451, 'calcolo base'!$A:$A, 0))</f>
        <v>#N/A</v>
      </c>
      <c r="M1451" s="50" t="e">
        <f t="shared" si="266"/>
        <v>#N/A</v>
      </c>
      <c r="N1451" s="50" t="e">
        <f t="shared" si="267"/>
        <v>#N/A</v>
      </c>
      <c r="O1451" s="50" t="e">
        <f t="shared" si="261"/>
        <v>#N/A</v>
      </c>
      <c r="P1451" s="50" t="e">
        <f t="shared" si="268"/>
        <v>#N/A</v>
      </c>
      <c r="Q1451" s="51" t="e">
        <f t="shared" si="269"/>
        <v>#N/A</v>
      </c>
      <c r="R1451" s="205" t="e">
        <f t="shared" si="270"/>
        <v>#N/A</v>
      </c>
      <c r="S1451" s="279" t="e">
        <f>IF(R1451="si",0,IF(E1451="si",0,IF(J1451&gt;K1451,0,+K1451-J1451)))+IF('calcolo base'!P2143="SI",('Commissioni De Angeli'!K1451-'Commissioni De Angeli'!J1451),0)</f>
        <v>#N/A</v>
      </c>
      <c r="T1451" s="117" t="e">
        <f t="shared" si="271"/>
        <v>#N/A</v>
      </c>
      <c r="U1451" s="272" t="e">
        <f>IF(Q1451=0,'calcolo base'!L4050,(T1451+Q1451))</f>
        <v>#N/A</v>
      </c>
      <c r="V1451" s="119"/>
      <c r="Z1451" s="118">
        <f t="shared" si="262"/>
        <v>0</v>
      </c>
      <c r="AA1451" s="118">
        <f t="shared" si="263"/>
        <v>0</v>
      </c>
    </row>
    <row r="1452" spans="2:27">
      <c r="B1452" s="47"/>
      <c r="C1452" s="35"/>
      <c r="D1452" s="53"/>
      <c r="E1452" s="53"/>
      <c r="F1452" s="48"/>
      <c r="G1452" s="243" t="e">
        <f>INDEX('calcolo base'!$B:$B, MATCH($A1452, 'calcolo base'!$A:$A, 0))</f>
        <v>#N/A</v>
      </c>
      <c r="H1452" s="54" t="e">
        <f t="shared" si="264"/>
        <v>#N/A</v>
      </c>
      <c r="I1452" s="259" t="e">
        <f>IF(  OR(      INDEX('calcolo base'!$D:$D, MATCH($A1452, 'calcolo base'!$A:$A, 0)) = 0,
      INDEX('calcolo base'!$D:$D, MATCH($A1452, 'calcolo base'!$A:$A, 0)) = ""   ),
   INDEX('calcolo base'!$K:$K, MATCH($A1452, 'calcolo base'!$A:$A, 0)),
   INDEX('calcolo base'!$J:$J, MATCH($A1452, 'calcolo base'!$A:$A, 0))
) / 1000</f>
        <v>#N/A</v>
      </c>
      <c r="J1452" s="50" t="e">
        <f t="shared" si="265"/>
        <v>#N/A</v>
      </c>
      <c r="K1452" s="50"/>
      <c r="L1452" s="267" t="e">
        <f>INDEX('calcolo base'!$H:$H, MATCH($A1452, 'calcolo base'!$A:$A, 0))</f>
        <v>#N/A</v>
      </c>
      <c r="M1452" s="50" t="e">
        <f t="shared" si="266"/>
        <v>#N/A</v>
      </c>
      <c r="N1452" s="50" t="e">
        <f t="shared" si="267"/>
        <v>#N/A</v>
      </c>
      <c r="O1452" s="50" t="e">
        <f t="shared" si="261"/>
        <v>#N/A</v>
      </c>
      <c r="P1452" s="50" t="e">
        <f t="shared" si="268"/>
        <v>#N/A</v>
      </c>
      <c r="Q1452" s="51" t="e">
        <f t="shared" si="269"/>
        <v>#N/A</v>
      </c>
      <c r="R1452" s="205" t="e">
        <f t="shared" si="270"/>
        <v>#N/A</v>
      </c>
      <c r="S1452" s="279" t="e">
        <f>IF(R1452="si",0,IF(E1452="si",0,IF(J1452&gt;K1452,0,+K1452-J1452)))+IF('calcolo base'!P2144="SI",('Commissioni De Angeli'!K1452-'Commissioni De Angeli'!J1452),0)</f>
        <v>#N/A</v>
      </c>
      <c r="T1452" s="117" t="e">
        <f t="shared" si="271"/>
        <v>#N/A</v>
      </c>
      <c r="U1452" s="272" t="e">
        <f>IF(Q1452=0,'calcolo base'!L4051,(T1452+Q1452))</f>
        <v>#N/A</v>
      </c>
      <c r="V1452" s="119"/>
      <c r="Z1452" s="118">
        <f t="shared" si="262"/>
        <v>0</v>
      </c>
      <c r="AA1452" s="118">
        <f t="shared" si="263"/>
        <v>0</v>
      </c>
    </row>
    <row r="1453" spans="2:27">
      <c r="B1453" s="47"/>
      <c r="C1453" s="35"/>
      <c r="D1453" s="53"/>
      <c r="E1453" s="53"/>
      <c r="F1453" s="48"/>
      <c r="G1453" s="243" t="e">
        <f>INDEX('calcolo base'!$B:$B, MATCH($A1453, 'calcolo base'!$A:$A, 0))</f>
        <v>#N/A</v>
      </c>
      <c r="H1453" s="54" t="e">
        <f t="shared" si="264"/>
        <v>#N/A</v>
      </c>
      <c r="I1453" s="259" t="e">
        <f>IF(  OR(      INDEX('calcolo base'!$D:$D, MATCH($A1453, 'calcolo base'!$A:$A, 0)) = 0,
      INDEX('calcolo base'!$D:$D, MATCH($A1453, 'calcolo base'!$A:$A, 0)) = ""   ),
   INDEX('calcolo base'!$K:$K, MATCH($A1453, 'calcolo base'!$A:$A, 0)),
   INDEX('calcolo base'!$J:$J, MATCH($A1453, 'calcolo base'!$A:$A, 0))
) / 1000</f>
        <v>#N/A</v>
      </c>
      <c r="J1453" s="50" t="e">
        <f t="shared" si="265"/>
        <v>#N/A</v>
      </c>
      <c r="K1453" s="50"/>
      <c r="L1453" s="267" t="e">
        <f>INDEX('calcolo base'!$H:$H, MATCH($A1453, 'calcolo base'!$A:$A, 0))</f>
        <v>#N/A</v>
      </c>
      <c r="M1453" s="50" t="e">
        <f t="shared" si="266"/>
        <v>#N/A</v>
      </c>
      <c r="N1453" s="50" t="e">
        <f t="shared" si="267"/>
        <v>#N/A</v>
      </c>
      <c r="O1453" s="50" t="e">
        <f t="shared" ref="O1453:O1516" si="272">IF($I1453=0,0,(IF($G1453="alluminio",($J1453)*3%,0)+IF($G1453="alluminio smaltato",($K1453)*3%,0)))</f>
        <v>#N/A</v>
      </c>
      <c r="P1453" s="50" t="e">
        <f t="shared" si="268"/>
        <v>#N/A</v>
      </c>
      <c r="Q1453" s="51" t="e">
        <f t="shared" si="269"/>
        <v>#N/A</v>
      </c>
      <c r="R1453" s="205" t="e">
        <f t="shared" si="270"/>
        <v>#N/A</v>
      </c>
      <c r="S1453" s="279" t="e">
        <f>IF(R1453="si",0,IF(E1453="si",0,IF(J1453&gt;K1453,0,+K1453-J1453)))+IF('calcolo base'!P2145="SI",('Commissioni De Angeli'!K1453-'Commissioni De Angeli'!J1453),0)</f>
        <v>#N/A</v>
      </c>
      <c r="T1453" s="117" t="e">
        <f t="shared" si="271"/>
        <v>#N/A</v>
      </c>
      <c r="U1453" s="272" t="e">
        <f>IF(Q1453=0,'calcolo base'!L4052,(T1453+Q1453))</f>
        <v>#N/A</v>
      </c>
      <c r="V1453" s="119"/>
      <c r="Z1453" s="118">
        <f t="shared" si="262"/>
        <v>0</v>
      </c>
      <c r="AA1453" s="118">
        <f t="shared" si="263"/>
        <v>0</v>
      </c>
    </row>
    <row r="1454" spans="2:27">
      <c r="B1454" s="47"/>
      <c r="C1454" s="35"/>
      <c r="D1454" s="53"/>
      <c r="E1454" s="53"/>
      <c r="F1454" s="48"/>
      <c r="G1454" s="243" t="e">
        <f>INDEX('calcolo base'!$B:$B, MATCH($A1454, 'calcolo base'!$A:$A, 0))</f>
        <v>#N/A</v>
      </c>
      <c r="H1454" s="54" t="e">
        <f t="shared" si="264"/>
        <v>#N/A</v>
      </c>
      <c r="I1454" s="259" t="e">
        <f>IF(  OR(      INDEX('calcolo base'!$D:$D, MATCH($A1454, 'calcolo base'!$A:$A, 0)) = 0,
      INDEX('calcolo base'!$D:$D, MATCH($A1454, 'calcolo base'!$A:$A, 0)) = ""   ),
   INDEX('calcolo base'!$K:$K, MATCH($A1454, 'calcolo base'!$A:$A, 0)),
   INDEX('calcolo base'!$J:$J, MATCH($A1454, 'calcolo base'!$A:$A, 0))
) / 1000</f>
        <v>#N/A</v>
      </c>
      <c r="J1454" s="50" t="e">
        <f t="shared" si="265"/>
        <v>#N/A</v>
      </c>
      <c r="K1454" s="50"/>
      <c r="L1454" s="267" t="e">
        <f>INDEX('calcolo base'!$H:$H, MATCH($A1454, 'calcolo base'!$A:$A, 0))</f>
        <v>#N/A</v>
      </c>
      <c r="M1454" s="50" t="e">
        <f t="shared" si="266"/>
        <v>#N/A</v>
      </c>
      <c r="N1454" s="50" t="e">
        <f t="shared" si="267"/>
        <v>#N/A</v>
      </c>
      <c r="O1454" s="50" t="e">
        <f t="shared" si="272"/>
        <v>#N/A</v>
      </c>
      <c r="P1454" s="50" t="e">
        <f t="shared" si="268"/>
        <v>#N/A</v>
      </c>
      <c r="Q1454" s="51" t="e">
        <f t="shared" si="269"/>
        <v>#N/A</v>
      </c>
      <c r="R1454" s="205" t="e">
        <f t="shared" si="270"/>
        <v>#N/A</v>
      </c>
      <c r="S1454" s="279" t="e">
        <f>IF(R1454="si",0,IF(E1454="si",0,IF(J1454&gt;K1454,0,+K1454-J1454)))+IF('calcolo base'!P2146="SI",('Commissioni De Angeli'!K1454-'Commissioni De Angeli'!J1454),0)</f>
        <v>#N/A</v>
      </c>
      <c r="T1454" s="117" t="e">
        <f t="shared" si="271"/>
        <v>#N/A</v>
      </c>
      <c r="U1454" s="272" t="e">
        <f>IF(Q1454=0,'calcolo base'!L4053,(T1454+Q1454))</f>
        <v>#N/A</v>
      </c>
      <c r="V1454" s="119"/>
      <c r="Z1454" s="118">
        <f t="shared" si="262"/>
        <v>0</v>
      </c>
      <c r="AA1454" s="118">
        <f t="shared" si="263"/>
        <v>0</v>
      </c>
    </row>
    <row r="1455" spans="2:27">
      <c r="B1455" s="47"/>
      <c r="C1455" s="35"/>
      <c r="D1455" s="53"/>
      <c r="E1455" s="53"/>
      <c r="F1455" s="48"/>
      <c r="G1455" s="243" t="e">
        <f>INDEX('calcolo base'!$B:$B, MATCH($A1455, 'calcolo base'!$A:$A, 0))</f>
        <v>#N/A</v>
      </c>
      <c r="H1455" s="54" t="e">
        <f t="shared" si="264"/>
        <v>#N/A</v>
      </c>
      <c r="I1455" s="259" t="e">
        <f>IF(  OR(      INDEX('calcolo base'!$D:$D, MATCH($A1455, 'calcolo base'!$A:$A, 0)) = 0,
      INDEX('calcolo base'!$D:$D, MATCH($A1455, 'calcolo base'!$A:$A, 0)) = ""   ),
   INDEX('calcolo base'!$K:$K, MATCH($A1455, 'calcolo base'!$A:$A, 0)),
   INDEX('calcolo base'!$J:$J, MATCH($A1455, 'calcolo base'!$A:$A, 0))
) / 1000</f>
        <v>#N/A</v>
      </c>
      <c r="J1455" s="50" t="e">
        <f t="shared" si="265"/>
        <v>#N/A</v>
      </c>
      <c r="K1455" s="50"/>
      <c r="L1455" s="267" t="e">
        <f>INDEX('calcolo base'!$H:$H, MATCH($A1455, 'calcolo base'!$A:$A, 0))</f>
        <v>#N/A</v>
      </c>
      <c r="M1455" s="50" t="e">
        <f t="shared" si="266"/>
        <v>#N/A</v>
      </c>
      <c r="N1455" s="50" t="e">
        <f t="shared" si="267"/>
        <v>#N/A</v>
      </c>
      <c r="O1455" s="50" t="e">
        <f t="shared" si="272"/>
        <v>#N/A</v>
      </c>
      <c r="P1455" s="50" t="e">
        <f t="shared" si="268"/>
        <v>#N/A</v>
      </c>
      <c r="Q1455" s="51" t="e">
        <f t="shared" si="269"/>
        <v>#N/A</v>
      </c>
      <c r="R1455" s="205" t="e">
        <f t="shared" si="270"/>
        <v>#N/A</v>
      </c>
      <c r="S1455" s="279" t="e">
        <f>IF(R1455="si",0,IF(E1455="si",0,IF(J1455&gt;K1455,0,+K1455-J1455)))+IF('calcolo base'!P2147="SI",('Commissioni De Angeli'!K1455-'Commissioni De Angeli'!J1455),0)</f>
        <v>#N/A</v>
      </c>
      <c r="T1455" s="117" t="e">
        <f t="shared" si="271"/>
        <v>#N/A</v>
      </c>
      <c r="U1455" s="272" t="e">
        <f>IF(Q1455=0,'calcolo base'!L4054,(T1455+Q1455))</f>
        <v>#N/A</v>
      </c>
      <c r="V1455" s="119"/>
      <c r="Z1455" s="118">
        <f t="shared" si="262"/>
        <v>0</v>
      </c>
      <c r="AA1455" s="118">
        <f t="shared" si="263"/>
        <v>0</v>
      </c>
    </row>
    <row r="1456" spans="2:27">
      <c r="B1456" s="47"/>
      <c r="C1456" s="35"/>
      <c r="D1456" s="53"/>
      <c r="E1456" s="53"/>
      <c r="F1456" s="48"/>
      <c r="G1456" s="243" t="e">
        <f>INDEX('calcolo base'!$B:$B, MATCH($A1456, 'calcolo base'!$A:$A, 0))</f>
        <v>#N/A</v>
      </c>
      <c r="H1456" s="54" t="e">
        <f t="shared" si="264"/>
        <v>#N/A</v>
      </c>
      <c r="I1456" s="259" t="e">
        <f>IF(  OR(      INDEX('calcolo base'!$D:$D, MATCH($A1456, 'calcolo base'!$A:$A, 0)) = 0,
      INDEX('calcolo base'!$D:$D, MATCH($A1456, 'calcolo base'!$A:$A, 0)) = ""   ),
   INDEX('calcolo base'!$K:$K, MATCH($A1456, 'calcolo base'!$A:$A, 0)),
   INDEX('calcolo base'!$J:$J, MATCH($A1456, 'calcolo base'!$A:$A, 0))
) / 1000</f>
        <v>#N/A</v>
      </c>
      <c r="J1456" s="50" t="e">
        <f t="shared" si="265"/>
        <v>#N/A</v>
      </c>
      <c r="K1456" s="50"/>
      <c r="L1456" s="267" t="e">
        <f>INDEX('calcolo base'!$H:$H, MATCH($A1456, 'calcolo base'!$A:$A, 0))</f>
        <v>#N/A</v>
      </c>
      <c r="M1456" s="50" t="e">
        <f t="shared" si="266"/>
        <v>#N/A</v>
      </c>
      <c r="N1456" s="50" t="e">
        <f t="shared" si="267"/>
        <v>#N/A</v>
      </c>
      <c r="O1456" s="50" t="e">
        <f t="shared" si="272"/>
        <v>#N/A</v>
      </c>
      <c r="P1456" s="50" t="e">
        <f t="shared" si="268"/>
        <v>#N/A</v>
      </c>
      <c r="Q1456" s="51" t="e">
        <f t="shared" si="269"/>
        <v>#N/A</v>
      </c>
      <c r="R1456" s="205" t="e">
        <f t="shared" si="270"/>
        <v>#N/A</v>
      </c>
      <c r="S1456" s="279" t="e">
        <f>IF(R1456="si",0,IF(E1456="si",0,IF(J1456&gt;K1456,0,+K1456-J1456)))+IF('calcolo base'!P2148="SI",('Commissioni De Angeli'!K1456-'Commissioni De Angeli'!J1456),0)</f>
        <v>#N/A</v>
      </c>
      <c r="T1456" s="117" t="e">
        <f t="shared" si="271"/>
        <v>#N/A</v>
      </c>
      <c r="U1456" s="272" t="e">
        <f>IF(Q1456=0,'calcolo base'!L4055,(T1456+Q1456))</f>
        <v>#N/A</v>
      </c>
      <c r="V1456" s="119"/>
      <c r="Z1456" s="118">
        <f t="shared" si="262"/>
        <v>0</v>
      </c>
      <c r="AA1456" s="118">
        <f t="shared" si="263"/>
        <v>0</v>
      </c>
    </row>
    <row r="1457" spans="2:27">
      <c r="B1457" s="47"/>
      <c r="C1457" s="35"/>
      <c r="D1457" s="53"/>
      <c r="E1457" s="53"/>
      <c r="F1457" s="48"/>
      <c r="G1457" s="243" t="e">
        <f>INDEX('calcolo base'!$B:$B, MATCH($A1457, 'calcolo base'!$A:$A, 0))</f>
        <v>#N/A</v>
      </c>
      <c r="H1457" s="54" t="e">
        <f t="shared" si="264"/>
        <v>#N/A</v>
      </c>
      <c r="I1457" s="259" t="e">
        <f>IF(  OR(      INDEX('calcolo base'!$D:$D, MATCH($A1457, 'calcolo base'!$A:$A, 0)) = 0,
      INDEX('calcolo base'!$D:$D, MATCH($A1457, 'calcolo base'!$A:$A, 0)) = ""   ),
   INDEX('calcolo base'!$K:$K, MATCH($A1457, 'calcolo base'!$A:$A, 0)),
   INDEX('calcolo base'!$J:$J, MATCH($A1457, 'calcolo base'!$A:$A, 0))
) / 1000</f>
        <v>#N/A</v>
      </c>
      <c r="J1457" s="50" t="e">
        <f t="shared" si="265"/>
        <v>#N/A</v>
      </c>
      <c r="K1457" s="50"/>
      <c r="L1457" s="267" t="e">
        <f>INDEX('calcolo base'!$H:$H, MATCH($A1457, 'calcolo base'!$A:$A, 0))</f>
        <v>#N/A</v>
      </c>
      <c r="M1457" s="50" t="e">
        <f t="shared" si="266"/>
        <v>#N/A</v>
      </c>
      <c r="N1457" s="50" t="e">
        <f t="shared" si="267"/>
        <v>#N/A</v>
      </c>
      <c r="O1457" s="50" t="e">
        <f t="shared" si="272"/>
        <v>#N/A</v>
      </c>
      <c r="P1457" s="50" t="e">
        <f t="shared" si="268"/>
        <v>#N/A</v>
      </c>
      <c r="Q1457" s="51" t="e">
        <f t="shared" si="269"/>
        <v>#N/A</v>
      </c>
      <c r="R1457" s="205" t="e">
        <f t="shared" si="270"/>
        <v>#N/A</v>
      </c>
      <c r="S1457" s="279" t="e">
        <f>IF(R1457="si",0,IF(E1457="si",0,IF(J1457&gt;K1457,0,+K1457-J1457)))+IF('calcolo base'!P2149="SI",('Commissioni De Angeli'!K1457-'Commissioni De Angeli'!J1457),0)</f>
        <v>#N/A</v>
      </c>
      <c r="T1457" s="117" t="e">
        <f t="shared" si="271"/>
        <v>#N/A</v>
      </c>
      <c r="U1457" s="272" t="e">
        <f>IF(Q1457=0,'calcolo base'!L4056,(T1457+Q1457))</f>
        <v>#N/A</v>
      </c>
      <c r="V1457" s="119"/>
      <c r="Z1457" s="118">
        <f t="shared" si="262"/>
        <v>0</v>
      </c>
      <c r="AA1457" s="118">
        <f t="shared" si="263"/>
        <v>0</v>
      </c>
    </row>
    <row r="1458" spans="2:27">
      <c r="B1458" s="47"/>
      <c r="C1458" s="35"/>
      <c r="D1458" s="53"/>
      <c r="E1458" s="53"/>
      <c r="F1458" s="48"/>
      <c r="G1458" s="243" t="e">
        <f>INDEX('calcolo base'!$B:$B, MATCH($A1458, 'calcolo base'!$A:$A, 0))</f>
        <v>#N/A</v>
      </c>
      <c r="H1458" s="54" t="e">
        <f t="shared" si="264"/>
        <v>#N/A</v>
      </c>
      <c r="I1458" s="259" t="e">
        <f>IF(  OR(      INDEX('calcolo base'!$D:$D, MATCH($A1458, 'calcolo base'!$A:$A, 0)) = 0,
      INDEX('calcolo base'!$D:$D, MATCH($A1458, 'calcolo base'!$A:$A, 0)) = ""   ),
   INDEX('calcolo base'!$K:$K, MATCH($A1458, 'calcolo base'!$A:$A, 0)),
   INDEX('calcolo base'!$J:$J, MATCH($A1458, 'calcolo base'!$A:$A, 0))
) / 1000</f>
        <v>#N/A</v>
      </c>
      <c r="J1458" s="50" t="e">
        <f t="shared" si="265"/>
        <v>#N/A</v>
      </c>
      <c r="K1458" s="50"/>
      <c r="L1458" s="267" t="e">
        <f>INDEX('calcolo base'!$H:$H, MATCH($A1458, 'calcolo base'!$A:$A, 0))</f>
        <v>#N/A</v>
      </c>
      <c r="M1458" s="50" t="e">
        <f t="shared" si="266"/>
        <v>#N/A</v>
      </c>
      <c r="N1458" s="50" t="e">
        <f t="shared" si="267"/>
        <v>#N/A</v>
      </c>
      <c r="O1458" s="50" t="e">
        <f t="shared" si="272"/>
        <v>#N/A</v>
      </c>
      <c r="P1458" s="50" t="e">
        <f t="shared" si="268"/>
        <v>#N/A</v>
      </c>
      <c r="Q1458" s="51" t="e">
        <f t="shared" si="269"/>
        <v>#N/A</v>
      </c>
      <c r="R1458" s="205" t="e">
        <f t="shared" si="270"/>
        <v>#N/A</v>
      </c>
      <c r="S1458" s="279" t="e">
        <f>IF(R1458="si",0,IF(E1458="si",0,IF(J1458&gt;K1458,0,+K1458-J1458)))+IF('calcolo base'!P2150="SI",('Commissioni De Angeli'!K1458-'Commissioni De Angeli'!J1458),0)</f>
        <v>#N/A</v>
      </c>
      <c r="T1458" s="117" t="e">
        <f t="shared" si="271"/>
        <v>#N/A</v>
      </c>
      <c r="U1458" s="272" t="e">
        <f>IF(Q1458=0,'calcolo base'!L4057,(T1458+Q1458))</f>
        <v>#N/A</v>
      </c>
      <c r="V1458" s="119"/>
      <c r="Z1458" s="118">
        <f t="shared" si="262"/>
        <v>0</v>
      </c>
      <c r="AA1458" s="118">
        <f t="shared" si="263"/>
        <v>0</v>
      </c>
    </row>
    <row r="1459" spans="2:27">
      <c r="B1459" s="47"/>
      <c r="C1459" s="35"/>
      <c r="D1459" s="53"/>
      <c r="E1459" s="53"/>
      <c r="F1459" s="48"/>
      <c r="G1459" s="243" t="e">
        <f>INDEX('calcolo base'!$B:$B, MATCH($A1459, 'calcolo base'!$A:$A, 0))</f>
        <v>#N/A</v>
      </c>
      <c r="H1459" s="54" t="e">
        <f t="shared" si="264"/>
        <v>#N/A</v>
      </c>
      <c r="I1459" s="259" t="e">
        <f>IF(  OR(      INDEX('calcolo base'!$D:$D, MATCH($A1459, 'calcolo base'!$A:$A, 0)) = 0,
      INDEX('calcolo base'!$D:$D, MATCH($A1459, 'calcolo base'!$A:$A, 0)) = ""   ),
   INDEX('calcolo base'!$K:$K, MATCH($A1459, 'calcolo base'!$A:$A, 0)),
   INDEX('calcolo base'!$J:$J, MATCH($A1459, 'calcolo base'!$A:$A, 0))
) / 1000</f>
        <v>#N/A</v>
      </c>
      <c r="J1459" s="50" t="e">
        <f t="shared" si="265"/>
        <v>#N/A</v>
      </c>
      <c r="K1459" s="50"/>
      <c r="L1459" s="267" t="e">
        <f>INDEX('calcolo base'!$H:$H, MATCH($A1459, 'calcolo base'!$A:$A, 0))</f>
        <v>#N/A</v>
      </c>
      <c r="M1459" s="50" t="e">
        <f t="shared" si="266"/>
        <v>#N/A</v>
      </c>
      <c r="N1459" s="50" t="e">
        <f t="shared" si="267"/>
        <v>#N/A</v>
      </c>
      <c r="O1459" s="50" t="e">
        <f t="shared" si="272"/>
        <v>#N/A</v>
      </c>
      <c r="P1459" s="50" t="e">
        <f t="shared" si="268"/>
        <v>#N/A</v>
      </c>
      <c r="Q1459" s="51" t="e">
        <f t="shared" si="269"/>
        <v>#N/A</v>
      </c>
      <c r="R1459" s="205" t="e">
        <f t="shared" si="270"/>
        <v>#N/A</v>
      </c>
      <c r="S1459" s="279" t="e">
        <f>IF(R1459="si",0,IF(E1459="si",0,IF(J1459&gt;K1459,0,+K1459-J1459)))+IF('calcolo base'!P2151="SI",('Commissioni De Angeli'!K1459-'Commissioni De Angeli'!J1459),0)</f>
        <v>#N/A</v>
      </c>
      <c r="T1459" s="117" t="e">
        <f t="shared" si="271"/>
        <v>#N/A</v>
      </c>
      <c r="U1459" s="272" t="e">
        <f>IF(Q1459=0,'calcolo base'!L4058,(T1459+Q1459))</f>
        <v>#N/A</v>
      </c>
      <c r="V1459" s="119"/>
      <c r="Z1459" s="118">
        <f t="shared" si="262"/>
        <v>0</v>
      </c>
      <c r="AA1459" s="118">
        <f t="shared" si="263"/>
        <v>0</v>
      </c>
    </row>
    <row r="1460" spans="2:27">
      <c r="B1460" s="47"/>
      <c r="C1460" s="35"/>
      <c r="D1460" s="53"/>
      <c r="E1460" s="53"/>
      <c r="F1460" s="48"/>
      <c r="G1460" s="243" t="e">
        <f>INDEX('calcolo base'!$B:$B, MATCH($A1460, 'calcolo base'!$A:$A, 0))</f>
        <v>#N/A</v>
      </c>
      <c r="H1460" s="54" t="e">
        <f t="shared" si="264"/>
        <v>#N/A</v>
      </c>
      <c r="I1460" s="259" t="e">
        <f>IF(  OR(      INDEX('calcolo base'!$D:$D, MATCH($A1460, 'calcolo base'!$A:$A, 0)) = 0,
      INDEX('calcolo base'!$D:$D, MATCH($A1460, 'calcolo base'!$A:$A, 0)) = ""   ),
   INDEX('calcolo base'!$K:$K, MATCH($A1460, 'calcolo base'!$A:$A, 0)),
   INDEX('calcolo base'!$J:$J, MATCH($A1460, 'calcolo base'!$A:$A, 0))
) / 1000</f>
        <v>#N/A</v>
      </c>
      <c r="J1460" s="50" t="e">
        <f t="shared" si="265"/>
        <v>#N/A</v>
      </c>
      <c r="K1460" s="50"/>
      <c r="L1460" s="267" t="e">
        <f>INDEX('calcolo base'!$H:$H, MATCH($A1460, 'calcolo base'!$A:$A, 0))</f>
        <v>#N/A</v>
      </c>
      <c r="M1460" s="50" t="e">
        <f t="shared" si="266"/>
        <v>#N/A</v>
      </c>
      <c r="N1460" s="50" t="e">
        <f t="shared" si="267"/>
        <v>#N/A</v>
      </c>
      <c r="O1460" s="50" t="e">
        <f t="shared" si="272"/>
        <v>#N/A</v>
      </c>
      <c r="P1460" s="50" t="e">
        <f t="shared" si="268"/>
        <v>#N/A</v>
      </c>
      <c r="Q1460" s="51" t="e">
        <f t="shared" si="269"/>
        <v>#N/A</v>
      </c>
      <c r="R1460" s="205" t="e">
        <f t="shared" si="270"/>
        <v>#N/A</v>
      </c>
      <c r="S1460" s="279" t="e">
        <f>IF(R1460="si",0,IF(E1460="si",0,IF(J1460&gt;K1460,0,+K1460-J1460)))+IF('calcolo base'!P2152="SI",('Commissioni De Angeli'!K1460-'Commissioni De Angeli'!J1460),0)</f>
        <v>#N/A</v>
      </c>
      <c r="T1460" s="117" t="e">
        <f t="shared" si="271"/>
        <v>#N/A</v>
      </c>
      <c r="U1460" s="272" t="e">
        <f>IF(Q1460=0,'calcolo base'!L4059,(T1460+Q1460))</f>
        <v>#N/A</v>
      </c>
      <c r="V1460" s="119"/>
      <c r="Z1460" s="118">
        <f t="shared" si="262"/>
        <v>0</v>
      </c>
      <c r="AA1460" s="118">
        <f t="shared" si="263"/>
        <v>0</v>
      </c>
    </row>
    <row r="1461" spans="2:27">
      <c r="B1461" s="47"/>
      <c r="C1461" s="35"/>
      <c r="D1461" s="53"/>
      <c r="E1461" s="53"/>
      <c r="F1461" s="48"/>
      <c r="G1461" s="243" t="e">
        <f>INDEX('calcolo base'!$B:$B, MATCH($A1461, 'calcolo base'!$A:$A, 0))</f>
        <v>#N/A</v>
      </c>
      <c r="H1461" s="54" t="e">
        <f t="shared" si="264"/>
        <v>#N/A</v>
      </c>
      <c r="I1461" s="259" t="e">
        <f>IF(  OR(      INDEX('calcolo base'!$D:$D, MATCH($A1461, 'calcolo base'!$A:$A, 0)) = 0,
      INDEX('calcolo base'!$D:$D, MATCH($A1461, 'calcolo base'!$A:$A, 0)) = ""   ),
   INDEX('calcolo base'!$K:$K, MATCH($A1461, 'calcolo base'!$A:$A, 0)),
   INDEX('calcolo base'!$J:$J, MATCH($A1461, 'calcolo base'!$A:$A, 0))
) / 1000</f>
        <v>#N/A</v>
      </c>
      <c r="J1461" s="50" t="e">
        <f t="shared" si="265"/>
        <v>#N/A</v>
      </c>
      <c r="K1461" s="50"/>
      <c r="L1461" s="267" t="e">
        <f>INDEX('calcolo base'!$H:$H, MATCH($A1461, 'calcolo base'!$A:$A, 0))</f>
        <v>#N/A</v>
      </c>
      <c r="M1461" s="50" t="e">
        <f t="shared" si="266"/>
        <v>#N/A</v>
      </c>
      <c r="N1461" s="50" t="e">
        <f t="shared" si="267"/>
        <v>#N/A</v>
      </c>
      <c r="O1461" s="50" t="e">
        <f t="shared" si="272"/>
        <v>#N/A</v>
      </c>
      <c r="P1461" s="50" t="e">
        <f t="shared" si="268"/>
        <v>#N/A</v>
      </c>
      <c r="Q1461" s="51" t="e">
        <f t="shared" si="269"/>
        <v>#N/A</v>
      </c>
      <c r="R1461" s="205" t="e">
        <f t="shared" si="270"/>
        <v>#N/A</v>
      </c>
      <c r="S1461" s="279" t="e">
        <f>IF(R1461="si",0,IF(E1461="si",0,IF(J1461&gt;K1461,0,+K1461-J1461)))+IF('calcolo base'!P2153="SI",('Commissioni De Angeli'!K1461-'Commissioni De Angeli'!J1461),0)</f>
        <v>#N/A</v>
      </c>
      <c r="T1461" s="117" t="e">
        <f t="shared" si="271"/>
        <v>#N/A</v>
      </c>
      <c r="U1461" s="272" t="e">
        <f>IF(Q1461=0,'calcolo base'!L4060,(T1461+Q1461))</f>
        <v>#N/A</v>
      </c>
      <c r="V1461" s="119"/>
      <c r="Z1461" s="118">
        <f t="shared" si="262"/>
        <v>0</v>
      </c>
      <c r="AA1461" s="118">
        <f t="shared" si="263"/>
        <v>0</v>
      </c>
    </row>
    <row r="1462" spans="2:27">
      <c r="B1462" s="47"/>
      <c r="C1462" s="35"/>
      <c r="D1462" s="53"/>
      <c r="E1462" s="53"/>
      <c r="F1462" s="48"/>
      <c r="G1462" s="243" t="e">
        <f>INDEX('calcolo base'!$B:$B, MATCH($A1462, 'calcolo base'!$A:$A, 0))</f>
        <v>#N/A</v>
      </c>
      <c r="H1462" s="54" t="e">
        <f t="shared" si="264"/>
        <v>#N/A</v>
      </c>
      <c r="I1462" s="259" t="e">
        <f>IF(  OR(      INDEX('calcolo base'!$D:$D, MATCH($A1462, 'calcolo base'!$A:$A, 0)) = 0,
      INDEX('calcolo base'!$D:$D, MATCH($A1462, 'calcolo base'!$A:$A, 0)) = ""   ),
   INDEX('calcolo base'!$K:$K, MATCH($A1462, 'calcolo base'!$A:$A, 0)),
   INDEX('calcolo base'!$J:$J, MATCH($A1462, 'calcolo base'!$A:$A, 0))
) / 1000</f>
        <v>#N/A</v>
      </c>
      <c r="J1462" s="50" t="e">
        <f t="shared" si="265"/>
        <v>#N/A</v>
      </c>
      <c r="K1462" s="50"/>
      <c r="L1462" s="267" t="e">
        <f>INDEX('calcolo base'!$H:$H, MATCH($A1462, 'calcolo base'!$A:$A, 0))</f>
        <v>#N/A</v>
      </c>
      <c r="M1462" s="50" t="e">
        <f t="shared" si="266"/>
        <v>#N/A</v>
      </c>
      <c r="N1462" s="50" t="e">
        <f t="shared" si="267"/>
        <v>#N/A</v>
      </c>
      <c r="O1462" s="50" t="e">
        <f t="shared" si="272"/>
        <v>#N/A</v>
      </c>
      <c r="P1462" s="50" t="e">
        <f t="shared" si="268"/>
        <v>#N/A</v>
      </c>
      <c r="Q1462" s="51" t="e">
        <f t="shared" si="269"/>
        <v>#N/A</v>
      </c>
      <c r="R1462" s="205" t="e">
        <f t="shared" si="270"/>
        <v>#N/A</v>
      </c>
      <c r="S1462" s="279" t="e">
        <f>IF(R1462="si",0,IF(E1462="si",0,IF(J1462&gt;K1462,0,+K1462-J1462)))+IF('calcolo base'!P2154="SI",('Commissioni De Angeli'!K1462-'Commissioni De Angeli'!J1462),0)</f>
        <v>#N/A</v>
      </c>
      <c r="T1462" s="117" t="e">
        <f t="shared" si="271"/>
        <v>#N/A</v>
      </c>
      <c r="U1462" s="272" t="e">
        <f>IF(Q1462=0,'calcolo base'!L4061,(T1462+Q1462))</f>
        <v>#N/A</v>
      </c>
      <c r="V1462" s="119"/>
      <c r="Z1462" s="118">
        <f t="shared" si="262"/>
        <v>0</v>
      </c>
      <c r="AA1462" s="118">
        <f t="shared" si="263"/>
        <v>0</v>
      </c>
    </row>
    <row r="1463" spans="2:27">
      <c r="B1463" s="47"/>
      <c r="C1463" s="35"/>
      <c r="D1463" s="53"/>
      <c r="E1463" s="53"/>
      <c r="F1463" s="48"/>
      <c r="G1463" s="243" t="e">
        <f>INDEX('calcolo base'!$B:$B, MATCH($A1463, 'calcolo base'!$A:$A, 0))</f>
        <v>#N/A</v>
      </c>
      <c r="H1463" s="54" t="e">
        <f t="shared" si="264"/>
        <v>#N/A</v>
      </c>
      <c r="I1463" s="259" t="e">
        <f>IF(  OR(      INDEX('calcolo base'!$D:$D, MATCH($A1463, 'calcolo base'!$A:$A, 0)) = 0,
      INDEX('calcolo base'!$D:$D, MATCH($A1463, 'calcolo base'!$A:$A, 0)) = ""   ),
   INDEX('calcolo base'!$K:$K, MATCH($A1463, 'calcolo base'!$A:$A, 0)),
   INDEX('calcolo base'!$J:$J, MATCH($A1463, 'calcolo base'!$A:$A, 0))
) / 1000</f>
        <v>#N/A</v>
      </c>
      <c r="J1463" s="50" t="e">
        <f t="shared" si="265"/>
        <v>#N/A</v>
      </c>
      <c r="K1463" s="50"/>
      <c r="L1463" s="267" t="e">
        <f>INDEX('calcolo base'!$H:$H, MATCH($A1463, 'calcolo base'!$A:$A, 0))</f>
        <v>#N/A</v>
      </c>
      <c r="M1463" s="50" t="e">
        <f t="shared" si="266"/>
        <v>#N/A</v>
      </c>
      <c r="N1463" s="50" t="e">
        <f t="shared" si="267"/>
        <v>#N/A</v>
      </c>
      <c r="O1463" s="50" t="e">
        <f t="shared" si="272"/>
        <v>#N/A</v>
      </c>
      <c r="P1463" s="50" t="e">
        <f t="shared" si="268"/>
        <v>#N/A</v>
      </c>
      <c r="Q1463" s="51" t="e">
        <f t="shared" si="269"/>
        <v>#N/A</v>
      </c>
      <c r="R1463" s="205" t="e">
        <f t="shared" si="270"/>
        <v>#N/A</v>
      </c>
      <c r="S1463" s="279" t="e">
        <f>IF(R1463="si",0,IF(E1463="si",0,IF(J1463&gt;K1463,0,+K1463-J1463)))+IF('calcolo base'!P2155="SI",('Commissioni De Angeli'!K1463-'Commissioni De Angeli'!J1463),0)</f>
        <v>#N/A</v>
      </c>
      <c r="T1463" s="117" t="e">
        <f t="shared" si="271"/>
        <v>#N/A</v>
      </c>
      <c r="U1463" s="272" t="e">
        <f>IF(Q1463=0,'calcolo base'!L4062,(T1463+Q1463))</f>
        <v>#N/A</v>
      </c>
      <c r="V1463" s="119"/>
      <c r="Z1463" s="118">
        <f t="shared" si="262"/>
        <v>0</v>
      </c>
      <c r="AA1463" s="118">
        <f t="shared" si="263"/>
        <v>0</v>
      </c>
    </row>
    <row r="1464" spans="2:27">
      <c r="B1464" s="47"/>
      <c r="C1464" s="35"/>
      <c r="D1464" s="53"/>
      <c r="E1464" s="53"/>
      <c r="F1464" s="48"/>
      <c r="G1464" s="243" t="e">
        <f>INDEX('calcolo base'!$B:$B, MATCH($A1464, 'calcolo base'!$A:$A, 0))</f>
        <v>#N/A</v>
      </c>
      <c r="H1464" s="54" t="e">
        <f t="shared" si="264"/>
        <v>#N/A</v>
      </c>
      <c r="I1464" s="259" t="e">
        <f>IF(  OR(      INDEX('calcolo base'!$D:$D, MATCH($A1464, 'calcolo base'!$A:$A, 0)) = 0,
      INDEX('calcolo base'!$D:$D, MATCH($A1464, 'calcolo base'!$A:$A, 0)) = ""   ),
   INDEX('calcolo base'!$K:$K, MATCH($A1464, 'calcolo base'!$A:$A, 0)),
   INDEX('calcolo base'!$J:$J, MATCH($A1464, 'calcolo base'!$A:$A, 0))
) / 1000</f>
        <v>#N/A</v>
      </c>
      <c r="J1464" s="50" t="e">
        <f t="shared" si="265"/>
        <v>#N/A</v>
      </c>
      <c r="K1464" s="50"/>
      <c r="L1464" s="267" t="e">
        <f>INDEX('calcolo base'!$H:$H, MATCH($A1464, 'calcolo base'!$A:$A, 0))</f>
        <v>#N/A</v>
      </c>
      <c r="M1464" s="50" t="e">
        <f t="shared" si="266"/>
        <v>#N/A</v>
      </c>
      <c r="N1464" s="50" t="e">
        <f t="shared" si="267"/>
        <v>#N/A</v>
      </c>
      <c r="O1464" s="50" t="e">
        <f t="shared" si="272"/>
        <v>#N/A</v>
      </c>
      <c r="P1464" s="50" t="e">
        <f t="shared" si="268"/>
        <v>#N/A</v>
      </c>
      <c r="Q1464" s="51" t="e">
        <f t="shared" si="269"/>
        <v>#N/A</v>
      </c>
      <c r="R1464" s="205" t="e">
        <f t="shared" si="270"/>
        <v>#N/A</v>
      </c>
      <c r="S1464" s="279" t="e">
        <f>IF(R1464="si",0,IF(E1464="si",0,IF(J1464&gt;K1464,0,+K1464-J1464)))+IF('calcolo base'!P2156="SI",('Commissioni De Angeli'!K1464-'Commissioni De Angeli'!J1464),0)</f>
        <v>#N/A</v>
      </c>
      <c r="T1464" s="117" t="e">
        <f t="shared" si="271"/>
        <v>#N/A</v>
      </c>
      <c r="U1464" s="272" t="e">
        <f>IF(Q1464=0,'calcolo base'!L4063,(T1464+Q1464))</f>
        <v>#N/A</v>
      </c>
      <c r="V1464" s="119"/>
      <c r="Z1464" s="118">
        <f t="shared" si="262"/>
        <v>0</v>
      </c>
      <c r="AA1464" s="118">
        <f t="shared" si="263"/>
        <v>0</v>
      </c>
    </row>
    <row r="1465" spans="2:27">
      <c r="B1465" s="47"/>
      <c r="C1465" s="35"/>
      <c r="D1465" s="53"/>
      <c r="E1465" s="53"/>
      <c r="F1465" s="48"/>
      <c r="G1465" s="243" t="e">
        <f>INDEX('calcolo base'!$B:$B, MATCH($A1465, 'calcolo base'!$A:$A, 0))</f>
        <v>#N/A</v>
      </c>
      <c r="H1465" s="54" t="e">
        <f t="shared" si="264"/>
        <v>#N/A</v>
      </c>
      <c r="I1465" s="259" t="e">
        <f>IF(  OR(      INDEX('calcolo base'!$D:$D, MATCH($A1465, 'calcolo base'!$A:$A, 0)) = 0,
      INDEX('calcolo base'!$D:$D, MATCH($A1465, 'calcolo base'!$A:$A, 0)) = ""   ),
   INDEX('calcolo base'!$K:$K, MATCH($A1465, 'calcolo base'!$A:$A, 0)),
   INDEX('calcolo base'!$J:$J, MATCH($A1465, 'calcolo base'!$A:$A, 0))
) / 1000</f>
        <v>#N/A</v>
      </c>
      <c r="J1465" s="50" t="e">
        <f t="shared" si="265"/>
        <v>#N/A</v>
      </c>
      <c r="K1465" s="50"/>
      <c r="L1465" s="267" t="e">
        <f>INDEX('calcolo base'!$H:$H, MATCH($A1465, 'calcolo base'!$A:$A, 0))</f>
        <v>#N/A</v>
      </c>
      <c r="M1465" s="50" t="e">
        <f t="shared" si="266"/>
        <v>#N/A</v>
      </c>
      <c r="N1465" s="50" t="e">
        <f t="shared" si="267"/>
        <v>#N/A</v>
      </c>
      <c r="O1465" s="50" t="e">
        <f t="shared" si="272"/>
        <v>#N/A</v>
      </c>
      <c r="P1465" s="50" t="e">
        <f t="shared" si="268"/>
        <v>#N/A</v>
      </c>
      <c r="Q1465" s="51" t="e">
        <f t="shared" si="269"/>
        <v>#N/A</v>
      </c>
      <c r="R1465" s="205" t="e">
        <f t="shared" si="270"/>
        <v>#N/A</v>
      </c>
      <c r="S1465" s="279" t="e">
        <f>IF(R1465="si",0,IF(E1465="si",0,IF(J1465&gt;K1465,0,+K1465-J1465)))+IF('calcolo base'!P2157="SI",('Commissioni De Angeli'!K1465-'Commissioni De Angeli'!J1465),0)</f>
        <v>#N/A</v>
      </c>
      <c r="T1465" s="117" t="e">
        <f t="shared" si="271"/>
        <v>#N/A</v>
      </c>
      <c r="U1465" s="272" t="e">
        <f>IF(Q1465=0,'calcolo base'!L4064,(T1465+Q1465))</f>
        <v>#N/A</v>
      </c>
      <c r="V1465" s="119"/>
      <c r="Z1465" s="118">
        <f t="shared" si="262"/>
        <v>0</v>
      </c>
      <c r="AA1465" s="118">
        <f t="shared" si="263"/>
        <v>0</v>
      </c>
    </row>
    <row r="1466" spans="2:27">
      <c r="B1466" s="47"/>
      <c r="C1466" s="35"/>
      <c r="D1466" s="53"/>
      <c r="E1466" s="53"/>
      <c r="F1466" s="48"/>
      <c r="G1466" s="243" t="e">
        <f>INDEX('calcolo base'!$B:$B, MATCH($A1466, 'calcolo base'!$A:$A, 0))</f>
        <v>#N/A</v>
      </c>
      <c r="H1466" s="54" t="e">
        <f t="shared" si="264"/>
        <v>#N/A</v>
      </c>
      <c r="I1466" s="259" t="e">
        <f>IF(  OR(      INDEX('calcolo base'!$D:$D, MATCH($A1466, 'calcolo base'!$A:$A, 0)) = 0,
      INDEX('calcolo base'!$D:$D, MATCH($A1466, 'calcolo base'!$A:$A, 0)) = ""   ),
   INDEX('calcolo base'!$K:$K, MATCH($A1466, 'calcolo base'!$A:$A, 0)),
   INDEX('calcolo base'!$J:$J, MATCH($A1466, 'calcolo base'!$A:$A, 0))
) / 1000</f>
        <v>#N/A</v>
      </c>
      <c r="J1466" s="50" t="e">
        <f t="shared" si="265"/>
        <v>#N/A</v>
      </c>
      <c r="K1466" s="50"/>
      <c r="L1466" s="267" t="e">
        <f>INDEX('calcolo base'!$H:$H, MATCH($A1466, 'calcolo base'!$A:$A, 0))</f>
        <v>#N/A</v>
      </c>
      <c r="M1466" s="50" t="e">
        <f t="shared" si="266"/>
        <v>#N/A</v>
      </c>
      <c r="N1466" s="50" t="e">
        <f t="shared" si="267"/>
        <v>#N/A</v>
      </c>
      <c r="O1466" s="50" t="e">
        <f t="shared" si="272"/>
        <v>#N/A</v>
      </c>
      <c r="P1466" s="50" t="e">
        <f t="shared" si="268"/>
        <v>#N/A</v>
      </c>
      <c r="Q1466" s="51" t="e">
        <f t="shared" si="269"/>
        <v>#N/A</v>
      </c>
      <c r="R1466" s="205" t="e">
        <f t="shared" si="270"/>
        <v>#N/A</v>
      </c>
      <c r="S1466" s="279" t="e">
        <f>IF(R1466="si",0,IF(E1466="si",0,IF(J1466&gt;K1466,0,+K1466-J1466)))+IF('calcolo base'!P2158="SI",('Commissioni De Angeli'!K1466-'Commissioni De Angeli'!J1466),0)</f>
        <v>#N/A</v>
      </c>
      <c r="T1466" s="117" t="e">
        <f t="shared" si="271"/>
        <v>#N/A</v>
      </c>
      <c r="U1466" s="272" t="e">
        <f>IF(Q1466=0,'calcolo base'!L4065,(T1466+Q1466))</f>
        <v>#N/A</v>
      </c>
      <c r="V1466" s="119"/>
      <c r="Z1466" s="118">
        <f t="shared" si="262"/>
        <v>0</v>
      </c>
      <c r="AA1466" s="118">
        <f t="shared" si="263"/>
        <v>0</v>
      </c>
    </row>
    <row r="1467" spans="2:27">
      <c r="B1467" s="47"/>
      <c r="C1467" s="35"/>
      <c r="D1467" s="53"/>
      <c r="E1467" s="53"/>
      <c r="F1467" s="48"/>
      <c r="G1467" s="243" t="e">
        <f>INDEX('calcolo base'!$B:$B, MATCH($A1467, 'calcolo base'!$A:$A, 0))</f>
        <v>#N/A</v>
      </c>
      <c r="H1467" s="54" t="e">
        <f t="shared" si="264"/>
        <v>#N/A</v>
      </c>
      <c r="I1467" s="259" t="e">
        <f>IF(  OR(      INDEX('calcolo base'!$D:$D, MATCH($A1467, 'calcolo base'!$A:$A, 0)) = 0,
      INDEX('calcolo base'!$D:$D, MATCH($A1467, 'calcolo base'!$A:$A, 0)) = ""   ),
   INDEX('calcolo base'!$K:$K, MATCH($A1467, 'calcolo base'!$A:$A, 0)),
   INDEX('calcolo base'!$J:$J, MATCH($A1467, 'calcolo base'!$A:$A, 0))
) / 1000</f>
        <v>#N/A</v>
      </c>
      <c r="J1467" s="50" t="e">
        <f t="shared" si="265"/>
        <v>#N/A</v>
      </c>
      <c r="K1467" s="50"/>
      <c r="L1467" s="267" t="e">
        <f>INDEX('calcolo base'!$H:$H, MATCH($A1467, 'calcolo base'!$A:$A, 0))</f>
        <v>#N/A</v>
      </c>
      <c r="M1467" s="50" t="e">
        <f t="shared" si="266"/>
        <v>#N/A</v>
      </c>
      <c r="N1467" s="50" t="e">
        <f t="shared" si="267"/>
        <v>#N/A</v>
      </c>
      <c r="O1467" s="50" t="e">
        <f t="shared" si="272"/>
        <v>#N/A</v>
      </c>
      <c r="P1467" s="50" t="e">
        <f t="shared" si="268"/>
        <v>#N/A</v>
      </c>
      <c r="Q1467" s="51" t="e">
        <f t="shared" si="269"/>
        <v>#N/A</v>
      </c>
      <c r="R1467" s="205" t="e">
        <f t="shared" si="270"/>
        <v>#N/A</v>
      </c>
      <c r="S1467" s="279" t="e">
        <f>IF(R1467="si",0,IF(E1467="si",0,IF(J1467&gt;K1467,0,+K1467-J1467)))+IF('calcolo base'!P2159="SI",('Commissioni De Angeli'!K1467-'Commissioni De Angeli'!J1467),0)</f>
        <v>#N/A</v>
      </c>
      <c r="T1467" s="117" t="e">
        <f t="shared" si="271"/>
        <v>#N/A</v>
      </c>
      <c r="U1467" s="272" t="e">
        <f>IF(Q1467=0,'calcolo base'!L4066,(T1467+Q1467))</f>
        <v>#N/A</v>
      </c>
      <c r="V1467" s="119"/>
      <c r="Z1467" s="118">
        <f t="shared" si="262"/>
        <v>0</v>
      </c>
      <c r="AA1467" s="118">
        <f t="shared" si="263"/>
        <v>0</v>
      </c>
    </row>
    <row r="1468" spans="2:27">
      <c r="B1468" s="47"/>
      <c r="C1468" s="35"/>
      <c r="D1468" s="53"/>
      <c r="E1468" s="53"/>
      <c r="F1468" s="48"/>
      <c r="G1468" s="243" t="e">
        <f>INDEX('calcolo base'!$B:$B, MATCH($A1468, 'calcolo base'!$A:$A, 0))</f>
        <v>#N/A</v>
      </c>
      <c r="H1468" s="54" t="e">
        <f t="shared" si="264"/>
        <v>#N/A</v>
      </c>
      <c r="I1468" s="259" t="e">
        <f>IF(  OR(      INDEX('calcolo base'!$D:$D, MATCH($A1468, 'calcolo base'!$A:$A, 0)) = 0,
      INDEX('calcolo base'!$D:$D, MATCH($A1468, 'calcolo base'!$A:$A, 0)) = ""   ),
   INDEX('calcolo base'!$K:$K, MATCH($A1468, 'calcolo base'!$A:$A, 0)),
   INDEX('calcolo base'!$J:$J, MATCH($A1468, 'calcolo base'!$A:$A, 0))
) / 1000</f>
        <v>#N/A</v>
      </c>
      <c r="J1468" s="50" t="e">
        <f t="shared" si="265"/>
        <v>#N/A</v>
      </c>
      <c r="K1468" s="50"/>
      <c r="L1468" s="267" t="e">
        <f>INDEX('calcolo base'!$H:$H, MATCH($A1468, 'calcolo base'!$A:$A, 0))</f>
        <v>#N/A</v>
      </c>
      <c r="M1468" s="50" t="e">
        <f t="shared" si="266"/>
        <v>#N/A</v>
      </c>
      <c r="N1468" s="50" t="e">
        <f t="shared" si="267"/>
        <v>#N/A</v>
      </c>
      <c r="O1468" s="50" t="e">
        <f t="shared" si="272"/>
        <v>#N/A</v>
      </c>
      <c r="P1468" s="50" t="e">
        <f t="shared" si="268"/>
        <v>#N/A</v>
      </c>
      <c r="Q1468" s="51" t="e">
        <f t="shared" si="269"/>
        <v>#N/A</v>
      </c>
      <c r="R1468" s="205" t="e">
        <f t="shared" si="270"/>
        <v>#N/A</v>
      </c>
      <c r="S1468" s="279" t="e">
        <f>IF(R1468="si",0,IF(E1468="si",0,IF(J1468&gt;K1468,0,+K1468-J1468)))+IF('calcolo base'!P2160="SI",('Commissioni De Angeli'!K1468-'Commissioni De Angeli'!J1468),0)</f>
        <v>#N/A</v>
      </c>
      <c r="T1468" s="117" t="e">
        <f t="shared" si="271"/>
        <v>#N/A</v>
      </c>
      <c r="U1468" s="272" t="e">
        <f>IF(Q1468=0,'calcolo base'!L4067,(T1468+Q1468))</f>
        <v>#N/A</v>
      </c>
      <c r="V1468" s="119"/>
      <c r="Z1468" s="118">
        <f t="shared" si="262"/>
        <v>0</v>
      </c>
      <c r="AA1468" s="118">
        <f t="shared" si="263"/>
        <v>0</v>
      </c>
    </row>
    <row r="1469" spans="2:27">
      <c r="B1469" s="47"/>
      <c r="C1469" s="35"/>
      <c r="D1469" s="53"/>
      <c r="E1469" s="53"/>
      <c r="F1469" s="48"/>
      <c r="G1469" s="243" t="e">
        <f>INDEX('calcolo base'!$B:$B, MATCH($A1469, 'calcolo base'!$A:$A, 0))</f>
        <v>#N/A</v>
      </c>
      <c r="H1469" s="54" t="e">
        <f t="shared" si="264"/>
        <v>#N/A</v>
      </c>
      <c r="I1469" s="259" t="e">
        <f>IF(  OR(      INDEX('calcolo base'!$D:$D, MATCH($A1469, 'calcolo base'!$A:$A, 0)) = 0,
      INDEX('calcolo base'!$D:$D, MATCH($A1469, 'calcolo base'!$A:$A, 0)) = ""   ),
   INDEX('calcolo base'!$K:$K, MATCH($A1469, 'calcolo base'!$A:$A, 0)),
   INDEX('calcolo base'!$J:$J, MATCH($A1469, 'calcolo base'!$A:$A, 0))
) / 1000</f>
        <v>#N/A</v>
      </c>
      <c r="J1469" s="50" t="e">
        <f t="shared" si="265"/>
        <v>#N/A</v>
      </c>
      <c r="K1469" s="50"/>
      <c r="L1469" s="267" t="e">
        <f>INDEX('calcolo base'!$H:$H, MATCH($A1469, 'calcolo base'!$A:$A, 0))</f>
        <v>#N/A</v>
      </c>
      <c r="M1469" s="50" t="e">
        <f t="shared" si="266"/>
        <v>#N/A</v>
      </c>
      <c r="N1469" s="50" t="e">
        <f t="shared" si="267"/>
        <v>#N/A</v>
      </c>
      <c r="O1469" s="50" t="e">
        <f t="shared" si="272"/>
        <v>#N/A</v>
      </c>
      <c r="P1469" s="50" t="e">
        <f t="shared" si="268"/>
        <v>#N/A</v>
      </c>
      <c r="Q1469" s="51" t="e">
        <f t="shared" si="269"/>
        <v>#N/A</v>
      </c>
      <c r="R1469" s="205" t="e">
        <f t="shared" si="270"/>
        <v>#N/A</v>
      </c>
      <c r="S1469" s="279" t="e">
        <f>IF(R1469="si",0,IF(E1469="si",0,IF(J1469&gt;K1469,0,+K1469-J1469)))+IF('calcolo base'!P2161="SI",('Commissioni De Angeli'!K1469-'Commissioni De Angeli'!J1469),0)</f>
        <v>#N/A</v>
      </c>
      <c r="T1469" s="117" t="e">
        <f t="shared" si="271"/>
        <v>#N/A</v>
      </c>
      <c r="U1469" s="272" t="e">
        <f>IF(Q1469=0,'calcolo base'!L4068,(T1469+Q1469))</f>
        <v>#N/A</v>
      </c>
      <c r="V1469" s="119"/>
      <c r="Z1469" s="118">
        <f t="shared" si="262"/>
        <v>0</v>
      </c>
      <c r="AA1469" s="118">
        <f t="shared" si="263"/>
        <v>0</v>
      </c>
    </row>
    <row r="1470" spans="2:27">
      <c r="B1470" s="47"/>
      <c r="C1470" s="35"/>
      <c r="D1470" s="53"/>
      <c r="E1470" s="53"/>
      <c r="F1470" s="48"/>
      <c r="G1470" s="243" t="e">
        <f>INDEX('calcolo base'!$B:$B, MATCH($A1470, 'calcolo base'!$A:$A, 0))</f>
        <v>#N/A</v>
      </c>
      <c r="H1470" s="54" t="e">
        <f t="shared" si="264"/>
        <v>#N/A</v>
      </c>
      <c r="I1470" s="259" t="e">
        <f>IF(  OR(      INDEX('calcolo base'!$D:$D, MATCH($A1470, 'calcolo base'!$A:$A, 0)) = 0,
      INDEX('calcolo base'!$D:$D, MATCH($A1470, 'calcolo base'!$A:$A, 0)) = ""   ),
   INDEX('calcolo base'!$K:$K, MATCH($A1470, 'calcolo base'!$A:$A, 0)),
   INDEX('calcolo base'!$J:$J, MATCH($A1470, 'calcolo base'!$A:$A, 0))
) / 1000</f>
        <v>#N/A</v>
      </c>
      <c r="J1470" s="50" t="e">
        <f t="shared" si="265"/>
        <v>#N/A</v>
      </c>
      <c r="K1470" s="50"/>
      <c r="L1470" s="267" t="e">
        <f>INDEX('calcolo base'!$H:$H, MATCH($A1470, 'calcolo base'!$A:$A, 0))</f>
        <v>#N/A</v>
      </c>
      <c r="M1470" s="50" t="e">
        <f t="shared" si="266"/>
        <v>#N/A</v>
      </c>
      <c r="N1470" s="50" t="e">
        <f t="shared" si="267"/>
        <v>#N/A</v>
      </c>
      <c r="O1470" s="50" t="e">
        <f t="shared" si="272"/>
        <v>#N/A</v>
      </c>
      <c r="P1470" s="50" t="e">
        <f t="shared" si="268"/>
        <v>#N/A</v>
      </c>
      <c r="Q1470" s="51" t="e">
        <f t="shared" si="269"/>
        <v>#N/A</v>
      </c>
      <c r="R1470" s="205" t="e">
        <f t="shared" si="270"/>
        <v>#N/A</v>
      </c>
      <c r="S1470" s="279" t="e">
        <f>IF(R1470="si",0,IF(E1470="si",0,IF(J1470&gt;K1470,0,+K1470-J1470)))+IF('calcolo base'!P2162="SI",('Commissioni De Angeli'!K1470-'Commissioni De Angeli'!J1470),0)</f>
        <v>#N/A</v>
      </c>
      <c r="T1470" s="117" t="e">
        <f t="shared" si="271"/>
        <v>#N/A</v>
      </c>
      <c r="U1470" s="272" t="e">
        <f>IF(Q1470=0,'calcolo base'!L4069,(T1470+Q1470))</f>
        <v>#N/A</v>
      </c>
      <c r="V1470" s="119"/>
      <c r="Z1470" s="118">
        <f t="shared" si="262"/>
        <v>0</v>
      </c>
      <c r="AA1470" s="118">
        <f t="shared" si="263"/>
        <v>0</v>
      </c>
    </row>
    <row r="1471" spans="2:27">
      <c r="B1471" s="47"/>
      <c r="C1471" s="35"/>
      <c r="D1471" s="53"/>
      <c r="E1471" s="53"/>
      <c r="F1471" s="48"/>
      <c r="G1471" s="243" t="e">
        <f>INDEX('calcolo base'!$B:$B, MATCH($A1471, 'calcolo base'!$A:$A, 0))</f>
        <v>#N/A</v>
      </c>
      <c r="H1471" s="54" t="e">
        <f t="shared" si="264"/>
        <v>#N/A</v>
      </c>
      <c r="I1471" s="259" t="e">
        <f>IF(  OR(      INDEX('calcolo base'!$D:$D, MATCH($A1471, 'calcolo base'!$A:$A, 0)) = 0,
      INDEX('calcolo base'!$D:$D, MATCH($A1471, 'calcolo base'!$A:$A, 0)) = ""   ),
   INDEX('calcolo base'!$K:$K, MATCH($A1471, 'calcolo base'!$A:$A, 0)),
   INDEX('calcolo base'!$J:$J, MATCH($A1471, 'calcolo base'!$A:$A, 0))
) / 1000</f>
        <v>#N/A</v>
      </c>
      <c r="J1471" s="50" t="e">
        <f t="shared" si="265"/>
        <v>#N/A</v>
      </c>
      <c r="K1471" s="50"/>
      <c r="L1471" s="267" t="e">
        <f>INDEX('calcolo base'!$H:$H, MATCH($A1471, 'calcolo base'!$A:$A, 0))</f>
        <v>#N/A</v>
      </c>
      <c r="M1471" s="50" t="e">
        <f t="shared" si="266"/>
        <v>#N/A</v>
      </c>
      <c r="N1471" s="50" t="e">
        <f t="shared" si="267"/>
        <v>#N/A</v>
      </c>
      <c r="O1471" s="50" t="e">
        <f t="shared" si="272"/>
        <v>#N/A</v>
      </c>
      <c r="P1471" s="50" t="e">
        <f t="shared" si="268"/>
        <v>#N/A</v>
      </c>
      <c r="Q1471" s="51" t="e">
        <f t="shared" si="269"/>
        <v>#N/A</v>
      </c>
      <c r="R1471" s="205" t="e">
        <f t="shared" si="270"/>
        <v>#N/A</v>
      </c>
      <c r="S1471" s="279" t="e">
        <f>IF(R1471="si",0,IF(E1471="si",0,IF(J1471&gt;K1471,0,+K1471-J1471)))+IF('calcolo base'!P2163="SI",('Commissioni De Angeli'!K1471-'Commissioni De Angeli'!J1471),0)</f>
        <v>#N/A</v>
      </c>
      <c r="T1471" s="117" t="e">
        <f t="shared" si="271"/>
        <v>#N/A</v>
      </c>
      <c r="U1471" s="272" t="e">
        <f>IF(Q1471=0,'calcolo base'!L4070,(T1471+Q1471))</f>
        <v>#N/A</v>
      </c>
      <c r="V1471" s="119"/>
      <c r="Z1471" s="118">
        <f t="shared" si="262"/>
        <v>0</v>
      </c>
      <c r="AA1471" s="118">
        <f t="shared" si="263"/>
        <v>0</v>
      </c>
    </row>
    <row r="1472" spans="2:27">
      <c r="B1472" s="47"/>
      <c r="C1472" s="35"/>
      <c r="D1472" s="53"/>
      <c r="E1472" s="53"/>
      <c r="F1472" s="48"/>
      <c r="G1472" s="243" t="e">
        <f>INDEX('calcolo base'!$B:$B, MATCH($A1472, 'calcolo base'!$A:$A, 0))</f>
        <v>#N/A</v>
      </c>
      <c r="H1472" s="54" t="e">
        <f t="shared" si="264"/>
        <v>#N/A</v>
      </c>
      <c r="I1472" s="259" t="e">
        <f>IF(  OR(      INDEX('calcolo base'!$D:$D, MATCH($A1472, 'calcolo base'!$A:$A, 0)) = 0,
      INDEX('calcolo base'!$D:$D, MATCH($A1472, 'calcolo base'!$A:$A, 0)) = ""   ),
   INDEX('calcolo base'!$K:$K, MATCH($A1472, 'calcolo base'!$A:$A, 0)),
   INDEX('calcolo base'!$J:$J, MATCH($A1472, 'calcolo base'!$A:$A, 0))
) / 1000</f>
        <v>#N/A</v>
      </c>
      <c r="J1472" s="50" t="e">
        <f t="shared" si="265"/>
        <v>#N/A</v>
      </c>
      <c r="K1472" s="50"/>
      <c r="L1472" s="267" t="e">
        <f>INDEX('calcolo base'!$H:$H, MATCH($A1472, 'calcolo base'!$A:$A, 0))</f>
        <v>#N/A</v>
      </c>
      <c r="M1472" s="50" t="e">
        <f t="shared" si="266"/>
        <v>#N/A</v>
      </c>
      <c r="N1472" s="50" t="e">
        <f t="shared" si="267"/>
        <v>#N/A</v>
      </c>
      <c r="O1472" s="50" t="e">
        <f t="shared" si="272"/>
        <v>#N/A</v>
      </c>
      <c r="P1472" s="50" t="e">
        <f t="shared" si="268"/>
        <v>#N/A</v>
      </c>
      <c r="Q1472" s="51" t="e">
        <f t="shared" si="269"/>
        <v>#N/A</v>
      </c>
      <c r="R1472" s="205" t="e">
        <f t="shared" si="270"/>
        <v>#N/A</v>
      </c>
      <c r="S1472" s="279" t="e">
        <f>IF(R1472="si",0,IF(E1472="si",0,IF(J1472&gt;K1472,0,+K1472-J1472)))+IF('calcolo base'!P2164="SI",('Commissioni De Angeli'!K1472-'Commissioni De Angeli'!J1472),0)</f>
        <v>#N/A</v>
      </c>
      <c r="T1472" s="117" t="e">
        <f t="shared" si="271"/>
        <v>#N/A</v>
      </c>
      <c r="U1472" s="272" t="e">
        <f>IF(Q1472=0,'calcolo base'!L4071,(T1472+Q1472))</f>
        <v>#N/A</v>
      </c>
      <c r="V1472" s="119"/>
      <c r="Z1472" s="118">
        <f t="shared" si="262"/>
        <v>0</v>
      </c>
      <c r="AA1472" s="118">
        <f t="shared" si="263"/>
        <v>0</v>
      </c>
    </row>
    <row r="1473" spans="2:27">
      <c r="B1473" s="47"/>
      <c r="C1473" s="35"/>
      <c r="D1473" s="53"/>
      <c r="E1473" s="53"/>
      <c r="F1473" s="48"/>
      <c r="G1473" s="243" t="e">
        <f>INDEX('calcolo base'!$B:$B, MATCH($A1473, 'calcolo base'!$A:$A, 0))</f>
        <v>#N/A</v>
      </c>
      <c r="H1473" s="54" t="e">
        <f t="shared" si="264"/>
        <v>#N/A</v>
      </c>
      <c r="I1473" s="259" t="e">
        <f>IF(  OR(      INDEX('calcolo base'!$D:$D, MATCH($A1473, 'calcolo base'!$A:$A, 0)) = 0,
      INDEX('calcolo base'!$D:$D, MATCH($A1473, 'calcolo base'!$A:$A, 0)) = ""   ),
   INDEX('calcolo base'!$K:$K, MATCH($A1473, 'calcolo base'!$A:$A, 0)),
   INDEX('calcolo base'!$J:$J, MATCH($A1473, 'calcolo base'!$A:$A, 0))
) / 1000</f>
        <v>#N/A</v>
      </c>
      <c r="J1473" s="50" t="e">
        <f t="shared" si="265"/>
        <v>#N/A</v>
      </c>
      <c r="K1473" s="50"/>
      <c r="L1473" s="267" t="e">
        <f>INDEX('calcolo base'!$H:$H, MATCH($A1473, 'calcolo base'!$A:$A, 0))</f>
        <v>#N/A</v>
      </c>
      <c r="M1473" s="50" t="e">
        <f t="shared" si="266"/>
        <v>#N/A</v>
      </c>
      <c r="N1473" s="50" t="e">
        <f t="shared" si="267"/>
        <v>#N/A</v>
      </c>
      <c r="O1473" s="50" t="e">
        <f t="shared" si="272"/>
        <v>#N/A</v>
      </c>
      <c r="P1473" s="50" t="e">
        <f t="shared" si="268"/>
        <v>#N/A</v>
      </c>
      <c r="Q1473" s="51" t="e">
        <f t="shared" si="269"/>
        <v>#N/A</v>
      </c>
      <c r="R1473" s="205" t="e">
        <f t="shared" si="270"/>
        <v>#N/A</v>
      </c>
      <c r="S1473" s="279" t="e">
        <f>IF(R1473="si",0,IF(E1473="si",0,IF(J1473&gt;K1473,0,+K1473-J1473)))+IF('calcolo base'!P2165="SI",('Commissioni De Angeli'!K1473-'Commissioni De Angeli'!J1473),0)</f>
        <v>#N/A</v>
      </c>
      <c r="T1473" s="117" t="e">
        <f t="shared" si="271"/>
        <v>#N/A</v>
      </c>
      <c r="U1473" s="272" t="e">
        <f>IF(Q1473=0,'calcolo base'!L4072,(T1473+Q1473))</f>
        <v>#N/A</v>
      </c>
      <c r="V1473" s="119"/>
      <c r="Z1473" s="118">
        <f t="shared" si="262"/>
        <v>0</v>
      </c>
      <c r="AA1473" s="118">
        <f t="shared" si="263"/>
        <v>0</v>
      </c>
    </row>
    <row r="1474" spans="2:27">
      <c r="B1474" s="47"/>
      <c r="C1474" s="35"/>
      <c r="D1474" s="53"/>
      <c r="E1474" s="53"/>
      <c r="F1474" s="48"/>
      <c r="G1474" s="243" t="e">
        <f>INDEX('calcolo base'!$B:$B, MATCH($A1474, 'calcolo base'!$A:$A, 0))</f>
        <v>#N/A</v>
      </c>
      <c r="H1474" s="54" t="e">
        <f t="shared" si="264"/>
        <v>#N/A</v>
      </c>
      <c r="I1474" s="259" t="e">
        <f>IF(  OR(      INDEX('calcolo base'!$D:$D, MATCH($A1474, 'calcolo base'!$A:$A, 0)) = 0,
      INDEX('calcolo base'!$D:$D, MATCH($A1474, 'calcolo base'!$A:$A, 0)) = ""   ),
   INDEX('calcolo base'!$K:$K, MATCH($A1474, 'calcolo base'!$A:$A, 0)),
   INDEX('calcolo base'!$J:$J, MATCH($A1474, 'calcolo base'!$A:$A, 0))
) / 1000</f>
        <v>#N/A</v>
      </c>
      <c r="J1474" s="50" t="e">
        <f t="shared" si="265"/>
        <v>#N/A</v>
      </c>
      <c r="K1474" s="50"/>
      <c r="L1474" s="267" t="e">
        <f>INDEX('calcolo base'!$H:$H, MATCH($A1474, 'calcolo base'!$A:$A, 0))</f>
        <v>#N/A</v>
      </c>
      <c r="M1474" s="50" t="e">
        <f t="shared" si="266"/>
        <v>#N/A</v>
      </c>
      <c r="N1474" s="50" t="e">
        <f t="shared" si="267"/>
        <v>#N/A</v>
      </c>
      <c r="O1474" s="50" t="e">
        <f t="shared" si="272"/>
        <v>#N/A</v>
      </c>
      <c r="P1474" s="50" t="e">
        <f t="shared" si="268"/>
        <v>#N/A</v>
      </c>
      <c r="Q1474" s="51" t="e">
        <f t="shared" si="269"/>
        <v>#N/A</v>
      </c>
      <c r="R1474" s="205" t="e">
        <f t="shared" si="270"/>
        <v>#N/A</v>
      </c>
      <c r="S1474" s="279" t="e">
        <f>IF(R1474="si",0,IF(E1474="si",0,IF(J1474&gt;K1474,0,+K1474-J1474)))+IF('calcolo base'!P2166="SI",('Commissioni De Angeli'!K1474-'Commissioni De Angeli'!J1474),0)</f>
        <v>#N/A</v>
      </c>
      <c r="T1474" s="117" t="e">
        <f t="shared" si="271"/>
        <v>#N/A</v>
      </c>
      <c r="U1474" s="272" t="e">
        <f>IF(Q1474=0,'calcolo base'!L4073,(T1474+Q1474))</f>
        <v>#N/A</v>
      </c>
      <c r="V1474" s="119"/>
      <c r="Z1474" s="118">
        <f t="shared" si="262"/>
        <v>0</v>
      </c>
      <c r="AA1474" s="118">
        <f t="shared" si="263"/>
        <v>0</v>
      </c>
    </row>
    <row r="1475" spans="2:27">
      <c r="B1475" s="47"/>
      <c r="C1475" s="35"/>
      <c r="D1475" s="53"/>
      <c r="E1475" s="53"/>
      <c r="F1475" s="48"/>
      <c r="G1475" s="243" t="e">
        <f>INDEX('calcolo base'!$B:$B, MATCH($A1475, 'calcolo base'!$A:$A, 0))</f>
        <v>#N/A</v>
      </c>
      <c r="H1475" s="54" t="e">
        <f t="shared" si="264"/>
        <v>#N/A</v>
      </c>
      <c r="I1475" s="259" t="e">
        <f>IF(  OR(      INDEX('calcolo base'!$D:$D, MATCH($A1475, 'calcolo base'!$A:$A, 0)) = 0,
      INDEX('calcolo base'!$D:$D, MATCH($A1475, 'calcolo base'!$A:$A, 0)) = ""   ),
   INDEX('calcolo base'!$K:$K, MATCH($A1475, 'calcolo base'!$A:$A, 0)),
   INDEX('calcolo base'!$J:$J, MATCH($A1475, 'calcolo base'!$A:$A, 0))
) / 1000</f>
        <v>#N/A</v>
      </c>
      <c r="J1475" s="50" t="e">
        <f t="shared" si="265"/>
        <v>#N/A</v>
      </c>
      <c r="K1475" s="50"/>
      <c r="L1475" s="267" t="e">
        <f>INDEX('calcolo base'!$H:$H, MATCH($A1475, 'calcolo base'!$A:$A, 0))</f>
        <v>#N/A</v>
      </c>
      <c r="M1475" s="50" t="e">
        <f t="shared" si="266"/>
        <v>#N/A</v>
      </c>
      <c r="N1475" s="50" t="e">
        <f t="shared" si="267"/>
        <v>#N/A</v>
      </c>
      <c r="O1475" s="50" t="e">
        <f t="shared" si="272"/>
        <v>#N/A</v>
      </c>
      <c r="P1475" s="50" t="e">
        <f t="shared" si="268"/>
        <v>#N/A</v>
      </c>
      <c r="Q1475" s="51" t="e">
        <f t="shared" si="269"/>
        <v>#N/A</v>
      </c>
      <c r="R1475" s="205" t="e">
        <f t="shared" si="270"/>
        <v>#N/A</v>
      </c>
      <c r="S1475" s="279" t="e">
        <f>IF(R1475="si",0,IF(E1475="si",0,IF(J1475&gt;K1475,0,+K1475-J1475)))+IF('calcolo base'!P2167="SI",('Commissioni De Angeli'!K1475-'Commissioni De Angeli'!J1475),0)</f>
        <v>#N/A</v>
      </c>
      <c r="T1475" s="117" t="e">
        <f t="shared" si="271"/>
        <v>#N/A</v>
      </c>
      <c r="U1475" s="272" t="e">
        <f>IF(Q1475=0,'calcolo base'!L4074,(T1475+Q1475))</f>
        <v>#N/A</v>
      </c>
      <c r="V1475" s="119"/>
      <c r="Z1475" s="118">
        <f t="shared" si="262"/>
        <v>0</v>
      </c>
      <c r="AA1475" s="118">
        <f t="shared" si="263"/>
        <v>0</v>
      </c>
    </row>
    <row r="1476" spans="2:27">
      <c r="B1476" s="47"/>
      <c r="C1476" s="35"/>
      <c r="D1476" s="53"/>
      <c r="E1476" s="53"/>
      <c r="F1476" s="48"/>
      <c r="G1476" s="243" t="e">
        <f>INDEX('calcolo base'!$B:$B, MATCH($A1476, 'calcolo base'!$A:$A, 0))</f>
        <v>#N/A</v>
      </c>
      <c r="H1476" s="54" t="e">
        <f t="shared" si="264"/>
        <v>#N/A</v>
      </c>
      <c r="I1476" s="259" t="e">
        <f>IF(  OR(      INDEX('calcolo base'!$D:$D, MATCH($A1476, 'calcolo base'!$A:$A, 0)) = 0,
      INDEX('calcolo base'!$D:$D, MATCH($A1476, 'calcolo base'!$A:$A, 0)) = ""   ),
   INDEX('calcolo base'!$K:$K, MATCH($A1476, 'calcolo base'!$A:$A, 0)),
   INDEX('calcolo base'!$J:$J, MATCH($A1476, 'calcolo base'!$A:$A, 0))
) / 1000</f>
        <v>#N/A</v>
      </c>
      <c r="J1476" s="50" t="e">
        <f t="shared" si="265"/>
        <v>#N/A</v>
      </c>
      <c r="K1476" s="50"/>
      <c r="L1476" s="267" t="e">
        <f>INDEX('calcolo base'!$H:$H, MATCH($A1476, 'calcolo base'!$A:$A, 0))</f>
        <v>#N/A</v>
      </c>
      <c r="M1476" s="50" t="e">
        <f t="shared" si="266"/>
        <v>#N/A</v>
      </c>
      <c r="N1476" s="50" t="e">
        <f t="shared" si="267"/>
        <v>#N/A</v>
      </c>
      <c r="O1476" s="50" t="e">
        <f t="shared" si="272"/>
        <v>#N/A</v>
      </c>
      <c r="P1476" s="50" t="e">
        <f t="shared" si="268"/>
        <v>#N/A</v>
      </c>
      <c r="Q1476" s="51" t="e">
        <f t="shared" si="269"/>
        <v>#N/A</v>
      </c>
      <c r="R1476" s="205" t="e">
        <f t="shared" si="270"/>
        <v>#N/A</v>
      </c>
      <c r="S1476" s="279" t="e">
        <f>IF(R1476="si",0,IF(E1476="si",0,IF(J1476&gt;K1476,0,+K1476-J1476)))+IF('calcolo base'!P2168="SI",('Commissioni De Angeli'!K1476-'Commissioni De Angeli'!J1476),0)</f>
        <v>#N/A</v>
      </c>
      <c r="T1476" s="117" t="e">
        <f t="shared" si="271"/>
        <v>#N/A</v>
      </c>
      <c r="U1476" s="272" t="e">
        <f>IF(Q1476=0,'calcolo base'!L4075,(T1476+Q1476))</f>
        <v>#N/A</v>
      </c>
      <c r="V1476" s="119"/>
      <c r="Z1476" s="118">
        <f t="shared" si="262"/>
        <v>0</v>
      </c>
      <c r="AA1476" s="118">
        <f t="shared" si="263"/>
        <v>0</v>
      </c>
    </row>
    <row r="1477" spans="2:27">
      <c r="B1477" s="47"/>
      <c r="C1477" s="35"/>
      <c r="D1477" s="53"/>
      <c r="E1477" s="53"/>
      <c r="F1477" s="48"/>
      <c r="G1477" s="243" t="e">
        <f>INDEX('calcolo base'!$B:$B, MATCH($A1477, 'calcolo base'!$A:$A, 0))</f>
        <v>#N/A</v>
      </c>
      <c r="H1477" s="54" t="e">
        <f t="shared" si="264"/>
        <v>#N/A</v>
      </c>
      <c r="I1477" s="259" t="e">
        <f>IF(  OR(      INDEX('calcolo base'!$D:$D, MATCH($A1477, 'calcolo base'!$A:$A, 0)) = 0,
      INDEX('calcolo base'!$D:$D, MATCH($A1477, 'calcolo base'!$A:$A, 0)) = ""   ),
   INDEX('calcolo base'!$K:$K, MATCH($A1477, 'calcolo base'!$A:$A, 0)),
   INDEX('calcolo base'!$J:$J, MATCH($A1477, 'calcolo base'!$A:$A, 0))
) / 1000</f>
        <v>#N/A</v>
      </c>
      <c r="J1477" s="50" t="e">
        <f t="shared" si="265"/>
        <v>#N/A</v>
      </c>
      <c r="K1477" s="50"/>
      <c r="L1477" s="267" t="e">
        <f>INDEX('calcolo base'!$H:$H, MATCH($A1477, 'calcolo base'!$A:$A, 0))</f>
        <v>#N/A</v>
      </c>
      <c r="M1477" s="50" t="e">
        <f t="shared" si="266"/>
        <v>#N/A</v>
      </c>
      <c r="N1477" s="50" t="e">
        <f t="shared" si="267"/>
        <v>#N/A</v>
      </c>
      <c r="O1477" s="50" t="e">
        <f t="shared" si="272"/>
        <v>#N/A</v>
      </c>
      <c r="P1477" s="50" t="e">
        <f t="shared" si="268"/>
        <v>#N/A</v>
      </c>
      <c r="Q1477" s="51" t="e">
        <f t="shared" si="269"/>
        <v>#N/A</v>
      </c>
      <c r="R1477" s="205" t="e">
        <f t="shared" si="270"/>
        <v>#N/A</v>
      </c>
      <c r="S1477" s="279" t="e">
        <f>IF(R1477="si",0,IF(E1477="si",0,IF(J1477&gt;K1477,0,+K1477-J1477)))+IF('calcolo base'!P2169="SI",('Commissioni De Angeli'!K1477-'Commissioni De Angeli'!J1477),0)</f>
        <v>#N/A</v>
      </c>
      <c r="T1477" s="117" t="e">
        <f t="shared" si="271"/>
        <v>#N/A</v>
      </c>
      <c r="U1477" s="272" t="e">
        <f>IF(Q1477=0,'calcolo base'!L4076,(T1477+Q1477))</f>
        <v>#N/A</v>
      </c>
      <c r="V1477" s="119"/>
      <c r="Z1477" s="118">
        <f t="shared" si="262"/>
        <v>0</v>
      </c>
      <c r="AA1477" s="118">
        <f t="shared" si="263"/>
        <v>0</v>
      </c>
    </row>
    <row r="1478" spans="2:27">
      <c r="B1478" s="47"/>
      <c r="C1478" s="35"/>
      <c r="D1478" s="53"/>
      <c r="E1478" s="53"/>
      <c r="F1478" s="48"/>
      <c r="G1478" s="243" t="e">
        <f>INDEX('calcolo base'!$B:$B, MATCH($A1478, 'calcolo base'!$A:$A, 0))</f>
        <v>#N/A</v>
      </c>
      <c r="H1478" s="54" t="e">
        <f t="shared" si="264"/>
        <v>#N/A</v>
      </c>
      <c r="I1478" s="259" t="e">
        <f>IF(  OR(      INDEX('calcolo base'!$D:$D, MATCH($A1478, 'calcolo base'!$A:$A, 0)) = 0,
      INDEX('calcolo base'!$D:$D, MATCH($A1478, 'calcolo base'!$A:$A, 0)) = ""   ),
   INDEX('calcolo base'!$K:$K, MATCH($A1478, 'calcolo base'!$A:$A, 0)),
   INDEX('calcolo base'!$J:$J, MATCH($A1478, 'calcolo base'!$A:$A, 0))
) / 1000</f>
        <v>#N/A</v>
      </c>
      <c r="J1478" s="50" t="e">
        <f t="shared" si="265"/>
        <v>#N/A</v>
      </c>
      <c r="K1478" s="50"/>
      <c r="L1478" s="267" t="e">
        <f>INDEX('calcolo base'!$H:$H, MATCH($A1478, 'calcolo base'!$A:$A, 0))</f>
        <v>#N/A</v>
      </c>
      <c r="M1478" s="50" t="e">
        <f t="shared" si="266"/>
        <v>#N/A</v>
      </c>
      <c r="N1478" s="50" t="e">
        <f t="shared" si="267"/>
        <v>#N/A</v>
      </c>
      <c r="O1478" s="50" t="e">
        <f t="shared" si="272"/>
        <v>#N/A</v>
      </c>
      <c r="P1478" s="50" t="e">
        <f t="shared" si="268"/>
        <v>#N/A</v>
      </c>
      <c r="Q1478" s="51" t="e">
        <f t="shared" si="269"/>
        <v>#N/A</v>
      </c>
      <c r="R1478" s="205" t="e">
        <f t="shared" si="270"/>
        <v>#N/A</v>
      </c>
      <c r="S1478" s="279" t="e">
        <f>IF(R1478="si",0,IF(E1478="si",0,IF(J1478&gt;K1478,0,+K1478-J1478)))+IF('calcolo base'!P2170="SI",('Commissioni De Angeli'!K1478-'Commissioni De Angeli'!J1478),0)</f>
        <v>#N/A</v>
      </c>
      <c r="T1478" s="117" t="e">
        <f t="shared" si="271"/>
        <v>#N/A</v>
      </c>
      <c r="U1478" s="272" t="e">
        <f>IF(Q1478=0,'calcolo base'!L4077,(T1478+Q1478))</f>
        <v>#N/A</v>
      </c>
      <c r="V1478" s="119"/>
      <c r="Z1478" s="118">
        <f t="shared" si="262"/>
        <v>0</v>
      </c>
      <c r="AA1478" s="118">
        <f t="shared" si="263"/>
        <v>0</v>
      </c>
    </row>
    <row r="1479" spans="2:27">
      <c r="B1479" s="47"/>
      <c r="C1479" s="35"/>
      <c r="D1479" s="53"/>
      <c r="E1479" s="53"/>
      <c r="F1479" s="48"/>
      <c r="G1479" s="243" t="e">
        <f>INDEX('calcolo base'!$B:$B, MATCH($A1479, 'calcolo base'!$A:$A, 0))</f>
        <v>#N/A</v>
      </c>
      <c r="H1479" s="54" t="e">
        <f t="shared" si="264"/>
        <v>#N/A</v>
      </c>
      <c r="I1479" s="259" t="e">
        <f>IF(  OR(      INDEX('calcolo base'!$D:$D, MATCH($A1479, 'calcolo base'!$A:$A, 0)) = 0,
      INDEX('calcolo base'!$D:$D, MATCH($A1479, 'calcolo base'!$A:$A, 0)) = ""   ),
   INDEX('calcolo base'!$K:$K, MATCH($A1479, 'calcolo base'!$A:$A, 0)),
   INDEX('calcolo base'!$J:$J, MATCH($A1479, 'calcolo base'!$A:$A, 0))
) / 1000</f>
        <v>#N/A</v>
      </c>
      <c r="J1479" s="50" t="e">
        <f t="shared" si="265"/>
        <v>#N/A</v>
      </c>
      <c r="K1479" s="50"/>
      <c r="L1479" s="267" t="e">
        <f>INDEX('calcolo base'!$H:$H, MATCH($A1479, 'calcolo base'!$A:$A, 0))</f>
        <v>#N/A</v>
      </c>
      <c r="M1479" s="50" t="e">
        <f t="shared" si="266"/>
        <v>#N/A</v>
      </c>
      <c r="N1479" s="50" t="e">
        <f t="shared" si="267"/>
        <v>#N/A</v>
      </c>
      <c r="O1479" s="50" t="e">
        <f t="shared" si="272"/>
        <v>#N/A</v>
      </c>
      <c r="P1479" s="50" t="e">
        <f t="shared" si="268"/>
        <v>#N/A</v>
      </c>
      <c r="Q1479" s="51" t="e">
        <f t="shared" si="269"/>
        <v>#N/A</v>
      </c>
      <c r="R1479" s="205" t="e">
        <f t="shared" si="270"/>
        <v>#N/A</v>
      </c>
      <c r="S1479" s="279" t="e">
        <f>IF(R1479="si",0,IF(E1479="si",0,IF(J1479&gt;K1479,0,+K1479-J1479)))+IF('calcolo base'!P2171="SI",('Commissioni De Angeli'!K1479-'Commissioni De Angeli'!J1479),0)</f>
        <v>#N/A</v>
      </c>
      <c r="T1479" s="117" t="e">
        <f t="shared" si="271"/>
        <v>#N/A</v>
      </c>
      <c r="U1479" s="272" t="e">
        <f>IF(Q1479=0,'calcolo base'!L4078,(T1479+Q1479))</f>
        <v>#N/A</v>
      </c>
      <c r="V1479" s="119"/>
      <c r="Z1479" s="118">
        <f t="shared" si="262"/>
        <v>0</v>
      </c>
      <c r="AA1479" s="118">
        <f t="shared" si="263"/>
        <v>0</v>
      </c>
    </row>
    <row r="1480" spans="2:27">
      <c r="B1480" s="47"/>
      <c r="C1480" s="35"/>
      <c r="D1480" s="53"/>
      <c r="E1480" s="53"/>
      <c r="F1480" s="48"/>
      <c r="G1480" s="243" t="e">
        <f>INDEX('calcolo base'!$B:$B, MATCH($A1480, 'calcolo base'!$A:$A, 0))</f>
        <v>#N/A</v>
      </c>
      <c r="H1480" s="54" t="e">
        <f t="shared" si="264"/>
        <v>#N/A</v>
      </c>
      <c r="I1480" s="259" t="e">
        <f>IF(  OR(      INDEX('calcolo base'!$D:$D, MATCH($A1480, 'calcolo base'!$A:$A, 0)) = 0,
      INDEX('calcolo base'!$D:$D, MATCH($A1480, 'calcolo base'!$A:$A, 0)) = ""   ),
   INDEX('calcolo base'!$K:$K, MATCH($A1480, 'calcolo base'!$A:$A, 0)),
   INDEX('calcolo base'!$J:$J, MATCH($A1480, 'calcolo base'!$A:$A, 0))
) / 1000</f>
        <v>#N/A</v>
      </c>
      <c r="J1480" s="50" t="e">
        <f t="shared" si="265"/>
        <v>#N/A</v>
      </c>
      <c r="K1480" s="50"/>
      <c r="L1480" s="267" t="e">
        <f>INDEX('calcolo base'!$H:$H, MATCH($A1480, 'calcolo base'!$A:$A, 0))</f>
        <v>#N/A</v>
      </c>
      <c r="M1480" s="50" t="e">
        <f t="shared" si="266"/>
        <v>#N/A</v>
      </c>
      <c r="N1480" s="50" t="e">
        <f t="shared" si="267"/>
        <v>#N/A</v>
      </c>
      <c r="O1480" s="50" t="e">
        <f t="shared" si="272"/>
        <v>#N/A</v>
      </c>
      <c r="P1480" s="50" t="e">
        <f t="shared" si="268"/>
        <v>#N/A</v>
      </c>
      <c r="Q1480" s="51" t="e">
        <f t="shared" si="269"/>
        <v>#N/A</v>
      </c>
      <c r="R1480" s="205" t="e">
        <f t="shared" si="270"/>
        <v>#N/A</v>
      </c>
      <c r="S1480" s="279" t="e">
        <f>IF(R1480="si",0,IF(E1480="si",0,IF(J1480&gt;K1480,0,+K1480-J1480)))+IF('calcolo base'!P2172="SI",('Commissioni De Angeli'!K1480-'Commissioni De Angeli'!J1480),0)</f>
        <v>#N/A</v>
      </c>
      <c r="T1480" s="117" t="e">
        <f t="shared" si="271"/>
        <v>#N/A</v>
      </c>
      <c r="U1480" s="272" t="e">
        <f>IF(Q1480=0,'calcolo base'!L4079,(T1480+Q1480))</f>
        <v>#N/A</v>
      </c>
      <c r="V1480" s="119"/>
      <c r="Z1480" s="118">
        <f t="shared" si="262"/>
        <v>0</v>
      </c>
      <c r="AA1480" s="118">
        <f t="shared" si="263"/>
        <v>0</v>
      </c>
    </row>
    <row r="1481" spans="2:27">
      <c r="B1481" s="47"/>
      <c r="C1481" s="35"/>
      <c r="D1481" s="53"/>
      <c r="E1481" s="53"/>
      <c r="F1481" s="48"/>
      <c r="G1481" s="243" t="e">
        <f>INDEX('calcolo base'!$B:$B, MATCH($A1481, 'calcolo base'!$A:$A, 0))</f>
        <v>#N/A</v>
      </c>
      <c r="H1481" s="54" t="e">
        <f t="shared" si="264"/>
        <v>#N/A</v>
      </c>
      <c r="I1481" s="259" t="e">
        <f>IF(  OR(      INDEX('calcolo base'!$D:$D, MATCH($A1481, 'calcolo base'!$A:$A, 0)) = 0,
      INDEX('calcolo base'!$D:$D, MATCH($A1481, 'calcolo base'!$A:$A, 0)) = ""   ),
   INDEX('calcolo base'!$K:$K, MATCH($A1481, 'calcolo base'!$A:$A, 0)),
   INDEX('calcolo base'!$J:$J, MATCH($A1481, 'calcolo base'!$A:$A, 0))
) / 1000</f>
        <v>#N/A</v>
      </c>
      <c r="J1481" s="50" t="e">
        <f t="shared" si="265"/>
        <v>#N/A</v>
      </c>
      <c r="K1481" s="50"/>
      <c r="L1481" s="267" t="e">
        <f>INDEX('calcolo base'!$H:$H, MATCH($A1481, 'calcolo base'!$A:$A, 0))</f>
        <v>#N/A</v>
      </c>
      <c r="M1481" s="50" t="e">
        <f t="shared" si="266"/>
        <v>#N/A</v>
      </c>
      <c r="N1481" s="50" t="e">
        <f t="shared" si="267"/>
        <v>#N/A</v>
      </c>
      <c r="O1481" s="50" t="e">
        <f t="shared" si="272"/>
        <v>#N/A</v>
      </c>
      <c r="P1481" s="50" t="e">
        <f t="shared" si="268"/>
        <v>#N/A</v>
      </c>
      <c r="Q1481" s="51" t="e">
        <f t="shared" si="269"/>
        <v>#N/A</v>
      </c>
      <c r="R1481" s="205" t="e">
        <f t="shared" si="270"/>
        <v>#N/A</v>
      </c>
      <c r="S1481" s="279" t="e">
        <f>IF(R1481="si",0,IF(E1481="si",0,IF(J1481&gt;K1481,0,+K1481-J1481)))+IF('calcolo base'!P2173="SI",('Commissioni De Angeli'!K1481-'Commissioni De Angeli'!J1481),0)</f>
        <v>#N/A</v>
      </c>
      <c r="T1481" s="117" t="e">
        <f t="shared" si="271"/>
        <v>#N/A</v>
      </c>
      <c r="U1481" s="272" t="e">
        <f>IF(Q1481=0,'calcolo base'!L4080,(T1481+Q1481))</f>
        <v>#N/A</v>
      </c>
      <c r="V1481" s="119"/>
      <c r="Z1481" s="118">
        <f t="shared" si="262"/>
        <v>0</v>
      </c>
      <c r="AA1481" s="118">
        <f t="shared" si="263"/>
        <v>0</v>
      </c>
    </row>
    <row r="1482" spans="2:27">
      <c r="B1482" s="47"/>
      <c r="C1482" s="35"/>
      <c r="D1482" s="53"/>
      <c r="E1482" s="53"/>
      <c r="F1482" s="48"/>
      <c r="G1482" s="243" t="e">
        <f>INDEX('calcolo base'!$B:$B, MATCH($A1482, 'calcolo base'!$A:$A, 0))</f>
        <v>#N/A</v>
      </c>
      <c r="H1482" s="54" t="e">
        <f t="shared" si="264"/>
        <v>#N/A</v>
      </c>
      <c r="I1482" s="259" t="e">
        <f>IF(  OR(      INDEX('calcolo base'!$D:$D, MATCH($A1482, 'calcolo base'!$A:$A, 0)) = 0,
      INDEX('calcolo base'!$D:$D, MATCH($A1482, 'calcolo base'!$A:$A, 0)) = ""   ),
   INDEX('calcolo base'!$K:$K, MATCH($A1482, 'calcolo base'!$A:$A, 0)),
   INDEX('calcolo base'!$J:$J, MATCH($A1482, 'calcolo base'!$A:$A, 0))
) / 1000</f>
        <v>#N/A</v>
      </c>
      <c r="J1482" s="50" t="e">
        <f t="shared" si="265"/>
        <v>#N/A</v>
      </c>
      <c r="K1482" s="50"/>
      <c r="L1482" s="267" t="e">
        <f>INDEX('calcolo base'!$H:$H, MATCH($A1482, 'calcolo base'!$A:$A, 0))</f>
        <v>#N/A</v>
      </c>
      <c r="M1482" s="50" t="e">
        <f t="shared" si="266"/>
        <v>#N/A</v>
      </c>
      <c r="N1482" s="50" t="e">
        <f t="shared" si="267"/>
        <v>#N/A</v>
      </c>
      <c r="O1482" s="50" t="e">
        <f t="shared" si="272"/>
        <v>#N/A</v>
      </c>
      <c r="P1482" s="50" t="e">
        <f t="shared" si="268"/>
        <v>#N/A</v>
      </c>
      <c r="Q1482" s="51" t="e">
        <f t="shared" si="269"/>
        <v>#N/A</v>
      </c>
      <c r="R1482" s="205" t="e">
        <f t="shared" si="270"/>
        <v>#N/A</v>
      </c>
      <c r="S1482" s="279" t="e">
        <f>IF(R1482="si",0,IF(E1482="si",0,IF(J1482&gt;K1482,0,+K1482-J1482)))+IF('calcolo base'!P2174="SI",('Commissioni De Angeli'!K1482-'Commissioni De Angeli'!J1482),0)</f>
        <v>#N/A</v>
      </c>
      <c r="T1482" s="117" t="e">
        <f t="shared" si="271"/>
        <v>#N/A</v>
      </c>
      <c r="U1482" s="272" t="e">
        <f>IF(Q1482=0,'calcolo base'!L4081,(T1482+Q1482))</f>
        <v>#N/A</v>
      </c>
      <c r="V1482" s="119"/>
      <c r="Z1482" s="118">
        <f t="shared" si="262"/>
        <v>0</v>
      </c>
      <c r="AA1482" s="118">
        <f t="shared" si="263"/>
        <v>0</v>
      </c>
    </row>
    <row r="1483" spans="2:27">
      <c r="B1483" s="47"/>
      <c r="C1483" s="35"/>
      <c r="D1483" s="53"/>
      <c r="E1483" s="53"/>
      <c r="F1483" s="48"/>
      <c r="G1483" s="243" t="e">
        <f>INDEX('calcolo base'!$B:$B, MATCH($A1483, 'calcolo base'!$A:$A, 0))</f>
        <v>#N/A</v>
      </c>
      <c r="H1483" s="54" t="e">
        <f t="shared" si="264"/>
        <v>#N/A</v>
      </c>
      <c r="I1483" s="259" t="e">
        <f>IF(  OR(      INDEX('calcolo base'!$D:$D, MATCH($A1483, 'calcolo base'!$A:$A, 0)) = 0,
      INDEX('calcolo base'!$D:$D, MATCH($A1483, 'calcolo base'!$A:$A, 0)) = ""   ),
   INDEX('calcolo base'!$K:$K, MATCH($A1483, 'calcolo base'!$A:$A, 0)),
   INDEX('calcolo base'!$J:$J, MATCH($A1483, 'calcolo base'!$A:$A, 0))
) / 1000</f>
        <v>#N/A</v>
      </c>
      <c r="J1483" s="50" t="e">
        <f t="shared" si="265"/>
        <v>#N/A</v>
      </c>
      <c r="K1483" s="50"/>
      <c r="L1483" s="267" t="e">
        <f>INDEX('calcolo base'!$H:$H, MATCH($A1483, 'calcolo base'!$A:$A, 0))</f>
        <v>#N/A</v>
      </c>
      <c r="M1483" s="50" t="e">
        <f t="shared" si="266"/>
        <v>#N/A</v>
      </c>
      <c r="N1483" s="50" t="e">
        <f t="shared" si="267"/>
        <v>#N/A</v>
      </c>
      <c r="O1483" s="50" t="e">
        <f t="shared" si="272"/>
        <v>#N/A</v>
      </c>
      <c r="P1483" s="50" t="e">
        <f t="shared" si="268"/>
        <v>#N/A</v>
      </c>
      <c r="Q1483" s="51" t="e">
        <f t="shared" si="269"/>
        <v>#N/A</v>
      </c>
      <c r="R1483" s="205" t="e">
        <f t="shared" si="270"/>
        <v>#N/A</v>
      </c>
      <c r="S1483" s="279" t="e">
        <f>IF(R1483="si",0,IF(E1483="si",0,IF(J1483&gt;K1483,0,+K1483-J1483)))+IF('calcolo base'!P2175="SI",('Commissioni De Angeli'!K1483-'Commissioni De Angeli'!J1483),0)</f>
        <v>#N/A</v>
      </c>
      <c r="T1483" s="117" t="e">
        <f t="shared" si="271"/>
        <v>#N/A</v>
      </c>
      <c r="U1483" s="272" t="e">
        <f>IF(Q1483=0,'calcolo base'!L4082,(T1483+Q1483))</f>
        <v>#N/A</v>
      </c>
      <c r="V1483" s="119"/>
      <c r="Z1483" s="118">
        <f t="shared" si="262"/>
        <v>0</v>
      </c>
      <c r="AA1483" s="118">
        <f t="shared" si="263"/>
        <v>0</v>
      </c>
    </row>
    <row r="1484" spans="2:27">
      <c r="B1484" s="47"/>
      <c r="C1484" s="35"/>
      <c r="D1484" s="53"/>
      <c r="E1484" s="53"/>
      <c r="F1484" s="48"/>
      <c r="G1484" s="243" t="e">
        <f>INDEX('calcolo base'!$B:$B, MATCH($A1484, 'calcolo base'!$A:$A, 0))</f>
        <v>#N/A</v>
      </c>
      <c r="H1484" s="54" t="e">
        <f t="shared" si="264"/>
        <v>#N/A</v>
      </c>
      <c r="I1484" s="259" t="e">
        <f>IF(  OR(      INDEX('calcolo base'!$D:$D, MATCH($A1484, 'calcolo base'!$A:$A, 0)) = 0,
      INDEX('calcolo base'!$D:$D, MATCH($A1484, 'calcolo base'!$A:$A, 0)) = ""   ),
   INDEX('calcolo base'!$K:$K, MATCH($A1484, 'calcolo base'!$A:$A, 0)),
   INDEX('calcolo base'!$J:$J, MATCH($A1484, 'calcolo base'!$A:$A, 0))
) / 1000</f>
        <v>#N/A</v>
      </c>
      <c r="J1484" s="50" t="e">
        <f t="shared" si="265"/>
        <v>#N/A</v>
      </c>
      <c r="K1484" s="50"/>
      <c r="L1484" s="267" t="e">
        <f>INDEX('calcolo base'!$H:$H, MATCH($A1484, 'calcolo base'!$A:$A, 0))</f>
        <v>#N/A</v>
      </c>
      <c r="M1484" s="50" t="e">
        <f t="shared" si="266"/>
        <v>#N/A</v>
      </c>
      <c r="N1484" s="50" t="e">
        <f t="shared" si="267"/>
        <v>#N/A</v>
      </c>
      <c r="O1484" s="50" t="e">
        <f t="shared" si="272"/>
        <v>#N/A</v>
      </c>
      <c r="P1484" s="50" t="e">
        <f t="shared" si="268"/>
        <v>#N/A</v>
      </c>
      <c r="Q1484" s="51" t="e">
        <f t="shared" si="269"/>
        <v>#N/A</v>
      </c>
      <c r="R1484" s="205" t="e">
        <f t="shared" si="270"/>
        <v>#N/A</v>
      </c>
      <c r="S1484" s="279" t="e">
        <f>IF(R1484="si",0,IF(E1484="si",0,IF(J1484&gt;K1484,0,+K1484-J1484)))+IF('calcolo base'!P2176="SI",('Commissioni De Angeli'!K1484-'Commissioni De Angeli'!J1484),0)</f>
        <v>#N/A</v>
      </c>
      <c r="T1484" s="117" t="e">
        <f t="shared" si="271"/>
        <v>#N/A</v>
      </c>
      <c r="U1484" s="272" t="e">
        <f>IF(Q1484=0,'calcolo base'!L4083,(T1484+Q1484))</f>
        <v>#N/A</v>
      </c>
      <c r="V1484" s="119"/>
      <c r="Z1484" s="118">
        <f t="shared" si="262"/>
        <v>0</v>
      </c>
      <c r="AA1484" s="118">
        <f t="shared" si="263"/>
        <v>0</v>
      </c>
    </row>
    <row r="1485" spans="2:27">
      <c r="B1485" s="47"/>
      <c r="C1485" s="35"/>
      <c r="D1485" s="53"/>
      <c r="E1485" s="53"/>
      <c r="F1485" s="48"/>
      <c r="G1485" s="243" t="e">
        <f>INDEX('calcolo base'!$B:$B, MATCH($A1485, 'calcolo base'!$A:$A, 0))</f>
        <v>#N/A</v>
      </c>
      <c r="H1485" s="54" t="e">
        <f t="shared" si="264"/>
        <v>#N/A</v>
      </c>
      <c r="I1485" s="259" t="e">
        <f>IF(  OR(      INDEX('calcolo base'!$D:$D, MATCH($A1485, 'calcolo base'!$A:$A, 0)) = 0,
      INDEX('calcolo base'!$D:$D, MATCH($A1485, 'calcolo base'!$A:$A, 0)) = ""   ),
   INDEX('calcolo base'!$K:$K, MATCH($A1485, 'calcolo base'!$A:$A, 0)),
   INDEX('calcolo base'!$J:$J, MATCH($A1485, 'calcolo base'!$A:$A, 0))
) / 1000</f>
        <v>#N/A</v>
      </c>
      <c r="J1485" s="50" t="e">
        <f t="shared" si="265"/>
        <v>#N/A</v>
      </c>
      <c r="K1485" s="50"/>
      <c r="L1485" s="267" t="e">
        <f>INDEX('calcolo base'!$H:$H, MATCH($A1485, 'calcolo base'!$A:$A, 0))</f>
        <v>#N/A</v>
      </c>
      <c r="M1485" s="50" t="e">
        <f t="shared" si="266"/>
        <v>#N/A</v>
      </c>
      <c r="N1485" s="50" t="e">
        <f t="shared" si="267"/>
        <v>#N/A</v>
      </c>
      <c r="O1485" s="50" t="e">
        <f t="shared" si="272"/>
        <v>#N/A</v>
      </c>
      <c r="P1485" s="50" t="e">
        <f t="shared" si="268"/>
        <v>#N/A</v>
      </c>
      <c r="Q1485" s="51" t="e">
        <f t="shared" si="269"/>
        <v>#N/A</v>
      </c>
      <c r="R1485" s="205" t="e">
        <f t="shared" si="270"/>
        <v>#N/A</v>
      </c>
      <c r="S1485" s="279" t="e">
        <f>IF(R1485="si",0,IF(E1485="si",0,IF(J1485&gt;K1485,0,+K1485-J1485)))+IF('calcolo base'!P2177="SI",('Commissioni De Angeli'!K1485-'Commissioni De Angeli'!J1485),0)</f>
        <v>#N/A</v>
      </c>
      <c r="T1485" s="117" t="e">
        <f t="shared" si="271"/>
        <v>#N/A</v>
      </c>
      <c r="U1485" s="272" t="e">
        <f>IF(Q1485=0,'calcolo base'!L4084,(T1485+Q1485))</f>
        <v>#N/A</v>
      </c>
      <c r="V1485" s="119"/>
      <c r="Z1485" s="118">
        <f t="shared" si="262"/>
        <v>0</v>
      </c>
      <c r="AA1485" s="118">
        <f t="shared" si="263"/>
        <v>0</v>
      </c>
    </row>
    <row r="1486" spans="2:27">
      <c r="B1486" s="47"/>
      <c r="C1486" s="35"/>
      <c r="D1486" s="53"/>
      <c r="E1486" s="53"/>
      <c r="F1486" s="48"/>
      <c r="G1486" s="243" t="e">
        <f>INDEX('calcolo base'!$B:$B, MATCH($A1486, 'calcolo base'!$A:$A, 0))</f>
        <v>#N/A</v>
      </c>
      <c r="H1486" s="54" t="e">
        <f t="shared" si="264"/>
        <v>#N/A</v>
      </c>
      <c r="I1486" s="259" t="e">
        <f>IF(  OR(      INDEX('calcolo base'!$D:$D, MATCH($A1486, 'calcolo base'!$A:$A, 0)) = 0,
      INDEX('calcolo base'!$D:$D, MATCH($A1486, 'calcolo base'!$A:$A, 0)) = ""   ),
   INDEX('calcolo base'!$K:$K, MATCH($A1486, 'calcolo base'!$A:$A, 0)),
   INDEX('calcolo base'!$J:$J, MATCH($A1486, 'calcolo base'!$A:$A, 0))
) / 1000</f>
        <v>#N/A</v>
      </c>
      <c r="J1486" s="50" t="e">
        <f t="shared" si="265"/>
        <v>#N/A</v>
      </c>
      <c r="K1486" s="50"/>
      <c r="L1486" s="267" t="e">
        <f>INDEX('calcolo base'!$H:$H, MATCH($A1486, 'calcolo base'!$A:$A, 0))</f>
        <v>#N/A</v>
      </c>
      <c r="M1486" s="50" t="e">
        <f t="shared" si="266"/>
        <v>#N/A</v>
      </c>
      <c r="N1486" s="50" t="e">
        <f t="shared" si="267"/>
        <v>#N/A</v>
      </c>
      <c r="O1486" s="50" t="e">
        <f t="shared" si="272"/>
        <v>#N/A</v>
      </c>
      <c r="P1486" s="50" t="e">
        <f t="shared" si="268"/>
        <v>#N/A</v>
      </c>
      <c r="Q1486" s="51" t="e">
        <f t="shared" si="269"/>
        <v>#N/A</v>
      </c>
      <c r="R1486" s="205" t="e">
        <f t="shared" si="270"/>
        <v>#N/A</v>
      </c>
      <c r="S1486" s="279" t="e">
        <f>IF(R1486="si",0,IF(E1486="si",0,IF(J1486&gt;K1486,0,+K1486-J1486)))+IF('calcolo base'!P2178="SI",('Commissioni De Angeli'!K1486-'Commissioni De Angeli'!J1486),0)</f>
        <v>#N/A</v>
      </c>
      <c r="T1486" s="117" t="e">
        <f t="shared" si="271"/>
        <v>#N/A</v>
      </c>
      <c r="U1486" s="272" t="e">
        <f>IF(Q1486=0,'calcolo base'!L4085,(T1486+Q1486))</f>
        <v>#N/A</v>
      </c>
      <c r="V1486" s="119"/>
      <c r="Z1486" s="118">
        <f t="shared" si="262"/>
        <v>0</v>
      </c>
      <c r="AA1486" s="118">
        <f t="shared" si="263"/>
        <v>0</v>
      </c>
    </row>
    <row r="1487" spans="2:27">
      <c r="B1487" s="47"/>
      <c r="C1487" s="35"/>
      <c r="D1487" s="53"/>
      <c r="E1487" s="53"/>
      <c r="F1487" s="48"/>
      <c r="G1487" s="243" t="e">
        <f>INDEX('calcolo base'!$B:$B, MATCH($A1487, 'calcolo base'!$A:$A, 0))</f>
        <v>#N/A</v>
      </c>
      <c r="H1487" s="54" t="e">
        <f t="shared" si="264"/>
        <v>#N/A</v>
      </c>
      <c r="I1487" s="259" t="e">
        <f>IF(  OR(      INDEX('calcolo base'!$D:$D, MATCH($A1487, 'calcolo base'!$A:$A, 0)) = 0,
      INDEX('calcolo base'!$D:$D, MATCH($A1487, 'calcolo base'!$A:$A, 0)) = ""   ),
   INDEX('calcolo base'!$K:$K, MATCH($A1487, 'calcolo base'!$A:$A, 0)),
   INDEX('calcolo base'!$J:$J, MATCH($A1487, 'calcolo base'!$A:$A, 0))
) / 1000</f>
        <v>#N/A</v>
      </c>
      <c r="J1487" s="50" t="e">
        <f t="shared" si="265"/>
        <v>#N/A</v>
      </c>
      <c r="K1487" s="50"/>
      <c r="L1487" s="267" t="e">
        <f>INDEX('calcolo base'!$H:$H, MATCH($A1487, 'calcolo base'!$A:$A, 0))</f>
        <v>#N/A</v>
      </c>
      <c r="M1487" s="50" t="e">
        <f t="shared" si="266"/>
        <v>#N/A</v>
      </c>
      <c r="N1487" s="50" t="e">
        <f t="shared" si="267"/>
        <v>#N/A</v>
      </c>
      <c r="O1487" s="50" t="e">
        <f t="shared" si="272"/>
        <v>#N/A</v>
      </c>
      <c r="P1487" s="50" t="e">
        <f t="shared" si="268"/>
        <v>#N/A</v>
      </c>
      <c r="Q1487" s="51" t="e">
        <f t="shared" si="269"/>
        <v>#N/A</v>
      </c>
      <c r="R1487" s="205" t="e">
        <f t="shared" si="270"/>
        <v>#N/A</v>
      </c>
      <c r="S1487" s="279" t="e">
        <f>IF(R1487="si",0,IF(E1487="si",0,IF(J1487&gt;K1487,0,+K1487-J1487)))+IF('calcolo base'!P2179="SI",('Commissioni De Angeli'!K1487-'Commissioni De Angeli'!J1487),0)</f>
        <v>#N/A</v>
      </c>
      <c r="T1487" s="117" t="e">
        <f t="shared" si="271"/>
        <v>#N/A</v>
      </c>
      <c r="U1487" s="272" t="e">
        <f>IF(Q1487=0,'calcolo base'!L4086,(T1487+Q1487))</f>
        <v>#N/A</v>
      </c>
      <c r="V1487" s="119"/>
      <c r="Z1487" s="118">
        <f t="shared" si="262"/>
        <v>0</v>
      </c>
      <c r="AA1487" s="118">
        <f t="shared" si="263"/>
        <v>0</v>
      </c>
    </row>
    <row r="1488" spans="2:27">
      <c r="B1488" s="47"/>
      <c r="C1488" s="35"/>
      <c r="D1488" s="53"/>
      <c r="E1488" s="53"/>
      <c r="F1488" s="48"/>
      <c r="G1488" s="243" t="e">
        <f>INDEX('calcolo base'!$B:$B, MATCH($A1488, 'calcolo base'!$A:$A, 0))</f>
        <v>#N/A</v>
      </c>
      <c r="H1488" s="54" t="e">
        <f t="shared" si="264"/>
        <v>#N/A</v>
      </c>
      <c r="I1488" s="259" t="e">
        <f>IF(  OR(      INDEX('calcolo base'!$D:$D, MATCH($A1488, 'calcolo base'!$A:$A, 0)) = 0,
      INDEX('calcolo base'!$D:$D, MATCH($A1488, 'calcolo base'!$A:$A, 0)) = ""   ),
   INDEX('calcolo base'!$K:$K, MATCH($A1488, 'calcolo base'!$A:$A, 0)),
   INDEX('calcolo base'!$J:$J, MATCH($A1488, 'calcolo base'!$A:$A, 0))
) / 1000</f>
        <v>#N/A</v>
      </c>
      <c r="J1488" s="50" t="e">
        <f t="shared" si="265"/>
        <v>#N/A</v>
      </c>
      <c r="K1488" s="50"/>
      <c r="L1488" s="267" t="e">
        <f>INDEX('calcolo base'!$H:$H, MATCH($A1488, 'calcolo base'!$A:$A, 0))</f>
        <v>#N/A</v>
      </c>
      <c r="M1488" s="50" t="e">
        <f t="shared" si="266"/>
        <v>#N/A</v>
      </c>
      <c r="N1488" s="50" t="e">
        <f t="shared" si="267"/>
        <v>#N/A</v>
      </c>
      <c r="O1488" s="50" t="e">
        <f t="shared" si="272"/>
        <v>#N/A</v>
      </c>
      <c r="P1488" s="50" t="e">
        <f t="shared" si="268"/>
        <v>#N/A</v>
      </c>
      <c r="Q1488" s="51" t="e">
        <f t="shared" si="269"/>
        <v>#N/A</v>
      </c>
      <c r="R1488" s="205" t="e">
        <f t="shared" si="270"/>
        <v>#N/A</v>
      </c>
      <c r="S1488" s="279" t="e">
        <f>IF(R1488="si",0,IF(E1488="si",0,IF(J1488&gt;K1488,0,+K1488-J1488)))+IF('calcolo base'!P2180="SI",('Commissioni De Angeli'!K1488-'Commissioni De Angeli'!J1488),0)</f>
        <v>#N/A</v>
      </c>
      <c r="T1488" s="117" t="e">
        <f t="shared" si="271"/>
        <v>#N/A</v>
      </c>
      <c r="U1488" s="272" t="e">
        <f>IF(Q1488=0,'calcolo base'!L4087,(T1488+Q1488))</f>
        <v>#N/A</v>
      </c>
      <c r="V1488" s="119"/>
      <c r="Z1488" s="118">
        <f t="shared" si="262"/>
        <v>0</v>
      </c>
      <c r="AA1488" s="118">
        <f t="shared" si="263"/>
        <v>0</v>
      </c>
    </row>
    <row r="1489" spans="2:27">
      <c r="B1489" s="47"/>
      <c r="C1489" s="35"/>
      <c r="D1489" s="53"/>
      <c r="E1489" s="53"/>
      <c r="F1489" s="48"/>
      <c r="G1489" s="243" t="e">
        <f>INDEX('calcolo base'!$B:$B, MATCH($A1489, 'calcolo base'!$A:$A, 0))</f>
        <v>#N/A</v>
      </c>
      <c r="H1489" s="54" t="e">
        <f t="shared" si="264"/>
        <v>#N/A</v>
      </c>
      <c r="I1489" s="259" t="e">
        <f>IF(  OR(      INDEX('calcolo base'!$D:$D, MATCH($A1489, 'calcolo base'!$A:$A, 0)) = 0,
      INDEX('calcolo base'!$D:$D, MATCH($A1489, 'calcolo base'!$A:$A, 0)) = ""   ),
   INDEX('calcolo base'!$K:$K, MATCH($A1489, 'calcolo base'!$A:$A, 0)),
   INDEX('calcolo base'!$J:$J, MATCH($A1489, 'calcolo base'!$A:$A, 0))
) / 1000</f>
        <v>#N/A</v>
      </c>
      <c r="J1489" s="50" t="e">
        <f t="shared" si="265"/>
        <v>#N/A</v>
      </c>
      <c r="K1489" s="50"/>
      <c r="L1489" s="267" t="e">
        <f>INDEX('calcolo base'!$H:$H, MATCH($A1489, 'calcolo base'!$A:$A, 0))</f>
        <v>#N/A</v>
      </c>
      <c r="M1489" s="50" t="e">
        <f t="shared" si="266"/>
        <v>#N/A</v>
      </c>
      <c r="N1489" s="50" t="e">
        <f t="shared" si="267"/>
        <v>#N/A</v>
      </c>
      <c r="O1489" s="50" t="e">
        <f t="shared" si="272"/>
        <v>#N/A</v>
      </c>
      <c r="P1489" s="50" t="e">
        <f t="shared" si="268"/>
        <v>#N/A</v>
      </c>
      <c r="Q1489" s="51" t="e">
        <f t="shared" si="269"/>
        <v>#N/A</v>
      </c>
      <c r="R1489" s="205" t="e">
        <f t="shared" si="270"/>
        <v>#N/A</v>
      </c>
      <c r="S1489" s="279" t="e">
        <f>IF(R1489="si",0,IF(E1489="si",0,IF(J1489&gt;K1489,0,+K1489-J1489)))+IF('calcolo base'!P2181="SI",('Commissioni De Angeli'!K1489-'Commissioni De Angeli'!J1489),0)</f>
        <v>#N/A</v>
      </c>
      <c r="T1489" s="117" t="e">
        <f t="shared" si="271"/>
        <v>#N/A</v>
      </c>
      <c r="U1489" s="272" t="e">
        <f>IF(Q1489=0,'calcolo base'!L4088,(T1489+Q1489))</f>
        <v>#N/A</v>
      </c>
      <c r="V1489" s="119"/>
      <c r="Z1489" s="118">
        <f t="shared" si="262"/>
        <v>0</v>
      </c>
      <c r="AA1489" s="118">
        <f t="shared" si="263"/>
        <v>0</v>
      </c>
    </row>
    <row r="1490" spans="2:27">
      <c r="B1490" s="47"/>
      <c r="C1490" s="35"/>
      <c r="D1490" s="53"/>
      <c r="E1490" s="53"/>
      <c r="F1490" s="48"/>
      <c r="G1490" s="243" t="e">
        <f>INDEX('calcolo base'!$B:$B, MATCH($A1490, 'calcolo base'!$A:$A, 0))</f>
        <v>#N/A</v>
      </c>
      <c r="H1490" s="54" t="e">
        <f t="shared" si="264"/>
        <v>#N/A</v>
      </c>
      <c r="I1490" s="259" t="e">
        <f>IF(  OR(      INDEX('calcolo base'!$D:$D, MATCH($A1490, 'calcolo base'!$A:$A, 0)) = 0,
      INDEX('calcolo base'!$D:$D, MATCH($A1490, 'calcolo base'!$A:$A, 0)) = ""   ),
   INDEX('calcolo base'!$K:$K, MATCH($A1490, 'calcolo base'!$A:$A, 0)),
   INDEX('calcolo base'!$J:$J, MATCH($A1490, 'calcolo base'!$A:$A, 0))
) / 1000</f>
        <v>#N/A</v>
      </c>
      <c r="J1490" s="50" t="e">
        <f t="shared" si="265"/>
        <v>#N/A</v>
      </c>
      <c r="K1490" s="50"/>
      <c r="L1490" s="267" t="e">
        <f>INDEX('calcolo base'!$H:$H, MATCH($A1490, 'calcolo base'!$A:$A, 0))</f>
        <v>#N/A</v>
      </c>
      <c r="M1490" s="50" t="e">
        <f t="shared" si="266"/>
        <v>#N/A</v>
      </c>
      <c r="N1490" s="50" t="e">
        <f t="shared" si="267"/>
        <v>#N/A</v>
      </c>
      <c r="O1490" s="50" t="e">
        <f t="shared" si="272"/>
        <v>#N/A</v>
      </c>
      <c r="P1490" s="50" t="e">
        <f t="shared" si="268"/>
        <v>#N/A</v>
      </c>
      <c r="Q1490" s="51" t="e">
        <f t="shared" si="269"/>
        <v>#N/A</v>
      </c>
      <c r="R1490" s="205" t="e">
        <f t="shared" si="270"/>
        <v>#N/A</v>
      </c>
      <c r="S1490" s="279" t="e">
        <f>IF(R1490="si",0,IF(E1490="si",0,IF(J1490&gt;K1490,0,+K1490-J1490)))+IF('calcolo base'!P2182="SI",('Commissioni De Angeli'!K1490-'Commissioni De Angeli'!J1490),0)</f>
        <v>#N/A</v>
      </c>
      <c r="T1490" s="117" t="e">
        <f t="shared" si="271"/>
        <v>#N/A</v>
      </c>
      <c r="U1490" s="272" t="e">
        <f>IF(Q1490=0,'calcolo base'!L4089,(T1490+Q1490))</f>
        <v>#N/A</v>
      </c>
      <c r="V1490" s="119"/>
      <c r="Z1490" s="118">
        <f t="shared" si="262"/>
        <v>0</v>
      </c>
      <c r="AA1490" s="118">
        <f t="shared" si="263"/>
        <v>0</v>
      </c>
    </row>
    <row r="1491" spans="2:27">
      <c r="B1491" s="47"/>
      <c r="C1491" s="35"/>
      <c r="D1491" s="53"/>
      <c r="E1491" s="53"/>
      <c r="F1491" s="48"/>
      <c r="G1491" s="243" t="e">
        <f>INDEX('calcolo base'!$B:$B, MATCH($A1491, 'calcolo base'!$A:$A, 0))</f>
        <v>#N/A</v>
      </c>
      <c r="H1491" s="54" t="e">
        <f t="shared" si="264"/>
        <v>#N/A</v>
      </c>
      <c r="I1491" s="259" t="e">
        <f>IF(  OR(      INDEX('calcolo base'!$D:$D, MATCH($A1491, 'calcolo base'!$A:$A, 0)) = 0,
      INDEX('calcolo base'!$D:$D, MATCH($A1491, 'calcolo base'!$A:$A, 0)) = ""   ),
   INDEX('calcolo base'!$K:$K, MATCH($A1491, 'calcolo base'!$A:$A, 0)),
   INDEX('calcolo base'!$J:$J, MATCH($A1491, 'calcolo base'!$A:$A, 0))
) / 1000</f>
        <v>#N/A</v>
      </c>
      <c r="J1491" s="50" t="e">
        <f t="shared" si="265"/>
        <v>#N/A</v>
      </c>
      <c r="K1491" s="50"/>
      <c r="L1491" s="267" t="e">
        <f>INDEX('calcolo base'!$H:$H, MATCH($A1491, 'calcolo base'!$A:$A, 0))</f>
        <v>#N/A</v>
      </c>
      <c r="M1491" s="50" t="e">
        <f t="shared" si="266"/>
        <v>#N/A</v>
      </c>
      <c r="N1491" s="50" t="e">
        <f t="shared" si="267"/>
        <v>#N/A</v>
      </c>
      <c r="O1491" s="50" t="e">
        <f t="shared" si="272"/>
        <v>#N/A</v>
      </c>
      <c r="P1491" s="50" t="e">
        <f t="shared" si="268"/>
        <v>#N/A</v>
      </c>
      <c r="Q1491" s="51" t="e">
        <f t="shared" si="269"/>
        <v>#N/A</v>
      </c>
      <c r="R1491" s="205" t="e">
        <f t="shared" si="270"/>
        <v>#N/A</v>
      </c>
      <c r="S1491" s="279" t="e">
        <f>IF(R1491="si",0,IF(E1491="si",0,IF(J1491&gt;K1491,0,+K1491-J1491)))+IF('calcolo base'!P2183="SI",('Commissioni De Angeli'!K1491-'Commissioni De Angeli'!J1491),0)</f>
        <v>#N/A</v>
      </c>
      <c r="T1491" s="117" t="e">
        <f t="shared" si="271"/>
        <v>#N/A</v>
      </c>
      <c r="U1491" s="272" t="e">
        <f>IF(Q1491=0,'calcolo base'!L4090,(T1491+Q1491))</f>
        <v>#N/A</v>
      </c>
      <c r="V1491" s="119"/>
      <c r="Z1491" s="118">
        <f t="shared" si="262"/>
        <v>0</v>
      </c>
      <c r="AA1491" s="118">
        <f t="shared" si="263"/>
        <v>0</v>
      </c>
    </row>
    <row r="1492" spans="2:27">
      <c r="B1492" s="47"/>
      <c r="C1492" s="35"/>
      <c r="D1492" s="53"/>
      <c r="E1492" s="53"/>
      <c r="F1492" s="48"/>
      <c r="G1492" s="243" t="e">
        <f>INDEX('calcolo base'!$B:$B, MATCH($A1492, 'calcolo base'!$A:$A, 0))</f>
        <v>#N/A</v>
      </c>
      <c r="H1492" s="54" t="e">
        <f t="shared" si="264"/>
        <v>#N/A</v>
      </c>
      <c r="I1492" s="259" t="e">
        <f>IF(  OR(      INDEX('calcolo base'!$D:$D, MATCH($A1492, 'calcolo base'!$A:$A, 0)) = 0,
      INDEX('calcolo base'!$D:$D, MATCH($A1492, 'calcolo base'!$A:$A, 0)) = ""   ),
   INDEX('calcolo base'!$K:$K, MATCH($A1492, 'calcolo base'!$A:$A, 0)),
   INDEX('calcolo base'!$J:$J, MATCH($A1492, 'calcolo base'!$A:$A, 0))
) / 1000</f>
        <v>#N/A</v>
      </c>
      <c r="J1492" s="50" t="e">
        <f t="shared" si="265"/>
        <v>#N/A</v>
      </c>
      <c r="K1492" s="50"/>
      <c r="L1492" s="267" t="e">
        <f>INDEX('calcolo base'!$H:$H, MATCH($A1492, 'calcolo base'!$A:$A, 0))</f>
        <v>#N/A</v>
      </c>
      <c r="M1492" s="50" t="e">
        <f t="shared" si="266"/>
        <v>#N/A</v>
      </c>
      <c r="N1492" s="50" t="e">
        <f t="shared" si="267"/>
        <v>#N/A</v>
      </c>
      <c r="O1492" s="50" t="e">
        <f t="shared" si="272"/>
        <v>#N/A</v>
      </c>
      <c r="P1492" s="50" t="e">
        <f t="shared" si="268"/>
        <v>#N/A</v>
      </c>
      <c r="Q1492" s="51" t="e">
        <f t="shared" si="269"/>
        <v>#N/A</v>
      </c>
      <c r="R1492" s="205" t="e">
        <f t="shared" si="270"/>
        <v>#N/A</v>
      </c>
      <c r="S1492" s="279" t="e">
        <f>IF(R1492="si",0,IF(E1492="si",0,IF(J1492&gt;K1492,0,+K1492-J1492)))+IF('calcolo base'!P2184="SI",('Commissioni De Angeli'!K1492-'Commissioni De Angeli'!J1492),0)</f>
        <v>#N/A</v>
      </c>
      <c r="T1492" s="117" t="e">
        <f t="shared" si="271"/>
        <v>#N/A</v>
      </c>
      <c r="U1492" s="272" t="e">
        <f>IF(Q1492=0,'calcolo base'!L4091,(T1492+Q1492))</f>
        <v>#N/A</v>
      </c>
      <c r="V1492" s="119"/>
      <c r="Z1492" s="118">
        <f t="shared" si="262"/>
        <v>0</v>
      </c>
      <c r="AA1492" s="118">
        <f t="shared" si="263"/>
        <v>0</v>
      </c>
    </row>
    <row r="1493" spans="2:27">
      <c r="B1493" s="47"/>
      <c r="C1493" s="35"/>
      <c r="D1493" s="53"/>
      <c r="E1493" s="53"/>
      <c r="F1493" s="48"/>
      <c r="G1493" s="243" t="e">
        <f>INDEX('calcolo base'!$B:$B, MATCH($A1493, 'calcolo base'!$A:$A, 0))</f>
        <v>#N/A</v>
      </c>
      <c r="H1493" s="54" t="e">
        <f t="shared" si="264"/>
        <v>#N/A</v>
      </c>
      <c r="I1493" s="259" t="e">
        <f>IF(  OR(      INDEX('calcolo base'!$D:$D, MATCH($A1493, 'calcolo base'!$A:$A, 0)) = 0,
      INDEX('calcolo base'!$D:$D, MATCH($A1493, 'calcolo base'!$A:$A, 0)) = ""   ),
   INDEX('calcolo base'!$K:$K, MATCH($A1493, 'calcolo base'!$A:$A, 0)),
   INDEX('calcolo base'!$J:$J, MATCH($A1493, 'calcolo base'!$A:$A, 0))
) / 1000</f>
        <v>#N/A</v>
      </c>
      <c r="J1493" s="50" t="e">
        <f t="shared" si="265"/>
        <v>#N/A</v>
      </c>
      <c r="K1493" s="50"/>
      <c r="L1493" s="267" t="e">
        <f>INDEX('calcolo base'!$H:$H, MATCH($A1493, 'calcolo base'!$A:$A, 0))</f>
        <v>#N/A</v>
      </c>
      <c r="M1493" s="50" t="e">
        <f t="shared" si="266"/>
        <v>#N/A</v>
      </c>
      <c r="N1493" s="50" t="e">
        <f t="shared" si="267"/>
        <v>#N/A</v>
      </c>
      <c r="O1493" s="50" t="e">
        <f t="shared" si="272"/>
        <v>#N/A</v>
      </c>
      <c r="P1493" s="50" t="e">
        <f t="shared" si="268"/>
        <v>#N/A</v>
      </c>
      <c r="Q1493" s="51" t="e">
        <f t="shared" si="269"/>
        <v>#N/A</v>
      </c>
      <c r="R1493" s="205" t="e">
        <f t="shared" si="270"/>
        <v>#N/A</v>
      </c>
      <c r="S1493" s="279" t="e">
        <f>IF(R1493="si",0,IF(E1493="si",0,IF(J1493&gt;K1493,0,+K1493-J1493)))+IF('calcolo base'!P2185="SI",('Commissioni De Angeli'!K1493-'Commissioni De Angeli'!J1493),0)</f>
        <v>#N/A</v>
      </c>
      <c r="T1493" s="117" t="e">
        <f t="shared" si="271"/>
        <v>#N/A</v>
      </c>
      <c r="U1493" s="272" t="e">
        <f>IF(Q1493=0,'calcolo base'!L4092,(T1493+Q1493))</f>
        <v>#N/A</v>
      </c>
      <c r="V1493" s="119"/>
      <c r="Z1493" s="118">
        <f t="shared" ref="Z1493:Z1556" si="273">IF(V1493="",0,MONTH(V1493))</f>
        <v>0</v>
      </c>
      <c r="AA1493" s="118">
        <f t="shared" ref="AA1493:AA1556" si="274">IF(V1493="",0,YEAR(V1493))</f>
        <v>0</v>
      </c>
    </row>
    <row r="1494" spans="2:27">
      <c r="B1494" s="47"/>
      <c r="C1494" s="35"/>
      <c r="D1494" s="53"/>
      <c r="E1494" s="53"/>
      <c r="F1494" s="48"/>
      <c r="G1494" s="243" t="e">
        <f>INDEX('calcolo base'!$B:$B, MATCH($A1494, 'calcolo base'!$A:$A, 0))</f>
        <v>#N/A</v>
      </c>
      <c r="H1494" s="54" t="e">
        <f t="shared" si="264"/>
        <v>#N/A</v>
      </c>
      <c r="I1494" s="259" t="e">
        <f>IF(  OR(      INDEX('calcolo base'!$D:$D, MATCH($A1494, 'calcolo base'!$A:$A, 0)) = 0,
      INDEX('calcolo base'!$D:$D, MATCH($A1494, 'calcolo base'!$A:$A, 0)) = ""   ),
   INDEX('calcolo base'!$K:$K, MATCH($A1494, 'calcolo base'!$A:$A, 0)),
   INDEX('calcolo base'!$J:$J, MATCH($A1494, 'calcolo base'!$A:$A, 0))
) / 1000</f>
        <v>#N/A</v>
      </c>
      <c r="J1494" s="50" t="e">
        <f t="shared" si="265"/>
        <v>#N/A</v>
      </c>
      <c r="K1494" s="50"/>
      <c r="L1494" s="267" t="e">
        <f>INDEX('calcolo base'!$H:$H, MATCH($A1494, 'calcolo base'!$A:$A, 0))</f>
        <v>#N/A</v>
      </c>
      <c r="M1494" s="50" t="e">
        <f t="shared" si="266"/>
        <v>#N/A</v>
      </c>
      <c r="N1494" s="50" t="e">
        <f t="shared" si="267"/>
        <v>#N/A</v>
      </c>
      <c r="O1494" s="50" t="e">
        <f t="shared" si="272"/>
        <v>#N/A</v>
      </c>
      <c r="P1494" s="50" t="e">
        <f t="shared" si="268"/>
        <v>#N/A</v>
      </c>
      <c r="Q1494" s="51" t="e">
        <f t="shared" si="269"/>
        <v>#N/A</v>
      </c>
      <c r="R1494" s="205" t="e">
        <f t="shared" si="270"/>
        <v>#N/A</v>
      </c>
      <c r="S1494" s="279" t="e">
        <f>IF(R1494="si",0,IF(E1494="si",0,IF(J1494&gt;K1494,0,+K1494-J1494)))+IF('calcolo base'!P2186="SI",('Commissioni De Angeli'!K1494-'Commissioni De Angeli'!J1494),0)</f>
        <v>#N/A</v>
      </c>
      <c r="T1494" s="117" t="e">
        <f t="shared" si="271"/>
        <v>#N/A</v>
      </c>
      <c r="U1494" s="272" t="e">
        <f>IF(Q1494=0,'calcolo base'!L4093,(T1494+Q1494))</f>
        <v>#N/A</v>
      </c>
      <c r="V1494" s="119"/>
      <c r="Z1494" s="118">
        <f t="shared" si="273"/>
        <v>0</v>
      </c>
      <c r="AA1494" s="118">
        <f t="shared" si="274"/>
        <v>0</v>
      </c>
    </row>
    <row r="1495" spans="2:27">
      <c r="B1495" s="47"/>
      <c r="C1495" s="35"/>
      <c r="D1495" s="53"/>
      <c r="E1495" s="53"/>
      <c r="F1495" s="48"/>
      <c r="G1495" s="243" t="e">
        <f>INDEX('calcolo base'!$B:$B, MATCH($A1495, 'calcolo base'!$A:$A, 0))</f>
        <v>#N/A</v>
      </c>
      <c r="H1495" s="54" t="e">
        <f t="shared" si="264"/>
        <v>#N/A</v>
      </c>
      <c r="I1495" s="259" t="e">
        <f>IF(  OR(      INDEX('calcolo base'!$D:$D, MATCH($A1495, 'calcolo base'!$A:$A, 0)) = 0,
      INDEX('calcolo base'!$D:$D, MATCH($A1495, 'calcolo base'!$A:$A, 0)) = ""   ),
   INDEX('calcolo base'!$K:$K, MATCH($A1495, 'calcolo base'!$A:$A, 0)),
   INDEX('calcolo base'!$J:$J, MATCH($A1495, 'calcolo base'!$A:$A, 0))
) / 1000</f>
        <v>#N/A</v>
      </c>
      <c r="J1495" s="50" t="e">
        <f t="shared" si="265"/>
        <v>#N/A</v>
      </c>
      <c r="K1495" s="50"/>
      <c r="L1495" s="267" t="e">
        <f>INDEX('calcolo base'!$H:$H, MATCH($A1495, 'calcolo base'!$A:$A, 0))</f>
        <v>#N/A</v>
      </c>
      <c r="M1495" s="50" t="e">
        <f t="shared" si="266"/>
        <v>#N/A</v>
      </c>
      <c r="N1495" s="50" t="e">
        <f t="shared" si="267"/>
        <v>#N/A</v>
      </c>
      <c r="O1495" s="50" t="e">
        <f t="shared" si="272"/>
        <v>#N/A</v>
      </c>
      <c r="P1495" s="50" t="e">
        <f t="shared" si="268"/>
        <v>#N/A</v>
      </c>
      <c r="Q1495" s="51" t="e">
        <f t="shared" si="269"/>
        <v>#N/A</v>
      </c>
      <c r="R1495" s="205" t="e">
        <f t="shared" si="270"/>
        <v>#N/A</v>
      </c>
      <c r="S1495" s="279" t="e">
        <f>IF(R1495="si",0,IF(E1495="si",0,IF(J1495&gt;K1495,0,+K1495-J1495)))+IF('calcolo base'!P2187="SI",('Commissioni De Angeli'!K1495-'Commissioni De Angeli'!J1495),0)</f>
        <v>#N/A</v>
      </c>
      <c r="T1495" s="117" t="e">
        <f t="shared" si="271"/>
        <v>#N/A</v>
      </c>
      <c r="U1495" s="272" t="e">
        <f>IF(Q1495=0,'calcolo base'!L4094,(T1495+Q1495))</f>
        <v>#N/A</v>
      </c>
      <c r="V1495" s="119"/>
      <c r="Z1495" s="118">
        <f t="shared" si="273"/>
        <v>0</v>
      </c>
      <c r="AA1495" s="118">
        <f t="shared" si="274"/>
        <v>0</v>
      </c>
    </row>
    <row r="1496" spans="2:27">
      <c r="B1496" s="47"/>
      <c r="C1496" s="35"/>
      <c r="D1496" s="53"/>
      <c r="E1496" s="53"/>
      <c r="F1496" s="48"/>
      <c r="G1496" s="243" t="e">
        <f>INDEX('calcolo base'!$B:$B, MATCH($A1496, 'calcolo base'!$A:$A, 0))</f>
        <v>#N/A</v>
      </c>
      <c r="H1496" s="54" t="e">
        <f t="shared" si="264"/>
        <v>#N/A</v>
      </c>
      <c r="I1496" s="259" t="e">
        <f>IF(  OR(      INDEX('calcolo base'!$D:$D, MATCH($A1496, 'calcolo base'!$A:$A, 0)) = 0,
      INDEX('calcolo base'!$D:$D, MATCH($A1496, 'calcolo base'!$A:$A, 0)) = ""   ),
   INDEX('calcolo base'!$K:$K, MATCH($A1496, 'calcolo base'!$A:$A, 0)),
   INDEX('calcolo base'!$J:$J, MATCH($A1496, 'calcolo base'!$A:$A, 0))
) / 1000</f>
        <v>#N/A</v>
      </c>
      <c r="J1496" s="50" t="e">
        <f t="shared" si="265"/>
        <v>#N/A</v>
      </c>
      <c r="K1496" s="50"/>
      <c r="L1496" s="267" t="e">
        <f>INDEX('calcolo base'!$H:$H, MATCH($A1496, 'calcolo base'!$A:$A, 0))</f>
        <v>#N/A</v>
      </c>
      <c r="M1496" s="50" t="e">
        <f t="shared" si="266"/>
        <v>#N/A</v>
      </c>
      <c r="N1496" s="50" t="e">
        <f t="shared" si="267"/>
        <v>#N/A</v>
      </c>
      <c r="O1496" s="50" t="e">
        <f t="shared" si="272"/>
        <v>#N/A</v>
      </c>
      <c r="P1496" s="50" t="e">
        <f t="shared" si="268"/>
        <v>#N/A</v>
      </c>
      <c r="Q1496" s="51" t="e">
        <f t="shared" si="269"/>
        <v>#N/A</v>
      </c>
      <c r="R1496" s="205" t="e">
        <f t="shared" si="270"/>
        <v>#N/A</v>
      </c>
      <c r="S1496" s="279" t="e">
        <f>IF(R1496="si",0,IF(E1496="si",0,IF(J1496&gt;K1496,0,+K1496-J1496)))+IF('calcolo base'!P2188="SI",('Commissioni De Angeli'!K1496-'Commissioni De Angeli'!J1496),0)</f>
        <v>#N/A</v>
      </c>
      <c r="T1496" s="117" t="e">
        <f t="shared" si="271"/>
        <v>#N/A</v>
      </c>
      <c r="U1496" s="272" t="e">
        <f>IF(Q1496=0,'calcolo base'!L4095,(T1496+Q1496))</f>
        <v>#N/A</v>
      </c>
      <c r="V1496" s="119"/>
      <c r="Z1496" s="118">
        <f t="shared" si="273"/>
        <v>0</v>
      </c>
      <c r="AA1496" s="118">
        <f t="shared" si="274"/>
        <v>0</v>
      </c>
    </row>
    <row r="1497" spans="2:27">
      <c r="B1497" s="47"/>
      <c r="C1497" s="35"/>
      <c r="D1497" s="53"/>
      <c r="E1497" s="53"/>
      <c r="F1497" s="48"/>
      <c r="G1497" s="243" t="e">
        <f>INDEX('calcolo base'!$B:$B, MATCH($A1497, 'calcolo base'!$A:$A, 0))</f>
        <v>#N/A</v>
      </c>
      <c r="H1497" s="54" t="e">
        <f t="shared" si="264"/>
        <v>#N/A</v>
      </c>
      <c r="I1497" s="259" t="e">
        <f>IF(  OR(      INDEX('calcolo base'!$D:$D, MATCH($A1497, 'calcolo base'!$A:$A, 0)) = 0,
      INDEX('calcolo base'!$D:$D, MATCH($A1497, 'calcolo base'!$A:$A, 0)) = ""   ),
   INDEX('calcolo base'!$K:$K, MATCH($A1497, 'calcolo base'!$A:$A, 0)),
   INDEX('calcolo base'!$J:$J, MATCH($A1497, 'calcolo base'!$A:$A, 0))
) / 1000</f>
        <v>#N/A</v>
      </c>
      <c r="J1497" s="50" t="e">
        <f t="shared" si="265"/>
        <v>#N/A</v>
      </c>
      <c r="K1497" s="50"/>
      <c r="L1497" s="267" t="e">
        <f>INDEX('calcolo base'!$H:$H, MATCH($A1497, 'calcolo base'!$A:$A, 0))</f>
        <v>#N/A</v>
      </c>
      <c r="M1497" s="50" t="e">
        <f t="shared" si="266"/>
        <v>#N/A</v>
      </c>
      <c r="N1497" s="50" t="e">
        <f t="shared" si="267"/>
        <v>#N/A</v>
      </c>
      <c r="O1497" s="50" t="e">
        <f t="shared" si="272"/>
        <v>#N/A</v>
      </c>
      <c r="P1497" s="50" t="e">
        <f t="shared" si="268"/>
        <v>#N/A</v>
      </c>
      <c r="Q1497" s="51" t="e">
        <f t="shared" si="269"/>
        <v>#N/A</v>
      </c>
      <c r="R1497" s="205" t="e">
        <f t="shared" si="270"/>
        <v>#N/A</v>
      </c>
      <c r="S1497" s="279" t="e">
        <f>IF(R1497="si",0,IF(E1497="si",0,IF(J1497&gt;K1497,0,+K1497-J1497)))+IF('calcolo base'!P2189="SI",('Commissioni De Angeli'!K1497-'Commissioni De Angeli'!J1497),0)</f>
        <v>#N/A</v>
      </c>
      <c r="T1497" s="117" t="e">
        <f t="shared" si="271"/>
        <v>#N/A</v>
      </c>
      <c r="U1497" s="272" t="e">
        <f>IF(Q1497=0,'calcolo base'!L4096,(T1497+Q1497))</f>
        <v>#N/A</v>
      </c>
      <c r="V1497" s="119"/>
      <c r="Z1497" s="118">
        <f t="shared" si="273"/>
        <v>0</v>
      </c>
      <c r="AA1497" s="118">
        <f t="shared" si="274"/>
        <v>0</v>
      </c>
    </row>
    <row r="1498" spans="2:27">
      <c r="B1498" s="47"/>
      <c r="C1498" s="35"/>
      <c r="D1498" s="53"/>
      <c r="E1498" s="53"/>
      <c r="F1498" s="48"/>
      <c r="G1498" s="243" t="e">
        <f>INDEX('calcolo base'!$B:$B, MATCH($A1498, 'calcolo base'!$A:$A, 0))</f>
        <v>#N/A</v>
      </c>
      <c r="H1498" s="54" t="e">
        <f t="shared" si="264"/>
        <v>#N/A</v>
      </c>
      <c r="I1498" s="259" t="e">
        <f>IF(  OR(      INDEX('calcolo base'!$D:$D, MATCH($A1498, 'calcolo base'!$A:$A, 0)) = 0,
      INDEX('calcolo base'!$D:$D, MATCH($A1498, 'calcolo base'!$A:$A, 0)) = ""   ),
   INDEX('calcolo base'!$K:$K, MATCH($A1498, 'calcolo base'!$A:$A, 0)),
   INDEX('calcolo base'!$J:$J, MATCH($A1498, 'calcolo base'!$A:$A, 0))
) / 1000</f>
        <v>#N/A</v>
      </c>
      <c r="J1498" s="50" t="e">
        <f t="shared" si="265"/>
        <v>#N/A</v>
      </c>
      <c r="K1498" s="50"/>
      <c r="L1498" s="267" t="e">
        <f>INDEX('calcolo base'!$H:$H, MATCH($A1498, 'calcolo base'!$A:$A, 0))</f>
        <v>#N/A</v>
      </c>
      <c r="M1498" s="50" t="e">
        <f t="shared" si="266"/>
        <v>#N/A</v>
      </c>
      <c r="N1498" s="50" t="e">
        <f t="shared" si="267"/>
        <v>#N/A</v>
      </c>
      <c r="O1498" s="50" t="e">
        <f t="shared" si="272"/>
        <v>#N/A</v>
      </c>
      <c r="P1498" s="50" t="e">
        <f t="shared" si="268"/>
        <v>#N/A</v>
      </c>
      <c r="Q1498" s="51" t="e">
        <f t="shared" si="269"/>
        <v>#N/A</v>
      </c>
      <c r="R1498" s="205" t="e">
        <f t="shared" si="270"/>
        <v>#N/A</v>
      </c>
      <c r="S1498" s="279" t="e">
        <f>IF(R1498="si",0,IF(E1498="si",0,IF(J1498&gt;K1498,0,+K1498-J1498)))+IF('calcolo base'!P2190="SI",('Commissioni De Angeli'!K1498-'Commissioni De Angeli'!J1498),0)</f>
        <v>#N/A</v>
      </c>
      <c r="T1498" s="117" t="e">
        <f t="shared" si="271"/>
        <v>#N/A</v>
      </c>
      <c r="U1498" s="272" t="e">
        <f>IF(Q1498=0,'calcolo base'!L4097,(T1498+Q1498))</f>
        <v>#N/A</v>
      </c>
      <c r="V1498" s="119"/>
      <c r="Z1498" s="118">
        <f t="shared" si="273"/>
        <v>0</v>
      </c>
      <c r="AA1498" s="118">
        <f t="shared" si="274"/>
        <v>0</v>
      </c>
    </row>
    <row r="1499" spans="2:27">
      <c r="B1499" s="47"/>
      <c r="C1499" s="35"/>
      <c r="D1499" s="53"/>
      <c r="E1499" s="53"/>
      <c r="F1499" s="48"/>
      <c r="G1499" s="243" t="e">
        <f>INDEX('calcolo base'!$B:$B, MATCH($A1499, 'calcolo base'!$A:$A, 0))</f>
        <v>#N/A</v>
      </c>
      <c r="H1499" s="54" t="e">
        <f t="shared" si="264"/>
        <v>#N/A</v>
      </c>
      <c r="I1499" s="259" t="e">
        <f>IF(  OR(      INDEX('calcolo base'!$D:$D, MATCH($A1499, 'calcolo base'!$A:$A, 0)) = 0,
      INDEX('calcolo base'!$D:$D, MATCH($A1499, 'calcolo base'!$A:$A, 0)) = ""   ),
   INDEX('calcolo base'!$K:$K, MATCH($A1499, 'calcolo base'!$A:$A, 0)),
   INDEX('calcolo base'!$J:$J, MATCH($A1499, 'calcolo base'!$A:$A, 0))
) / 1000</f>
        <v>#N/A</v>
      </c>
      <c r="J1499" s="50" t="e">
        <f t="shared" si="265"/>
        <v>#N/A</v>
      </c>
      <c r="K1499" s="50"/>
      <c r="L1499" s="267" t="e">
        <f>INDEX('calcolo base'!$H:$H, MATCH($A1499, 'calcolo base'!$A:$A, 0))</f>
        <v>#N/A</v>
      </c>
      <c r="M1499" s="50" t="e">
        <f t="shared" si="266"/>
        <v>#N/A</v>
      </c>
      <c r="N1499" s="50" t="e">
        <f t="shared" si="267"/>
        <v>#N/A</v>
      </c>
      <c r="O1499" s="50" t="e">
        <f t="shared" si="272"/>
        <v>#N/A</v>
      </c>
      <c r="P1499" s="50" t="e">
        <f t="shared" si="268"/>
        <v>#N/A</v>
      </c>
      <c r="Q1499" s="51" t="e">
        <f t="shared" si="269"/>
        <v>#N/A</v>
      </c>
      <c r="R1499" s="205" t="e">
        <f t="shared" si="270"/>
        <v>#N/A</v>
      </c>
      <c r="S1499" s="279" t="e">
        <f>IF(R1499="si",0,IF(E1499="si",0,IF(J1499&gt;K1499,0,+K1499-J1499)))+IF('calcolo base'!P2191="SI",('Commissioni De Angeli'!K1499-'Commissioni De Angeli'!J1499),0)</f>
        <v>#N/A</v>
      </c>
      <c r="T1499" s="117" t="e">
        <f t="shared" si="271"/>
        <v>#N/A</v>
      </c>
      <c r="U1499" s="272" t="e">
        <f>IF(Q1499=0,'calcolo base'!L4098,(T1499+Q1499))</f>
        <v>#N/A</v>
      </c>
      <c r="V1499" s="119"/>
      <c r="Z1499" s="118">
        <f t="shared" si="273"/>
        <v>0</v>
      </c>
      <c r="AA1499" s="118">
        <f t="shared" si="274"/>
        <v>0</v>
      </c>
    </row>
    <row r="1500" spans="2:27">
      <c r="B1500" s="47"/>
      <c r="C1500" s="35"/>
      <c r="D1500" s="53"/>
      <c r="E1500" s="53"/>
      <c r="F1500" s="48"/>
      <c r="G1500" s="243" t="e">
        <f>INDEX('calcolo base'!$B:$B, MATCH($A1500, 'calcolo base'!$A:$A, 0))</f>
        <v>#N/A</v>
      </c>
      <c r="H1500" s="54" t="e">
        <f t="shared" ref="H1500:H1563" si="275">IF(G1500=0,"",+G1500)</f>
        <v>#N/A</v>
      </c>
      <c r="I1500" s="259" t="e">
        <f>IF(  OR(      INDEX('calcolo base'!$D:$D, MATCH($A1500, 'calcolo base'!$A:$A, 0)) = 0,
      INDEX('calcolo base'!$D:$D, MATCH($A1500, 'calcolo base'!$A:$A, 0)) = ""   ),
   INDEX('calcolo base'!$K:$K, MATCH($A1500, 'calcolo base'!$A:$A, 0)),
   INDEX('calcolo base'!$J:$J, MATCH($A1500, 'calcolo base'!$A:$A, 0))
) / 1000</f>
        <v>#N/A</v>
      </c>
      <c r="J1500" s="50" t="e">
        <f t="shared" ref="J1500:J1563" si="276">+F1500+I1500</f>
        <v>#N/A</v>
      </c>
      <c r="K1500" s="50"/>
      <c r="L1500" s="267" t="e">
        <f>INDEX('calcolo base'!$H:$H, MATCH($A1500, 'calcolo base'!$A:$A, 0))</f>
        <v>#N/A</v>
      </c>
      <c r="M1500" s="50" t="e">
        <f t="shared" ref="M1500:M1563" si="277">IF(L1500=0,0,J1500*L1500)</f>
        <v>#N/A</v>
      </c>
      <c r="N1500" s="50" t="e">
        <f t="shared" ref="N1500:N1563" si="278">IF(E1500="si",K1500*1.5%,IF($L1500&gt;=5%,IF($I1500=0,0,(IF($G1500="RAME",($J1500)*1.5%,0)+IF($G1500="rame smaltato",($K1500)*1.5%,0))),0))</f>
        <v>#N/A</v>
      </c>
      <c r="O1500" s="50" t="e">
        <f t="shared" si="272"/>
        <v>#N/A</v>
      </c>
      <c r="P1500" s="50" t="e">
        <f t="shared" ref="P1500:P1563" si="279">IF(H1500="alluminio",0,IF(L1500&lt;5%,F1500*8%,0))</f>
        <v>#N/A</v>
      </c>
      <c r="Q1500" s="51" t="e">
        <f t="shared" ref="Q1500:Q1563" si="280">+(N1500*D1500)+(O1500*D1500)+(P1500*D1500)</f>
        <v>#N/A</v>
      </c>
      <c r="R1500" s="205" t="e">
        <f t="shared" ref="R1500:R1563" si="281">IF(H1500="ALLUMINIO",0,IF(L1500&lt;5%,"si",0))</f>
        <v>#N/A</v>
      </c>
      <c r="S1500" s="279" t="e">
        <f>IF(R1500="si",0,IF(E1500="si",0,IF(J1500&gt;K1500,0,+K1500-J1500)))+IF('calcolo base'!P2192="SI",('Commissioni De Angeli'!K1500-'Commissioni De Angeli'!J1500),0)</f>
        <v>#N/A</v>
      </c>
      <c r="T1500" s="117" t="e">
        <f t="shared" ref="T1500:T1563" si="282">+(S1500)*D1500*40%</f>
        <v>#N/A</v>
      </c>
      <c r="U1500" s="272" t="e">
        <f>IF(Q1500=0,'calcolo base'!L4099,(T1500+Q1500))</f>
        <v>#N/A</v>
      </c>
      <c r="V1500" s="119"/>
      <c r="Z1500" s="118">
        <f t="shared" si="273"/>
        <v>0</v>
      </c>
      <c r="AA1500" s="118">
        <f t="shared" si="274"/>
        <v>0</v>
      </c>
    </row>
    <row r="1501" spans="2:27">
      <c r="B1501" s="47"/>
      <c r="C1501" s="35"/>
      <c r="D1501" s="53"/>
      <c r="E1501" s="53"/>
      <c r="F1501" s="48"/>
      <c r="G1501" s="243" t="e">
        <f>INDEX('calcolo base'!$B:$B, MATCH($A1501, 'calcolo base'!$A:$A, 0))</f>
        <v>#N/A</v>
      </c>
      <c r="H1501" s="54" t="e">
        <f t="shared" si="275"/>
        <v>#N/A</v>
      </c>
      <c r="I1501" s="259" t="e">
        <f>IF(  OR(      INDEX('calcolo base'!$D:$D, MATCH($A1501, 'calcolo base'!$A:$A, 0)) = 0,
      INDEX('calcolo base'!$D:$D, MATCH($A1501, 'calcolo base'!$A:$A, 0)) = ""   ),
   INDEX('calcolo base'!$K:$K, MATCH($A1501, 'calcolo base'!$A:$A, 0)),
   INDEX('calcolo base'!$J:$J, MATCH($A1501, 'calcolo base'!$A:$A, 0))
) / 1000</f>
        <v>#N/A</v>
      </c>
      <c r="J1501" s="50" t="e">
        <f t="shared" si="276"/>
        <v>#N/A</v>
      </c>
      <c r="K1501" s="50"/>
      <c r="L1501" s="267" t="e">
        <f>INDEX('calcolo base'!$H:$H, MATCH($A1501, 'calcolo base'!$A:$A, 0))</f>
        <v>#N/A</v>
      </c>
      <c r="M1501" s="50" t="e">
        <f t="shared" si="277"/>
        <v>#N/A</v>
      </c>
      <c r="N1501" s="50" t="e">
        <f t="shared" si="278"/>
        <v>#N/A</v>
      </c>
      <c r="O1501" s="50" t="e">
        <f t="shared" si="272"/>
        <v>#N/A</v>
      </c>
      <c r="P1501" s="50" t="e">
        <f t="shared" si="279"/>
        <v>#N/A</v>
      </c>
      <c r="Q1501" s="51" t="e">
        <f t="shared" si="280"/>
        <v>#N/A</v>
      </c>
      <c r="R1501" s="205" t="e">
        <f t="shared" si="281"/>
        <v>#N/A</v>
      </c>
      <c r="S1501" s="279" t="e">
        <f>IF(R1501="si",0,IF(E1501="si",0,IF(J1501&gt;K1501,0,+K1501-J1501)))+IF('calcolo base'!P2193="SI",('Commissioni De Angeli'!K1501-'Commissioni De Angeli'!J1501),0)</f>
        <v>#N/A</v>
      </c>
      <c r="T1501" s="117" t="e">
        <f t="shared" si="282"/>
        <v>#N/A</v>
      </c>
      <c r="U1501" s="272" t="e">
        <f>IF(Q1501=0,'calcolo base'!L4100,(T1501+Q1501))</f>
        <v>#N/A</v>
      </c>
      <c r="V1501" s="119"/>
      <c r="Z1501" s="118">
        <f t="shared" si="273"/>
        <v>0</v>
      </c>
      <c r="AA1501" s="118">
        <f t="shared" si="274"/>
        <v>0</v>
      </c>
    </row>
    <row r="1502" spans="2:27">
      <c r="B1502" s="47"/>
      <c r="C1502" s="35"/>
      <c r="D1502" s="53"/>
      <c r="E1502" s="53"/>
      <c r="F1502" s="48"/>
      <c r="G1502" s="243" t="e">
        <f>INDEX('calcolo base'!$B:$B, MATCH($A1502, 'calcolo base'!$A:$A, 0))</f>
        <v>#N/A</v>
      </c>
      <c r="H1502" s="54" t="e">
        <f t="shared" si="275"/>
        <v>#N/A</v>
      </c>
      <c r="I1502" s="259" t="e">
        <f>IF(  OR(      INDEX('calcolo base'!$D:$D, MATCH($A1502, 'calcolo base'!$A:$A, 0)) = 0,
      INDEX('calcolo base'!$D:$D, MATCH($A1502, 'calcolo base'!$A:$A, 0)) = ""   ),
   INDEX('calcolo base'!$K:$K, MATCH($A1502, 'calcolo base'!$A:$A, 0)),
   INDEX('calcolo base'!$J:$J, MATCH($A1502, 'calcolo base'!$A:$A, 0))
) / 1000</f>
        <v>#N/A</v>
      </c>
      <c r="J1502" s="50" t="e">
        <f t="shared" si="276"/>
        <v>#N/A</v>
      </c>
      <c r="K1502" s="50"/>
      <c r="L1502" s="267" t="e">
        <f>INDEX('calcolo base'!$H:$H, MATCH($A1502, 'calcolo base'!$A:$A, 0))</f>
        <v>#N/A</v>
      </c>
      <c r="M1502" s="50" t="e">
        <f t="shared" si="277"/>
        <v>#N/A</v>
      </c>
      <c r="N1502" s="50" t="e">
        <f t="shared" si="278"/>
        <v>#N/A</v>
      </c>
      <c r="O1502" s="50" t="e">
        <f t="shared" si="272"/>
        <v>#N/A</v>
      </c>
      <c r="P1502" s="50" t="e">
        <f t="shared" si="279"/>
        <v>#N/A</v>
      </c>
      <c r="Q1502" s="51" t="e">
        <f t="shared" si="280"/>
        <v>#N/A</v>
      </c>
      <c r="R1502" s="205" t="e">
        <f t="shared" si="281"/>
        <v>#N/A</v>
      </c>
      <c r="S1502" s="279" t="e">
        <f>IF(R1502="si",0,IF(E1502="si",0,IF(J1502&gt;K1502,0,+K1502-J1502)))+IF('calcolo base'!P2194="SI",('Commissioni De Angeli'!K1502-'Commissioni De Angeli'!J1502),0)</f>
        <v>#N/A</v>
      </c>
      <c r="T1502" s="117" t="e">
        <f t="shared" si="282"/>
        <v>#N/A</v>
      </c>
      <c r="U1502" s="272" t="e">
        <f>IF(Q1502=0,'calcolo base'!L4101,(T1502+Q1502))</f>
        <v>#N/A</v>
      </c>
      <c r="V1502" s="119"/>
      <c r="Z1502" s="118">
        <f t="shared" si="273"/>
        <v>0</v>
      </c>
      <c r="AA1502" s="118">
        <f t="shared" si="274"/>
        <v>0</v>
      </c>
    </row>
    <row r="1503" spans="2:27">
      <c r="B1503" s="47"/>
      <c r="C1503" s="35"/>
      <c r="D1503" s="53"/>
      <c r="E1503" s="53"/>
      <c r="F1503" s="48"/>
      <c r="G1503" s="243" t="e">
        <f>INDEX('calcolo base'!$B:$B, MATCH($A1503, 'calcolo base'!$A:$A, 0))</f>
        <v>#N/A</v>
      </c>
      <c r="H1503" s="54" t="e">
        <f t="shared" si="275"/>
        <v>#N/A</v>
      </c>
      <c r="I1503" s="259" t="e">
        <f>IF(  OR(      INDEX('calcolo base'!$D:$D, MATCH($A1503, 'calcolo base'!$A:$A, 0)) = 0,
      INDEX('calcolo base'!$D:$D, MATCH($A1503, 'calcolo base'!$A:$A, 0)) = ""   ),
   INDEX('calcolo base'!$K:$K, MATCH($A1503, 'calcolo base'!$A:$A, 0)),
   INDEX('calcolo base'!$J:$J, MATCH($A1503, 'calcolo base'!$A:$A, 0))
) / 1000</f>
        <v>#N/A</v>
      </c>
      <c r="J1503" s="50" t="e">
        <f t="shared" si="276"/>
        <v>#N/A</v>
      </c>
      <c r="K1503" s="50"/>
      <c r="L1503" s="267" t="e">
        <f>INDEX('calcolo base'!$H:$H, MATCH($A1503, 'calcolo base'!$A:$A, 0))</f>
        <v>#N/A</v>
      </c>
      <c r="M1503" s="50" t="e">
        <f t="shared" si="277"/>
        <v>#N/A</v>
      </c>
      <c r="N1503" s="50" t="e">
        <f t="shared" si="278"/>
        <v>#N/A</v>
      </c>
      <c r="O1503" s="50" t="e">
        <f t="shared" si="272"/>
        <v>#N/A</v>
      </c>
      <c r="P1503" s="50" t="e">
        <f t="shared" si="279"/>
        <v>#N/A</v>
      </c>
      <c r="Q1503" s="51" t="e">
        <f t="shared" si="280"/>
        <v>#N/A</v>
      </c>
      <c r="R1503" s="205" t="e">
        <f t="shared" si="281"/>
        <v>#N/A</v>
      </c>
      <c r="S1503" s="279" t="e">
        <f>IF(R1503="si",0,IF(E1503="si",0,IF(J1503&gt;K1503,0,+K1503-J1503)))+IF('calcolo base'!P2195="SI",('Commissioni De Angeli'!K1503-'Commissioni De Angeli'!J1503),0)</f>
        <v>#N/A</v>
      </c>
      <c r="T1503" s="117" t="e">
        <f t="shared" si="282"/>
        <v>#N/A</v>
      </c>
      <c r="U1503" s="272" t="e">
        <f>IF(Q1503=0,'calcolo base'!L4102,(T1503+Q1503))</f>
        <v>#N/A</v>
      </c>
      <c r="V1503" s="119"/>
      <c r="Z1503" s="118">
        <f t="shared" si="273"/>
        <v>0</v>
      </c>
      <c r="AA1503" s="118">
        <f t="shared" si="274"/>
        <v>0</v>
      </c>
    </row>
    <row r="1504" spans="2:27">
      <c r="B1504" s="47"/>
      <c r="C1504" s="35"/>
      <c r="D1504" s="53"/>
      <c r="E1504" s="53"/>
      <c r="F1504" s="48"/>
      <c r="G1504" s="243" t="e">
        <f>INDEX('calcolo base'!$B:$B, MATCH($A1504, 'calcolo base'!$A:$A, 0))</f>
        <v>#N/A</v>
      </c>
      <c r="H1504" s="54" t="e">
        <f t="shared" si="275"/>
        <v>#N/A</v>
      </c>
      <c r="I1504" s="259" t="e">
        <f>IF(  OR(      INDEX('calcolo base'!$D:$D, MATCH($A1504, 'calcolo base'!$A:$A, 0)) = 0,
      INDEX('calcolo base'!$D:$D, MATCH($A1504, 'calcolo base'!$A:$A, 0)) = ""   ),
   INDEX('calcolo base'!$K:$K, MATCH($A1504, 'calcolo base'!$A:$A, 0)),
   INDEX('calcolo base'!$J:$J, MATCH($A1504, 'calcolo base'!$A:$A, 0))
) / 1000</f>
        <v>#N/A</v>
      </c>
      <c r="J1504" s="50" t="e">
        <f t="shared" si="276"/>
        <v>#N/A</v>
      </c>
      <c r="K1504" s="50"/>
      <c r="L1504" s="267" t="e">
        <f>INDEX('calcolo base'!$H:$H, MATCH($A1504, 'calcolo base'!$A:$A, 0))</f>
        <v>#N/A</v>
      </c>
      <c r="M1504" s="50" t="e">
        <f t="shared" si="277"/>
        <v>#N/A</v>
      </c>
      <c r="N1504" s="50" t="e">
        <f t="shared" si="278"/>
        <v>#N/A</v>
      </c>
      <c r="O1504" s="50" t="e">
        <f t="shared" si="272"/>
        <v>#N/A</v>
      </c>
      <c r="P1504" s="50" t="e">
        <f t="shared" si="279"/>
        <v>#N/A</v>
      </c>
      <c r="Q1504" s="51" t="e">
        <f t="shared" si="280"/>
        <v>#N/A</v>
      </c>
      <c r="R1504" s="205" t="e">
        <f t="shared" si="281"/>
        <v>#N/A</v>
      </c>
      <c r="S1504" s="279" t="e">
        <f>IF(R1504="si",0,IF(E1504="si",0,IF(J1504&gt;K1504,0,+K1504-J1504)))+IF('calcolo base'!P2196="SI",('Commissioni De Angeli'!K1504-'Commissioni De Angeli'!J1504),0)</f>
        <v>#N/A</v>
      </c>
      <c r="T1504" s="117" t="e">
        <f t="shared" si="282"/>
        <v>#N/A</v>
      </c>
      <c r="U1504" s="272" t="e">
        <f>IF(Q1504=0,'calcolo base'!L4103,(T1504+Q1504))</f>
        <v>#N/A</v>
      </c>
      <c r="V1504" s="119"/>
      <c r="Z1504" s="118">
        <f t="shared" si="273"/>
        <v>0</v>
      </c>
      <c r="AA1504" s="118">
        <f t="shared" si="274"/>
        <v>0</v>
      </c>
    </row>
    <row r="1505" spans="2:27">
      <c r="B1505" s="47"/>
      <c r="C1505" s="35"/>
      <c r="D1505" s="53"/>
      <c r="E1505" s="53"/>
      <c r="F1505" s="48"/>
      <c r="G1505" s="243" t="e">
        <f>INDEX('calcolo base'!$B:$B, MATCH($A1505, 'calcolo base'!$A:$A, 0))</f>
        <v>#N/A</v>
      </c>
      <c r="H1505" s="54" t="e">
        <f t="shared" si="275"/>
        <v>#N/A</v>
      </c>
      <c r="I1505" s="259" t="e">
        <f>IF(  OR(      INDEX('calcolo base'!$D:$D, MATCH($A1505, 'calcolo base'!$A:$A, 0)) = 0,
      INDEX('calcolo base'!$D:$D, MATCH($A1505, 'calcolo base'!$A:$A, 0)) = ""   ),
   INDEX('calcolo base'!$K:$K, MATCH($A1505, 'calcolo base'!$A:$A, 0)),
   INDEX('calcolo base'!$J:$J, MATCH($A1505, 'calcolo base'!$A:$A, 0))
) / 1000</f>
        <v>#N/A</v>
      </c>
      <c r="J1505" s="50" t="e">
        <f t="shared" si="276"/>
        <v>#N/A</v>
      </c>
      <c r="K1505" s="50"/>
      <c r="L1505" s="267" t="e">
        <f>INDEX('calcolo base'!$H:$H, MATCH($A1505, 'calcolo base'!$A:$A, 0))</f>
        <v>#N/A</v>
      </c>
      <c r="M1505" s="50" t="e">
        <f t="shared" si="277"/>
        <v>#N/A</v>
      </c>
      <c r="N1505" s="50" t="e">
        <f t="shared" si="278"/>
        <v>#N/A</v>
      </c>
      <c r="O1505" s="50" t="e">
        <f t="shared" si="272"/>
        <v>#N/A</v>
      </c>
      <c r="P1505" s="50" t="e">
        <f t="shared" si="279"/>
        <v>#N/A</v>
      </c>
      <c r="Q1505" s="51" t="e">
        <f t="shared" si="280"/>
        <v>#N/A</v>
      </c>
      <c r="R1505" s="205" t="e">
        <f t="shared" si="281"/>
        <v>#N/A</v>
      </c>
      <c r="S1505" s="279" t="e">
        <f>IF(R1505="si",0,IF(E1505="si",0,IF(J1505&gt;K1505,0,+K1505-J1505)))+IF('calcolo base'!P2197="SI",('Commissioni De Angeli'!K1505-'Commissioni De Angeli'!J1505),0)</f>
        <v>#N/A</v>
      </c>
      <c r="T1505" s="117" t="e">
        <f t="shared" si="282"/>
        <v>#N/A</v>
      </c>
      <c r="U1505" s="272" t="e">
        <f>IF(Q1505=0,'calcolo base'!L4104,(T1505+Q1505))</f>
        <v>#N/A</v>
      </c>
      <c r="V1505" s="119"/>
      <c r="Z1505" s="118">
        <f t="shared" si="273"/>
        <v>0</v>
      </c>
      <c r="AA1505" s="118">
        <f t="shared" si="274"/>
        <v>0</v>
      </c>
    </row>
    <row r="1506" spans="2:27">
      <c r="B1506" s="47"/>
      <c r="C1506" s="35"/>
      <c r="D1506" s="53"/>
      <c r="E1506" s="53"/>
      <c r="F1506" s="48"/>
      <c r="G1506" s="243" t="e">
        <f>INDEX('calcolo base'!$B:$B, MATCH($A1506, 'calcolo base'!$A:$A, 0))</f>
        <v>#N/A</v>
      </c>
      <c r="H1506" s="54" t="e">
        <f t="shared" si="275"/>
        <v>#N/A</v>
      </c>
      <c r="I1506" s="259" t="e">
        <f>IF(  OR(      INDEX('calcolo base'!$D:$D, MATCH($A1506, 'calcolo base'!$A:$A, 0)) = 0,
      INDEX('calcolo base'!$D:$D, MATCH($A1506, 'calcolo base'!$A:$A, 0)) = ""   ),
   INDEX('calcolo base'!$K:$K, MATCH($A1506, 'calcolo base'!$A:$A, 0)),
   INDEX('calcolo base'!$J:$J, MATCH($A1506, 'calcolo base'!$A:$A, 0))
) / 1000</f>
        <v>#N/A</v>
      </c>
      <c r="J1506" s="50" t="e">
        <f t="shared" si="276"/>
        <v>#N/A</v>
      </c>
      <c r="K1506" s="50"/>
      <c r="L1506" s="267" t="e">
        <f>INDEX('calcolo base'!$H:$H, MATCH($A1506, 'calcolo base'!$A:$A, 0))</f>
        <v>#N/A</v>
      </c>
      <c r="M1506" s="50" t="e">
        <f t="shared" si="277"/>
        <v>#N/A</v>
      </c>
      <c r="N1506" s="50" t="e">
        <f t="shared" si="278"/>
        <v>#N/A</v>
      </c>
      <c r="O1506" s="50" t="e">
        <f t="shared" si="272"/>
        <v>#N/A</v>
      </c>
      <c r="P1506" s="50" t="e">
        <f t="shared" si="279"/>
        <v>#N/A</v>
      </c>
      <c r="Q1506" s="51" t="e">
        <f t="shared" si="280"/>
        <v>#N/A</v>
      </c>
      <c r="R1506" s="205" t="e">
        <f t="shared" si="281"/>
        <v>#N/A</v>
      </c>
      <c r="S1506" s="279" t="e">
        <f>IF(R1506="si",0,IF(E1506="si",0,IF(J1506&gt;K1506,0,+K1506-J1506)))+IF('calcolo base'!P2198="SI",('Commissioni De Angeli'!K1506-'Commissioni De Angeli'!J1506),0)</f>
        <v>#N/A</v>
      </c>
      <c r="T1506" s="117" t="e">
        <f t="shared" si="282"/>
        <v>#N/A</v>
      </c>
      <c r="U1506" s="272" t="e">
        <f>IF(Q1506=0,'calcolo base'!L4105,(T1506+Q1506))</f>
        <v>#N/A</v>
      </c>
      <c r="V1506" s="119"/>
      <c r="Z1506" s="118">
        <f t="shared" si="273"/>
        <v>0</v>
      </c>
      <c r="AA1506" s="118">
        <f t="shared" si="274"/>
        <v>0</v>
      </c>
    </row>
    <row r="1507" spans="2:27">
      <c r="B1507" s="47"/>
      <c r="C1507" s="35"/>
      <c r="D1507" s="53"/>
      <c r="E1507" s="53"/>
      <c r="F1507" s="48"/>
      <c r="G1507" s="243" t="e">
        <f>INDEX('calcolo base'!$B:$B, MATCH($A1507, 'calcolo base'!$A:$A, 0))</f>
        <v>#N/A</v>
      </c>
      <c r="H1507" s="54" t="e">
        <f t="shared" si="275"/>
        <v>#N/A</v>
      </c>
      <c r="I1507" s="259" t="e">
        <f>IF(  OR(      INDEX('calcolo base'!$D:$D, MATCH($A1507, 'calcolo base'!$A:$A, 0)) = 0,
      INDEX('calcolo base'!$D:$D, MATCH($A1507, 'calcolo base'!$A:$A, 0)) = ""   ),
   INDEX('calcolo base'!$K:$K, MATCH($A1507, 'calcolo base'!$A:$A, 0)),
   INDEX('calcolo base'!$J:$J, MATCH($A1507, 'calcolo base'!$A:$A, 0))
) / 1000</f>
        <v>#N/A</v>
      </c>
      <c r="J1507" s="50" t="e">
        <f t="shared" si="276"/>
        <v>#N/A</v>
      </c>
      <c r="K1507" s="50"/>
      <c r="L1507" s="267" t="e">
        <f>INDEX('calcolo base'!$H:$H, MATCH($A1507, 'calcolo base'!$A:$A, 0))</f>
        <v>#N/A</v>
      </c>
      <c r="M1507" s="50" t="e">
        <f t="shared" si="277"/>
        <v>#N/A</v>
      </c>
      <c r="N1507" s="50" t="e">
        <f t="shared" si="278"/>
        <v>#N/A</v>
      </c>
      <c r="O1507" s="50" t="e">
        <f t="shared" si="272"/>
        <v>#N/A</v>
      </c>
      <c r="P1507" s="50" t="e">
        <f t="shared" si="279"/>
        <v>#N/A</v>
      </c>
      <c r="Q1507" s="51" t="e">
        <f t="shared" si="280"/>
        <v>#N/A</v>
      </c>
      <c r="R1507" s="205" t="e">
        <f t="shared" si="281"/>
        <v>#N/A</v>
      </c>
      <c r="S1507" s="279" t="e">
        <f>IF(R1507="si",0,IF(E1507="si",0,IF(J1507&gt;K1507,0,+K1507-J1507)))+IF('calcolo base'!P2199="SI",('Commissioni De Angeli'!K1507-'Commissioni De Angeli'!J1507),0)</f>
        <v>#N/A</v>
      </c>
      <c r="T1507" s="117" t="e">
        <f t="shared" si="282"/>
        <v>#N/A</v>
      </c>
      <c r="U1507" s="272" t="e">
        <f>IF(Q1507=0,'calcolo base'!L4106,(T1507+Q1507))</f>
        <v>#N/A</v>
      </c>
      <c r="V1507" s="119"/>
      <c r="Z1507" s="118">
        <f t="shared" si="273"/>
        <v>0</v>
      </c>
      <c r="AA1507" s="118">
        <f t="shared" si="274"/>
        <v>0</v>
      </c>
    </row>
    <row r="1508" spans="2:27">
      <c r="B1508" s="47"/>
      <c r="C1508" s="35"/>
      <c r="D1508" s="53"/>
      <c r="E1508" s="53"/>
      <c r="F1508" s="48"/>
      <c r="G1508" s="243" t="e">
        <f>INDEX('calcolo base'!$B:$B, MATCH($A1508, 'calcolo base'!$A:$A, 0))</f>
        <v>#N/A</v>
      </c>
      <c r="H1508" s="54" t="e">
        <f t="shared" si="275"/>
        <v>#N/A</v>
      </c>
      <c r="I1508" s="259" t="e">
        <f>IF(  OR(      INDEX('calcolo base'!$D:$D, MATCH($A1508, 'calcolo base'!$A:$A, 0)) = 0,
      INDEX('calcolo base'!$D:$D, MATCH($A1508, 'calcolo base'!$A:$A, 0)) = ""   ),
   INDEX('calcolo base'!$K:$K, MATCH($A1508, 'calcolo base'!$A:$A, 0)),
   INDEX('calcolo base'!$J:$J, MATCH($A1508, 'calcolo base'!$A:$A, 0))
) / 1000</f>
        <v>#N/A</v>
      </c>
      <c r="J1508" s="50" t="e">
        <f t="shared" si="276"/>
        <v>#N/A</v>
      </c>
      <c r="K1508" s="50"/>
      <c r="L1508" s="267" t="e">
        <f>INDEX('calcolo base'!$H:$H, MATCH($A1508, 'calcolo base'!$A:$A, 0))</f>
        <v>#N/A</v>
      </c>
      <c r="M1508" s="50" t="e">
        <f t="shared" si="277"/>
        <v>#N/A</v>
      </c>
      <c r="N1508" s="50" t="e">
        <f t="shared" si="278"/>
        <v>#N/A</v>
      </c>
      <c r="O1508" s="50" t="e">
        <f t="shared" si="272"/>
        <v>#N/A</v>
      </c>
      <c r="P1508" s="50" t="e">
        <f t="shared" si="279"/>
        <v>#N/A</v>
      </c>
      <c r="Q1508" s="51" t="e">
        <f t="shared" si="280"/>
        <v>#N/A</v>
      </c>
      <c r="R1508" s="205" t="e">
        <f t="shared" si="281"/>
        <v>#N/A</v>
      </c>
      <c r="S1508" s="279" t="e">
        <f>IF(R1508="si",0,IF(E1508="si",0,IF(J1508&gt;K1508,0,+K1508-J1508)))+IF('calcolo base'!P2200="SI",('Commissioni De Angeli'!K1508-'Commissioni De Angeli'!J1508),0)</f>
        <v>#N/A</v>
      </c>
      <c r="T1508" s="117" t="e">
        <f t="shared" si="282"/>
        <v>#N/A</v>
      </c>
      <c r="U1508" s="272" t="e">
        <f>IF(Q1508=0,'calcolo base'!L4107,(T1508+Q1508))</f>
        <v>#N/A</v>
      </c>
      <c r="V1508" s="119"/>
      <c r="Z1508" s="118">
        <f t="shared" si="273"/>
        <v>0</v>
      </c>
      <c r="AA1508" s="118">
        <f t="shared" si="274"/>
        <v>0</v>
      </c>
    </row>
    <row r="1509" spans="2:27">
      <c r="B1509" s="47"/>
      <c r="C1509" s="35"/>
      <c r="D1509" s="53"/>
      <c r="E1509" s="53"/>
      <c r="F1509" s="48"/>
      <c r="G1509" s="243" t="e">
        <f>INDEX('calcolo base'!$B:$B, MATCH($A1509, 'calcolo base'!$A:$A, 0))</f>
        <v>#N/A</v>
      </c>
      <c r="H1509" s="54" t="e">
        <f t="shared" si="275"/>
        <v>#N/A</v>
      </c>
      <c r="I1509" s="259" t="e">
        <f>IF(  OR(      INDEX('calcolo base'!$D:$D, MATCH($A1509, 'calcolo base'!$A:$A, 0)) = 0,
      INDEX('calcolo base'!$D:$D, MATCH($A1509, 'calcolo base'!$A:$A, 0)) = ""   ),
   INDEX('calcolo base'!$K:$K, MATCH($A1509, 'calcolo base'!$A:$A, 0)),
   INDEX('calcolo base'!$J:$J, MATCH($A1509, 'calcolo base'!$A:$A, 0))
) / 1000</f>
        <v>#N/A</v>
      </c>
      <c r="J1509" s="50" t="e">
        <f t="shared" si="276"/>
        <v>#N/A</v>
      </c>
      <c r="K1509" s="50"/>
      <c r="L1509" s="267" t="e">
        <f>INDEX('calcolo base'!$H:$H, MATCH($A1509, 'calcolo base'!$A:$A, 0))</f>
        <v>#N/A</v>
      </c>
      <c r="M1509" s="50" t="e">
        <f t="shared" si="277"/>
        <v>#N/A</v>
      </c>
      <c r="N1509" s="50" t="e">
        <f t="shared" si="278"/>
        <v>#N/A</v>
      </c>
      <c r="O1509" s="50" t="e">
        <f t="shared" si="272"/>
        <v>#N/A</v>
      </c>
      <c r="P1509" s="50" t="e">
        <f t="shared" si="279"/>
        <v>#N/A</v>
      </c>
      <c r="Q1509" s="51" t="e">
        <f t="shared" si="280"/>
        <v>#N/A</v>
      </c>
      <c r="R1509" s="205" t="e">
        <f t="shared" si="281"/>
        <v>#N/A</v>
      </c>
      <c r="S1509" s="279" t="e">
        <f>IF(R1509="si",0,IF(E1509="si",0,IF(J1509&gt;K1509,0,+K1509-J1509)))+IF('calcolo base'!P2201="SI",('Commissioni De Angeli'!K1509-'Commissioni De Angeli'!J1509),0)</f>
        <v>#N/A</v>
      </c>
      <c r="T1509" s="117" t="e">
        <f t="shared" si="282"/>
        <v>#N/A</v>
      </c>
      <c r="U1509" s="272" t="e">
        <f>IF(Q1509=0,'calcolo base'!L4108,(T1509+Q1509))</f>
        <v>#N/A</v>
      </c>
      <c r="V1509" s="119"/>
      <c r="Z1509" s="118">
        <f t="shared" si="273"/>
        <v>0</v>
      </c>
      <c r="AA1509" s="118">
        <f t="shared" si="274"/>
        <v>0</v>
      </c>
    </row>
    <row r="1510" spans="2:27">
      <c r="B1510" s="47"/>
      <c r="C1510" s="35"/>
      <c r="D1510" s="53"/>
      <c r="E1510" s="53"/>
      <c r="F1510" s="48"/>
      <c r="G1510" s="243" t="e">
        <f>INDEX('calcolo base'!$B:$B, MATCH($A1510, 'calcolo base'!$A:$A, 0))</f>
        <v>#N/A</v>
      </c>
      <c r="H1510" s="54" t="e">
        <f t="shared" si="275"/>
        <v>#N/A</v>
      </c>
      <c r="I1510" s="259" t="e">
        <f>IF(  OR(      INDEX('calcolo base'!$D:$D, MATCH($A1510, 'calcolo base'!$A:$A, 0)) = 0,
      INDEX('calcolo base'!$D:$D, MATCH($A1510, 'calcolo base'!$A:$A, 0)) = ""   ),
   INDEX('calcolo base'!$K:$K, MATCH($A1510, 'calcolo base'!$A:$A, 0)),
   INDEX('calcolo base'!$J:$J, MATCH($A1510, 'calcolo base'!$A:$A, 0))
) / 1000</f>
        <v>#N/A</v>
      </c>
      <c r="J1510" s="50" t="e">
        <f t="shared" si="276"/>
        <v>#N/A</v>
      </c>
      <c r="K1510" s="50"/>
      <c r="L1510" s="267" t="e">
        <f>INDEX('calcolo base'!$H:$H, MATCH($A1510, 'calcolo base'!$A:$A, 0))</f>
        <v>#N/A</v>
      </c>
      <c r="M1510" s="50" t="e">
        <f t="shared" si="277"/>
        <v>#N/A</v>
      </c>
      <c r="N1510" s="50" t="e">
        <f t="shared" si="278"/>
        <v>#N/A</v>
      </c>
      <c r="O1510" s="50" t="e">
        <f t="shared" si="272"/>
        <v>#N/A</v>
      </c>
      <c r="P1510" s="50" t="e">
        <f t="shared" si="279"/>
        <v>#N/A</v>
      </c>
      <c r="Q1510" s="51" t="e">
        <f t="shared" si="280"/>
        <v>#N/A</v>
      </c>
      <c r="R1510" s="205" t="e">
        <f t="shared" si="281"/>
        <v>#N/A</v>
      </c>
      <c r="S1510" s="279" t="e">
        <f>IF(R1510="si",0,IF(E1510="si",0,IF(J1510&gt;K1510,0,+K1510-J1510)))+IF('calcolo base'!P2202="SI",('Commissioni De Angeli'!K1510-'Commissioni De Angeli'!J1510),0)</f>
        <v>#N/A</v>
      </c>
      <c r="T1510" s="117" t="e">
        <f t="shared" si="282"/>
        <v>#N/A</v>
      </c>
      <c r="U1510" s="272" t="e">
        <f>IF(Q1510=0,'calcolo base'!L4109,(T1510+Q1510))</f>
        <v>#N/A</v>
      </c>
      <c r="V1510" s="119"/>
      <c r="Z1510" s="118">
        <f t="shared" si="273"/>
        <v>0</v>
      </c>
      <c r="AA1510" s="118">
        <f t="shared" si="274"/>
        <v>0</v>
      </c>
    </row>
    <row r="1511" spans="2:27">
      <c r="B1511" s="47"/>
      <c r="C1511" s="35"/>
      <c r="D1511" s="53"/>
      <c r="E1511" s="53"/>
      <c r="F1511" s="48"/>
      <c r="G1511" s="243" t="e">
        <f>INDEX('calcolo base'!$B:$B, MATCH($A1511, 'calcolo base'!$A:$A, 0))</f>
        <v>#N/A</v>
      </c>
      <c r="H1511" s="54" t="e">
        <f t="shared" si="275"/>
        <v>#N/A</v>
      </c>
      <c r="I1511" s="259" t="e">
        <f>IF(  OR(      INDEX('calcolo base'!$D:$D, MATCH($A1511, 'calcolo base'!$A:$A, 0)) = 0,
      INDEX('calcolo base'!$D:$D, MATCH($A1511, 'calcolo base'!$A:$A, 0)) = ""   ),
   INDEX('calcolo base'!$K:$K, MATCH($A1511, 'calcolo base'!$A:$A, 0)),
   INDEX('calcolo base'!$J:$J, MATCH($A1511, 'calcolo base'!$A:$A, 0))
) / 1000</f>
        <v>#N/A</v>
      </c>
      <c r="J1511" s="50" t="e">
        <f t="shared" si="276"/>
        <v>#N/A</v>
      </c>
      <c r="K1511" s="50"/>
      <c r="L1511" s="267" t="e">
        <f>INDEX('calcolo base'!$H:$H, MATCH($A1511, 'calcolo base'!$A:$A, 0))</f>
        <v>#N/A</v>
      </c>
      <c r="M1511" s="50" t="e">
        <f t="shared" si="277"/>
        <v>#N/A</v>
      </c>
      <c r="N1511" s="50" t="e">
        <f t="shared" si="278"/>
        <v>#N/A</v>
      </c>
      <c r="O1511" s="50" t="e">
        <f t="shared" si="272"/>
        <v>#N/A</v>
      </c>
      <c r="P1511" s="50" t="e">
        <f t="shared" si="279"/>
        <v>#N/A</v>
      </c>
      <c r="Q1511" s="51" t="e">
        <f t="shared" si="280"/>
        <v>#N/A</v>
      </c>
      <c r="R1511" s="205" t="e">
        <f t="shared" si="281"/>
        <v>#N/A</v>
      </c>
      <c r="S1511" s="279" t="e">
        <f>IF(R1511="si",0,IF(E1511="si",0,IF(J1511&gt;K1511,0,+K1511-J1511)))+IF('calcolo base'!P2203="SI",('Commissioni De Angeli'!K1511-'Commissioni De Angeli'!J1511),0)</f>
        <v>#N/A</v>
      </c>
      <c r="T1511" s="117" t="e">
        <f t="shared" si="282"/>
        <v>#N/A</v>
      </c>
      <c r="U1511" s="272" t="e">
        <f>IF(Q1511=0,'calcolo base'!L4110,(T1511+Q1511))</f>
        <v>#N/A</v>
      </c>
      <c r="V1511" s="119"/>
      <c r="Z1511" s="118">
        <f t="shared" si="273"/>
        <v>0</v>
      </c>
      <c r="AA1511" s="118">
        <f t="shared" si="274"/>
        <v>0</v>
      </c>
    </row>
    <row r="1512" spans="2:27">
      <c r="B1512" s="47"/>
      <c r="C1512" s="35"/>
      <c r="D1512" s="53"/>
      <c r="E1512" s="53"/>
      <c r="F1512" s="48"/>
      <c r="G1512" s="243" t="e">
        <f>INDEX('calcolo base'!$B:$B, MATCH($A1512, 'calcolo base'!$A:$A, 0))</f>
        <v>#N/A</v>
      </c>
      <c r="H1512" s="54" t="e">
        <f t="shared" si="275"/>
        <v>#N/A</v>
      </c>
      <c r="I1512" s="259" t="e">
        <f>IF(  OR(      INDEX('calcolo base'!$D:$D, MATCH($A1512, 'calcolo base'!$A:$A, 0)) = 0,
      INDEX('calcolo base'!$D:$D, MATCH($A1512, 'calcolo base'!$A:$A, 0)) = ""   ),
   INDEX('calcolo base'!$K:$K, MATCH($A1512, 'calcolo base'!$A:$A, 0)),
   INDEX('calcolo base'!$J:$J, MATCH($A1512, 'calcolo base'!$A:$A, 0))
) / 1000</f>
        <v>#N/A</v>
      </c>
      <c r="J1512" s="50" t="e">
        <f t="shared" si="276"/>
        <v>#N/A</v>
      </c>
      <c r="K1512" s="50"/>
      <c r="L1512" s="267" t="e">
        <f>INDEX('calcolo base'!$H:$H, MATCH($A1512, 'calcolo base'!$A:$A, 0))</f>
        <v>#N/A</v>
      </c>
      <c r="M1512" s="50" t="e">
        <f t="shared" si="277"/>
        <v>#N/A</v>
      </c>
      <c r="N1512" s="50" t="e">
        <f t="shared" si="278"/>
        <v>#N/A</v>
      </c>
      <c r="O1512" s="50" t="e">
        <f t="shared" si="272"/>
        <v>#N/A</v>
      </c>
      <c r="P1512" s="50" t="e">
        <f t="shared" si="279"/>
        <v>#N/A</v>
      </c>
      <c r="Q1512" s="51" t="e">
        <f t="shared" si="280"/>
        <v>#N/A</v>
      </c>
      <c r="R1512" s="205" t="e">
        <f t="shared" si="281"/>
        <v>#N/A</v>
      </c>
      <c r="S1512" s="279" t="e">
        <f>IF(R1512="si",0,IF(E1512="si",0,IF(J1512&gt;K1512,0,+K1512-J1512)))+IF('calcolo base'!P2204="SI",('Commissioni De Angeli'!K1512-'Commissioni De Angeli'!J1512),0)</f>
        <v>#N/A</v>
      </c>
      <c r="T1512" s="117" t="e">
        <f t="shared" si="282"/>
        <v>#N/A</v>
      </c>
      <c r="U1512" s="272" t="e">
        <f>IF(Q1512=0,'calcolo base'!L4111,(T1512+Q1512))</f>
        <v>#N/A</v>
      </c>
      <c r="V1512" s="119"/>
      <c r="Z1512" s="118">
        <f t="shared" si="273"/>
        <v>0</v>
      </c>
      <c r="AA1512" s="118">
        <f t="shared" si="274"/>
        <v>0</v>
      </c>
    </row>
    <row r="1513" spans="2:27">
      <c r="B1513" s="47"/>
      <c r="C1513" s="35"/>
      <c r="D1513" s="53"/>
      <c r="E1513" s="53"/>
      <c r="F1513" s="48"/>
      <c r="G1513" s="243" t="e">
        <f>INDEX('calcolo base'!$B:$B, MATCH($A1513, 'calcolo base'!$A:$A, 0))</f>
        <v>#N/A</v>
      </c>
      <c r="H1513" s="54" t="e">
        <f t="shared" si="275"/>
        <v>#N/A</v>
      </c>
      <c r="I1513" s="259" t="e">
        <f>IF(  OR(      INDEX('calcolo base'!$D:$D, MATCH($A1513, 'calcolo base'!$A:$A, 0)) = 0,
      INDEX('calcolo base'!$D:$D, MATCH($A1513, 'calcolo base'!$A:$A, 0)) = ""   ),
   INDEX('calcolo base'!$K:$K, MATCH($A1513, 'calcolo base'!$A:$A, 0)),
   INDEX('calcolo base'!$J:$J, MATCH($A1513, 'calcolo base'!$A:$A, 0))
) / 1000</f>
        <v>#N/A</v>
      </c>
      <c r="J1513" s="50" t="e">
        <f t="shared" si="276"/>
        <v>#N/A</v>
      </c>
      <c r="K1513" s="50"/>
      <c r="L1513" s="267" t="e">
        <f>INDEX('calcolo base'!$H:$H, MATCH($A1513, 'calcolo base'!$A:$A, 0))</f>
        <v>#N/A</v>
      </c>
      <c r="M1513" s="50" t="e">
        <f t="shared" si="277"/>
        <v>#N/A</v>
      </c>
      <c r="N1513" s="50" t="e">
        <f t="shared" si="278"/>
        <v>#N/A</v>
      </c>
      <c r="O1513" s="50" t="e">
        <f t="shared" si="272"/>
        <v>#N/A</v>
      </c>
      <c r="P1513" s="50" t="e">
        <f t="shared" si="279"/>
        <v>#N/A</v>
      </c>
      <c r="Q1513" s="51" t="e">
        <f t="shared" si="280"/>
        <v>#N/A</v>
      </c>
      <c r="R1513" s="205" t="e">
        <f t="shared" si="281"/>
        <v>#N/A</v>
      </c>
      <c r="S1513" s="279" t="e">
        <f>IF(R1513="si",0,IF(E1513="si",0,IF(J1513&gt;K1513,0,+K1513-J1513)))+IF('calcolo base'!P2205="SI",('Commissioni De Angeli'!K1513-'Commissioni De Angeli'!J1513),0)</f>
        <v>#N/A</v>
      </c>
      <c r="T1513" s="117" t="e">
        <f t="shared" si="282"/>
        <v>#N/A</v>
      </c>
      <c r="U1513" s="272" t="e">
        <f>IF(Q1513=0,'calcolo base'!L4112,(T1513+Q1513))</f>
        <v>#N/A</v>
      </c>
      <c r="V1513" s="119"/>
      <c r="Z1513" s="118">
        <f t="shared" si="273"/>
        <v>0</v>
      </c>
      <c r="AA1513" s="118">
        <f t="shared" si="274"/>
        <v>0</v>
      </c>
    </row>
    <row r="1514" spans="2:27">
      <c r="B1514" s="47"/>
      <c r="C1514" s="35"/>
      <c r="D1514" s="53"/>
      <c r="E1514" s="53"/>
      <c r="F1514" s="48"/>
      <c r="G1514" s="243" t="e">
        <f>INDEX('calcolo base'!$B:$B, MATCH($A1514, 'calcolo base'!$A:$A, 0))</f>
        <v>#N/A</v>
      </c>
      <c r="H1514" s="54" t="e">
        <f t="shared" si="275"/>
        <v>#N/A</v>
      </c>
      <c r="I1514" s="259" t="e">
        <f>IF(  OR(      INDEX('calcolo base'!$D:$D, MATCH($A1514, 'calcolo base'!$A:$A, 0)) = 0,
      INDEX('calcolo base'!$D:$D, MATCH($A1514, 'calcolo base'!$A:$A, 0)) = ""   ),
   INDEX('calcolo base'!$K:$K, MATCH($A1514, 'calcolo base'!$A:$A, 0)),
   INDEX('calcolo base'!$J:$J, MATCH($A1514, 'calcolo base'!$A:$A, 0))
) / 1000</f>
        <v>#N/A</v>
      </c>
      <c r="J1514" s="50" t="e">
        <f t="shared" si="276"/>
        <v>#N/A</v>
      </c>
      <c r="K1514" s="50"/>
      <c r="L1514" s="267" t="e">
        <f>INDEX('calcolo base'!$H:$H, MATCH($A1514, 'calcolo base'!$A:$A, 0))</f>
        <v>#N/A</v>
      </c>
      <c r="M1514" s="50" t="e">
        <f t="shared" si="277"/>
        <v>#N/A</v>
      </c>
      <c r="N1514" s="50" t="e">
        <f t="shared" si="278"/>
        <v>#N/A</v>
      </c>
      <c r="O1514" s="50" t="e">
        <f t="shared" si="272"/>
        <v>#N/A</v>
      </c>
      <c r="P1514" s="50" t="e">
        <f t="shared" si="279"/>
        <v>#N/A</v>
      </c>
      <c r="Q1514" s="51" t="e">
        <f t="shared" si="280"/>
        <v>#N/A</v>
      </c>
      <c r="R1514" s="205" t="e">
        <f t="shared" si="281"/>
        <v>#N/A</v>
      </c>
      <c r="S1514" s="279" t="e">
        <f>IF(R1514="si",0,IF(E1514="si",0,IF(J1514&gt;K1514,0,+K1514-J1514)))+IF('calcolo base'!P2206="SI",('Commissioni De Angeli'!K1514-'Commissioni De Angeli'!J1514),0)</f>
        <v>#N/A</v>
      </c>
      <c r="T1514" s="117" t="e">
        <f t="shared" si="282"/>
        <v>#N/A</v>
      </c>
      <c r="U1514" s="272" t="e">
        <f>IF(Q1514=0,'calcolo base'!L4113,(T1514+Q1514))</f>
        <v>#N/A</v>
      </c>
      <c r="V1514" s="119"/>
      <c r="Z1514" s="118">
        <f t="shared" si="273"/>
        <v>0</v>
      </c>
      <c r="AA1514" s="118">
        <f t="shared" si="274"/>
        <v>0</v>
      </c>
    </row>
    <row r="1515" spans="2:27">
      <c r="B1515" s="47"/>
      <c r="C1515" s="35"/>
      <c r="D1515" s="53"/>
      <c r="E1515" s="53"/>
      <c r="F1515" s="48"/>
      <c r="G1515" s="243" t="e">
        <f>INDEX('calcolo base'!$B:$B, MATCH($A1515, 'calcolo base'!$A:$A, 0))</f>
        <v>#N/A</v>
      </c>
      <c r="H1515" s="54" t="e">
        <f t="shared" si="275"/>
        <v>#N/A</v>
      </c>
      <c r="I1515" s="259" t="e">
        <f>IF(  OR(      INDEX('calcolo base'!$D:$D, MATCH($A1515, 'calcolo base'!$A:$A, 0)) = 0,
      INDEX('calcolo base'!$D:$D, MATCH($A1515, 'calcolo base'!$A:$A, 0)) = ""   ),
   INDEX('calcolo base'!$K:$K, MATCH($A1515, 'calcolo base'!$A:$A, 0)),
   INDEX('calcolo base'!$J:$J, MATCH($A1515, 'calcolo base'!$A:$A, 0))
) / 1000</f>
        <v>#N/A</v>
      </c>
      <c r="J1515" s="50" t="e">
        <f t="shared" si="276"/>
        <v>#N/A</v>
      </c>
      <c r="K1515" s="50"/>
      <c r="L1515" s="267" t="e">
        <f>INDEX('calcolo base'!$H:$H, MATCH($A1515, 'calcolo base'!$A:$A, 0))</f>
        <v>#N/A</v>
      </c>
      <c r="M1515" s="50" t="e">
        <f t="shared" si="277"/>
        <v>#N/A</v>
      </c>
      <c r="N1515" s="50" t="e">
        <f t="shared" si="278"/>
        <v>#N/A</v>
      </c>
      <c r="O1515" s="50" t="e">
        <f t="shared" si="272"/>
        <v>#N/A</v>
      </c>
      <c r="P1515" s="50" t="e">
        <f t="shared" si="279"/>
        <v>#N/A</v>
      </c>
      <c r="Q1515" s="51" t="e">
        <f t="shared" si="280"/>
        <v>#N/A</v>
      </c>
      <c r="R1515" s="205" t="e">
        <f t="shared" si="281"/>
        <v>#N/A</v>
      </c>
      <c r="S1515" s="279" t="e">
        <f>IF(R1515="si",0,IF(E1515="si",0,IF(J1515&gt;K1515,0,+K1515-J1515)))+IF('calcolo base'!P2207="SI",('Commissioni De Angeli'!K1515-'Commissioni De Angeli'!J1515),0)</f>
        <v>#N/A</v>
      </c>
      <c r="T1515" s="117" t="e">
        <f t="shared" si="282"/>
        <v>#N/A</v>
      </c>
      <c r="U1515" s="272" t="e">
        <f>IF(Q1515=0,'calcolo base'!L4114,(T1515+Q1515))</f>
        <v>#N/A</v>
      </c>
      <c r="V1515" s="119"/>
      <c r="Z1515" s="118">
        <f t="shared" si="273"/>
        <v>0</v>
      </c>
      <c r="AA1515" s="118">
        <f t="shared" si="274"/>
        <v>0</v>
      </c>
    </row>
    <row r="1516" spans="2:27">
      <c r="B1516" s="47"/>
      <c r="C1516" s="35"/>
      <c r="D1516" s="53"/>
      <c r="E1516" s="53"/>
      <c r="F1516" s="48"/>
      <c r="G1516" s="243" t="e">
        <f>INDEX('calcolo base'!$B:$B, MATCH($A1516, 'calcolo base'!$A:$A, 0))</f>
        <v>#N/A</v>
      </c>
      <c r="H1516" s="54" t="e">
        <f t="shared" si="275"/>
        <v>#N/A</v>
      </c>
      <c r="I1516" s="259" t="e">
        <f>IF(  OR(      INDEX('calcolo base'!$D:$D, MATCH($A1516, 'calcolo base'!$A:$A, 0)) = 0,
      INDEX('calcolo base'!$D:$D, MATCH($A1516, 'calcolo base'!$A:$A, 0)) = ""   ),
   INDEX('calcolo base'!$K:$K, MATCH($A1516, 'calcolo base'!$A:$A, 0)),
   INDEX('calcolo base'!$J:$J, MATCH($A1516, 'calcolo base'!$A:$A, 0))
) / 1000</f>
        <v>#N/A</v>
      </c>
      <c r="J1516" s="50" t="e">
        <f t="shared" si="276"/>
        <v>#N/A</v>
      </c>
      <c r="K1516" s="50"/>
      <c r="L1516" s="267" t="e">
        <f>INDEX('calcolo base'!$H:$H, MATCH($A1516, 'calcolo base'!$A:$A, 0))</f>
        <v>#N/A</v>
      </c>
      <c r="M1516" s="50" t="e">
        <f t="shared" si="277"/>
        <v>#N/A</v>
      </c>
      <c r="N1516" s="50" t="e">
        <f t="shared" si="278"/>
        <v>#N/A</v>
      </c>
      <c r="O1516" s="50" t="e">
        <f t="shared" si="272"/>
        <v>#N/A</v>
      </c>
      <c r="P1516" s="50" t="e">
        <f t="shared" si="279"/>
        <v>#N/A</v>
      </c>
      <c r="Q1516" s="51" t="e">
        <f t="shared" si="280"/>
        <v>#N/A</v>
      </c>
      <c r="R1516" s="205" t="e">
        <f t="shared" si="281"/>
        <v>#N/A</v>
      </c>
      <c r="S1516" s="279" t="e">
        <f>IF(R1516="si",0,IF(E1516="si",0,IF(J1516&gt;K1516,0,+K1516-J1516)))+IF('calcolo base'!P2208="SI",('Commissioni De Angeli'!K1516-'Commissioni De Angeli'!J1516),0)</f>
        <v>#N/A</v>
      </c>
      <c r="T1516" s="117" t="e">
        <f t="shared" si="282"/>
        <v>#N/A</v>
      </c>
      <c r="U1516" s="272" t="e">
        <f>IF(Q1516=0,'calcolo base'!L4115,(T1516+Q1516))</f>
        <v>#N/A</v>
      </c>
      <c r="V1516" s="119"/>
      <c r="Z1516" s="118">
        <f t="shared" si="273"/>
        <v>0</v>
      </c>
      <c r="AA1516" s="118">
        <f t="shared" si="274"/>
        <v>0</v>
      </c>
    </row>
    <row r="1517" spans="2:27">
      <c r="B1517" s="47"/>
      <c r="C1517" s="35"/>
      <c r="D1517" s="53"/>
      <c r="E1517" s="53"/>
      <c r="F1517" s="48"/>
      <c r="G1517" s="243" t="e">
        <f>INDEX('calcolo base'!$B:$B, MATCH($A1517, 'calcolo base'!$A:$A, 0))</f>
        <v>#N/A</v>
      </c>
      <c r="H1517" s="54" t="e">
        <f t="shared" si="275"/>
        <v>#N/A</v>
      </c>
      <c r="I1517" s="259" t="e">
        <f>IF(  OR(      INDEX('calcolo base'!$D:$D, MATCH($A1517, 'calcolo base'!$A:$A, 0)) = 0,
      INDEX('calcolo base'!$D:$D, MATCH($A1517, 'calcolo base'!$A:$A, 0)) = ""   ),
   INDEX('calcolo base'!$K:$K, MATCH($A1517, 'calcolo base'!$A:$A, 0)),
   INDEX('calcolo base'!$J:$J, MATCH($A1517, 'calcolo base'!$A:$A, 0))
) / 1000</f>
        <v>#N/A</v>
      </c>
      <c r="J1517" s="50" t="e">
        <f t="shared" si="276"/>
        <v>#N/A</v>
      </c>
      <c r="K1517" s="50"/>
      <c r="L1517" s="267" t="e">
        <f>INDEX('calcolo base'!$H:$H, MATCH($A1517, 'calcolo base'!$A:$A, 0))</f>
        <v>#N/A</v>
      </c>
      <c r="M1517" s="50" t="e">
        <f t="shared" si="277"/>
        <v>#N/A</v>
      </c>
      <c r="N1517" s="50" t="e">
        <f t="shared" si="278"/>
        <v>#N/A</v>
      </c>
      <c r="O1517" s="50" t="e">
        <f t="shared" ref="O1517:O1580" si="283">IF($I1517=0,0,(IF($G1517="alluminio",($J1517)*3%,0)+IF($G1517="alluminio smaltato",($K1517)*3%,0)))</f>
        <v>#N/A</v>
      </c>
      <c r="P1517" s="50" t="e">
        <f t="shared" si="279"/>
        <v>#N/A</v>
      </c>
      <c r="Q1517" s="51" t="e">
        <f t="shared" si="280"/>
        <v>#N/A</v>
      </c>
      <c r="R1517" s="205" t="e">
        <f t="shared" si="281"/>
        <v>#N/A</v>
      </c>
      <c r="S1517" s="279" t="e">
        <f>IF(R1517="si",0,IF(E1517="si",0,IF(J1517&gt;K1517,0,+K1517-J1517)))+IF('calcolo base'!P2209="SI",('Commissioni De Angeli'!K1517-'Commissioni De Angeli'!J1517),0)</f>
        <v>#N/A</v>
      </c>
      <c r="T1517" s="117" t="e">
        <f t="shared" si="282"/>
        <v>#N/A</v>
      </c>
      <c r="U1517" s="272" t="e">
        <f>IF(Q1517=0,'calcolo base'!L4116,(T1517+Q1517))</f>
        <v>#N/A</v>
      </c>
      <c r="V1517" s="119"/>
      <c r="Z1517" s="118">
        <f t="shared" si="273"/>
        <v>0</v>
      </c>
      <c r="AA1517" s="118">
        <f t="shared" si="274"/>
        <v>0</v>
      </c>
    </row>
    <row r="1518" spans="2:27">
      <c r="B1518" s="47"/>
      <c r="C1518" s="35"/>
      <c r="D1518" s="53"/>
      <c r="E1518" s="53"/>
      <c r="F1518" s="48"/>
      <c r="G1518" s="243" t="e">
        <f>INDEX('calcolo base'!$B:$B, MATCH($A1518, 'calcolo base'!$A:$A, 0))</f>
        <v>#N/A</v>
      </c>
      <c r="H1518" s="54" t="e">
        <f t="shared" si="275"/>
        <v>#N/A</v>
      </c>
      <c r="I1518" s="259" t="e">
        <f>IF(  OR(      INDEX('calcolo base'!$D:$D, MATCH($A1518, 'calcolo base'!$A:$A, 0)) = 0,
      INDEX('calcolo base'!$D:$D, MATCH($A1518, 'calcolo base'!$A:$A, 0)) = ""   ),
   INDEX('calcolo base'!$K:$K, MATCH($A1518, 'calcolo base'!$A:$A, 0)),
   INDEX('calcolo base'!$J:$J, MATCH($A1518, 'calcolo base'!$A:$A, 0))
) / 1000</f>
        <v>#N/A</v>
      </c>
      <c r="J1518" s="50" t="e">
        <f t="shared" si="276"/>
        <v>#N/A</v>
      </c>
      <c r="K1518" s="50"/>
      <c r="L1518" s="267" t="e">
        <f>INDEX('calcolo base'!$H:$H, MATCH($A1518, 'calcolo base'!$A:$A, 0))</f>
        <v>#N/A</v>
      </c>
      <c r="M1518" s="50" t="e">
        <f t="shared" si="277"/>
        <v>#N/A</v>
      </c>
      <c r="N1518" s="50" t="e">
        <f t="shared" si="278"/>
        <v>#N/A</v>
      </c>
      <c r="O1518" s="50" t="e">
        <f t="shared" si="283"/>
        <v>#N/A</v>
      </c>
      <c r="P1518" s="50" t="e">
        <f t="shared" si="279"/>
        <v>#N/A</v>
      </c>
      <c r="Q1518" s="51" t="e">
        <f t="shared" si="280"/>
        <v>#N/A</v>
      </c>
      <c r="R1518" s="205" t="e">
        <f t="shared" si="281"/>
        <v>#N/A</v>
      </c>
      <c r="S1518" s="279" t="e">
        <f>IF(R1518="si",0,IF(E1518="si",0,IF(J1518&gt;K1518,0,+K1518-J1518)))+IF('calcolo base'!P2210="SI",('Commissioni De Angeli'!K1518-'Commissioni De Angeli'!J1518),0)</f>
        <v>#N/A</v>
      </c>
      <c r="T1518" s="117" t="e">
        <f t="shared" si="282"/>
        <v>#N/A</v>
      </c>
      <c r="U1518" s="272" t="e">
        <f>IF(Q1518=0,'calcolo base'!L4117,(T1518+Q1518))</f>
        <v>#N/A</v>
      </c>
      <c r="V1518" s="119"/>
      <c r="Z1518" s="118">
        <f t="shared" si="273"/>
        <v>0</v>
      </c>
      <c r="AA1518" s="118">
        <f t="shared" si="274"/>
        <v>0</v>
      </c>
    </row>
    <row r="1519" spans="2:27">
      <c r="B1519" s="47"/>
      <c r="C1519" s="35"/>
      <c r="D1519" s="53"/>
      <c r="E1519" s="53"/>
      <c r="F1519" s="48"/>
      <c r="G1519" s="243" t="e">
        <f>INDEX('calcolo base'!$B:$B, MATCH($A1519, 'calcolo base'!$A:$A, 0))</f>
        <v>#N/A</v>
      </c>
      <c r="H1519" s="54" t="e">
        <f t="shared" si="275"/>
        <v>#N/A</v>
      </c>
      <c r="I1519" s="259" t="e">
        <f>IF(  OR(      INDEX('calcolo base'!$D:$D, MATCH($A1519, 'calcolo base'!$A:$A, 0)) = 0,
      INDEX('calcolo base'!$D:$D, MATCH($A1519, 'calcolo base'!$A:$A, 0)) = ""   ),
   INDEX('calcolo base'!$K:$K, MATCH($A1519, 'calcolo base'!$A:$A, 0)),
   INDEX('calcolo base'!$J:$J, MATCH($A1519, 'calcolo base'!$A:$A, 0))
) / 1000</f>
        <v>#N/A</v>
      </c>
      <c r="J1519" s="50" t="e">
        <f t="shared" si="276"/>
        <v>#N/A</v>
      </c>
      <c r="K1519" s="50"/>
      <c r="L1519" s="267" t="e">
        <f>INDEX('calcolo base'!$H:$H, MATCH($A1519, 'calcolo base'!$A:$A, 0))</f>
        <v>#N/A</v>
      </c>
      <c r="M1519" s="50" t="e">
        <f t="shared" si="277"/>
        <v>#N/A</v>
      </c>
      <c r="N1519" s="50" t="e">
        <f t="shared" si="278"/>
        <v>#N/A</v>
      </c>
      <c r="O1519" s="50" t="e">
        <f t="shared" si="283"/>
        <v>#N/A</v>
      </c>
      <c r="P1519" s="50" t="e">
        <f t="shared" si="279"/>
        <v>#N/A</v>
      </c>
      <c r="Q1519" s="51" t="e">
        <f t="shared" si="280"/>
        <v>#N/A</v>
      </c>
      <c r="R1519" s="205" t="e">
        <f t="shared" si="281"/>
        <v>#N/A</v>
      </c>
      <c r="S1519" s="279" t="e">
        <f>IF(R1519="si",0,IF(E1519="si",0,IF(J1519&gt;K1519,0,+K1519-J1519)))+IF('calcolo base'!P2211="SI",('Commissioni De Angeli'!K1519-'Commissioni De Angeli'!J1519),0)</f>
        <v>#N/A</v>
      </c>
      <c r="T1519" s="117" t="e">
        <f t="shared" si="282"/>
        <v>#N/A</v>
      </c>
      <c r="U1519" s="272" t="e">
        <f>IF(Q1519=0,'calcolo base'!L4118,(T1519+Q1519))</f>
        <v>#N/A</v>
      </c>
      <c r="V1519" s="119"/>
      <c r="Z1519" s="118">
        <f t="shared" si="273"/>
        <v>0</v>
      </c>
      <c r="AA1519" s="118">
        <f t="shared" si="274"/>
        <v>0</v>
      </c>
    </row>
    <row r="1520" spans="2:27">
      <c r="B1520" s="47"/>
      <c r="C1520" s="35"/>
      <c r="D1520" s="53"/>
      <c r="E1520" s="53"/>
      <c r="F1520" s="48"/>
      <c r="G1520" s="243" t="e">
        <f>INDEX('calcolo base'!$B:$B, MATCH($A1520, 'calcolo base'!$A:$A, 0))</f>
        <v>#N/A</v>
      </c>
      <c r="H1520" s="54" t="e">
        <f t="shared" si="275"/>
        <v>#N/A</v>
      </c>
      <c r="I1520" s="259" t="e">
        <f>IF(  OR(      INDEX('calcolo base'!$D:$D, MATCH($A1520, 'calcolo base'!$A:$A, 0)) = 0,
      INDEX('calcolo base'!$D:$D, MATCH($A1520, 'calcolo base'!$A:$A, 0)) = ""   ),
   INDEX('calcolo base'!$K:$K, MATCH($A1520, 'calcolo base'!$A:$A, 0)),
   INDEX('calcolo base'!$J:$J, MATCH($A1520, 'calcolo base'!$A:$A, 0))
) / 1000</f>
        <v>#N/A</v>
      </c>
      <c r="J1520" s="50" t="e">
        <f t="shared" si="276"/>
        <v>#N/A</v>
      </c>
      <c r="K1520" s="50"/>
      <c r="L1520" s="267" t="e">
        <f>INDEX('calcolo base'!$H:$H, MATCH($A1520, 'calcolo base'!$A:$A, 0))</f>
        <v>#N/A</v>
      </c>
      <c r="M1520" s="50" t="e">
        <f t="shared" si="277"/>
        <v>#N/A</v>
      </c>
      <c r="N1520" s="50" t="e">
        <f t="shared" si="278"/>
        <v>#N/A</v>
      </c>
      <c r="O1520" s="50" t="e">
        <f t="shared" si="283"/>
        <v>#N/A</v>
      </c>
      <c r="P1520" s="50" t="e">
        <f t="shared" si="279"/>
        <v>#N/A</v>
      </c>
      <c r="Q1520" s="51" t="e">
        <f t="shared" si="280"/>
        <v>#N/A</v>
      </c>
      <c r="R1520" s="205" t="e">
        <f t="shared" si="281"/>
        <v>#N/A</v>
      </c>
      <c r="S1520" s="279" t="e">
        <f>IF(R1520="si",0,IF(E1520="si",0,IF(J1520&gt;K1520,0,+K1520-J1520)))+IF('calcolo base'!P2212="SI",('Commissioni De Angeli'!K1520-'Commissioni De Angeli'!J1520),0)</f>
        <v>#N/A</v>
      </c>
      <c r="T1520" s="117" t="e">
        <f t="shared" si="282"/>
        <v>#N/A</v>
      </c>
      <c r="U1520" s="272" t="e">
        <f>IF(Q1520=0,'calcolo base'!L4119,(T1520+Q1520))</f>
        <v>#N/A</v>
      </c>
      <c r="V1520" s="119"/>
      <c r="Z1520" s="118">
        <f t="shared" si="273"/>
        <v>0</v>
      </c>
      <c r="AA1520" s="118">
        <f t="shared" si="274"/>
        <v>0</v>
      </c>
    </row>
    <row r="1521" spans="2:27">
      <c r="B1521" s="47"/>
      <c r="C1521" s="35"/>
      <c r="D1521" s="53"/>
      <c r="E1521" s="53"/>
      <c r="F1521" s="48"/>
      <c r="G1521" s="243" t="e">
        <f>INDEX('calcolo base'!$B:$B, MATCH($A1521, 'calcolo base'!$A:$A, 0))</f>
        <v>#N/A</v>
      </c>
      <c r="H1521" s="54" t="e">
        <f t="shared" si="275"/>
        <v>#N/A</v>
      </c>
      <c r="I1521" s="259" t="e">
        <f>IF(  OR(      INDEX('calcolo base'!$D:$D, MATCH($A1521, 'calcolo base'!$A:$A, 0)) = 0,
      INDEX('calcolo base'!$D:$D, MATCH($A1521, 'calcolo base'!$A:$A, 0)) = ""   ),
   INDEX('calcolo base'!$K:$K, MATCH($A1521, 'calcolo base'!$A:$A, 0)),
   INDEX('calcolo base'!$J:$J, MATCH($A1521, 'calcolo base'!$A:$A, 0))
) / 1000</f>
        <v>#N/A</v>
      </c>
      <c r="J1521" s="50" t="e">
        <f t="shared" si="276"/>
        <v>#N/A</v>
      </c>
      <c r="K1521" s="50"/>
      <c r="L1521" s="267" t="e">
        <f>INDEX('calcolo base'!$H:$H, MATCH($A1521, 'calcolo base'!$A:$A, 0))</f>
        <v>#N/A</v>
      </c>
      <c r="M1521" s="50" t="e">
        <f t="shared" si="277"/>
        <v>#N/A</v>
      </c>
      <c r="N1521" s="50" t="e">
        <f t="shared" si="278"/>
        <v>#N/A</v>
      </c>
      <c r="O1521" s="50" t="e">
        <f t="shared" si="283"/>
        <v>#N/A</v>
      </c>
      <c r="P1521" s="50" t="e">
        <f t="shared" si="279"/>
        <v>#N/A</v>
      </c>
      <c r="Q1521" s="51" t="e">
        <f t="shared" si="280"/>
        <v>#N/A</v>
      </c>
      <c r="R1521" s="205" t="e">
        <f t="shared" si="281"/>
        <v>#N/A</v>
      </c>
      <c r="S1521" s="279" t="e">
        <f>IF(R1521="si",0,IF(E1521="si",0,IF(J1521&gt;K1521,0,+K1521-J1521)))+IF('calcolo base'!P2213="SI",('Commissioni De Angeli'!K1521-'Commissioni De Angeli'!J1521),0)</f>
        <v>#N/A</v>
      </c>
      <c r="T1521" s="117" t="e">
        <f t="shared" si="282"/>
        <v>#N/A</v>
      </c>
      <c r="U1521" s="272" t="e">
        <f>IF(Q1521=0,'calcolo base'!L4120,(T1521+Q1521))</f>
        <v>#N/A</v>
      </c>
      <c r="V1521" s="119"/>
      <c r="Z1521" s="118">
        <f t="shared" si="273"/>
        <v>0</v>
      </c>
      <c r="AA1521" s="118">
        <f t="shared" si="274"/>
        <v>0</v>
      </c>
    </row>
    <row r="1522" spans="2:27">
      <c r="B1522" s="47"/>
      <c r="C1522" s="35"/>
      <c r="D1522" s="53"/>
      <c r="E1522" s="53"/>
      <c r="F1522" s="48"/>
      <c r="G1522" s="243" t="e">
        <f>INDEX('calcolo base'!$B:$B, MATCH($A1522, 'calcolo base'!$A:$A, 0))</f>
        <v>#N/A</v>
      </c>
      <c r="H1522" s="54" t="e">
        <f t="shared" si="275"/>
        <v>#N/A</v>
      </c>
      <c r="I1522" s="259" t="e">
        <f>IF(  OR(      INDEX('calcolo base'!$D:$D, MATCH($A1522, 'calcolo base'!$A:$A, 0)) = 0,
      INDEX('calcolo base'!$D:$D, MATCH($A1522, 'calcolo base'!$A:$A, 0)) = ""   ),
   INDEX('calcolo base'!$K:$K, MATCH($A1522, 'calcolo base'!$A:$A, 0)),
   INDEX('calcolo base'!$J:$J, MATCH($A1522, 'calcolo base'!$A:$A, 0))
) / 1000</f>
        <v>#N/A</v>
      </c>
      <c r="J1522" s="50" t="e">
        <f t="shared" si="276"/>
        <v>#N/A</v>
      </c>
      <c r="K1522" s="50"/>
      <c r="L1522" s="267" t="e">
        <f>INDEX('calcolo base'!$H:$H, MATCH($A1522, 'calcolo base'!$A:$A, 0))</f>
        <v>#N/A</v>
      </c>
      <c r="M1522" s="50" t="e">
        <f t="shared" si="277"/>
        <v>#N/A</v>
      </c>
      <c r="N1522" s="50" t="e">
        <f t="shared" si="278"/>
        <v>#N/A</v>
      </c>
      <c r="O1522" s="50" t="e">
        <f t="shared" si="283"/>
        <v>#N/A</v>
      </c>
      <c r="P1522" s="50" t="e">
        <f t="shared" si="279"/>
        <v>#N/A</v>
      </c>
      <c r="Q1522" s="51" t="e">
        <f t="shared" si="280"/>
        <v>#N/A</v>
      </c>
      <c r="R1522" s="205" t="e">
        <f t="shared" si="281"/>
        <v>#N/A</v>
      </c>
      <c r="S1522" s="279" t="e">
        <f>IF(R1522="si",0,IF(E1522="si",0,IF(J1522&gt;K1522,0,+K1522-J1522)))+IF('calcolo base'!P2214="SI",('Commissioni De Angeli'!K1522-'Commissioni De Angeli'!J1522),0)</f>
        <v>#N/A</v>
      </c>
      <c r="T1522" s="117" t="e">
        <f t="shared" si="282"/>
        <v>#N/A</v>
      </c>
      <c r="U1522" s="272" t="e">
        <f>IF(Q1522=0,'calcolo base'!L4121,(T1522+Q1522))</f>
        <v>#N/A</v>
      </c>
      <c r="V1522" s="119"/>
      <c r="Z1522" s="118">
        <f t="shared" si="273"/>
        <v>0</v>
      </c>
      <c r="AA1522" s="118">
        <f t="shared" si="274"/>
        <v>0</v>
      </c>
    </row>
    <row r="1523" spans="2:27">
      <c r="B1523" s="47"/>
      <c r="C1523" s="35"/>
      <c r="D1523" s="53"/>
      <c r="E1523" s="53"/>
      <c r="F1523" s="48"/>
      <c r="G1523" s="243" t="e">
        <f>INDEX('calcolo base'!$B:$B, MATCH($A1523, 'calcolo base'!$A:$A, 0))</f>
        <v>#N/A</v>
      </c>
      <c r="H1523" s="54" t="e">
        <f t="shared" si="275"/>
        <v>#N/A</v>
      </c>
      <c r="I1523" s="259" t="e">
        <f>IF(  OR(      INDEX('calcolo base'!$D:$D, MATCH($A1523, 'calcolo base'!$A:$A, 0)) = 0,
      INDEX('calcolo base'!$D:$D, MATCH($A1523, 'calcolo base'!$A:$A, 0)) = ""   ),
   INDEX('calcolo base'!$K:$K, MATCH($A1523, 'calcolo base'!$A:$A, 0)),
   INDEX('calcolo base'!$J:$J, MATCH($A1523, 'calcolo base'!$A:$A, 0))
) / 1000</f>
        <v>#N/A</v>
      </c>
      <c r="J1523" s="50" t="e">
        <f t="shared" si="276"/>
        <v>#N/A</v>
      </c>
      <c r="K1523" s="50"/>
      <c r="L1523" s="267" t="e">
        <f>INDEX('calcolo base'!$H:$H, MATCH($A1523, 'calcolo base'!$A:$A, 0))</f>
        <v>#N/A</v>
      </c>
      <c r="M1523" s="50" t="e">
        <f t="shared" si="277"/>
        <v>#N/A</v>
      </c>
      <c r="N1523" s="50" t="e">
        <f t="shared" si="278"/>
        <v>#N/A</v>
      </c>
      <c r="O1523" s="50" t="e">
        <f t="shared" si="283"/>
        <v>#N/A</v>
      </c>
      <c r="P1523" s="50" t="e">
        <f t="shared" si="279"/>
        <v>#N/A</v>
      </c>
      <c r="Q1523" s="51" t="e">
        <f t="shared" si="280"/>
        <v>#N/A</v>
      </c>
      <c r="R1523" s="205" t="e">
        <f t="shared" si="281"/>
        <v>#N/A</v>
      </c>
      <c r="S1523" s="279" t="e">
        <f>IF(R1523="si",0,IF(E1523="si",0,IF(J1523&gt;K1523,0,+K1523-J1523)))+IF('calcolo base'!P2215="SI",('Commissioni De Angeli'!K1523-'Commissioni De Angeli'!J1523),0)</f>
        <v>#N/A</v>
      </c>
      <c r="T1523" s="117" t="e">
        <f t="shared" si="282"/>
        <v>#N/A</v>
      </c>
      <c r="U1523" s="272" t="e">
        <f>IF(Q1523=0,'calcolo base'!L4122,(T1523+Q1523))</f>
        <v>#N/A</v>
      </c>
      <c r="V1523" s="119"/>
      <c r="Z1523" s="118">
        <f t="shared" si="273"/>
        <v>0</v>
      </c>
      <c r="AA1523" s="118">
        <f t="shared" si="274"/>
        <v>0</v>
      </c>
    </row>
    <row r="1524" spans="2:27">
      <c r="B1524" s="47"/>
      <c r="C1524" s="35"/>
      <c r="D1524" s="53"/>
      <c r="E1524" s="53"/>
      <c r="F1524" s="48"/>
      <c r="G1524" s="243" t="e">
        <f>INDEX('calcolo base'!$B:$B, MATCH($A1524, 'calcolo base'!$A:$A, 0))</f>
        <v>#N/A</v>
      </c>
      <c r="H1524" s="54" t="e">
        <f t="shared" si="275"/>
        <v>#N/A</v>
      </c>
      <c r="I1524" s="259" t="e">
        <f>IF(  OR(      INDEX('calcolo base'!$D:$D, MATCH($A1524, 'calcolo base'!$A:$A, 0)) = 0,
      INDEX('calcolo base'!$D:$D, MATCH($A1524, 'calcolo base'!$A:$A, 0)) = ""   ),
   INDEX('calcolo base'!$K:$K, MATCH($A1524, 'calcolo base'!$A:$A, 0)),
   INDEX('calcolo base'!$J:$J, MATCH($A1524, 'calcolo base'!$A:$A, 0))
) / 1000</f>
        <v>#N/A</v>
      </c>
      <c r="J1524" s="50" t="e">
        <f t="shared" si="276"/>
        <v>#N/A</v>
      </c>
      <c r="K1524" s="50"/>
      <c r="L1524" s="267" t="e">
        <f>INDEX('calcolo base'!$H:$H, MATCH($A1524, 'calcolo base'!$A:$A, 0))</f>
        <v>#N/A</v>
      </c>
      <c r="M1524" s="50" t="e">
        <f t="shared" si="277"/>
        <v>#N/A</v>
      </c>
      <c r="N1524" s="50" t="e">
        <f t="shared" si="278"/>
        <v>#N/A</v>
      </c>
      <c r="O1524" s="50" t="e">
        <f t="shared" si="283"/>
        <v>#N/A</v>
      </c>
      <c r="P1524" s="50" t="e">
        <f t="shared" si="279"/>
        <v>#N/A</v>
      </c>
      <c r="Q1524" s="51" t="e">
        <f t="shared" si="280"/>
        <v>#N/A</v>
      </c>
      <c r="R1524" s="205" t="e">
        <f t="shared" si="281"/>
        <v>#N/A</v>
      </c>
      <c r="S1524" s="279" t="e">
        <f>IF(R1524="si",0,IF(E1524="si",0,IF(J1524&gt;K1524,0,+K1524-J1524)))+IF('calcolo base'!P2216="SI",('Commissioni De Angeli'!K1524-'Commissioni De Angeli'!J1524),0)</f>
        <v>#N/A</v>
      </c>
      <c r="T1524" s="117" t="e">
        <f t="shared" si="282"/>
        <v>#N/A</v>
      </c>
      <c r="U1524" s="272" t="e">
        <f>IF(Q1524=0,'calcolo base'!L4123,(T1524+Q1524))</f>
        <v>#N/A</v>
      </c>
      <c r="V1524" s="119"/>
      <c r="Z1524" s="118">
        <f t="shared" si="273"/>
        <v>0</v>
      </c>
      <c r="AA1524" s="118">
        <f t="shared" si="274"/>
        <v>0</v>
      </c>
    </row>
    <row r="1525" spans="2:27">
      <c r="B1525" s="47"/>
      <c r="C1525" s="35"/>
      <c r="D1525" s="53"/>
      <c r="E1525" s="53"/>
      <c r="F1525" s="48"/>
      <c r="G1525" s="243" t="e">
        <f>INDEX('calcolo base'!$B:$B, MATCH($A1525, 'calcolo base'!$A:$A, 0))</f>
        <v>#N/A</v>
      </c>
      <c r="H1525" s="54" t="e">
        <f t="shared" si="275"/>
        <v>#N/A</v>
      </c>
      <c r="I1525" s="259" t="e">
        <f>IF(  OR(      INDEX('calcolo base'!$D:$D, MATCH($A1525, 'calcolo base'!$A:$A, 0)) = 0,
      INDEX('calcolo base'!$D:$D, MATCH($A1525, 'calcolo base'!$A:$A, 0)) = ""   ),
   INDEX('calcolo base'!$K:$K, MATCH($A1525, 'calcolo base'!$A:$A, 0)),
   INDEX('calcolo base'!$J:$J, MATCH($A1525, 'calcolo base'!$A:$A, 0))
) / 1000</f>
        <v>#N/A</v>
      </c>
      <c r="J1525" s="50" t="e">
        <f t="shared" si="276"/>
        <v>#N/A</v>
      </c>
      <c r="K1525" s="50"/>
      <c r="L1525" s="267" t="e">
        <f>INDEX('calcolo base'!$H:$H, MATCH($A1525, 'calcolo base'!$A:$A, 0))</f>
        <v>#N/A</v>
      </c>
      <c r="M1525" s="50" t="e">
        <f t="shared" si="277"/>
        <v>#N/A</v>
      </c>
      <c r="N1525" s="50" t="e">
        <f t="shared" si="278"/>
        <v>#N/A</v>
      </c>
      <c r="O1525" s="50" t="e">
        <f t="shared" si="283"/>
        <v>#N/A</v>
      </c>
      <c r="P1525" s="50" t="e">
        <f t="shared" si="279"/>
        <v>#N/A</v>
      </c>
      <c r="Q1525" s="51" t="e">
        <f t="shared" si="280"/>
        <v>#N/A</v>
      </c>
      <c r="R1525" s="205" t="e">
        <f t="shared" si="281"/>
        <v>#N/A</v>
      </c>
      <c r="S1525" s="279" t="e">
        <f>IF(R1525="si",0,IF(E1525="si",0,IF(J1525&gt;K1525,0,+K1525-J1525)))+IF('calcolo base'!P2217="SI",('Commissioni De Angeli'!K1525-'Commissioni De Angeli'!J1525),0)</f>
        <v>#N/A</v>
      </c>
      <c r="T1525" s="117" t="e">
        <f t="shared" si="282"/>
        <v>#N/A</v>
      </c>
      <c r="U1525" s="272" t="e">
        <f>IF(Q1525=0,'calcolo base'!L4124,(T1525+Q1525))</f>
        <v>#N/A</v>
      </c>
      <c r="V1525" s="119"/>
      <c r="Z1525" s="118">
        <f t="shared" si="273"/>
        <v>0</v>
      </c>
      <c r="AA1525" s="118">
        <f t="shared" si="274"/>
        <v>0</v>
      </c>
    </row>
    <row r="1526" spans="2:27">
      <c r="B1526" s="47"/>
      <c r="C1526" s="35"/>
      <c r="D1526" s="53"/>
      <c r="E1526" s="53"/>
      <c r="F1526" s="48"/>
      <c r="G1526" s="243" t="e">
        <f>INDEX('calcolo base'!$B:$B, MATCH($A1526, 'calcolo base'!$A:$A, 0))</f>
        <v>#N/A</v>
      </c>
      <c r="H1526" s="54" t="e">
        <f t="shared" si="275"/>
        <v>#N/A</v>
      </c>
      <c r="I1526" s="259" t="e">
        <f>IF(  OR(      INDEX('calcolo base'!$D:$D, MATCH($A1526, 'calcolo base'!$A:$A, 0)) = 0,
      INDEX('calcolo base'!$D:$D, MATCH($A1526, 'calcolo base'!$A:$A, 0)) = ""   ),
   INDEX('calcolo base'!$K:$K, MATCH($A1526, 'calcolo base'!$A:$A, 0)),
   INDEX('calcolo base'!$J:$J, MATCH($A1526, 'calcolo base'!$A:$A, 0))
) / 1000</f>
        <v>#N/A</v>
      </c>
      <c r="J1526" s="50" t="e">
        <f t="shared" si="276"/>
        <v>#N/A</v>
      </c>
      <c r="K1526" s="50"/>
      <c r="L1526" s="267" t="e">
        <f>INDEX('calcolo base'!$H:$H, MATCH($A1526, 'calcolo base'!$A:$A, 0))</f>
        <v>#N/A</v>
      </c>
      <c r="M1526" s="50" t="e">
        <f t="shared" si="277"/>
        <v>#N/A</v>
      </c>
      <c r="N1526" s="50" t="e">
        <f t="shared" si="278"/>
        <v>#N/A</v>
      </c>
      <c r="O1526" s="50" t="e">
        <f t="shared" si="283"/>
        <v>#N/A</v>
      </c>
      <c r="P1526" s="50" t="e">
        <f t="shared" si="279"/>
        <v>#N/A</v>
      </c>
      <c r="Q1526" s="51" t="e">
        <f t="shared" si="280"/>
        <v>#N/A</v>
      </c>
      <c r="R1526" s="205" t="e">
        <f t="shared" si="281"/>
        <v>#N/A</v>
      </c>
      <c r="S1526" s="279" t="e">
        <f>IF(R1526="si",0,IF(E1526="si",0,IF(J1526&gt;K1526,0,+K1526-J1526)))+IF('calcolo base'!P2218="SI",('Commissioni De Angeli'!K1526-'Commissioni De Angeli'!J1526),0)</f>
        <v>#N/A</v>
      </c>
      <c r="T1526" s="117" t="e">
        <f t="shared" si="282"/>
        <v>#N/A</v>
      </c>
      <c r="U1526" s="272" t="e">
        <f>IF(Q1526=0,'calcolo base'!L4125,(T1526+Q1526))</f>
        <v>#N/A</v>
      </c>
      <c r="V1526" s="119"/>
      <c r="Z1526" s="118">
        <f t="shared" si="273"/>
        <v>0</v>
      </c>
      <c r="AA1526" s="118">
        <f t="shared" si="274"/>
        <v>0</v>
      </c>
    </row>
    <row r="1527" spans="2:27">
      <c r="B1527" s="47"/>
      <c r="C1527" s="35"/>
      <c r="D1527" s="53"/>
      <c r="E1527" s="53"/>
      <c r="F1527" s="48"/>
      <c r="G1527" s="243" t="e">
        <f>INDEX('calcolo base'!$B:$B, MATCH($A1527, 'calcolo base'!$A:$A, 0))</f>
        <v>#N/A</v>
      </c>
      <c r="H1527" s="54" t="e">
        <f t="shared" si="275"/>
        <v>#N/A</v>
      </c>
      <c r="I1527" s="259" t="e">
        <f>IF(  OR(      INDEX('calcolo base'!$D:$D, MATCH($A1527, 'calcolo base'!$A:$A, 0)) = 0,
      INDEX('calcolo base'!$D:$D, MATCH($A1527, 'calcolo base'!$A:$A, 0)) = ""   ),
   INDEX('calcolo base'!$K:$K, MATCH($A1527, 'calcolo base'!$A:$A, 0)),
   INDEX('calcolo base'!$J:$J, MATCH($A1527, 'calcolo base'!$A:$A, 0))
) / 1000</f>
        <v>#N/A</v>
      </c>
      <c r="J1527" s="50" t="e">
        <f t="shared" si="276"/>
        <v>#N/A</v>
      </c>
      <c r="K1527" s="50"/>
      <c r="L1527" s="267" t="e">
        <f>INDEX('calcolo base'!$H:$H, MATCH($A1527, 'calcolo base'!$A:$A, 0))</f>
        <v>#N/A</v>
      </c>
      <c r="M1527" s="50" t="e">
        <f t="shared" si="277"/>
        <v>#N/A</v>
      </c>
      <c r="N1527" s="50" t="e">
        <f t="shared" si="278"/>
        <v>#N/A</v>
      </c>
      <c r="O1527" s="50" t="e">
        <f t="shared" si="283"/>
        <v>#N/A</v>
      </c>
      <c r="P1527" s="50" t="e">
        <f t="shared" si="279"/>
        <v>#N/A</v>
      </c>
      <c r="Q1527" s="51" t="e">
        <f t="shared" si="280"/>
        <v>#N/A</v>
      </c>
      <c r="R1527" s="205" t="e">
        <f t="shared" si="281"/>
        <v>#N/A</v>
      </c>
      <c r="S1527" s="279" t="e">
        <f>IF(R1527="si",0,IF(E1527="si",0,IF(J1527&gt;K1527,0,+K1527-J1527)))+IF('calcolo base'!P2219="SI",('Commissioni De Angeli'!K1527-'Commissioni De Angeli'!J1527),0)</f>
        <v>#N/A</v>
      </c>
      <c r="T1527" s="117" t="e">
        <f t="shared" si="282"/>
        <v>#N/A</v>
      </c>
      <c r="U1527" s="272" t="e">
        <f>IF(Q1527=0,'calcolo base'!L4126,(T1527+Q1527))</f>
        <v>#N/A</v>
      </c>
      <c r="V1527" s="119"/>
      <c r="Z1527" s="118">
        <f t="shared" si="273"/>
        <v>0</v>
      </c>
      <c r="AA1527" s="118">
        <f t="shared" si="274"/>
        <v>0</v>
      </c>
    </row>
    <row r="1528" spans="2:27">
      <c r="B1528" s="47"/>
      <c r="C1528" s="35"/>
      <c r="D1528" s="53"/>
      <c r="E1528" s="53"/>
      <c r="F1528" s="48"/>
      <c r="G1528" s="243" t="e">
        <f>INDEX('calcolo base'!$B:$B, MATCH($A1528, 'calcolo base'!$A:$A, 0))</f>
        <v>#N/A</v>
      </c>
      <c r="H1528" s="54" t="e">
        <f t="shared" si="275"/>
        <v>#N/A</v>
      </c>
      <c r="I1528" s="259" t="e">
        <f>IF(  OR(      INDEX('calcolo base'!$D:$D, MATCH($A1528, 'calcolo base'!$A:$A, 0)) = 0,
      INDEX('calcolo base'!$D:$D, MATCH($A1528, 'calcolo base'!$A:$A, 0)) = ""   ),
   INDEX('calcolo base'!$K:$K, MATCH($A1528, 'calcolo base'!$A:$A, 0)),
   INDEX('calcolo base'!$J:$J, MATCH($A1528, 'calcolo base'!$A:$A, 0))
) / 1000</f>
        <v>#N/A</v>
      </c>
      <c r="J1528" s="50" t="e">
        <f t="shared" si="276"/>
        <v>#N/A</v>
      </c>
      <c r="K1528" s="50"/>
      <c r="L1528" s="267" t="e">
        <f>INDEX('calcolo base'!$H:$H, MATCH($A1528, 'calcolo base'!$A:$A, 0))</f>
        <v>#N/A</v>
      </c>
      <c r="M1528" s="50" t="e">
        <f t="shared" si="277"/>
        <v>#N/A</v>
      </c>
      <c r="N1528" s="50" t="e">
        <f t="shared" si="278"/>
        <v>#N/A</v>
      </c>
      <c r="O1528" s="50" t="e">
        <f t="shared" si="283"/>
        <v>#N/A</v>
      </c>
      <c r="P1528" s="50" t="e">
        <f t="shared" si="279"/>
        <v>#N/A</v>
      </c>
      <c r="Q1528" s="51" t="e">
        <f t="shared" si="280"/>
        <v>#N/A</v>
      </c>
      <c r="R1528" s="205" t="e">
        <f t="shared" si="281"/>
        <v>#N/A</v>
      </c>
      <c r="S1528" s="279" t="e">
        <f>IF(R1528="si",0,IF(E1528="si",0,IF(J1528&gt;K1528,0,+K1528-J1528)))+IF('calcolo base'!P2220="SI",('Commissioni De Angeli'!K1528-'Commissioni De Angeli'!J1528),0)</f>
        <v>#N/A</v>
      </c>
      <c r="T1528" s="117" t="e">
        <f t="shared" si="282"/>
        <v>#N/A</v>
      </c>
      <c r="U1528" s="272" t="e">
        <f>IF(Q1528=0,'calcolo base'!L4127,(T1528+Q1528))</f>
        <v>#N/A</v>
      </c>
      <c r="V1528" s="119"/>
      <c r="Z1528" s="118">
        <f t="shared" si="273"/>
        <v>0</v>
      </c>
      <c r="AA1528" s="118">
        <f t="shared" si="274"/>
        <v>0</v>
      </c>
    </row>
    <row r="1529" spans="2:27">
      <c r="B1529" s="47"/>
      <c r="C1529" s="35"/>
      <c r="D1529" s="53"/>
      <c r="E1529" s="53"/>
      <c r="F1529" s="48"/>
      <c r="G1529" s="243" t="e">
        <f>INDEX('calcolo base'!$B:$B, MATCH($A1529, 'calcolo base'!$A:$A, 0))</f>
        <v>#N/A</v>
      </c>
      <c r="H1529" s="54" t="e">
        <f t="shared" si="275"/>
        <v>#N/A</v>
      </c>
      <c r="I1529" s="259" t="e">
        <f>IF(  OR(      INDEX('calcolo base'!$D:$D, MATCH($A1529, 'calcolo base'!$A:$A, 0)) = 0,
      INDEX('calcolo base'!$D:$D, MATCH($A1529, 'calcolo base'!$A:$A, 0)) = ""   ),
   INDEX('calcolo base'!$K:$K, MATCH($A1529, 'calcolo base'!$A:$A, 0)),
   INDEX('calcolo base'!$J:$J, MATCH($A1529, 'calcolo base'!$A:$A, 0))
) / 1000</f>
        <v>#N/A</v>
      </c>
      <c r="J1529" s="50" t="e">
        <f t="shared" si="276"/>
        <v>#N/A</v>
      </c>
      <c r="K1529" s="50"/>
      <c r="L1529" s="267" t="e">
        <f>INDEX('calcolo base'!$H:$H, MATCH($A1529, 'calcolo base'!$A:$A, 0))</f>
        <v>#N/A</v>
      </c>
      <c r="M1529" s="50" t="e">
        <f t="shared" si="277"/>
        <v>#N/A</v>
      </c>
      <c r="N1529" s="50" t="e">
        <f t="shared" si="278"/>
        <v>#N/A</v>
      </c>
      <c r="O1529" s="50" t="e">
        <f t="shared" si="283"/>
        <v>#N/A</v>
      </c>
      <c r="P1529" s="50" t="e">
        <f t="shared" si="279"/>
        <v>#N/A</v>
      </c>
      <c r="Q1529" s="51" t="e">
        <f t="shared" si="280"/>
        <v>#N/A</v>
      </c>
      <c r="R1529" s="205" t="e">
        <f t="shared" si="281"/>
        <v>#N/A</v>
      </c>
      <c r="S1529" s="279" t="e">
        <f>IF(R1529="si",0,IF(E1529="si",0,IF(J1529&gt;K1529,0,+K1529-J1529)))+IF('calcolo base'!P2221="SI",('Commissioni De Angeli'!K1529-'Commissioni De Angeli'!J1529),0)</f>
        <v>#N/A</v>
      </c>
      <c r="T1529" s="117" t="e">
        <f t="shared" si="282"/>
        <v>#N/A</v>
      </c>
      <c r="U1529" s="272" t="e">
        <f>IF(Q1529=0,'calcolo base'!L4128,(T1529+Q1529))</f>
        <v>#N/A</v>
      </c>
      <c r="V1529" s="119"/>
      <c r="Z1529" s="118">
        <f t="shared" si="273"/>
        <v>0</v>
      </c>
      <c r="AA1529" s="118">
        <f t="shared" si="274"/>
        <v>0</v>
      </c>
    </row>
    <row r="1530" spans="2:27">
      <c r="B1530" s="47"/>
      <c r="C1530" s="35"/>
      <c r="D1530" s="53"/>
      <c r="E1530" s="53"/>
      <c r="F1530" s="48"/>
      <c r="G1530" s="243" t="e">
        <f>INDEX('calcolo base'!$B:$B, MATCH($A1530, 'calcolo base'!$A:$A, 0))</f>
        <v>#N/A</v>
      </c>
      <c r="H1530" s="54" t="e">
        <f t="shared" si="275"/>
        <v>#N/A</v>
      </c>
      <c r="I1530" s="259" t="e">
        <f>IF(  OR(      INDEX('calcolo base'!$D:$D, MATCH($A1530, 'calcolo base'!$A:$A, 0)) = 0,
      INDEX('calcolo base'!$D:$D, MATCH($A1530, 'calcolo base'!$A:$A, 0)) = ""   ),
   INDEX('calcolo base'!$K:$K, MATCH($A1530, 'calcolo base'!$A:$A, 0)),
   INDEX('calcolo base'!$J:$J, MATCH($A1530, 'calcolo base'!$A:$A, 0))
) / 1000</f>
        <v>#N/A</v>
      </c>
      <c r="J1530" s="50" t="e">
        <f t="shared" si="276"/>
        <v>#N/A</v>
      </c>
      <c r="K1530" s="50"/>
      <c r="L1530" s="267" t="e">
        <f>INDEX('calcolo base'!$H:$H, MATCH($A1530, 'calcolo base'!$A:$A, 0))</f>
        <v>#N/A</v>
      </c>
      <c r="M1530" s="50" t="e">
        <f t="shared" si="277"/>
        <v>#N/A</v>
      </c>
      <c r="N1530" s="50" t="e">
        <f t="shared" si="278"/>
        <v>#N/A</v>
      </c>
      <c r="O1530" s="50" t="e">
        <f t="shared" si="283"/>
        <v>#N/A</v>
      </c>
      <c r="P1530" s="50" t="e">
        <f t="shared" si="279"/>
        <v>#N/A</v>
      </c>
      <c r="Q1530" s="51" t="e">
        <f t="shared" si="280"/>
        <v>#N/A</v>
      </c>
      <c r="R1530" s="205" t="e">
        <f t="shared" si="281"/>
        <v>#N/A</v>
      </c>
      <c r="S1530" s="279" t="e">
        <f>IF(R1530="si",0,IF(E1530="si",0,IF(J1530&gt;K1530,0,+K1530-J1530)))+IF('calcolo base'!P2222="SI",('Commissioni De Angeli'!K1530-'Commissioni De Angeli'!J1530),0)</f>
        <v>#N/A</v>
      </c>
      <c r="T1530" s="117" t="e">
        <f t="shared" si="282"/>
        <v>#N/A</v>
      </c>
      <c r="U1530" s="272" t="e">
        <f>IF(Q1530=0,'calcolo base'!L4129,(T1530+Q1530))</f>
        <v>#N/A</v>
      </c>
      <c r="V1530" s="119"/>
      <c r="Z1530" s="118">
        <f t="shared" si="273"/>
        <v>0</v>
      </c>
      <c r="AA1530" s="118">
        <f t="shared" si="274"/>
        <v>0</v>
      </c>
    </row>
    <row r="1531" spans="2:27">
      <c r="B1531" s="47"/>
      <c r="C1531" s="35"/>
      <c r="D1531" s="53"/>
      <c r="E1531" s="53"/>
      <c r="F1531" s="48"/>
      <c r="G1531" s="243" t="e">
        <f>INDEX('calcolo base'!$B:$B, MATCH($A1531, 'calcolo base'!$A:$A, 0))</f>
        <v>#N/A</v>
      </c>
      <c r="H1531" s="54" t="e">
        <f t="shared" si="275"/>
        <v>#N/A</v>
      </c>
      <c r="I1531" s="259" t="e">
        <f>IF(  OR(      INDEX('calcolo base'!$D:$D, MATCH($A1531, 'calcolo base'!$A:$A, 0)) = 0,
      INDEX('calcolo base'!$D:$D, MATCH($A1531, 'calcolo base'!$A:$A, 0)) = ""   ),
   INDEX('calcolo base'!$K:$K, MATCH($A1531, 'calcolo base'!$A:$A, 0)),
   INDEX('calcolo base'!$J:$J, MATCH($A1531, 'calcolo base'!$A:$A, 0))
) / 1000</f>
        <v>#N/A</v>
      </c>
      <c r="J1531" s="50" t="e">
        <f t="shared" si="276"/>
        <v>#N/A</v>
      </c>
      <c r="K1531" s="50"/>
      <c r="L1531" s="267" t="e">
        <f>INDEX('calcolo base'!$H:$H, MATCH($A1531, 'calcolo base'!$A:$A, 0))</f>
        <v>#N/A</v>
      </c>
      <c r="M1531" s="50" t="e">
        <f t="shared" si="277"/>
        <v>#N/A</v>
      </c>
      <c r="N1531" s="50" t="e">
        <f t="shared" si="278"/>
        <v>#N/A</v>
      </c>
      <c r="O1531" s="50" t="e">
        <f t="shared" si="283"/>
        <v>#N/A</v>
      </c>
      <c r="P1531" s="50" t="e">
        <f t="shared" si="279"/>
        <v>#N/A</v>
      </c>
      <c r="Q1531" s="51" t="e">
        <f t="shared" si="280"/>
        <v>#N/A</v>
      </c>
      <c r="R1531" s="205" t="e">
        <f t="shared" si="281"/>
        <v>#N/A</v>
      </c>
      <c r="S1531" s="279" t="e">
        <f>IF(R1531="si",0,IF(E1531="si",0,IF(J1531&gt;K1531,0,+K1531-J1531)))+IF('calcolo base'!P2223="SI",('Commissioni De Angeli'!K1531-'Commissioni De Angeli'!J1531),0)</f>
        <v>#N/A</v>
      </c>
      <c r="T1531" s="117" t="e">
        <f t="shared" si="282"/>
        <v>#N/A</v>
      </c>
      <c r="U1531" s="272" t="e">
        <f>IF(Q1531=0,'calcolo base'!L4130,(T1531+Q1531))</f>
        <v>#N/A</v>
      </c>
      <c r="V1531" s="119"/>
      <c r="Z1531" s="118">
        <f t="shared" si="273"/>
        <v>0</v>
      </c>
      <c r="AA1531" s="118">
        <f t="shared" si="274"/>
        <v>0</v>
      </c>
    </row>
    <row r="1532" spans="2:27">
      <c r="B1532" s="47"/>
      <c r="C1532" s="35"/>
      <c r="D1532" s="53"/>
      <c r="E1532" s="53"/>
      <c r="F1532" s="48"/>
      <c r="G1532" s="243" t="e">
        <f>INDEX('calcolo base'!$B:$B, MATCH($A1532, 'calcolo base'!$A:$A, 0))</f>
        <v>#N/A</v>
      </c>
      <c r="H1532" s="54" t="e">
        <f t="shared" si="275"/>
        <v>#N/A</v>
      </c>
      <c r="I1532" s="259" t="e">
        <f>IF(  OR(      INDEX('calcolo base'!$D:$D, MATCH($A1532, 'calcolo base'!$A:$A, 0)) = 0,
      INDEX('calcolo base'!$D:$D, MATCH($A1532, 'calcolo base'!$A:$A, 0)) = ""   ),
   INDEX('calcolo base'!$K:$K, MATCH($A1532, 'calcolo base'!$A:$A, 0)),
   INDEX('calcolo base'!$J:$J, MATCH($A1532, 'calcolo base'!$A:$A, 0))
) / 1000</f>
        <v>#N/A</v>
      </c>
      <c r="J1532" s="50" t="e">
        <f t="shared" si="276"/>
        <v>#N/A</v>
      </c>
      <c r="K1532" s="50"/>
      <c r="L1532" s="267" t="e">
        <f>INDEX('calcolo base'!$H:$H, MATCH($A1532, 'calcolo base'!$A:$A, 0))</f>
        <v>#N/A</v>
      </c>
      <c r="M1532" s="50" t="e">
        <f t="shared" si="277"/>
        <v>#N/A</v>
      </c>
      <c r="N1532" s="50" t="e">
        <f t="shared" si="278"/>
        <v>#N/A</v>
      </c>
      <c r="O1532" s="50" t="e">
        <f t="shared" si="283"/>
        <v>#N/A</v>
      </c>
      <c r="P1532" s="50" t="e">
        <f t="shared" si="279"/>
        <v>#N/A</v>
      </c>
      <c r="Q1532" s="51" t="e">
        <f t="shared" si="280"/>
        <v>#N/A</v>
      </c>
      <c r="R1532" s="205" t="e">
        <f t="shared" si="281"/>
        <v>#N/A</v>
      </c>
      <c r="S1532" s="279" t="e">
        <f>IF(R1532="si",0,IF(E1532="si",0,IF(J1532&gt;K1532,0,+K1532-J1532)))+IF('calcolo base'!P2224="SI",('Commissioni De Angeli'!K1532-'Commissioni De Angeli'!J1532),0)</f>
        <v>#N/A</v>
      </c>
      <c r="T1532" s="117" t="e">
        <f t="shared" si="282"/>
        <v>#N/A</v>
      </c>
      <c r="U1532" s="272" t="e">
        <f>IF(Q1532=0,'calcolo base'!L4131,(T1532+Q1532))</f>
        <v>#N/A</v>
      </c>
      <c r="V1532" s="119"/>
      <c r="Z1532" s="118">
        <f t="shared" si="273"/>
        <v>0</v>
      </c>
      <c r="AA1532" s="118">
        <f t="shared" si="274"/>
        <v>0</v>
      </c>
    </row>
    <row r="1533" spans="2:27">
      <c r="B1533" s="47"/>
      <c r="C1533" s="35"/>
      <c r="D1533" s="53"/>
      <c r="E1533" s="53"/>
      <c r="F1533" s="48"/>
      <c r="G1533" s="243" t="e">
        <f>INDEX('calcolo base'!$B:$B, MATCH($A1533, 'calcolo base'!$A:$A, 0))</f>
        <v>#N/A</v>
      </c>
      <c r="H1533" s="54" t="e">
        <f t="shared" si="275"/>
        <v>#N/A</v>
      </c>
      <c r="I1533" s="259" t="e">
        <f>IF(  OR(      INDEX('calcolo base'!$D:$D, MATCH($A1533, 'calcolo base'!$A:$A, 0)) = 0,
      INDEX('calcolo base'!$D:$D, MATCH($A1533, 'calcolo base'!$A:$A, 0)) = ""   ),
   INDEX('calcolo base'!$K:$K, MATCH($A1533, 'calcolo base'!$A:$A, 0)),
   INDEX('calcolo base'!$J:$J, MATCH($A1533, 'calcolo base'!$A:$A, 0))
) / 1000</f>
        <v>#N/A</v>
      </c>
      <c r="J1533" s="50" t="e">
        <f t="shared" si="276"/>
        <v>#N/A</v>
      </c>
      <c r="K1533" s="50"/>
      <c r="L1533" s="267" t="e">
        <f>INDEX('calcolo base'!$H:$H, MATCH($A1533, 'calcolo base'!$A:$A, 0))</f>
        <v>#N/A</v>
      </c>
      <c r="M1533" s="50" t="e">
        <f t="shared" si="277"/>
        <v>#N/A</v>
      </c>
      <c r="N1533" s="50" t="e">
        <f t="shared" si="278"/>
        <v>#N/A</v>
      </c>
      <c r="O1533" s="50" t="e">
        <f t="shared" si="283"/>
        <v>#N/A</v>
      </c>
      <c r="P1533" s="50" t="e">
        <f t="shared" si="279"/>
        <v>#N/A</v>
      </c>
      <c r="Q1533" s="51" t="e">
        <f t="shared" si="280"/>
        <v>#N/A</v>
      </c>
      <c r="R1533" s="205" t="e">
        <f t="shared" si="281"/>
        <v>#N/A</v>
      </c>
      <c r="S1533" s="279" t="e">
        <f>IF(R1533="si",0,IF(E1533="si",0,IF(J1533&gt;K1533,0,+K1533-J1533)))+IF('calcolo base'!P2225="SI",('Commissioni De Angeli'!K1533-'Commissioni De Angeli'!J1533),0)</f>
        <v>#N/A</v>
      </c>
      <c r="T1533" s="117" t="e">
        <f t="shared" si="282"/>
        <v>#N/A</v>
      </c>
      <c r="U1533" s="272" t="e">
        <f>IF(Q1533=0,'calcolo base'!L4132,(T1533+Q1533))</f>
        <v>#N/A</v>
      </c>
      <c r="V1533" s="119"/>
      <c r="Z1533" s="118">
        <f t="shared" si="273"/>
        <v>0</v>
      </c>
      <c r="AA1533" s="118">
        <f t="shared" si="274"/>
        <v>0</v>
      </c>
    </row>
    <row r="1534" spans="2:27">
      <c r="B1534" s="47"/>
      <c r="C1534" s="35"/>
      <c r="D1534" s="53"/>
      <c r="E1534" s="53"/>
      <c r="F1534" s="48"/>
      <c r="G1534" s="243" t="e">
        <f>INDEX('calcolo base'!$B:$B, MATCH($A1534, 'calcolo base'!$A:$A, 0))</f>
        <v>#N/A</v>
      </c>
      <c r="H1534" s="54" t="e">
        <f t="shared" si="275"/>
        <v>#N/A</v>
      </c>
      <c r="I1534" s="259" t="e">
        <f>IF(  OR(      INDEX('calcolo base'!$D:$D, MATCH($A1534, 'calcolo base'!$A:$A, 0)) = 0,
      INDEX('calcolo base'!$D:$D, MATCH($A1534, 'calcolo base'!$A:$A, 0)) = ""   ),
   INDEX('calcolo base'!$K:$K, MATCH($A1534, 'calcolo base'!$A:$A, 0)),
   INDEX('calcolo base'!$J:$J, MATCH($A1534, 'calcolo base'!$A:$A, 0))
) / 1000</f>
        <v>#N/A</v>
      </c>
      <c r="J1534" s="50" t="e">
        <f t="shared" si="276"/>
        <v>#N/A</v>
      </c>
      <c r="K1534" s="50"/>
      <c r="L1534" s="267" t="e">
        <f>INDEX('calcolo base'!$H:$H, MATCH($A1534, 'calcolo base'!$A:$A, 0))</f>
        <v>#N/A</v>
      </c>
      <c r="M1534" s="50" t="e">
        <f t="shared" si="277"/>
        <v>#N/A</v>
      </c>
      <c r="N1534" s="50" t="e">
        <f t="shared" si="278"/>
        <v>#N/A</v>
      </c>
      <c r="O1534" s="50" t="e">
        <f t="shared" si="283"/>
        <v>#N/A</v>
      </c>
      <c r="P1534" s="50" t="e">
        <f t="shared" si="279"/>
        <v>#N/A</v>
      </c>
      <c r="Q1534" s="51" t="e">
        <f t="shared" si="280"/>
        <v>#N/A</v>
      </c>
      <c r="R1534" s="205" t="e">
        <f t="shared" si="281"/>
        <v>#N/A</v>
      </c>
      <c r="S1534" s="279" t="e">
        <f>IF(R1534="si",0,IF(E1534="si",0,IF(J1534&gt;K1534,0,+K1534-J1534)))+IF('calcolo base'!P2226="SI",('Commissioni De Angeli'!K1534-'Commissioni De Angeli'!J1534),0)</f>
        <v>#N/A</v>
      </c>
      <c r="T1534" s="117" t="e">
        <f t="shared" si="282"/>
        <v>#N/A</v>
      </c>
      <c r="U1534" s="272" t="e">
        <f>IF(Q1534=0,'calcolo base'!L4133,(T1534+Q1534))</f>
        <v>#N/A</v>
      </c>
      <c r="V1534" s="119"/>
      <c r="Z1534" s="118">
        <f t="shared" si="273"/>
        <v>0</v>
      </c>
      <c r="AA1534" s="118">
        <f t="shared" si="274"/>
        <v>0</v>
      </c>
    </row>
    <row r="1535" spans="2:27">
      <c r="B1535" s="47"/>
      <c r="C1535" s="35"/>
      <c r="D1535" s="53"/>
      <c r="E1535" s="53"/>
      <c r="F1535" s="48"/>
      <c r="G1535" s="243" t="e">
        <f>INDEX('calcolo base'!$B:$B, MATCH($A1535, 'calcolo base'!$A:$A, 0))</f>
        <v>#N/A</v>
      </c>
      <c r="H1535" s="54" t="e">
        <f t="shared" si="275"/>
        <v>#N/A</v>
      </c>
      <c r="I1535" s="259" t="e">
        <f>IF(  OR(      INDEX('calcolo base'!$D:$D, MATCH($A1535, 'calcolo base'!$A:$A, 0)) = 0,
      INDEX('calcolo base'!$D:$D, MATCH($A1535, 'calcolo base'!$A:$A, 0)) = ""   ),
   INDEX('calcolo base'!$K:$K, MATCH($A1535, 'calcolo base'!$A:$A, 0)),
   INDEX('calcolo base'!$J:$J, MATCH($A1535, 'calcolo base'!$A:$A, 0))
) / 1000</f>
        <v>#N/A</v>
      </c>
      <c r="J1535" s="50" t="e">
        <f t="shared" si="276"/>
        <v>#N/A</v>
      </c>
      <c r="K1535" s="50"/>
      <c r="L1535" s="267" t="e">
        <f>INDEX('calcolo base'!$H:$H, MATCH($A1535, 'calcolo base'!$A:$A, 0))</f>
        <v>#N/A</v>
      </c>
      <c r="M1535" s="50" t="e">
        <f t="shared" si="277"/>
        <v>#N/A</v>
      </c>
      <c r="N1535" s="50" t="e">
        <f t="shared" si="278"/>
        <v>#N/A</v>
      </c>
      <c r="O1535" s="50" t="e">
        <f t="shared" si="283"/>
        <v>#N/A</v>
      </c>
      <c r="P1535" s="50" t="e">
        <f t="shared" si="279"/>
        <v>#N/A</v>
      </c>
      <c r="Q1535" s="51" t="e">
        <f t="shared" si="280"/>
        <v>#N/A</v>
      </c>
      <c r="R1535" s="205" t="e">
        <f t="shared" si="281"/>
        <v>#N/A</v>
      </c>
      <c r="S1535" s="279" t="e">
        <f>IF(R1535="si",0,IF(E1535="si",0,IF(J1535&gt;K1535,0,+K1535-J1535)))+IF('calcolo base'!P2227="SI",('Commissioni De Angeli'!K1535-'Commissioni De Angeli'!J1535),0)</f>
        <v>#N/A</v>
      </c>
      <c r="T1535" s="117" t="e">
        <f t="shared" si="282"/>
        <v>#N/A</v>
      </c>
      <c r="U1535" s="272" t="e">
        <f>IF(Q1535=0,'calcolo base'!L4134,(T1535+Q1535))</f>
        <v>#N/A</v>
      </c>
      <c r="V1535" s="119"/>
      <c r="Z1535" s="118">
        <f t="shared" si="273"/>
        <v>0</v>
      </c>
      <c r="AA1535" s="118">
        <f t="shared" si="274"/>
        <v>0</v>
      </c>
    </row>
    <row r="1536" spans="2:27">
      <c r="B1536" s="47"/>
      <c r="C1536" s="35"/>
      <c r="D1536" s="53"/>
      <c r="E1536" s="53"/>
      <c r="F1536" s="48"/>
      <c r="G1536" s="243" t="e">
        <f>INDEX('calcolo base'!$B:$B, MATCH($A1536, 'calcolo base'!$A:$A, 0))</f>
        <v>#N/A</v>
      </c>
      <c r="H1536" s="54" t="e">
        <f t="shared" si="275"/>
        <v>#N/A</v>
      </c>
      <c r="I1536" s="259" t="e">
        <f>IF(  OR(      INDEX('calcolo base'!$D:$D, MATCH($A1536, 'calcolo base'!$A:$A, 0)) = 0,
      INDEX('calcolo base'!$D:$D, MATCH($A1536, 'calcolo base'!$A:$A, 0)) = ""   ),
   INDEX('calcolo base'!$K:$K, MATCH($A1536, 'calcolo base'!$A:$A, 0)),
   INDEX('calcolo base'!$J:$J, MATCH($A1536, 'calcolo base'!$A:$A, 0))
) / 1000</f>
        <v>#N/A</v>
      </c>
      <c r="J1536" s="50" t="e">
        <f t="shared" si="276"/>
        <v>#N/A</v>
      </c>
      <c r="K1536" s="50"/>
      <c r="L1536" s="267" t="e">
        <f>INDEX('calcolo base'!$H:$H, MATCH($A1536, 'calcolo base'!$A:$A, 0))</f>
        <v>#N/A</v>
      </c>
      <c r="M1536" s="50" t="e">
        <f t="shared" si="277"/>
        <v>#N/A</v>
      </c>
      <c r="N1536" s="50" t="e">
        <f t="shared" si="278"/>
        <v>#N/A</v>
      </c>
      <c r="O1536" s="50" t="e">
        <f t="shared" si="283"/>
        <v>#N/A</v>
      </c>
      <c r="P1536" s="50" t="e">
        <f t="shared" si="279"/>
        <v>#N/A</v>
      </c>
      <c r="Q1536" s="51" t="e">
        <f t="shared" si="280"/>
        <v>#N/A</v>
      </c>
      <c r="R1536" s="205" t="e">
        <f t="shared" si="281"/>
        <v>#N/A</v>
      </c>
      <c r="S1536" s="279" t="e">
        <f>IF(R1536="si",0,IF(E1536="si",0,IF(J1536&gt;K1536,0,+K1536-J1536)))+IF('calcolo base'!P2228="SI",('Commissioni De Angeli'!K1536-'Commissioni De Angeli'!J1536),0)</f>
        <v>#N/A</v>
      </c>
      <c r="T1536" s="117" t="e">
        <f t="shared" si="282"/>
        <v>#N/A</v>
      </c>
      <c r="U1536" s="272" t="e">
        <f>IF(Q1536=0,'calcolo base'!L4135,(T1536+Q1536))</f>
        <v>#N/A</v>
      </c>
      <c r="V1536" s="119"/>
      <c r="Z1536" s="118">
        <f t="shared" si="273"/>
        <v>0</v>
      </c>
      <c r="AA1536" s="118">
        <f t="shared" si="274"/>
        <v>0</v>
      </c>
    </row>
    <row r="1537" spans="2:27">
      <c r="B1537" s="47"/>
      <c r="C1537" s="35"/>
      <c r="D1537" s="53"/>
      <c r="E1537" s="53"/>
      <c r="F1537" s="48"/>
      <c r="G1537" s="243" t="e">
        <f>INDEX('calcolo base'!$B:$B, MATCH($A1537, 'calcolo base'!$A:$A, 0))</f>
        <v>#N/A</v>
      </c>
      <c r="H1537" s="54" t="e">
        <f t="shared" si="275"/>
        <v>#N/A</v>
      </c>
      <c r="I1537" s="259" t="e">
        <f>IF(  OR(      INDEX('calcolo base'!$D:$D, MATCH($A1537, 'calcolo base'!$A:$A, 0)) = 0,
      INDEX('calcolo base'!$D:$D, MATCH($A1537, 'calcolo base'!$A:$A, 0)) = ""   ),
   INDEX('calcolo base'!$K:$K, MATCH($A1537, 'calcolo base'!$A:$A, 0)),
   INDEX('calcolo base'!$J:$J, MATCH($A1537, 'calcolo base'!$A:$A, 0))
) / 1000</f>
        <v>#N/A</v>
      </c>
      <c r="J1537" s="50" t="e">
        <f t="shared" si="276"/>
        <v>#N/A</v>
      </c>
      <c r="K1537" s="50"/>
      <c r="L1537" s="267" t="e">
        <f>INDEX('calcolo base'!$H:$H, MATCH($A1537, 'calcolo base'!$A:$A, 0))</f>
        <v>#N/A</v>
      </c>
      <c r="M1537" s="50" t="e">
        <f t="shared" si="277"/>
        <v>#N/A</v>
      </c>
      <c r="N1537" s="50" t="e">
        <f t="shared" si="278"/>
        <v>#N/A</v>
      </c>
      <c r="O1537" s="50" t="e">
        <f t="shared" si="283"/>
        <v>#N/A</v>
      </c>
      <c r="P1537" s="50" t="e">
        <f t="shared" si="279"/>
        <v>#N/A</v>
      </c>
      <c r="Q1537" s="51" t="e">
        <f t="shared" si="280"/>
        <v>#N/A</v>
      </c>
      <c r="R1537" s="205" t="e">
        <f t="shared" si="281"/>
        <v>#N/A</v>
      </c>
      <c r="S1537" s="279" t="e">
        <f>IF(R1537="si",0,IF(E1537="si",0,IF(J1537&gt;K1537,0,+K1537-J1537)))+IF('calcolo base'!P2229="SI",('Commissioni De Angeli'!K1537-'Commissioni De Angeli'!J1537),0)</f>
        <v>#N/A</v>
      </c>
      <c r="T1537" s="117" t="e">
        <f t="shared" si="282"/>
        <v>#N/A</v>
      </c>
      <c r="U1537" s="272" t="e">
        <f>IF(Q1537=0,'calcolo base'!L4136,(T1537+Q1537))</f>
        <v>#N/A</v>
      </c>
      <c r="V1537" s="119"/>
      <c r="Z1537" s="118">
        <f t="shared" si="273"/>
        <v>0</v>
      </c>
      <c r="AA1537" s="118">
        <f t="shared" si="274"/>
        <v>0</v>
      </c>
    </row>
    <row r="1538" spans="2:27">
      <c r="B1538" s="47"/>
      <c r="C1538" s="35"/>
      <c r="D1538" s="53"/>
      <c r="E1538" s="53"/>
      <c r="F1538" s="48"/>
      <c r="G1538" s="243" t="e">
        <f>INDEX('calcolo base'!$B:$B, MATCH($A1538, 'calcolo base'!$A:$A, 0))</f>
        <v>#N/A</v>
      </c>
      <c r="H1538" s="54" t="e">
        <f t="shared" si="275"/>
        <v>#N/A</v>
      </c>
      <c r="I1538" s="259" t="e">
        <f>IF(  OR(      INDEX('calcolo base'!$D:$D, MATCH($A1538, 'calcolo base'!$A:$A, 0)) = 0,
      INDEX('calcolo base'!$D:$D, MATCH($A1538, 'calcolo base'!$A:$A, 0)) = ""   ),
   INDEX('calcolo base'!$K:$K, MATCH($A1538, 'calcolo base'!$A:$A, 0)),
   INDEX('calcolo base'!$J:$J, MATCH($A1538, 'calcolo base'!$A:$A, 0))
) / 1000</f>
        <v>#N/A</v>
      </c>
      <c r="J1538" s="50" t="e">
        <f t="shared" si="276"/>
        <v>#N/A</v>
      </c>
      <c r="K1538" s="50"/>
      <c r="L1538" s="267" t="e">
        <f>INDEX('calcolo base'!$H:$H, MATCH($A1538, 'calcolo base'!$A:$A, 0))</f>
        <v>#N/A</v>
      </c>
      <c r="M1538" s="50" t="e">
        <f t="shared" si="277"/>
        <v>#N/A</v>
      </c>
      <c r="N1538" s="50" t="e">
        <f t="shared" si="278"/>
        <v>#N/A</v>
      </c>
      <c r="O1538" s="50" t="e">
        <f t="shared" si="283"/>
        <v>#N/A</v>
      </c>
      <c r="P1538" s="50" t="e">
        <f t="shared" si="279"/>
        <v>#N/A</v>
      </c>
      <c r="Q1538" s="51" t="e">
        <f t="shared" si="280"/>
        <v>#N/A</v>
      </c>
      <c r="R1538" s="205" t="e">
        <f t="shared" si="281"/>
        <v>#N/A</v>
      </c>
      <c r="S1538" s="279" t="e">
        <f>IF(R1538="si",0,IF(E1538="si",0,IF(J1538&gt;K1538,0,+K1538-J1538)))+IF('calcolo base'!P2230="SI",('Commissioni De Angeli'!K1538-'Commissioni De Angeli'!J1538),0)</f>
        <v>#N/A</v>
      </c>
      <c r="T1538" s="117" t="e">
        <f t="shared" si="282"/>
        <v>#N/A</v>
      </c>
      <c r="U1538" s="272" t="e">
        <f>IF(Q1538=0,'calcolo base'!L4137,(T1538+Q1538))</f>
        <v>#N/A</v>
      </c>
      <c r="V1538" s="119"/>
      <c r="Z1538" s="118">
        <f t="shared" si="273"/>
        <v>0</v>
      </c>
      <c r="AA1538" s="118">
        <f t="shared" si="274"/>
        <v>0</v>
      </c>
    </row>
    <row r="1539" spans="2:27">
      <c r="B1539" s="47"/>
      <c r="C1539" s="35"/>
      <c r="D1539" s="53"/>
      <c r="E1539" s="53"/>
      <c r="F1539" s="48"/>
      <c r="G1539" s="243" t="e">
        <f>INDEX('calcolo base'!$B:$B, MATCH($A1539, 'calcolo base'!$A:$A, 0))</f>
        <v>#N/A</v>
      </c>
      <c r="H1539" s="54" t="e">
        <f t="shared" si="275"/>
        <v>#N/A</v>
      </c>
      <c r="I1539" s="259" t="e">
        <f>IF(  OR(      INDEX('calcolo base'!$D:$D, MATCH($A1539, 'calcolo base'!$A:$A, 0)) = 0,
      INDEX('calcolo base'!$D:$D, MATCH($A1539, 'calcolo base'!$A:$A, 0)) = ""   ),
   INDEX('calcolo base'!$K:$K, MATCH($A1539, 'calcolo base'!$A:$A, 0)),
   INDEX('calcolo base'!$J:$J, MATCH($A1539, 'calcolo base'!$A:$A, 0))
) / 1000</f>
        <v>#N/A</v>
      </c>
      <c r="J1539" s="50" t="e">
        <f t="shared" si="276"/>
        <v>#N/A</v>
      </c>
      <c r="K1539" s="50"/>
      <c r="L1539" s="267" t="e">
        <f>INDEX('calcolo base'!$H:$H, MATCH($A1539, 'calcolo base'!$A:$A, 0))</f>
        <v>#N/A</v>
      </c>
      <c r="M1539" s="50" t="e">
        <f t="shared" si="277"/>
        <v>#N/A</v>
      </c>
      <c r="N1539" s="50" t="e">
        <f t="shared" si="278"/>
        <v>#N/A</v>
      </c>
      <c r="O1539" s="50" t="e">
        <f t="shared" si="283"/>
        <v>#N/A</v>
      </c>
      <c r="P1539" s="50" t="e">
        <f t="shared" si="279"/>
        <v>#N/A</v>
      </c>
      <c r="Q1539" s="51" t="e">
        <f t="shared" si="280"/>
        <v>#N/A</v>
      </c>
      <c r="R1539" s="205" t="e">
        <f t="shared" si="281"/>
        <v>#N/A</v>
      </c>
      <c r="S1539" s="279" t="e">
        <f>IF(R1539="si",0,IF(E1539="si",0,IF(J1539&gt;K1539,0,+K1539-J1539)))+IF('calcolo base'!P2231="SI",('Commissioni De Angeli'!K1539-'Commissioni De Angeli'!J1539),0)</f>
        <v>#N/A</v>
      </c>
      <c r="T1539" s="117" t="e">
        <f t="shared" si="282"/>
        <v>#N/A</v>
      </c>
      <c r="U1539" s="272" t="e">
        <f>IF(Q1539=0,'calcolo base'!L4138,(T1539+Q1539))</f>
        <v>#N/A</v>
      </c>
      <c r="V1539" s="119"/>
      <c r="Z1539" s="118">
        <f t="shared" si="273"/>
        <v>0</v>
      </c>
      <c r="AA1539" s="118">
        <f t="shared" si="274"/>
        <v>0</v>
      </c>
    </row>
    <row r="1540" spans="2:27">
      <c r="B1540" s="47"/>
      <c r="C1540" s="35"/>
      <c r="D1540" s="53"/>
      <c r="E1540" s="53"/>
      <c r="F1540" s="48"/>
      <c r="G1540" s="243" t="e">
        <f>INDEX('calcolo base'!$B:$B, MATCH($A1540, 'calcolo base'!$A:$A, 0))</f>
        <v>#N/A</v>
      </c>
      <c r="H1540" s="54" t="e">
        <f t="shared" si="275"/>
        <v>#N/A</v>
      </c>
      <c r="I1540" s="259" t="e">
        <f>IF(  OR(      INDEX('calcolo base'!$D:$D, MATCH($A1540, 'calcolo base'!$A:$A, 0)) = 0,
      INDEX('calcolo base'!$D:$D, MATCH($A1540, 'calcolo base'!$A:$A, 0)) = ""   ),
   INDEX('calcolo base'!$K:$K, MATCH($A1540, 'calcolo base'!$A:$A, 0)),
   INDEX('calcolo base'!$J:$J, MATCH($A1540, 'calcolo base'!$A:$A, 0))
) / 1000</f>
        <v>#N/A</v>
      </c>
      <c r="J1540" s="50" t="e">
        <f t="shared" si="276"/>
        <v>#N/A</v>
      </c>
      <c r="K1540" s="50"/>
      <c r="L1540" s="267" t="e">
        <f>INDEX('calcolo base'!$H:$H, MATCH($A1540, 'calcolo base'!$A:$A, 0))</f>
        <v>#N/A</v>
      </c>
      <c r="M1540" s="50" t="e">
        <f t="shared" si="277"/>
        <v>#N/A</v>
      </c>
      <c r="N1540" s="50" t="e">
        <f t="shared" si="278"/>
        <v>#N/A</v>
      </c>
      <c r="O1540" s="50" t="e">
        <f t="shared" si="283"/>
        <v>#N/A</v>
      </c>
      <c r="P1540" s="50" t="e">
        <f t="shared" si="279"/>
        <v>#N/A</v>
      </c>
      <c r="Q1540" s="51" t="e">
        <f t="shared" si="280"/>
        <v>#N/A</v>
      </c>
      <c r="R1540" s="205" t="e">
        <f t="shared" si="281"/>
        <v>#N/A</v>
      </c>
      <c r="S1540" s="279" t="e">
        <f>IF(R1540="si",0,IF(E1540="si",0,IF(J1540&gt;K1540,0,+K1540-J1540)))+IF('calcolo base'!P2232="SI",('Commissioni De Angeli'!K1540-'Commissioni De Angeli'!J1540),0)</f>
        <v>#N/A</v>
      </c>
      <c r="T1540" s="117" t="e">
        <f t="shared" si="282"/>
        <v>#N/A</v>
      </c>
      <c r="U1540" s="272" t="e">
        <f>IF(Q1540=0,'calcolo base'!L4139,(T1540+Q1540))</f>
        <v>#N/A</v>
      </c>
      <c r="V1540" s="119"/>
      <c r="Z1540" s="118">
        <f t="shared" si="273"/>
        <v>0</v>
      </c>
      <c r="AA1540" s="118">
        <f t="shared" si="274"/>
        <v>0</v>
      </c>
    </row>
    <row r="1541" spans="2:27">
      <c r="B1541" s="47"/>
      <c r="C1541" s="35"/>
      <c r="D1541" s="53"/>
      <c r="E1541" s="53"/>
      <c r="F1541" s="48"/>
      <c r="G1541" s="243" t="e">
        <f>INDEX('calcolo base'!$B:$B, MATCH($A1541, 'calcolo base'!$A:$A, 0))</f>
        <v>#N/A</v>
      </c>
      <c r="H1541" s="54" t="e">
        <f t="shared" si="275"/>
        <v>#N/A</v>
      </c>
      <c r="I1541" s="259" t="e">
        <f>IF(  OR(      INDEX('calcolo base'!$D:$D, MATCH($A1541, 'calcolo base'!$A:$A, 0)) = 0,
      INDEX('calcolo base'!$D:$D, MATCH($A1541, 'calcolo base'!$A:$A, 0)) = ""   ),
   INDEX('calcolo base'!$K:$K, MATCH($A1541, 'calcolo base'!$A:$A, 0)),
   INDEX('calcolo base'!$J:$J, MATCH($A1541, 'calcolo base'!$A:$A, 0))
) / 1000</f>
        <v>#N/A</v>
      </c>
      <c r="J1541" s="50" t="e">
        <f t="shared" si="276"/>
        <v>#N/A</v>
      </c>
      <c r="K1541" s="50"/>
      <c r="L1541" s="267" t="e">
        <f>INDEX('calcolo base'!$H:$H, MATCH($A1541, 'calcolo base'!$A:$A, 0))</f>
        <v>#N/A</v>
      </c>
      <c r="M1541" s="50" t="e">
        <f t="shared" si="277"/>
        <v>#N/A</v>
      </c>
      <c r="N1541" s="50" t="e">
        <f t="shared" si="278"/>
        <v>#N/A</v>
      </c>
      <c r="O1541" s="50" t="e">
        <f t="shared" si="283"/>
        <v>#N/A</v>
      </c>
      <c r="P1541" s="50" t="e">
        <f t="shared" si="279"/>
        <v>#N/A</v>
      </c>
      <c r="Q1541" s="51" t="e">
        <f t="shared" si="280"/>
        <v>#N/A</v>
      </c>
      <c r="R1541" s="205" t="e">
        <f t="shared" si="281"/>
        <v>#N/A</v>
      </c>
      <c r="S1541" s="279" t="e">
        <f>IF(R1541="si",0,IF(E1541="si",0,IF(J1541&gt;K1541,0,+K1541-J1541)))+IF('calcolo base'!P2233="SI",('Commissioni De Angeli'!K1541-'Commissioni De Angeli'!J1541),0)</f>
        <v>#N/A</v>
      </c>
      <c r="T1541" s="117" t="e">
        <f t="shared" si="282"/>
        <v>#N/A</v>
      </c>
      <c r="U1541" s="272" t="e">
        <f>IF(Q1541=0,'calcolo base'!L4140,(T1541+Q1541))</f>
        <v>#N/A</v>
      </c>
      <c r="V1541" s="119"/>
      <c r="Z1541" s="118">
        <f t="shared" si="273"/>
        <v>0</v>
      </c>
      <c r="AA1541" s="118">
        <f t="shared" si="274"/>
        <v>0</v>
      </c>
    </row>
    <row r="1542" spans="2:27">
      <c r="B1542" s="47"/>
      <c r="C1542" s="35"/>
      <c r="D1542" s="53"/>
      <c r="E1542" s="53"/>
      <c r="F1542" s="48"/>
      <c r="G1542" s="243" t="e">
        <f>INDEX('calcolo base'!$B:$B, MATCH($A1542, 'calcolo base'!$A:$A, 0))</f>
        <v>#N/A</v>
      </c>
      <c r="H1542" s="54" t="e">
        <f t="shared" si="275"/>
        <v>#N/A</v>
      </c>
      <c r="I1542" s="259" t="e">
        <f>IF(  OR(      INDEX('calcolo base'!$D:$D, MATCH($A1542, 'calcolo base'!$A:$A, 0)) = 0,
      INDEX('calcolo base'!$D:$D, MATCH($A1542, 'calcolo base'!$A:$A, 0)) = ""   ),
   INDEX('calcolo base'!$K:$K, MATCH($A1542, 'calcolo base'!$A:$A, 0)),
   INDEX('calcolo base'!$J:$J, MATCH($A1542, 'calcolo base'!$A:$A, 0))
) / 1000</f>
        <v>#N/A</v>
      </c>
      <c r="J1542" s="50" t="e">
        <f t="shared" si="276"/>
        <v>#N/A</v>
      </c>
      <c r="K1542" s="50"/>
      <c r="L1542" s="267" t="e">
        <f>INDEX('calcolo base'!$H:$H, MATCH($A1542, 'calcolo base'!$A:$A, 0))</f>
        <v>#N/A</v>
      </c>
      <c r="M1542" s="50" t="e">
        <f t="shared" si="277"/>
        <v>#N/A</v>
      </c>
      <c r="N1542" s="50" t="e">
        <f t="shared" si="278"/>
        <v>#N/A</v>
      </c>
      <c r="O1542" s="50" t="e">
        <f t="shared" si="283"/>
        <v>#N/A</v>
      </c>
      <c r="P1542" s="50" t="e">
        <f t="shared" si="279"/>
        <v>#N/A</v>
      </c>
      <c r="Q1542" s="51" t="e">
        <f t="shared" si="280"/>
        <v>#N/A</v>
      </c>
      <c r="R1542" s="205" t="e">
        <f t="shared" si="281"/>
        <v>#N/A</v>
      </c>
      <c r="S1542" s="279" t="e">
        <f>IF(R1542="si",0,IF(E1542="si",0,IF(J1542&gt;K1542,0,+K1542-J1542)))+IF('calcolo base'!P2234="SI",('Commissioni De Angeli'!K1542-'Commissioni De Angeli'!J1542),0)</f>
        <v>#N/A</v>
      </c>
      <c r="T1542" s="117" t="e">
        <f t="shared" si="282"/>
        <v>#N/A</v>
      </c>
      <c r="U1542" s="272" t="e">
        <f>IF(Q1542=0,'calcolo base'!L4141,(T1542+Q1542))</f>
        <v>#N/A</v>
      </c>
      <c r="V1542" s="119"/>
      <c r="Z1542" s="118">
        <f t="shared" si="273"/>
        <v>0</v>
      </c>
      <c r="AA1542" s="118">
        <f t="shared" si="274"/>
        <v>0</v>
      </c>
    </row>
    <row r="1543" spans="2:27">
      <c r="B1543" s="47"/>
      <c r="C1543" s="35"/>
      <c r="D1543" s="53"/>
      <c r="E1543" s="53"/>
      <c r="F1543" s="48"/>
      <c r="G1543" s="243" t="e">
        <f>INDEX('calcolo base'!$B:$B, MATCH($A1543, 'calcolo base'!$A:$A, 0))</f>
        <v>#N/A</v>
      </c>
      <c r="H1543" s="54" t="e">
        <f t="shared" si="275"/>
        <v>#N/A</v>
      </c>
      <c r="I1543" s="259" t="e">
        <f>IF(  OR(      INDEX('calcolo base'!$D:$D, MATCH($A1543, 'calcolo base'!$A:$A, 0)) = 0,
      INDEX('calcolo base'!$D:$D, MATCH($A1543, 'calcolo base'!$A:$A, 0)) = ""   ),
   INDEX('calcolo base'!$K:$K, MATCH($A1543, 'calcolo base'!$A:$A, 0)),
   INDEX('calcolo base'!$J:$J, MATCH($A1543, 'calcolo base'!$A:$A, 0))
) / 1000</f>
        <v>#N/A</v>
      </c>
      <c r="J1543" s="50" t="e">
        <f t="shared" si="276"/>
        <v>#N/A</v>
      </c>
      <c r="K1543" s="50"/>
      <c r="L1543" s="267" t="e">
        <f>INDEX('calcolo base'!$H:$H, MATCH($A1543, 'calcolo base'!$A:$A, 0))</f>
        <v>#N/A</v>
      </c>
      <c r="M1543" s="50" t="e">
        <f t="shared" si="277"/>
        <v>#N/A</v>
      </c>
      <c r="N1543" s="50" t="e">
        <f t="shared" si="278"/>
        <v>#N/A</v>
      </c>
      <c r="O1543" s="50" t="e">
        <f t="shared" si="283"/>
        <v>#N/A</v>
      </c>
      <c r="P1543" s="50" t="e">
        <f t="shared" si="279"/>
        <v>#N/A</v>
      </c>
      <c r="Q1543" s="51" t="e">
        <f t="shared" si="280"/>
        <v>#N/A</v>
      </c>
      <c r="R1543" s="205" t="e">
        <f t="shared" si="281"/>
        <v>#N/A</v>
      </c>
      <c r="S1543" s="279" t="e">
        <f>IF(R1543="si",0,IF(E1543="si",0,IF(J1543&gt;K1543,0,+K1543-J1543)))+IF('calcolo base'!P2235="SI",('Commissioni De Angeli'!K1543-'Commissioni De Angeli'!J1543),0)</f>
        <v>#N/A</v>
      </c>
      <c r="T1543" s="117" t="e">
        <f t="shared" si="282"/>
        <v>#N/A</v>
      </c>
      <c r="U1543" s="272" t="e">
        <f>IF(Q1543=0,'calcolo base'!L4142,(T1543+Q1543))</f>
        <v>#N/A</v>
      </c>
      <c r="V1543" s="119"/>
      <c r="Z1543" s="118">
        <f t="shared" si="273"/>
        <v>0</v>
      </c>
      <c r="AA1543" s="118">
        <f t="shared" si="274"/>
        <v>0</v>
      </c>
    </row>
    <row r="1544" spans="2:27">
      <c r="B1544" s="47"/>
      <c r="C1544" s="35"/>
      <c r="D1544" s="53"/>
      <c r="E1544" s="53"/>
      <c r="F1544" s="48"/>
      <c r="G1544" s="243" t="e">
        <f>INDEX('calcolo base'!$B:$B, MATCH($A1544, 'calcolo base'!$A:$A, 0))</f>
        <v>#N/A</v>
      </c>
      <c r="H1544" s="54" t="e">
        <f t="shared" si="275"/>
        <v>#N/A</v>
      </c>
      <c r="I1544" s="259" t="e">
        <f>IF(  OR(      INDEX('calcolo base'!$D:$D, MATCH($A1544, 'calcolo base'!$A:$A, 0)) = 0,
      INDEX('calcolo base'!$D:$D, MATCH($A1544, 'calcolo base'!$A:$A, 0)) = ""   ),
   INDEX('calcolo base'!$K:$K, MATCH($A1544, 'calcolo base'!$A:$A, 0)),
   INDEX('calcolo base'!$J:$J, MATCH($A1544, 'calcolo base'!$A:$A, 0))
) / 1000</f>
        <v>#N/A</v>
      </c>
      <c r="J1544" s="50" t="e">
        <f t="shared" si="276"/>
        <v>#N/A</v>
      </c>
      <c r="K1544" s="50"/>
      <c r="L1544" s="267" t="e">
        <f>INDEX('calcolo base'!$H:$H, MATCH($A1544, 'calcolo base'!$A:$A, 0))</f>
        <v>#N/A</v>
      </c>
      <c r="M1544" s="50" t="e">
        <f t="shared" si="277"/>
        <v>#N/A</v>
      </c>
      <c r="N1544" s="50" t="e">
        <f t="shared" si="278"/>
        <v>#N/A</v>
      </c>
      <c r="O1544" s="50" t="e">
        <f t="shared" si="283"/>
        <v>#N/A</v>
      </c>
      <c r="P1544" s="50" t="e">
        <f t="shared" si="279"/>
        <v>#N/A</v>
      </c>
      <c r="Q1544" s="51" t="e">
        <f t="shared" si="280"/>
        <v>#N/A</v>
      </c>
      <c r="R1544" s="205" t="e">
        <f t="shared" si="281"/>
        <v>#N/A</v>
      </c>
      <c r="S1544" s="279" t="e">
        <f>IF(R1544="si",0,IF(E1544="si",0,IF(J1544&gt;K1544,0,+K1544-J1544)))+IF('calcolo base'!P2236="SI",('Commissioni De Angeli'!K1544-'Commissioni De Angeli'!J1544),0)</f>
        <v>#N/A</v>
      </c>
      <c r="T1544" s="117" t="e">
        <f t="shared" si="282"/>
        <v>#N/A</v>
      </c>
      <c r="U1544" s="272" t="e">
        <f>IF(Q1544=0,'calcolo base'!L4143,(T1544+Q1544))</f>
        <v>#N/A</v>
      </c>
      <c r="V1544" s="119"/>
      <c r="Z1544" s="118">
        <f t="shared" si="273"/>
        <v>0</v>
      </c>
      <c r="AA1544" s="118">
        <f t="shared" si="274"/>
        <v>0</v>
      </c>
    </row>
    <row r="1545" spans="2:27">
      <c r="B1545" s="47"/>
      <c r="C1545" s="35"/>
      <c r="D1545" s="53"/>
      <c r="E1545" s="53"/>
      <c r="F1545" s="48"/>
      <c r="G1545" s="243" t="e">
        <f>INDEX('calcolo base'!$B:$B, MATCH($A1545, 'calcolo base'!$A:$A, 0))</f>
        <v>#N/A</v>
      </c>
      <c r="H1545" s="54" t="e">
        <f t="shared" si="275"/>
        <v>#N/A</v>
      </c>
      <c r="I1545" s="259" t="e">
        <f>IF(  OR(      INDEX('calcolo base'!$D:$D, MATCH($A1545, 'calcolo base'!$A:$A, 0)) = 0,
      INDEX('calcolo base'!$D:$D, MATCH($A1545, 'calcolo base'!$A:$A, 0)) = ""   ),
   INDEX('calcolo base'!$K:$K, MATCH($A1545, 'calcolo base'!$A:$A, 0)),
   INDEX('calcolo base'!$J:$J, MATCH($A1545, 'calcolo base'!$A:$A, 0))
) / 1000</f>
        <v>#N/A</v>
      </c>
      <c r="J1545" s="50" t="e">
        <f t="shared" si="276"/>
        <v>#N/A</v>
      </c>
      <c r="K1545" s="50"/>
      <c r="L1545" s="267" t="e">
        <f>INDEX('calcolo base'!$H:$H, MATCH($A1545, 'calcolo base'!$A:$A, 0))</f>
        <v>#N/A</v>
      </c>
      <c r="M1545" s="50" t="e">
        <f t="shared" si="277"/>
        <v>#N/A</v>
      </c>
      <c r="N1545" s="50" t="e">
        <f t="shared" si="278"/>
        <v>#N/A</v>
      </c>
      <c r="O1545" s="50" t="e">
        <f t="shared" si="283"/>
        <v>#N/A</v>
      </c>
      <c r="P1545" s="50" t="e">
        <f t="shared" si="279"/>
        <v>#N/A</v>
      </c>
      <c r="Q1545" s="51" t="e">
        <f t="shared" si="280"/>
        <v>#N/A</v>
      </c>
      <c r="R1545" s="205" t="e">
        <f t="shared" si="281"/>
        <v>#N/A</v>
      </c>
      <c r="S1545" s="279" t="e">
        <f>IF(R1545="si",0,IF(E1545="si",0,IF(J1545&gt;K1545,0,+K1545-J1545)))+IF('calcolo base'!P2237="SI",('Commissioni De Angeli'!K1545-'Commissioni De Angeli'!J1545),0)</f>
        <v>#N/A</v>
      </c>
      <c r="T1545" s="117" t="e">
        <f t="shared" si="282"/>
        <v>#N/A</v>
      </c>
      <c r="U1545" s="272" t="e">
        <f>IF(Q1545=0,'calcolo base'!L4144,(T1545+Q1545))</f>
        <v>#N/A</v>
      </c>
      <c r="V1545" s="119"/>
      <c r="Z1545" s="118">
        <f t="shared" si="273"/>
        <v>0</v>
      </c>
      <c r="AA1545" s="118">
        <f t="shared" si="274"/>
        <v>0</v>
      </c>
    </row>
    <row r="1546" spans="2:27">
      <c r="B1546" s="47"/>
      <c r="C1546" s="35"/>
      <c r="D1546" s="53"/>
      <c r="E1546" s="53"/>
      <c r="F1546" s="48"/>
      <c r="G1546" s="243" t="e">
        <f>INDEX('calcolo base'!$B:$B, MATCH($A1546, 'calcolo base'!$A:$A, 0))</f>
        <v>#N/A</v>
      </c>
      <c r="H1546" s="54" t="e">
        <f t="shared" si="275"/>
        <v>#N/A</v>
      </c>
      <c r="I1546" s="259" t="e">
        <f>IF(  OR(      INDEX('calcolo base'!$D:$D, MATCH($A1546, 'calcolo base'!$A:$A, 0)) = 0,
      INDEX('calcolo base'!$D:$D, MATCH($A1546, 'calcolo base'!$A:$A, 0)) = ""   ),
   INDEX('calcolo base'!$K:$K, MATCH($A1546, 'calcolo base'!$A:$A, 0)),
   INDEX('calcolo base'!$J:$J, MATCH($A1546, 'calcolo base'!$A:$A, 0))
) / 1000</f>
        <v>#N/A</v>
      </c>
      <c r="J1546" s="50" t="e">
        <f t="shared" si="276"/>
        <v>#N/A</v>
      </c>
      <c r="K1546" s="50"/>
      <c r="L1546" s="267" t="e">
        <f>INDEX('calcolo base'!$H:$H, MATCH($A1546, 'calcolo base'!$A:$A, 0))</f>
        <v>#N/A</v>
      </c>
      <c r="M1546" s="50" t="e">
        <f t="shared" si="277"/>
        <v>#N/A</v>
      </c>
      <c r="N1546" s="50" t="e">
        <f t="shared" si="278"/>
        <v>#N/A</v>
      </c>
      <c r="O1546" s="50" t="e">
        <f t="shared" si="283"/>
        <v>#N/A</v>
      </c>
      <c r="P1546" s="50" t="e">
        <f t="shared" si="279"/>
        <v>#N/A</v>
      </c>
      <c r="Q1546" s="51" t="e">
        <f t="shared" si="280"/>
        <v>#N/A</v>
      </c>
      <c r="R1546" s="205" t="e">
        <f t="shared" si="281"/>
        <v>#N/A</v>
      </c>
      <c r="S1546" s="279" t="e">
        <f>IF(R1546="si",0,IF(E1546="si",0,IF(J1546&gt;K1546,0,+K1546-J1546)))+IF('calcolo base'!P2238="SI",('Commissioni De Angeli'!K1546-'Commissioni De Angeli'!J1546),0)</f>
        <v>#N/A</v>
      </c>
      <c r="T1546" s="117" t="e">
        <f t="shared" si="282"/>
        <v>#N/A</v>
      </c>
      <c r="U1546" s="272" t="e">
        <f>IF(Q1546=0,'calcolo base'!L4145,(T1546+Q1546))</f>
        <v>#N/A</v>
      </c>
      <c r="V1546" s="119"/>
      <c r="Z1546" s="118">
        <f t="shared" si="273"/>
        <v>0</v>
      </c>
      <c r="AA1546" s="118">
        <f t="shared" si="274"/>
        <v>0</v>
      </c>
    </row>
    <row r="1547" spans="2:27">
      <c r="B1547" s="47"/>
      <c r="C1547" s="35"/>
      <c r="D1547" s="53"/>
      <c r="E1547" s="53"/>
      <c r="F1547" s="48"/>
      <c r="G1547" s="243" t="e">
        <f>INDEX('calcolo base'!$B:$B, MATCH($A1547, 'calcolo base'!$A:$A, 0))</f>
        <v>#N/A</v>
      </c>
      <c r="H1547" s="54" t="e">
        <f t="shared" si="275"/>
        <v>#N/A</v>
      </c>
      <c r="I1547" s="259" t="e">
        <f>IF(  OR(      INDEX('calcolo base'!$D:$D, MATCH($A1547, 'calcolo base'!$A:$A, 0)) = 0,
      INDEX('calcolo base'!$D:$D, MATCH($A1547, 'calcolo base'!$A:$A, 0)) = ""   ),
   INDEX('calcolo base'!$K:$K, MATCH($A1547, 'calcolo base'!$A:$A, 0)),
   INDEX('calcolo base'!$J:$J, MATCH($A1547, 'calcolo base'!$A:$A, 0))
) / 1000</f>
        <v>#N/A</v>
      </c>
      <c r="J1547" s="50" t="e">
        <f t="shared" si="276"/>
        <v>#N/A</v>
      </c>
      <c r="K1547" s="50"/>
      <c r="L1547" s="267" t="e">
        <f>INDEX('calcolo base'!$H:$H, MATCH($A1547, 'calcolo base'!$A:$A, 0))</f>
        <v>#N/A</v>
      </c>
      <c r="M1547" s="50" t="e">
        <f t="shared" si="277"/>
        <v>#N/A</v>
      </c>
      <c r="N1547" s="50" t="e">
        <f t="shared" si="278"/>
        <v>#N/A</v>
      </c>
      <c r="O1547" s="50" t="e">
        <f t="shared" si="283"/>
        <v>#N/A</v>
      </c>
      <c r="P1547" s="50" t="e">
        <f t="shared" si="279"/>
        <v>#N/A</v>
      </c>
      <c r="Q1547" s="51" t="e">
        <f t="shared" si="280"/>
        <v>#N/A</v>
      </c>
      <c r="R1547" s="205" t="e">
        <f t="shared" si="281"/>
        <v>#N/A</v>
      </c>
      <c r="S1547" s="279" t="e">
        <f>IF(R1547="si",0,IF(E1547="si",0,IF(J1547&gt;K1547,0,+K1547-J1547)))+IF('calcolo base'!P2239="SI",('Commissioni De Angeli'!K1547-'Commissioni De Angeli'!J1547),0)</f>
        <v>#N/A</v>
      </c>
      <c r="T1547" s="117" t="e">
        <f t="shared" si="282"/>
        <v>#N/A</v>
      </c>
      <c r="U1547" s="272" t="e">
        <f>IF(Q1547=0,'calcolo base'!L4146,(T1547+Q1547))</f>
        <v>#N/A</v>
      </c>
      <c r="V1547" s="119"/>
      <c r="Z1547" s="118">
        <f t="shared" si="273"/>
        <v>0</v>
      </c>
      <c r="AA1547" s="118">
        <f t="shared" si="274"/>
        <v>0</v>
      </c>
    </row>
    <row r="1548" spans="2:27">
      <c r="B1548" s="47"/>
      <c r="C1548" s="35"/>
      <c r="D1548" s="53"/>
      <c r="E1548" s="53"/>
      <c r="F1548" s="48"/>
      <c r="G1548" s="243" t="e">
        <f>INDEX('calcolo base'!$B:$B, MATCH($A1548, 'calcolo base'!$A:$A, 0))</f>
        <v>#N/A</v>
      </c>
      <c r="H1548" s="54" t="e">
        <f t="shared" si="275"/>
        <v>#N/A</v>
      </c>
      <c r="I1548" s="259" t="e">
        <f>IF(  OR(      INDEX('calcolo base'!$D:$D, MATCH($A1548, 'calcolo base'!$A:$A, 0)) = 0,
      INDEX('calcolo base'!$D:$D, MATCH($A1548, 'calcolo base'!$A:$A, 0)) = ""   ),
   INDEX('calcolo base'!$K:$K, MATCH($A1548, 'calcolo base'!$A:$A, 0)),
   INDEX('calcolo base'!$J:$J, MATCH($A1548, 'calcolo base'!$A:$A, 0))
) / 1000</f>
        <v>#N/A</v>
      </c>
      <c r="J1548" s="50" t="e">
        <f t="shared" si="276"/>
        <v>#N/A</v>
      </c>
      <c r="K1548" s="50"/>
      <c r="L1548" s="267" t="e">
        <f>INDEX('calcolo base'!$H:$H, MATCH($A1548, 'calcolo base'!$A:$A, 0))</f>
        <v>#N/A</v>
      </c>
      <c r="M1548" s="50" t="e">
        <f t="shared" si="277"/>
        <v>#N/A</v>
      </c>
      <c r="N1548" s="50" t="e">
        <f t="shared" si="278"/>
        <v>#N/A</v>
      </c>
      <c r="O1548" s="50" t="e">
        <f t="shared" si="283"/>
        <v>#N/A</v>
      </c>
      <c r="P1548" s="50" t="e">
        <f t="shared" si="279"/>
        <v>#N/A</v>
      </c>
      <c r="Q1548" s="51" t="e">
        <f t="shared" si="280"/>
        <v>#N/A</v>
      </c>
      <c r="R1548" s="205" t="e">
        <f t="shared" si="281"/>
        <v>#N/A</v>
      </c>
      <c r="S1548" s="279" t="e">
        <f>IF(R1548="si",0,IF(E1548="si",0,IF(J1548&gt;K1548,0,+K1548-J1548)))+IF('calcolo base'!P2240="SI",('Commissioni De Angeli'!K1548-'Commissioni De Angeli'!J1548),0)</f>
        <v>#N/A</v>
      </c>
      <c r="T1548" s="117" t="e">
        <f t="shared" si="282"/>
        <v>#N/A</v>
      </c>
      <c r="U1548" s="272" t="e">
        <f>IF(Q1548=0,'calcolo base'!L4147,(T1548+Q1548))</f>
        <v>#N/A</v>
      </c>
      <c r="V1548" s="119"/>
      <c r="Z1548" s="118">
        <f t="shared" si="273"/>
        <v>0</v>
      </c>
      <c r="AA1548" s="118">
        <f t="shared" si="274"/>
        <v>0</v>
      </c>
    </row>
    <row r="1549" spans="2:27">
      <c r="B1549" s="47"/>
      <c r="C1549" s="35"/>
      <c r="D1549" s="53"/>
      <c r="E1549" s="53"/>
      <c r="F1549" s="48"/>
      <c r="G1549" s="243" t="e">
        <f>INDEX('calcolo base'!$B:$B, MATCH($A1549, 'calcolo base'!$A:$A, 0))</f>
        <v>#N/A</v>
      </c>
      <c r="H1549" s="54" t="e">
        <f t="shared" si="275"/>
        <v>#N/A</v>
      </c>
      <c r="I1549" s="259" t="e">
        <f>IF(  OR(      INDEX('calcolo base'!$D:$D, MATCH($A1549, 'calcolo base'!$A:$A, 0)) = 0,
      INDEX('calcolo base'!$D:$D, MATCH($A1549, 'calcolo base'!$A:$A, 0)) = ""   ),
   INDEX('calcolo base'!$K:$K, MATCH($A1549, 'calcolo base'!$A:$A, 0)),
   INDEX('calcolo base'!$J:$J, MATCH($A1549, 'calcolo base'!$A:$A, 0))
) / 1000</f>
        <v>#N/A</v>
      </c>
      <c r="J1549" s="50" t="e">
        <f t="shared" si="276"/>
        <v>#N/A</v>
      </c>
      <c r="K1549" s="50"/>
      <c r="L1549" s="267" t="e">
        <f>INDEX('calcolo base'!$H:$H, MATCH($A1549, 'calcolo base'!$A:$A, 0))</f>
        <v>#N/A</v>
      </c>
      <c r="M1549" s="50" t="e">
        <f t="shared" si="277"/>
        <v>#N/A</v>
      </c>
      <c r="N1549" s="50" t="e">
        <f t="shared" si="278"/>
        <v>#N/A</v>
      </c>
      <c r="O1549" s="50" t="e">
        <f t="shared" si="283"/>
        <v>#N/A</v>
      </c>
      <c r="P1549" s="50" t="e">
        <f t="shared" si="279"/>
        <v>#N/A</v>
      </c>
      <c r="Q1549" s="51" t="e">
        <f t="shared" si="280"/>
        <v>#N/A</v>
      </c>
      <c r="R1549" s="205" t="e">
        <f t="shared" si="281"/>
        <v>#N/A</v>
      </c>
      <c r="S1549" s="279" t="e">
        <f>IF(R1549="si",0,IF(E1549="si",0,IF(J1549&gt;K1549,0,+K1549-J1549)))+IF('calcolo base'!P2241="SI",('Commissioni De Angeli'!K1549-'Commissioni De Angeli'!J1549),0)</f>
        <v>#N/A</v>
      </c>
      <c r="T1549" s="117" t="e">
        <f t="shared" si="282"/>
        <v>#N/A</v>
      </c>
      <c r="U1549" s="272" t="e">
        <f>IF(Q1549=0,'calcolo base'!L4148,(T1549+Q1549))</f>
        <v>#N/A</v>
      </c>
      <c r="V1549" s="119"/>
      <c r="Z1549" s="118">
        <f t="shared" si="273"/>
        <v>0</v>
      </c>
      <c r="AA1549" s="118">
        <f t="shared" si="274"/>
        <v>0</v>
      </c>
    </row>
    <row r="1550" spans="2:27">
      <c r="B1550" s="47"/>
      <c r="C1550" s="35"/>
      <c r="D1550" s="53"/>
      <c r="E1550" s="53"/>
      <c r="F1550" s="48"/>
      <c r="G1550" s="243" t="e">
        <f>INDEX('calcolo base'!$B:$B, MATCH($A1550, 'calcolo base'!$A:$A, 0))</f>
        <v>#N/A</v>
      </c>
      <c r="H1550" s="54" t="e">
        <f t="shared" si="275"/>
        <v>#N/A</v>
      </c>
      <c r="I1550" s="259" t="e">
        <f>IF(  OR(      INDEX('calcolo base'!$D:$D, MATCH($A1550, 'calcolo base'!$A:$A, 0)) = 0,
      INDEX('calcolo base'!$D:$D, MATCH($A1550, 'calcolo base'!$A:$A, 0)) = ""   ),
   INDEX('calcolo base'!$K:$K, MATCH($A1550, 'calcolo base'!$A:$A, 0)),
   INDEX('calcolo base'!$J:$J, MATCH($A1550, 'calcolo base'!$A:$A, 0))
) / 1000</f>
        <v>#N/A</v>
      </c>
      <c r="J1550" s="50" t="e">
        <f t="shared" si="276"/>
        <v>#N/A</v>
      </c>
      <c r="K1550" s="50"/>
      <c r="L1550" s="267" t="e">
        <f>INDEX('calcolo base'!$H:$H, MATCH($A1550, 'calcolo base'!$A:$A, 0))</f>
        <v>#N/A</v>
      </c>
      <c r="M1550" s="50" t="e">
        <f t="shared" si="277"/>
        <v>#N/A</v>
      </c>
      <c r="N1550" s="50" t="e">
        <f t="shared" si="278"/>
        <v>#N/A</v>
      </c>
      <c r="O1550" s="50" t="e">
        <f t="shared" si="283"/>
        <v>#N/A</v>
      </c>
      <c r="P1550" s="50" t="e">
        <f t="shared" si="279"/>
        <v>#N/A</v>
      </c>
      <c r="Q1550" s="51" t="e">
        <f t="shared" si="280"/>
        <v>#N/A</v>
      </c>
      <c r="R1550" s="205" t="e">
        <f t="shared" si="281"/>
        <v>#N/A</v>
      </c>
      <c r="S1550" s="279" t="e">
        <f>IF(R1550="si",0,IF(E1550="si",0,IF(J1550&gt;K1550,0,+K1550-J1550)))+IF('calcolo base'!P2242="SI",('Commissioni De Angeli'!K1550-'Commissioni De Angeli'!J1550),0)</f>
        <v>#N/A</v>
      </c>
      <c r="T1550" s="117" t="e">
        <f t="shared" si="282"/>
        <v>#N/A</v>
      </c>
      <c r="U1550" s="272" t="e">
        <f>IF(Q1550=0,'calcolo base'!L4149,(T1550+Q1550))</f>
        <v>#N/A</v>
      </c>
      <c r="V1550" s="119"/>
      <c r="Z1550" s="118">
        <f t="shared" si="273"/>
        <v>0</v>
      </c>
      <c r="AA1550" s="118">
        <f t="shared" si="274"/>
        <v>0</v>
      </c>
    </row>
    <row r="1551" spans="2:27">
      <c r="B1551" s="47"/>
      <c r="C1551" s="35"/>
      <c r="D1551" s="53"/>
      <c r="E1551" s="53"/>
      <c r="F1551" s="48"/>
      <c r="G1551" s="243" t="e">
        <f>INDEX('calcolo base'!$B:$B, MATCH($A1551, 'calcolo base'!$A:$A, 0))</f>
        <v>#N/A</v>
      </c>
      <c r="H1551" s="54" t="e">
        <f t="shared" si="275"/>
        <v>#N/A</v>
      </c>
      <c r="I1551" s="259" t="e">
        <f>IF(  OR(      INDEX('calcolo base'!$D:$D, MATCH($A1551, 'calcolo base'!$A:$A, 0)) = 0,
      INDEX('calcolo base'!$D:$D, MATCH($A1551, 'calcolo base'!$A:$A, 0)) = ""   ),
   INDEX('calcolo base'!$K:$K, MATCH($A1551, 'calcolo base'!$A:$A, 0)),
   INDEX('calcolo base'!$J:$J, MATCH($A1551, 'calcolo base'!$A:$A, 0))
) / 1000</f>
        <v>#N/A</v>
      </c>
      <c r="J1551" s="50" t="e">
        <f t="shared" si="276"/>
        <v>#N/A</v>
      </c>
      <c r="K1551" s="50"/>
      <c r="L1551" s="267" t="e">
        <f>INDEX('calcolo base'!$H:$H, MATCH($A1551, 'calcolo base'!$A:$A, 0))</f>
        <v>#N/A</v>
      </c>
      <c r="M1551" s="50" t="e">
        <f t="shared" si="277"/>
        <v>#N/A</v>
      </c>
      <c r="N1551" s="50" t="e">
        <f t="shared" si="278"/>
        <v>#N/A</v>
      </c>
      <c r="O1551" s="50" t="e">
        <f t="shared" si="283"/>
        <v>#N/A</v>
      </c>
      <c r="P1551" s="50" t="e">
        <f t="shared" si="279"/>
        <v>#N/A</v>
      </c>
      <c r="Q1551" s="51" t="e">
        <f t="shared" si="280"/>
        <v>#N/A</v>
      </c>
      <c r="R1551" s="205" t="e">
        <f t="shared" si="281"/>
        <v>#N/A</v>
      </c>
      <c r="S1551" s="279" t="e">
        <f>IF(R1551="si",0,IF(E1551="si",0,IF(J1551&gt;K1551,0,+K1551-J1551)))+IF('calcolo base'!P2243="SI",('Commissioni De Angeli'!K1551-'Commissioni De Angeli'!J1551),0)</f>
        <v>#N/A</v>
      </c>
      <c r="T1551" s="117" t="e">
        <f t="shared" si="282"/>
        <v>#N/A</v>
      </c>
      <c r="U1551" s="272" t="e">
        <f>IF(Q1551=0,'calcolo base'!L4150,(T1551+Q1551))</f>
        <v>#N/A</v>
      </c>
      <c r="V1551" s="119"/>
      <c r="Z1551" s="118">
        <f t="shared" si="273"/>
        <v>0</v>
      </c>
      <c r="AA1551" s="118">
        <f t="shared" si="274"/>
        <v>0</v>
      </c>
    </row>
    <row r="1552" spans="2:27">
      <c r="B1552" s="47"/>
      <c r="C1552" s="35"/>
      <c r="D1552" s="53"/>
      <c r="E1552" s="53"/>
      <c r="F1552" s="48"/>
      <c r="G1552" s="243" t="e">
        <f>INDEX('calcolo base'!$B:$B, MATCH($A1552, 'calcolo base'!$A:$A, 0))</f>
        <v>#N/A</v>
      </c>
      <c r="H1552" s="54" t="e">
        <f t="shared" si="275"/>
        <v>#N/A</v>
      </c>
      <c r="I1552" s="259" t="e">
        <f>IF(  OR(      INDEX('calcolo base'!$D:$D, MATCH($A1552, 'calcolo base'!$A:$A, 0)) = 0,
      INDEX('calcolo base'!$D:$D, MATCH($A1552, 'calcolo base'!$A:$A, 0)) = ""   ),
   INDEX('calcolo base'!$K:$K, MATCH($A1552, 'calcolo base'!$A:$A, 0)),
   INDEX('calcolo base'!$J:$J, MATCH($A1552, 'calcolo base'!$A:$A, 0))
) / 1000</f>
        <v>#N/A</v>
      </c>
      <c r="J1552" s="50" t="e">
        <f t="shared" si="276"/>
        <v>#N/A</v>
      </c>
      <c r="K1552" s="50"/>
      <c r="L1552" s="267" t="e">
        <f>INDEX('calcolo base'!$H:$H, MATCH($A1552, 'calcolo base'!$A:$A, 0))</f>
        <v>#N/A</v>
      </c>
      <c r="M1552" s="50" t="e">
        <f t="shared" si="277"/>
        <v>#N/A</v>
      </c>
      <c r="N1552" s="50" t="e">
        <f t="shared" si="278"/>
        <v>#N/A</v>
      </c>
      <c r="O1552" s="50" t="e">
        <f t="shared" si="283"/>
        <v>#N/A</v>
      </c>
      <c r="P1552" s="50" t="e">
        <f t="shared" si="279"/>
        <v>#N/A</v>
      </c>
      <c r="Q1552" s="51" t="e">
        <f t="shared" si="280"/>
        <v>#N/A</v>
      </c>
      <c r="R1552" s="205" t="e">
        <f t="shared" si="281"/>
        <v>#N/A</v>
      </c>
      <c r="S1552" s="279" t="e">
        <f>IF(R1552="si",0,IF(E1552="si",0,IF(J1552&gt;K1552,0,+K1552-J1552)))+IF('calcolo base'!P2244="SI",('Commissioni De Angeli'!K1552-'Commissioni De Angeli'!J1552),0)</f>
        <v>#N/A</v>
      </c>
      <c r="T1552" s="117" t="e">
        <f t="shared" si="282"/>
        <v>#N/A</v>
      </c>
      <c r="U1552" s="272" t="e">
        <f>IF(Q1552=0,'calcolo base'!L4151,(T1552+Q1552))</f>
        <v>#N/A</v>
      </c>
      <c r="V1552" s="119"/>
      <c r="Z1552" s="118">
        <f t="shared" si="273"/>
        <v>0</v>
      </c>
      <c r="AA1552" s="118">
        <f t="shared" si="274"/>
        <v>0</v>
      </c>
    </row>
    <row r="1553" spans="2:27">
      <c r="B1553" s="47"/>
      <c r="C1553" s="35"/>
      <c r="D1553" s="53"/>
      <c r="E1553" s="53"/>
      <c r="F1553" s="48"/>
      <c r="G1553" s="243" t="e">
        <f>INDEX('calcolo base'!$B:$B, MATCH($A1553, 'calcolo base'!$A:$A, 0))</f>
        <v>#N/A</v>
      </c>
      <c r="H1553" s="54" t="e">
        <f t="shared" si="275"/>
        <v>#N/A</v>
      </c>
      <c r="I1553" s="259" t="e">
        <f>IF(  OR(      INDEX('calcolo base'!$D:$D, MATCH($A1553, 'calcolo base'!$A:$A, 0)) = 0,
      INDEX('calcolo base'!$D:$D, MATCH($A1553, 'calcolo base'!$A:$A, 0)) = ""   ),
   INDEX('calcolo base'!$K:$K, MATCH($A1553, 'calcolo base'!$A:$A, 0)),
   INDEX('calcolo base'!$J:$J, MATCH($A1553, 'calcolo base'!$A:$A, 0))
) / 1000</f>
        <v>#N/A</v>
      </c>
      <c r="J1553" s="50" t="e">
        <f t="shared" si="276"/>
        <v>#N/A</v>
      </c>
      <c r="K1553" s="50"/>
      <c r="L1553" s="267" t="e">
        <f>INDEX('calcolo base'!$H:$H, MATCH($A1553, 'calcolo base'!$A:$A, 0))</f>
        <v>#N/A</v>
      </c>
      <c r="M1553" s="50" t="e">
        <f t="shared" si="277"/>
        <v>#N/A</v>
      </c>
      <c r="N1553" s="50" t="e">
        <f t="shared" si="278"/>
        <v>#N/A</v>
      </c>
      <c r="O1553" s="50" t="e">
        <f t="shared" si="283"/>
        <v>#N/A</v>
      </c>
      <c r="P1553" s="50" t="e">
        <f t="shared" si="279"/>
        <v>#N/A</v>
      </c>
      <c r="Q1553" s="51" t="e">
        <f t="shared" si="280"/>
        <v>#N/A</v>
      </c>
      <c r="R1553" s="205" t="e">
        <f t="shared" si="281"/>
        <v>#N/A</v>
      </c>
      <c r="S1553" s="279" t="e">
        <f>IF(R1553="si",0,IF(E1553="si",0,IF(J1553&gt;K1553,0,+K1553-J1553)))+IF('calcolo base'!P2245="SI",('Commissioni De Angeli'!K1553-'Commissioni De Angeli'!J1553),0)</f>
        <v>#N/A</v>
      </c>
      <c r="T1553" s="117" t="e">
        <f t="shared" si="282"/>
        <v>#N/A</v>
      </c>
      <c r="U1553" s="272" t="e">
        <f>IF(Q1553=0,'calcolo base'!L4152,(T1553+Q1553))</f>
        <v>#N/A</v>
      </c>
      <c r="V1553" s="119"/>
      <c r="Z1553" s="118">
        <f t="shared" si="273"/>
        <v>0</v>
      </c>
      <c r="AA1553" s="118">
        <f t="shared" si="274"/>
        <v>0</v>
      </c>
    </row>
    <row r="1554" spans="2:27">
      <c r="B1554" s="47"/>
      <c r="C1554" s="35"/>
      <c r="D1554" s="53"/>
      <c r="E1554" s="53"/>
      <c r="F1554" s="48"/>
      <c r="G1554" s="243" t="e">
        <f>INDEX('calcolo base'!$B:$B, MATCH($A1554, 'calcolo base'!$A:$A, 0))</f>
        <v>#N/A</v>
      </c>
      <c r="H1554" s="54" t="e">
        <f t="shared" si="275"/>
        <v>#N/A</v>
      </c>
      <c r="I1554" s="259" t="e">
        <f>IF(  OR(      INDEX('calcolo base'!$D:$D, MATCH($A1554, 'calcolo base'!$A:$A, 0)) = 0,
      INDEX('calcolo base'!$D:$D, MATCH($A1554, 'calcolo base'!$A:$A, 0)) = ""   ),
   INDEX('calcolo base'!$K:$K, MATCH($A1554, 'calcolo base'!$A:$A, 0)),
   INDEX('calcolo base'!$J:$J, MATCH($A1554, 'calcolo base'!$A:$A, 0))
) / 1000</f>
        <v>#N/A</v>
      </c>
      <c r="J1554" s="50" t="e">
        <f t="shared" si="276"/>
        <v>#N/A</v>
      </c>
      <c r="K1554" s="50"/>
      <c r="L1554" s="267" t="e">
        <f>INDEX('calcolo base'!$H:$H, MATCH($A1554, 'calcolo base'!$A:$A, 0))</f>
        <v>#N/A</v>
      </c>
      <c r="M1554" s="50" t="e">
        <f t="shared" si="277"/>
        <v>#N/A</v>
      </c>
      <c r="N1554" s="50" t="e">
        <f t="shared" si="278"/>
        <v>#N/A</v>
      </c>
      <c r="O1554" s="50" t="e">
        <f t="shared" si="283"/>
        <v>#N/A</v>
      </c>
      <c r="P1554" s="50" t="e">
        <f t="shared" si="279"/>
        <v>#N/A</v>
      </c>
      <c r="Q1554" s="51" t="e">
        <f t="shared" si="280"/>
        <v>#N/A</v>
      </c>
      <c r="R1554" s="205" t="e">
        <f t="shared" si="281"/>
        <v>#N/A</v>
      </c>
      <c r="S1554" s="279" t="e">
        <f>IF(R1554="si",0,IF(E1554="si",0,IF(J1554&gt;K1554,0,+K1554-J1554)))+IF('calcolo base'!P2246="SI",('Commissioni De Angeli'!K1554-'Commissioni De Angeli'!J1554),0)</f>
        <v>#N/A</v>
      </c>
      <c r="T1554" s="117" t="e">
        <f t="shared" si="282"/>
        <v>#N/A</v>
      </c>
      <c r="U1554" s="272" t="e">
        <f>IF(Q1554=0,'calcolo base'!L4153,(T1554+Q1554))</f>
        <v>#N/A</v>
      </c>
      <c r="V1554" s="119"/>
      <c r="Z1554" s="118">
        <f t="shared" si="273"/>
        <v>0</v>
      </c>
      <c r="AA1554" s="118">
        <f t="shared" si="274"/>
        <v>0</v>
      </c>
    </row>
    <row r="1555" spans="2:27">
      <c r="B1555" s="47"/>
      <c r="C1555" s="35"/>
      <c r="D1555" s="53"/>
      <c r="E1555" s="53"/>
      <c r="F1555" s="48"/>
      <c r="G1555" s="243" t="e">
        <f>INDEX('calcolo base'!$B:$B, MATCH($A1555, 'calcolo base'!$A:$A, 0))</f>
        <v>#N/A</v>
      </c>
      <c r="H1555" s="54" t="e">
        <f t="shared" si="275"/>
        <v>#N/A</v>
      </c>
      <c r="I1555" s="259" t="e">
        <f>IF(  OR(      INDEX('calcolo base'!$D:$D, MATCH($A1555, 'calcolo base'!$A:$A, 0)) = 0,
      INDEX('calcolo base'!$D:$D, MATCH($A1555, 'calcolo base'!$A:$A, 0)) = ""   ),
   INDEX('calcolo base'!$K:$K, MATCH($A1555, 'calcolo base'!$A:$A, 0)),
   INDEX('calcolo base'!$J:$J, MATCH($A1555, 'calcolo base'!$A:$A, 0))
) / 1000</f>
        <v>#N/A</v>
      </c>
      <c r="J1555" s="50" t="e">
        <f t="shared" si="276"/>
        <v>#N/A</v>
      </c>
      <c r="K1555" s="50"/>
      <c r="L1555" s="267" t="e">
        <f>INDEX('calcolo base'!$H:$H, MATCH($A1555, 'calcolo base'!$A:$A, 0))</f>
        <v>#N/A</v>
      </c>
      <c r="M1555" s="50" t="e">
        <f t="shared" si="277"/>
        <v>#N/A</v>
      </c>
      <c r="N1555" s="50" t="e">
        <f t="shared" si="278"/>
        <v>#N/A</v>
      </c>
      <c r="O1555" s="50" t="e">
        <f t="shared" si="283"/>
        <v>#N/A</v>
      </c>
      <c r="P1555" s="50" t="e">
        <f t="shared" si="279"/>
        <v>#N/A</v>
      </c>
      <c r="Q1555" s="51" t="e">
        <f t="shared" si="280"/>
        <v>#N/A</v>
      </c>
      <c r="R1555" s="205" t="e">
        <f t="shared" si="281"/>
        <v>#N/A</v>
      </c>
      <c r="S1555" s="279" t="e">
        <f>IF(R1555="si",0,IF(E1555="si",0,IF(J1555&gt;K1555,0,+K1555-J1555)))+IF('calcolo base'!P2247="SI",('Commissioni De Angeli'!K1555-'Commissioni De Angeli'!J1555),0)</f>
        <v>#N/A</v>
      </c>
      <c r="T1555" s="117" t="e">
        <f t="shared" si="282"/>
        <v>#N/A</v>
      </c>
      <c r="U1555" s="272" t="e">
        <f>IF(Q1555=0,'calcolo base'!L4154,(T1555+Q1555))</f>
        <v>#N/A</v>
      </c>
      <c r="V1555" s="119"/>
      <c r="Z1555" s="118">
        <f t="shared" si="273"/>
        <v>0</v>
      </c>
      <c r="AA1555" s="118">
        <f t="shared" si="274"/>
        <v>0</v>
      </c>
    </row>
    <row r="1556" spans="2:27">
      <c r="B1556" s="47"/>
      <c r="C1556" s="35"/>
      <c r="D1556" s="53"/>
      <c r="E1556" s="53"/>
      <c r="F1556" s="48"/>
      <c r="G1556" s="243" t="e">
        <f>INDEX('calcolo base'!$B:$B, MATCH($A1556, 'calcolo base'!$A:$A, 0))</f>
        <v>#N/A</v>
      </c>
      <c r="H1556" s="54" t="e">
        <f t="shared" si="275"/>
        <v>#N/A</v>
      </c>
      <c r="I1556" s="259" t="e">
        <f>IF(  OR(      INDEX('calcolo base'!$D:$D, MATCH($A1556, 'calcolo base'!$A:$A, 0)) = 0,
      INDEX('calcolo base'!$D:$D, MATCH($A1556, 'calcolo base'!$A:$A, 0)) = ""   ),
   INDEX('calcolo base'!$K:$K, MATCH($A1556, 'calcolo base'!$A:$A, 0)),
   INDEX('calcolo base'!$J:$J, MATCH($A1556, 'calcolo base'!$A:$A, 0))
) / 1000</f>
        <v>#N/A</v>
      </c>
      <c r="J1556" s="50" t="e">
        <f t="shared" si="276"/>
        <v>#N/A</v>
      </c>
      <c r="K1556" s="50"/>
      <c r="L1556" s="267" t="e">
        <f>INDEX('calcolo base'!$H:$H, MATCH($A1556, 'calcolo base'!$A:$A, 0))</f>
        <v>#N/A</v>
      </c>
      <c r="M1556" s="50" t="e">
        <f t="shared" si="277"/>
        <v>#N/A</v>
      </c>
      <c r="N1556" s="50" t="e">
        <f t="shared" si="278"/>
        <v>#N/A</v>
      </c>
      <c r="O1556" s="50" t="e">
        <f t="shared" si="283"/>
        <v>#N/A</v>
      </c>
      <c r="P1556" s="50" t="e">
        <f t="shared" si="279"/>
        <v>#N/A</v>
      </c>
      <c r="Q1556" s="51" t="e">
        <f t="shared" si="280"/>
        <v>#N/A</v>
      </c>
      <c r="R1556" s="205" t="e">
        <f t="shared" si="281"/>
        <v>#N/A</v>
      </c>
      <c r="S1556" s="279" t="e">
        <f>IF(R1556="si",0,IF(E1556="si",0,IF(J1556&gt;K1556,0,+K1556-J1556)))+IF('calcolo base'!P2248="SI",('Commissioni De Angeli'!K1556-'Commissioni De Angeli'!J1556),0)</f>
        <v>#N/A</v>
      </c>
      <c r="T1556" s="117" t="e">
        <f t="shared" si="282"/>
        <v>#N/A</v>
      </c>
      <c r="U1556" s="272" t="e">
        <f>IF(Q1556=0,'calcolo base'!L4155,(T1556+Q1556))</f>
        <v>#N/A</v>
      </c>
      <c r="V1556" s="119"/>
      <c r="Z1556" s="118">
        <f t="shared" si="273"/>
        <v>0</v>
      </c>
      <c r="AA1556" s="118">
        <f t="shared" si="274"/>
        <v>0</v>
      </c>
    </row>
    <row r="1557" spans="2:27">
      <c r="B1557" s="47"/>
      <c r="C1557" s="35"/>
      <c r="D1557" s="53"/>
      <c r="E1557" s="53"/>
      <c r="F1557" s="48"/>
      <c r="G1557" s="243" t="e">
        <f>INDEX('calcolo base'!$B:$B, MATCH($A1557, 'calcolo base'!$A:$A, 0))</f>
        <v>#N/A</v>
      </c>
      <c r="H1557" s="54" t="e">
        <f t="shared" si="275"/>
        <v>#N/A</v>
      </c>
      <c r="I1557" s="259" t="e">
        <f>IF(  OR(      INDEX('calcolo base'!$D:$D, MATCH($A1557, 'calcolo base'!$A:$A, 0)) = 0,
      INDEX('calcolo base'!$D:$D, MATCH($A1557, 'calcolo base'!$A:$A, 0)) = ""   ),
   INDEX('calcolo base'!$K:$K, MATCH($A1557, 'calcolo base'!$A:$A, 0)),
   INDEX('calcolo base'!$J:$J, MATCH($A1557, 'calcolo base'!$A:$A, 0))
) / 1000</f>
        <v>#N/A</v>
      </c>
      <c r="J1557" s="50" t="e">
        <f t="shared" si="276"/>
        <v>#N/A</v>
      </c>
      <c r="K1557" s="50"/>
      <c r="L1557" s="267" t="e">
        <f>INDEX('calcolo base'!$H:$H, MATCH($A1557, 'calcolo base'!$A:$A, 0))</f>
        <v>#N/A</v>
      </c>
      <c r="M1557" s="50" t="e">
        <f t="shared" si="277"/>
        <v>#N/A</v>
      </c>
      <c r="N1557" s="50" t="e">
        <f t="shared" si="278"/>
        <v>#N/A</v>
      </c>
      <c r="O1557" s="50" t="e">
        <f t="shared" si="283"/>
        <v>#N/A</v>
      </c>
      <c r="P1557" s="50" t="e">
        <f t="shared" si="279"/>
        <v>#N/A</v>
      </c>
      <c r="Q1557" s="51" t="e">
        <f t="shared" si="280"/>
        <v>#N/A</v>
      </c>
      <c r="R1557" s="205" t="e">
        <f t="shared" si="281"/>
        <v>#N/A</v>
      </c>
      <c r="S1557" s="279" t="e">
        <f>IF(R1557="si",0,IF(E1557="si",0,IF(J1557&gt;K1557,0,+K1557-J1557)))+IF('calcolo base'!P2249="SI",('Commissioni De Angeli'!K1557-'Commissioni De Angeli'!J1557),0)</f>
        <v>#N/A</v>
      </c>
      <c r="T1557" s="117" t="e">
        <f t="shared" si="282"/>
        <v>#N/A</v>
      </c>
      <c r="U1557" s="272" t="e">
        <f>IF(Q1557=0,'calcolo base'!L4156,(T1557+Q1557))</f>
        <v>#N/A</v>
      </c>
      <c r="V1557" s="119"/>
      <c r="Z1557" s="118">
        <f t="shared" ref="Z1557:Z1620" si="284">IF(V1557="",0,MONTH(V1557))</f>
        <v>0</v>
      </c>
      <c r="AA1557" s="118">
        <f t="shared" ref="AA1557:AA1620" si="285">IF(V1557="",0,YEAR(V1557))</f>
        <v>0</v>
      </c>
    </row>
    <row r="1558" spans="2:27">
      <c r="B1558" s="47"/>
      <c r="C1558" s="35"/>
      <c r="D1558" s="53"/>
      <c r="E1558" s="53"/>
      <c r="F1558" s="48"/>
      <c r="G1558" s="243" t="e">
        <f>INDEX('calcolo base'!$B:$B, MATCH($A1558, 'calcolo base'!$A:$A, 0))</f>
        <v>#N/A</v>
      </c>
      <c r="H1558" s="54" t="e">
        <f t="shared" si="275"/>
        <v>#N/A</v>
      </c>
      <c r="I1558" s="259" t="e">
        <f>IF(  OR(      INDEX('calcolo base'!$D:$D, MATCH($A1558, 'calcolo base'!$A:$A, 0)) = 0,
      INDEX('calcolo base'!$D:$D, MATCH($A1558, 'calcolo base'!$A:$A, 0)) = ""   ),
   INDEX('calcolo base'!$K:$K, MATCH($A1558, 'calcolo base'!$A:$A, 0)),
   INDEX('calcolo base'!$J:$J, MATCH($A1558, 'calcolo base'!$A:$A, 0))
) / 1000</f>
        <v>#N/A</v>
      </c>
      <c r="J1558" s="50" t="e">
        <f t="shared" si="276"/>
        <v>#N/A</v>
      </c>
      <c r="K1558" s="50"/>
      <c r="L1558" s="267" t="e">
        <f>INDEX('calcolo base'!$H:$H, MATCH($A1558, 'calcolo base'!$A:$A, 0))</f>
        <v>#N/A</v>
      </c>
      <c r="M1558" s="50" t="e">
        <f t="shared" si="277"/>
        <v>#N/A</v>
      </c>
      <c r="N1558" s="50" t="e">
        <f t="shared" si="278"/>
        <v>#N/A</v>
      </c>
      <c r="O1558" s="50" t="e">
        <f t="shared" si="283"/>
        <v>#N/A</v>
      </c>
      <c r="P1558" s="50" t="e">
        <f t="shared" si="279"/>
        <v>#N/A</v>
      </c>
      <c r="Q1558" s="51" t="e">
        <f t="shared" si="280"/>
        <v>#N/A</v>
      </c>
      <c r="R1558" s="205" t="e">
        <f t="shared" si="281"/>
        <v>#N/A</v>
      </c>
      <c r="S1558" s="279" t="e">
        <f>IF(R1558="si",0,IF(E1558="si",0,IF(J1558&gt;K1558,0,+K1558-J1558)))+IF('calcolo base'!P2250="SI",('Commissioni De Angeli'!K1558-'Commissioni De Angeli'!J1558),0)</f>
        <v>#N/A</v>
      </c>
      <c r="T1558" s="117" t="e">
        <f t="shared" si="282"/>
        <v>#N/A</v>
      </c>
      <c r="U1558" s="272" t="e">
        <f>IF(Q1558=0,'calcolo base'!L4157,(T1558+Q1558))</f>
        <v>#N/A</v>
      </c>
      <c r="V1558" s="119"/>
      <c r="Z1558" s="118">
        <f t="shared" si="284"/>
        <v>0</v>
      </c>
      <c r="AA1558" s="118">
        <f t="shared" si="285"/>
        <v>0</v>
      </c>
    </row>
    <row r="1559" spans="2:27">
      <c r="B1559" s="47"/>
      <c r="C1559" s="35"/>
      <c r="D1559" s="53"/>
      <c r="E1559" s="53"/>
      <c r="F1559" s="48"/>
      <c r="G1559" s="243" t="e">
        <f>INDEX('calcolo base'!$B:$B, MATCH($A1559, 'calcolo base'!$A:$A, 0))</f>
        <v>#N/A</v>
      </c>
      <c r="H1559" s="54" t="e">
        <f t="shared" si="275"/>
        <v>#N/A</v>
      </c>
      <c r="I1559" s="259" t="e">
        <f>IF(  OR(      INDEX('calcolo base'!$D:$D, MATCH($A1559, 'calcolo base'!$A:$A, 0)) = 0,
      INDEX('calcolo base'!$D:$D, MATCH($A1559, 'calcolo base'!$A:$A, 0)) = ""   ),
   INDEX('calcolo base'!$K:$K, MATCH($A1559, 'calcolo base'!$A:$A, 0)),
   INDEX('calcolo base'!$J:$J, MATCH($A1559, 'calcolo base'!$A:$A, 0))
) / 1000</f>
        <v>#N/A</v>
      </c>
      <c r="J1559" s="50" t="e">
        <f t="shared" si="276"/>
        <v>#N/A</v>
      </c>
      <c r="K1559" s="50"/>
      <c r="L1559" s="267" t="e">
        <f>INDEX('calcolo base'!$H:$H, MATCH($A1559, 'calcolo base'!$A:$A, 0))</f>
        <v>#N/A</v>
      </c>
      <c r="M1559" s="50" t="e">
        <f t="shared" si="277"/>
        <v>#N/A</v>
      </c>
      <c r="N1559" s="50" t="e">
        <f t="shared" si="278"/>
        <v>#N/A</v>
      </c>
      <c r="O1559" s="50" t="e">
        <f t="shared" si="283"/>
        <v>#N/A</v>
      </c>
      <c r="P1559" s="50" t="e">
        <f t="shared" si="279"/>
        <v>#N/A</v>
      </c>
      <c r="Q1559" s="51" t="e">
        <f t="shared" si="280"/>
        <v>#N/A</v>
      </c>
      <c r="R1559" s="205" t="e">
        <f t="shared" si="281"/>
        <v>#N/A</v>
      </c>
      <c r="S1559" s="279" t="e">
        <f>IF(R1559="si",0,IF(E1559="si",0,IF(J1559&gt;K1559,0,+K1559-J1559)))+IF('calcolo base'!P2251="SI",('Commissioni De Angeli'!K1559-'Commissioni De Angeli'!J1559),0)</f>
        <v>#N/A</v>
      </c>
      <c r="T1559" s="117" t="e">
        <f t="shared" si="282"/>
        <v>#N/A</v>
      </c>
      <c r="U1559" s="272" t="e">
        <f>IF(Q1559=0,'calcolo base'!L4158,(T1559+Q1559))</f>
        <v>#N/A</v>
      </c>
      <c r="V1559" s="119"/>
      <c r="Z1559" s="118">
        <f t="shared" si="284"/>
        <v>0</v>
      </c>
      <c r="AA1559" s="118">
        <f t="shared" si="285"/>
        <v>0</v>
      </c>
    </row>
    <row r="1560" spans="2:27">
      <c r="B1560" s="47"/>
      <c r="C1560" s="35"/>
      <c r="D1560" s="53"/>
      <c r="E1560" s="53"/>
      <c r="F1560" s="48"/>
      <c r="G1560" s="243" t="e">
        <f>INDEX('calcolo base'!$B:$B, MATCH($A1560, 'calcolo base'!$A:$A, 0))</f>
        <v>#N/A</v>
      </c>
      <c r="H1560" s="54" t="e">
        <f t="shared" si="275"/>
        <v>#N/A</v>
      </c>
      <c r="I1560" s="259" t="e">
        <f>IF(  OR(      INDEX('calcolo base'!$D:$D, MATCH($A1560, 'calcolo base'!$A:$A, 0)) = 0,
      INDEX('calcolo base'!$D:$D, MATCH($A1560, 'calcolo base'!$A:$A, 0)) = ""   ),
   INDEX('calcolo base'!$K:$K, MATCH($A1560, 'calcolo base'!$A:$A, 0)),
   INDEX('calcolo base'!$J:$J, MATCH($A1560, 'calcolo base'!$A:$A, 0))
) / 1000</f>
        <v>#N/A</v>
      </c>
      <c r="J1560" s="50" t="e">
        <f t="shared" si="276"/>
        <v>#N/A</v>
      </c>
      <c r="K1560" s="50"/>
      <c r="L1560" s="267" t="e">
        <f>INDEX('calcolo base'!$H:$H, MATCH($A1560, 'calcolo base'!$A:$A, 0))</f>
        <v>#N/A</v>
      </c>
      <c r="M1560" s="50" t="e">
        <f t="shared" si="277"/>
        <v>#N/A</v>
      </c>
      <c r="N1560" s="50" t="e">
        <f t="shared" si="278"/>
        <v>#N/A</v>
      </c>
      <c r="O1560" s="50" t="e">
        <f t="shared" si="283"/>
        <v>#N/A</v>
      </c>
      <c r="P1560" s="50" t="e">
        <f t="shared" si="279"/>
        <v>#N/A</v>
      </c>
      <c r="Q1560" s="51" t="e">
        <f t="shared" si="280"/>
        <v>#N/A</v>
      </c>
      <c r="R1560" s="205" t="e">
        <f t="shared" si="281"/>
        <v>#N/A</v>
      </c>
      <c r="S1560" s="279" t="e">
        <f>IF(R1560="si",0,IF(E1560="si",0,IF(J1560&gt;K1560,0,+K1560-J1560)))+IF('calcolo base'!P2252="SI",('Commissioni De Angeli'!K1560-'Commissioni De Angeli'!J1560),0)</f>
        <v>#N/A</v>
      </c>
      <c r="T1560" s="117" t="e">
        <f t="shared" si="282"/>
        <v>#N/A</v>
      </c>
      <c r="U1560" s="272" t="e">
        <f>IF(Q1560=0,'calcolo base'!L4159,(T1560+Q1560))</f>
        <v>#N/A</v>
      </c>
      <c r="V1560" s="119"/>
      <c r="Z1560" s="118">
        <f t="shared" si="284"/>
        <v>0</v>
      </c>
      <c r="AA1560" s="118">
        <f t="shared" si="285"/>
        <v>0</v>
      </c>
    </row>
    <row r="1561" spans="2:27">
      <c r="B1561" s="47"/>
      <c r="C1561" s="35"/>
      <c r="D1561" s="53"/>
      <c r="E1561" s="53"/>
      <c r="F1561" s="48"/>
      <c r="G1561" s="243" t="e">
        <f>INDEX('calcolo base'!$B:$B, MATCH($A1561, 'calcolo base'!$A:$A, 0))</f>
        <v>#N/A</v>
      </c>
      <c r="H1561" s="54" t="e">
        <f t="shared" si="275"/>
        <v>#N/A</v>
      </c>
      <c r="I1561" s="259" t="e">
        <f>IF(  OR(      INDEX('calcolo base'!$D:$D, MATCH($A1561, 'calcolo base'!$A:$A, 0)) = 0,
      INDEX('calcolo base'!$D:$D, MATCH($A1561, 'calcolo base'!$A:$A, 0)) = ""   ),
   INDEX('calcolo base'!$K:$K, MATCH($A1561, 'calcolo base'!$A:$A, 0)),
   INDEX('calcolo base'!$J:$J, MATCH($A1561, 'calcolo base'!$A:$A, 0))
) / 1000</f>
        <v>#N/A</v>
      </c>
      <c r="J1561" s="50" t="e">
        <f t="shared" si="276"/>
        <v>#N/A</v>
      </c>
      <c r="K1561" s="50"/>
      <c r="L1561" s="267" t="e">
        <f>INDEX('calcolo base'!$H:$H, MATCH($A1561, 'calcolo base'!$A:$A, 0))</f>
        <v>#N/A</v>
      </c>
      <c r="M1561" s="50" t="e">
        <f t="shared" si="277"/>
        <v>#N/A</v>
      </c>
      <c r="N1561" s="50" t="e">
        <f t="shared" si="278"/>
        <v>#N/A</v>
      </c>
      <c r="O1561" s="50" t="e">
        <f t="shared" si="283"/>
        <v>#N/A</v>
      </c>
      <c r="P1561" s="50" t="e">
        <f t="shared" si="279"/>
        <v>#N/A</v>
      </c>
      <c r="Q1561" s="51" t="e">
        <f t="shared" si="280"/>
        <v>#N/A</v>
      </c>
      <c r="R1561" s="205" t="e">
        <f t="shared" si="281"/>
        <v>#N/A</v>
      </c>
      <c r="S1561" s="279" t="e">
        <f>IF(R1561="si",0,IF(E1561="si",0,IF(J1561&gt;K1561,0,+K1561-J1561)))+IF('calcolo base'!P2253="SI",('Commissioni De Angeli'!K1561-'Commissioni De Angeli'!J1561),0)</f>
        <v>#N/A</v>
      </c>
      <c r="T1561" s="117" t="e">
        <f t="shared" si="282"/>
        <v>#N/A</v>
      </c>
      <c r="U1561" s="272" t="e">
        <f>IF(Q1561=0,'calcolo base'!L4160,(T1561+Q1561))</f>
        <v>#N/A</v>
      </c>
      <c r="V1561" s="119"/>
      <c r="Z1561" s="118">
        <f t="shared" si="284"/>
        <v>0</v>
      </c>
      <c r="AA1561" s="118">
        <f t="shared" si="285"/>
        <v>0</v>
      </c>
    </row>
    <row r="1562" spans="2:27">
      <c r="B1562" s="47"/>
      <c r="C1562" s="35"/>
      <c r="D1562" s="53"/>
      <c r="E1562" s="53"/>
      <c r="F1562" s="48"/>
      <c r="G1562" s="243" t="e">
        <f>INDEX('calcolo base'!$B:$B, MATCH($A1562, 'calcolo base'!$A:$A, 0))</f>
        <v>#N/A</v>
      </c>
      <c r="H1562" s="54" t="e">
        <f t="shared" si="275"/>
        <v>#N/A</v>
      </c>
      <c r="I1562" s="259" t="e">
        <f>IF(  OR(      INDEX('calcolo base'!$D:$D, MATCH($A1562, 'calcolo base'!$A:$A, 0)) = 0,
      INDEX('calcolo base'!$D:$D, MATCH($A1562, 'calcolo base'!$A:$A, 0)) = ""   ),
   INDEX('calcolo base'!$K:$K, MATCH($A1562, 'calcolo base'!$A:$A, 0)),
   INDEX('calcolo base'!$J:$J, MATCH($A1562, 'calcolo base'!$A:$A, 0))
) / 1000</f>
        <v>#N/A</v>
      </c>
      <c r="J1562" s="50" t="e">
        <f t="shared" si="276"/>
        <v>#N/A</v>
      </c>
      <c r="K1562" s="50"/>
      <c r="L1562" s="267" t="e">
        <f>INDEX('calcolo base'!$H:$H, MATCH($A1562, 'calcolo base'!$A:$A, 0))</f>
        <v>#N/A</v>
      </c>
      <c r="M1562" s="50" t="e">
        <f t="shared" si="277"/>
        <v>#N/A</v>
      </c>
      <c r="N1562" s="50" t="e">
        <f t="shared" si="278"/>
        <v>#N/A</v>
      </c>
      <c r="O1562" s="50" t="e">
        <f t="shared" si="283"/>
        <v>#N/A</v>
      </c>
      <c r="P1562" s="50" t="e">
        <f t="shared" si="279"/>
        <v>#N/A</v>
      </c>
      <c r="Q1562" s="51" t="e">
        <f t="shared" si="280"/>
        <v>#N/A</v>
      </c>
      <c r="R1562" s="205" t="e">
        <f t="shared" si="281"/>
        <v>#N/A</v>
      </c>
      <c r="S1562" s="279" t="e">
        <f>IF(R1562="si",0,IF(E1562="si",0,IF(J1562&gt;K1562,0,+K1562-J1562)))+IF('calcolo base'!P2254="SI",('Commissioni De Angeli'!K1562-'Commissioni De Angeli'!J1562),0)</f>
        <v>#N/A</v>
      </c>
      <c r="T1562" s="117" t="e">
        <f t="shared" si="282"/>
        <v>#N/A</v>
      </c>
      <c r="U1562" s="272" t="e">
        <f>IF(Q1562=0,'calcolo base'!L4161,(T1562+Q1562))</f>
        <v>#N/A</v>
      </c>
      <c r="V1562" s="119"/>
      <c r="Z1562" s="118">
        <f t="shared" si="284"/>
        <v>0</v>
      </c>
      <c r="AA1562" s="118">
        <f t="shared" si="285"/>
        <v>0</v>
      </c>
    </row>
    <row r="1563" spans="2:27">
      <c r="B1563" s="47"/>
      <c r="C1563" s="35"/>
      <c r="D1563" s="53"/>
      <c r="E1563" s="53"/>
      <c r="F1563" s="48"/>
      <c r="G1563" s="243" t="e">
        <f>INDEX('calcolo base'!$B:$B, MATCH($A1563, 'calcolo base'!$A:$A, 0))</f>
        <v>#N/A</v>
      </c>
      <c r="H1563" s="54" t="e">
        <f t="shared" si="275"/>
        <v>#N/A</v>
      </c>
      <c r="I1563" s="259" t="e">
        <f>IF(  OR(      INDEX('calcolo base'!$D:$D, MATCH($A1563, 'calcolo base'!$A:$A, 0)) = 0,
      INDEX('calcolo base'!$D:$D, MATCH($A1563, 'calcolo base'!$A:$A, 0)) = ""   ),
   INDEX('calcolo base'!$K:$K, MATCH($A1563, 'calcolo base'!$A:$A, 0)),
   INDEX('calcolo base'!$J:$J, MATCH($A1563, 'calcolo base'!$A:$A, 0))
) / 1000</f>
        <v>#N/A</v>
      </c>
      <c r="J1563" s="50" t="e">
        <f t="shared" si="276"/>
        <v>#N/A</v>
      </c>
      <c r="K1563" s="50"/>
      <c r="L1563" s="267" t="e">
        <f>INDEX('calcolo base'!$H:$H, MATCH($A1563, 'calcolo base'!$A:$A, 0))</f>
        <v>#N/A</v>
      </c>
      <c r="M1563" s="50" t="e">
        <f t="shared" si="277"/>
        <v>#N/A</v>
      </c>
      <c r="N1563" s="50" t="e">
        <f t="shared" si="278"/>
        <v>#N/A</v>
      </c>
      <c r="O1563" s="50" t="e">
        <f t="shared" si="283"/>
        <v>#N/A</v>
      </c>
      <c r="P1563" s="50" t="e">
        <f t="shared" si="279"/>
        <v>#N/A</v>
      </c>
      <c r="Q1563" s="51" t="e">
        <f t="shared" si="280"/>
        <v>#N/A</v>
      </c>
      <c r="R1563" s="205" t="e">
        <f t="shared" si="281"/>
        <v>#N/A</v>
      </c>
      <c r="S1563" s="279" t="e">
        <f>IF(R1563="si",0,IF(E1563="si",0,IF(J1563&gt;K1563,0,+K1563-J1563)))+IF('calcolo base'!P2255="SI",('Commissioni De Angeli'!K1563-'Commissioni De Angeli'!J1563),0)</f>
        <v>#N/A</v>
      </c>
      <c r="T1563" s="117" t="e">
        <f t="shared" si="282"/>
        <v>#N/A</v>
      </c>
      <c r="U1563" s="272" t="e">
        <f>IF(Q1563=0,'calcolo base'!L4162,(T1563+Q1563))</f>
        <v>#N/A</v>
      </c>
      <c r="V1563" s="119"/>
      <c r="Z1563" s="118">
        <f t="shared" si="284"/>
        <v>0</v>
      </c>
      <c r="AA1563" s="118">
        <f t="shared" si="285"/>
        <v>0</v>
      </c>
    </row>
    <row r="1564" spans="2:27">
      <c r="B1564" s="47"/>
      <c r="C1564" s="35"/>
      <c r="D1564" s="53"/>
      <c r="E1564" s="53"/>
      <c r="F1564" s="48"/>
      <c r="G1564" s="243" t="e">
        <f>INDEX('calcolo base'!$B:$B, MATCH($A1564, 'calcolo base'!$A:$A, 0))</f>
        <v>#N/A</v>
      </c>
      <c r="H1564" s="54" t="e">
        <f t="shared" ref="H1564:H1627" si="286">IF(G1564=0,"",+G1564)</f>
        <v>#N/A</v>
      </c>
      <c r="I1564" s="259" t="e">
        <f>IF(  OR(      INDEX('calcolo base'!$D:$D, MATCH($A1564, 'calcolo base'!$A:$A, 0)) = 0,
      INDEX('calcolo base'!$D:$D, MATCH($A1564, 'calcolo base'!$A:$A, 0)) = ""   ),
   INDEX('calcolo base'!$K:$K, MATCH($A1564, 'calcolo base'!$A:$A, 0)),
   INDEX('calcolo base'!$J:$J, MATCH($A1564, 'calcolo base'!$A:$A, 0))
) / 1000</f>
        <v>#N/A</v>
      </c>
      <c r="J1564" s="50" t="e">
        <f t="shared" ref="J1564:J1627" si="287">+F1564+I1564</f>
        <v>#N/A</v>
      </c>
      <c r="K1564" s="50"/>
      <c r="L1564" s="267" t="e">
        <f>INDEX('calcolo base'!$H:$H, MATCH($A1564, 'calcolo base'!$A:$A, 0))</f>
        <v>#N/A</v>
      </c>
      <c r="M1564" s="50" t="e">
        <f t="shared" ref="M1564:M1627" si="288">IF(L1564=0,0,J1564*L1564)</f>
        <v>#N/A</v>
      </c>
      <c r="N1564" s="50" t="e">
        <f t="shared" ref="N1564:N1627" si="289">IF(E1564="si",K1564*1.5%,IF($L1564&gt;=5%,IF($I1564=0,0,(IF($G1564="RAME",($J1564)*1.5%,0)+IF($G1564="rame smaltato",($K1564)*1.5%,0))),0))</f>
        <v>#N/A</v>
      </c>
      <c r="O1564" s="50" t="e">
        <f t="shared" si="283"/>
        <v>#N/A</v>
      </c>
      <c r="P1564" s="50" t="e">
        <f t="shared" ref="P1564:P1627" si="290">IF(H1564="alluminio",0,IF(L1564&lt;5%,F1564*8%,0))</f>
        <v>#N/A</v>
      </c>
      <c r="Q1564" s="51" t="e">
        <f t="shared" ref="Q1564:Q1627" si="291">+(N1564*D1564)+(O1564*D1564)+(P1564*D1564)</f>
        <v>#N/A</v>
      </c>
      <c r="R1564" s="205" t="e">
        <f t="shared" ref="R1564:R1627" si="292">IF(H1564="ALLUMINIO",0,IF(L1564&lt;5%,"si",0))</f>
        <v>#N/A</v>
      </c>
      <c r="S1564" s="279" t="e">
        <f>IF(R1564="si",0,IF(E1564="si",0,IF(J1564&gt;K1564,0,+K1564-J1564)))+IF('calcolo base'!P2256="SI",('Commissioni De Angeli'!K1564-'Commissioni De Angeli'!J1564),0)</f>
        <v>#N/A</v>
      </c>
      <c r="T1564" s="117" t="e">
        <f t="shared" ref="T1564:T1627" si="293">+(S1564)*D1564*40%</f>
        <v>#N/A</v>
      </c>
      <c r="U1564" s="272" t="e">
        <f>IF(Q1564=0,'calcolo base'!L4163,(T1564+Q1564))</f>
        <v>#N/A</v>
      </c>
      <c r="V1564" s="119"/>
      <c r="Z1564" s="118">
        <f t="shared" si="284"/>
        <v>0</v>
      </c>
      <c r="AA1564" s="118">
        <f t="shared" si="285"/>
        <v>0</v>
      </c>
    </row>
    <row r="1565" spans="2:27">
      <c r="B1565" s="47"/>
      <c r="C1565" s="35"/>
      <c r="D1565" s="53"/>
      <c r="E1565" s="53"/>
      <c r="F1565" s="48"/>
      <c r="G1565" s="243" t="e">
        <f>INDEX('calcolo base'!$B:$B, MATCH($A1565, 'calcolo base'!$A:$A, 0))</f>
        <v>#N/A</v>
      </c>
      <c r="H1565" s="54" t="e">
        <f t="shared" si="286"/>
        <v>#N/A</v>
      </c>
      <c r="I1565" s="259" t="e">
        <f>IF(  OR(      INDEX('calcolo base'!$D:$D, MATCH($A1565, 'calcolo base'!$A:$A, 0)) = 0,
      INDEX('calcolo base'!$D:$D, MATCH($A1565, 'calcolo base'!$A:$A, 0)) = ""   ),
   INDEX('calcolo base'!$K:$K, MATCH($A1565, 'calcolo base'!$A:$A, 0)),
   INDEX('calcolo base'!$J:$J, MATCH($A1565, 'calcolo base'!$A:$A, 0))
) / 1000</f>
        <v>#N/A</v>
      </c>
      <c r="J1565" s="50" t="e">
        <f t="shared" si="287"/>
        <v>#N/A</v>
      </c>
      <c r="K1565" s="50"/>
      <c r="L1565" s="267" t="e">
        <f>INDEX('calcolo base'!$H:$H, MATCH($A1565, 'calcolo base'!$A:$A, 0))</f>
        <v>#N/A</v>
      </c>
      <c r="M1565" s="50" t="e">
        <f t="shared" si="288"/>
        <v>#N/A</v>
      </c>
      <c r="N1565" s="50" t="e">
        <f t="shared" si="289"/>
        <v>#N/A</v>
      </c>
      <c r="O1565" s="50" t="e">
        <f t="shared" si="283"/>
        <v>#N/A</v>
      </c>
      <c r="P1565" s="50" t="e">
        <f t="shared" si="290"/>
        <v>#N/A</v>
      </c>
      <c r="Q1565" s="51" t="e">
        <f t="shared" si="291"/>
        <v>#N/A</v>
      </c>
      <c r="R1565" s="205" t="e">
        <f t="shared" si="292"/>
        <v>#N/A</v>
      </c>
      <c r="S1565" s="279" t="e">
        <f>IF(R1565="si",0,IF(E1565="si",0,IF(J1565&gt;K1565,0,+K1565-J1565)))+IF('calcolo base'!P2257="SI",('Commissioni De Angeli'!K1565-'Commissioni De Angeli'!J1565),0)</f>
        <v>#N/A</v>
      </c>
      <c r="T1565" s="117" t="e">
        <f t="shared" si="293"/>
        <v>#N/A</v>
      </c>
      <c r="U1565" s="272" t="e">
        <f>IF(Q1565=0,'calcolo base'!L4164,(T1565+Q1565))</f>
        <v>#N/A</v>
      </c>
      <c r="V1565" s="119"/>
      <c r="Z1565" s="118">
        <f t="shared" si="284"/>
        <v>0</v>
      </c>
      <c r="AA1565" s="118">
        <f t="shared" si="285"/>
        <v>0</v>
      </c>
    </row>
    <row r="1566" spans="2:27">
      <c r="B1566" s="47"/>
      <c r="C1566" s="35"/>
      <c r="D1566" s="53"/>
      <c r="E1566" s="53"/>
      <c r="F1566" s="48"/>
      <c r="G1566" s="243" t="e">
        <f>INDEX('calcolo base'!$B:$B, MATCH($A1566, 'calcolo base'!$A:$A, 0))</f>
        <v>#N/A</v>
      </c>
      <c r="H1566" s="54" t="e">
        <f t="shared" si="286"/>
        <v>#N/A</v>
      </c>
      <c r="I1566" s="259" t="e">
        <f>IF(  OR(      INDEX('calcolo base'!$D:$D, MATCH($A1566, 'calcolo base'!$A:$A, 0)) = 0,
      INDEX('calcolo base'!$D:$D, MATCH($A1566, 'calcolo base'!$A:$A, 0)) = ""   ),
   INDEX('calcolo base'!$K:$K, MATCH($A1566, 'calcolo base'!$A:$A, 0)),
   INDEX('calcolo base'!$J:$J, MATCH($A1566, 'calcolo base'!$A:$A, 0))
) / 1000</f>
        <v>#N/A</v>
      </c>
      <c r="J1566" s="50" t="e">
        <f t="shared" si="287"/>
        <v>#N/A</v>
      </c>
      <c r="K1566" s="50"/>
      <c r="L1566" s="267" t="e">
        <f>INDEX('calcolo base'!$H:$H, MATCH($A1566, 'calcolo base'!$A:$A, 0))</f>
        <v>#N/A</v>
      </c>
      <c r="M1566" s="50" t="e">
        <f t="shared" si="288"/>
        <v>#N/A</v>
      </c>
      <c r="N1566" s="50" t="e">
        <f t="shared" si="289"/>
        <v>#N/A</v>
      </c>
      <c r="O1566" s="50" t="e">
        <f t="shared" si="283"/>
        <v>#N/A</v>
      </c>
      <c r="P1566" s="50" t="e">
        <f t="shared" si="290"/>
        <v>#N/A</v>
      </c>
      <c r="Q1566" s="51" t="e">
        <f t="shared" si="291"/>
        <v>#N/A</v>
      </c>
      <c r="R1566" s="205" t="e">
        <f t="shared" si="292"/>
        <v>#N/A</v>
      </c>
      <c r="S1566" s="279" t="e">
        <f>IF(R1566="si",0,IF(E1566="si",0,IF(J1566&gt;K1566,0,+K1566-J1566)))+IF('calcolo base'!P2258="SI",('Commissioni De Angeli'!K1566-'Commissioni De Angeli'!J1566),0)</f>
        <v>#N/A</v>
      </c>
      <c r="T1566" s="117" t="e">
        <f t="shared" si="293"/>
        <v>#N/A</v>
      </c>
      <c r="U1566" s="272" t="e">
        <f>IF(Q1566=0,'calcolo base'!L4165,(T1566+Q1566))</f>
        <v>#N/A</v>
      </c>
      <c r="V1566" s="119"/>
      <c r="Z1566" s="118">
        <f t="shared" si="284"/>
        <v>0</v>
      </c>
      <c r="AA1566" s="118">
        <f t="shared" si="285"/>
        <v>0</v>
      </c>
    </row>
    <row r="1567" spans="2:27">
      <c r="B1567" s="47"/>
      <c r="C1567" s="35"/>
      <c r="D1567" s="53"/>
      <c r="E1567" s="53"/>
      <c r="F1567" s="48"/>
      <c r="G1567" s="243" t="e">
        <f>INDEX('calcolo base'!$B:$B, MATCH($A1567, 'calcolo base'!$A:$A, 0))</f>
        <v>#N/A</v>
      </c>
      <c r="H1567" s="54" t="e">
        <f t="shared" si="286"/>
        <v>#N/A</v>
      </c>
      <c r="I1567" s="259" t="e">
        <f>IF(  OR(      INDEX('calcolo base'!$D:$D, MATCH($A1567, 'calcolo base'!$A:$A, 0)) = 0,
      INDEX('calcolo base'!$D:$D, MATCH($A1567, 'calcolo base'!$A:$A, 0)) = ""   ),
   INDEX('calcolo base'!$K:$K, MATCH($A1567, 'calcolo base'!$A:$A, 0)),
   INDEX('calcolo base'!$J:$J, MATCH($A1567, 'calcolo base'!$A:$A, 0))
) / 1000</f>
        <v>#N/A</v>
      </c>
      <c r="J1567" s="50" t="e">
        <f t="shared" si="287"/>
        <v>#N/A</v>
      </c>
      <c r="K1567" s="50"/>
      <c r="L1567" s="267" t="e">
        <f>INDEX('calcolo base'!$H:$H, MATCH($A1567, 'calcolo base'!$A:$A, 0))</f>
        <v>#N/A</v>
      </c>
      <c r="M1567" s="50" t="e">
        <f t="shared" si="288"/>
        <v>#N/A</v>
      </c>
      <c r="N1567" s="50" t="e">
        <f t="shared" si="289"/>
        <v>#N/A</v>
      </c>
      <c r="O1567" s="50" t="e">
        <f t="shared" si="283"/>
        <v>#N/A</v>
      </c>
      <c r="P1567" s="50" t="e">
        <f t="shared" si="290"/>
        <v>#N/A</v>
      </c>
      <c r="Q1567" s="51" t="e">
        <f t="shared" si="291"/>
        <v>#N/A</v>
      </c>
      <c r="R1567" s="205" t="e">
        <f t="shared" si="292"/>
        <v>#N/A</v>
      </c>
      <c r="S1567" s="279" t="e">
        <f>IF(R1567="si",0,IF(E1567="si",0,IF(J1567&gt;K1567,0,+K1567-J1567)))+IF('calcolo base'!P2259="SI",('Commissioni De Angeli'!K1567-'Commissioni De Angeli'!J1567),0)</f>
        <v>#N/A</v>
      </c>
      <c r="T1567" s="117" t="e">
        <f t="shared" si="293"/>
        <v>#N/A</v>
      </c>
      <c r="U1567" s="272" t="e">
        <f>IF(Q1567=0,'calcolo base'!L4166,(T1567+Q1567))</f>
        <v>#N/A</v>
      </c>
      <c r="V1567" s="119"/>
      <c r="Z1567" s="118">
        <f t="shared" si="284"/>
        <v>0</v>
      </c>
      <c r="AA1567" s="118">
        <f t="shared" si="285"/>
        <v>0</v>
      </c>
    </row>
    <row r="1568" spans="2:27">
      <c r="B1568" s="47"/>
      <c r="C1568" s="35"/>
      <c r="D1568" s="53"/>
      <c r="E1568" s="53"/>
      <c r="F1568" s="48"/>
      <c r="G1568" s="243" t="e">
        <f>INDEX('calcolo base'!$B:$B, MATCH($A1568, 'calcolo base'!$A:$A, 0))</f>
        <v>#N/A</v>
      </c>
      <c r="H1568" s="54" t="e">
        <f t="shared" si="286"/>
        <v>#N/A</v>
      </c>
      <c r="I1568" s="259" t="e">
        <f>IF(  OR(      INDEX('calcolo base'!$D:$D, MATCH($A1568, 'calcolo base'!$A:$A, 0)) = 0,
      INDEX('calcolo base'!$D:$D, MATCH($A1568, 'calcolo base'!$A:$A, 0)) = ""   ),
   INDEX('calcolo base'!$K:$K, MATCH($A1568, 'calcolo base'!$A:$A, 0)),
   INDEX('calcolo base'!$J:$J, MATCH($A1568, 'calcolo base'!$A:$A, 0))
) / 1000</f>
        <v>#N/A</v>
      </c>
      <c r="J1568" s="50" t="e">
        <f t="shared" si="287"/>
        <v>#N/A</v>
      </c>
      <c r="K1568" s="50"/>
      <c r="L1568" s="267" t="e">
        <f>INDEX('calcolo base'!$H:$H, MATCH($A1568, 'calcolo base'!$A:$A, 0))</f>
        <v>#N/A</v>
      </c>
      <c r="M1568" s="50" t="e">
        <f t="shared" si="288"/>
        <v>#N/A</v>
      </c>
      <c r="N1568" s="50" t="e">
        <f t="shared" si="289"/>
        <v>#N/A</v>
      </c>
      <c r="O1568" s="50" t="e">
        <f t="shared" si="283"/>
        <v>#N/A</v>
      </c>
      <c r="P1568" s="50" t="e">
        <f t="shared" si="290"/>
        <v>#N/A</v>
      </c>
      <c r="Q1568" s="51" t="e">
        <f t="shared" si="291"/>
        <v>#N/A</v>
      </c>
      <c r="R1568" s="205" t="e">
        <f t="shared" si="292"/>
        <v>#N/A</v>
      </c>
      <c r="S1568" s="279" t="e">
        <f>IF(R1568="si",0,IF(E1568="si",0,IF(J1568&gt;K1568,0,+K1568-J1568)))+IF('calcolo base'!P2260="SI",('Commissioni De Angeli'!K1568-'Commissioni De Angeli'!J1568),0)</f>
        <v>#N/A</v>
      </c>
      <c r="T1568" s="117" t="e">
        <f t="shared" si="293"/>
        <v>#N/A</v>
      </c>
      <c r="U1568" s="272" t="e">
        <f>IF(Q1568=0,'calcolo base'!L4167,(T1568+Q1568))</f>
        <v>#N/A</v>
      </c>
      <c r="V1568" s="119"/>
      <c r="Z1568" s="118">
        <f t="shared" si="284"/>
        <v>0</v>
      </c>
      <c r="AA1568" s="118">
        <f t="shared" si="285"/>
        <v>0</v>
      </c>
    </row>
    <row r="1569" spans="2:27">
      <c r="B1569" s="47"/>
      <c r="C1569" s="35"/>
      <c r="D1569" s="53"/>
      <c r="E1569" s="53"/>
      <c r="F1569" s="48"/>
      <c r="G1569" s="243" t="e">
        <f>INDEX('calcolo base'!$B:$B, MATCH($A1569, 'calcolo base'!$A:$A, 0))</f>
        <v>#N/A</v>
      </c>
      <c r="H1569" s="54" t="e">
        <f t="shared" si="286"/>
        <v>#N/A</v>
      </c>
      <c r="I1569" s="259" t="e">
        <f>IF(  OR(      INDEX('calcolo base'!$D:$D, MATCH($A1569, 'calcolo base'!$A:$A, 0)) = 0,
      INDEX('calcolo base'!$D:$D, MATCH($A1569, 'calcolo base'!$A:$A, 0)) = ""   ),
   INDEX('calcolo base'!$K:$K, MATCH($A1569, 'calcolo base'!$A:$A, 0)),
   INDEX('calcolo base'!$J:$J, MATCH($A1569, 'calcolo base'!$A:$A, 0))
) / 1000</f>
        <v>#N/A</v>
      </c>
      <c r="J1569" s="50" t="e">
        <f t="shared" si="287"/>
        <v>#N/A</v>
      </c>
      <c r="K1569" s="50"/>
      <c r="L1569" s="267" t="e">
        <f>INDEX('calcolo base'!$H:$H, MATCH($A1569, 'calcolo base'!$A:$A, 0))</f>
        <v>#N/A</v>
      </c>
      <c r="M1569" s="50" t="e">
        <f t="shared" si="288"/>
        <v>#N/A</v>
      </c>
      <c r="N1569" s="50" t="e">
        <f t="shared" si="289"/>
        <v>#N/A</v>
      </c>
      <c r="O1569" s="50" t="e">
        <f t="shared" si="283"/>
        <v>#N/A</v>
      </c>
      <c r="P1569" s="50" t="e">
        <f t="shared" si="290"/>
        <v>#N/A</v>
      </c>
      <c r="Q1569" s="51" t="e">
        <f t="shared" si="291"/>
        <v>#N/A</v>
      </c>
      <c r="R1569" s="205" t="e">
        <f t="shared" si="292"/>
        <v>#N/A</v>
      </c>
      <c r="S1569" s="279" t="e">
        <f>IF(R1569="si",0,IF(E1569="si",0,IF(J1569&gt;K1569,0,+K1569-J1569)))+IF('calcolo base'!P2261="SI",('Commissioni De Angeli'!K1569-'Commissioni De Angeli'!J1569),0)</f>
        <v>#N/A</v>
      </c>
      <c r="T1569" s="117" t="e">
        <f t="shared" si="293"/>
        <v>#N/A</v>
      </c>
      <c r="U1569" s="272" t="e">
        <f>IF(Q1569=0,'calcolo base'!L4168,(T1569+Q1569))</f>
        <v>#N/A</v>
      </c>
      <c r="V1569" s="119"/>
      <c r="Z1569" s="118">
        <f t="shared" si="284"/>
        <v>0</v>
      </c>
      <c r="AA1569" s="118">
        <f t="shared" si="285"/>
        <v>0</v>
      </c>
    </row>
    <row r="1570" spans="2:27">
      <c r="B1570" s="47"/>
      <c r="C1570" s="35"/>
      <c r="D1570" s="53"/>
      <c r="E1570" s="53"/>
      <c r="F1570" s="48"/>
      <c r="G1570" s="243" t="e">
        <f>INDEX('calcolo base'!$B:$B, MATCH($A1570, 'calcolo base'!$A:$A, 0))</f>
        <v>#N/A</v>
      </c>
      <c r="H1570" s="54" t="e">
        <f t="shared" si="286"/>
        <v>#N/A</v>
      </c>
      <c r="I1570" s="259" t="e">
        <f>IF(  OR(      INDEX('calcolo base'!$D:$D, MATCH($A1570, 'calcolo base'!$A:$A, 0)) = 0,
      INDEX('calcolo base'!$D:$D, MATCH($A1570, 'calcolo base'!$A:$A, 0)) = ""   ),
   INDEX('calcolo base'!$K:$K, MATCH($A1570, 'calcolo base'!$A:$A, 0)),
   INDEX('calcolo base'!$J:$J, MATCH($A1570, 'calcolo base'!$A:$A, 0))
) / 1000</f>
        <v>#N/A</v>
      </c>
      <c r="J1570" s="50" t="e">
        <f t="shared" si="287"/>
        <v>#N/A</v>
      </c>
      <c r="K1570" s="50"/>
      <c r="L1570" s="267" t="e">
        <f>INDEX('calcolo base'!$H:$H, MATCH($A1570, 'calcolo base'!$A:$A, 0))</f>
        <v>#N/A</v>
      </c>
      <c r="M1570" s="50" t="e">
        <f t="shared" si="288"/>
        <v>#N/A</v>
      </c>
      <c r="N1570" s="50" t="e">
        <f t="shared" si="289"/>
        <v>#N/A</v>
      </c>
      <c r="O1570" s="50" t="e">
        <f t="shared" si="283"/>
        <v>#N/A</v>
      </c>
      <c r="P1570" s="50" t="e">
        <f t="shared" si="290"/>
        <v>#N/A</v>
      </c>
      <c r="Q1570" s="51" t="e">
        <f t="shared" si="291"/>
        <v>#N/A</v>
      </c>
      <c r="R1570" s="205" t="e">
        <f t="shared" si="292"/>
        <v>#N/A</v>
      </c>
      <c r="S1570" s="279" t="e">
        <f>IF(R1570="si",0,IF(E1570="si",0,IF(J1570&gt;K1570,0,+K1570-J1570)))+IF('calcolo base'!P2262="SI",('Commissioni De Angeli'!K1570-'Commissioni De Angeli'!J1570),0)</f>
        <v>#N/A</v>
      </c>
      <c r="T1570" s="117" t="e">
        <f t="shared" si="293"/>
        <v>#N/A</v>
      </c>
      <c r="U1570" s="272" t="e">
        <f>IF(Q1570=0,'calcolo base'!L4169,(T1570+Q1570))</f>
        <v>#N/A</v>
      </c>
      <c r="V1570" s="119"/>
      <c r="Z1570" s="118">
        <f t="shared" si="284"/>
        <v>0</v>
      </c>
      <c r="AA1570" s="118">
        <f t="shared" si="285"/>
        <v>0</v>
      </c>
    </row>
    <row r="1571" spans="2:27">
      <c r="B1571" s="47"/>
      <c r="C1571" s="35"/>
      <c r="D1571" s="53"/>
      <c r="E1571" s="53"/>
      <c r="F1571" s="48"/>
      <c r="G1571" s="243" t="e">
        <f>INDEX('calcolo base'!$B:$B, MATCH($A1571, 'calcolo base'!$A:$A, 0))</f>
        <v>#N/A</v>
      </c>
      <c r="H1571" s="54" t="e">
        <f t="shared" si="286"/>
        <v>#N/A</v>
      </c>
      <c r="I1571" s="259" t="e">
        <f>IF(  OR(      INDEX('calcolo base'!$D:$D, MATCH($A1571, 'calcolo base'!$A:$A, 0)) = 0,
      INDEX('calcolo base'!$D:$D, MATCH($A1571, 'calcolo base'!$A:$A, 0)) = ""   ),
   INDEX('calcolo base'!$K:$K, MATCH($A1571, 'calcolo base'!$A:$A, 0)),
   INDEX('calcolo base'!$J:$J, MATCH($A1571, 'calcolo base'!$A:$A, 0))
) / 1000</f>
        <v>#N/A</v>
      </c>
      <c r="J1571" s="50" t="e">
        <f t="shared" si="287"/>
        <v>#N/A</v>
      </c>
      <c r="K1571" s="50"/>
      <c r="L1571" s="267" t="e">
        <f>INDEX('calcolo base'!$H:$H, MATCH($A1571, 'calcolo base'!$A:$A, 0))</f>
        <v>#N/A</v>
      </c>
      <c r="M1571" s="50" t="e">
        <f t="shared" si="288"/>
        <v>#N/A</v>
      </c>
      <c r="N1571" s="50" t="e">
        <f t="shared" si="289"/>
        <v>#N/A</v>
      </c>
      <c r="O1571" s="50" t="e">
        <f t="shared" si="283"/>
        <v>#N/A</v>
      </c>
      <c r="P1571" s="50" t="e">
        <f t="shared" si="290"/>
        <v>#N/A</v>
      </c>
      <c r="Q1571" s="51" t="e">
        <f t="shared" si="291"/>
        <v>#N/A</v>
      </c>
      <c r="R1571" s="205" t="e">
        <f t="shared" si="292"/>
        <v>#N/A</v>
      </c>
      <c r="S1571" s="279" t="e">
        <f>IF(R1571="si",0,IF(E1571="si",0,IF(J1571&gt;K1571,0,+K1571-J1571)))+IF('calcolo base'!P2263="SI",('Commissioni De Angeli'!K1571-'Commissioni De Angeli'!J1571),0)</f>
        <v>#N/A</v>
      </c>
      <c r="T1571" s="117" t="e">
        <f t="shared" si="293"/>
        <v>#N/A</v>
      </c>
      <c r="U1571" s="272" t="e">
        <f>IF(Q1571=0,'calcolo base'!L4170,(T1571+Q1571))</f>
        <v>#N/A</v>
      </c>
      <c r="V1571" s="119"/>
      <c r="Z1571" s="118">
        <f t="shared" si="284"/>
        <v>0</v>
      </c>
      <c r="AA1571" s="118">
        <f t="shared" si="285"/>
        <v>0</v>
      </c>
    </row>
    <row r="1572" spans="2:27">
      <c r="B1572" s="47"/>
      <c r="C1572" s="35"/>
      <c r="D1572" s="53"/>
      <c r="E1572" s="53"/>
      <c r="F1572" s="48"/>
      <c r="G1572" s="243" t="e">
        <f>INDEX('calcolo base'!$B:$B, MATCH($A1572, 'calcolo base'!$A:$A, 0))</f>
        <v>#N/A</v>
      </c>
      <c r="H1572" s="54" t="e">
        <f t="shared" si="286"/>
        <v>#N/A</v>
      </c>
      <c r="I1572" s="259" t="e">
        <f>IF(  OR(      INDEX('calcolo base'!$D:$D, MATCH($A1572, 'calcolo base'!$A:$A, 0)) = 0,
      INDEX('calcolo base'!$D:$D, MATCH($A1572, 'calcolo base'!$A:$A, 0)) = ""   ),
   INDEX('calcolo base'!$K:$K, MATCH($A1572, 'calcolo base'!$A:$A, 0)),
   INDEX('calcolo base'!$J:$J, MATCH($A1572, 'calcolo base'!$A:$A, 0))
) / 1000</f>
        <v>#N/A</v>
      </c>
      <c r="J1572" s="50" t="e">
        <f t="shared" si="287"/>
        <v>#N/A</v>
      </c>
      <c r="K1572" s="50"/>
      <c r="L1572" s="267" t="e">
        <f>INDEX('calcolo base'!$H:$H, MATCH($A1572, 'calcolo base'!$A:$A, 0))</f>
        <v>#N/A</v>
      </c>
      <c r="M1572" s="50" t="e">
        <f t="shared" si="288"/>
        <v>#N/A</v>
      </c>
      <c r="N1572" s="50" t="e">
        <f t="shared" si="289"/>
        <v>#N/A</v>
      </c>
      <c r="O1572" s="50" t="e">
        <f t="shared" si="283"/>
        <v>#N/A</v>
      </c>
      <c r="P1572" s="50" t="e">
        <f t="shared" si="290"/>
        <v>#N/A</v>
      </c>
      <c r="Q1572" s="51" t="e">
        <f t="shared" si="291"/>
        <v>#N/A</v>
      </c>
      <c r="R1572" s="205" t="e">
        <f t="shared" si="292"/>
        <v>#N/A</v>
      </c>
      <c r="S1572" s="279" t="e">
        <f>IF(R1572="si",0,IF(E1572="si",0,IF(J1572&gt;K1572,0,+K1572-J1572)))+IF('calcolo base'!P2264="SI",('Commissioni De Angeli'!K1572-'Commissioni De Angeli'!J1572),0)</f>
        <v>#N/A</v>
      </c>
      <c r="T1572" s="117" t="e">
        <f t="shared" si="293"/>
        <v>#N/A</v>
      </c>
      <c r="U1572" s="272" t="e">
        <f>IF(Q1572=0,'calcolo base'!L4171,(T1572+Q1572))</f>
        <v>#N/A</v>
      </c>
      <c r="V1572" s="119"/>
      <c r="Z1572" s="118">
        <f t="shared" si="284"/>
        <v>0</v>
      </c>
      <c r="AA1572" s="118">
        <f t="shared" si="285"/>
        <v>0</v>
      </c>
    </row>
    <row r="1573" spans="2:27">
      <c r="B1573" s="47"/>
      <c r="C1573" s="35"/>
      <c r="D1573" s="53"/>
      <c r="E1573" s="53"/>
      <c r="F1573" s="48"/>
      <c r="G1573" s="243" t="e">
        <f>INDEX('calcolo base'!$B:$B, MATCH($A1573, 'calcolo base'!$A:$A, 0))</f>
        <v>#N/A</v>
      </c>
      <c r="H1573" s="54" t="e">
        <f t="shared" si="286"/>
        <v>#N/A</v>
      </c>
      <c r="I1573" s="259" t="e">
        <f>IF(  OR(      INDEX('calcolo base'!$D:$D, MATCH($A1573, 'calcolo base'!$A:$A, 0)) = 0,
      INDEX('calcolo base'!$D:$D, MATCH($A1573, 'calcolo base'!$A:$A, 0)) = ""   ),
   INDEX('calcolo base'!$K:$K, MATCH($A1573, 'calcolo base'!$A:$A, 0)),
   INDEX('calcolo base'!$J:$J, MATCH($A1573, 'calcolo base'!$A:$A, 0))
) / 1000</f>
        <v>#N/A</v>
      </c>
      <c r="J1573" s="50" t="e">
        <f t="shared" si="287"/>
        <v>#N/A</v>
      </c>
      <c r="K1573" s="50"/>
      <c r="L1573" s="267" t="e">
        <f>INDEX('calcolo base'!$H:$H, MATCH($A1573, 'calcolo base'!$A:$A, 0))</f>
        <v>#N/A</v>
      </c>
      <c r="M1573" s="50" t="e">
        <f t="shared" si="288"/>
        <v>#N/A</v>
      </c>
      <c r="N1573" s="50" t="e">
        <f t="shared" si="289"/>
        <v>#N/A</v>
      </c>
      <c r="O1573" s="50" t="e">
        <f t="shared" si="283"/>
        <v>#N/A</v>
      </c>
      <c r="P1573" s="50" t="e">
        <f t="shared" si="290"/>
        <v>#N/A</v>
      </c>
      <c r="Q1573" s="51" t="e">
        <f t="shared" si="291"/>
        <v>#N/A</v>
      </c>
      <c r="R1573" s="205" t="e">
        <f t="shared" si="292"/>
        <v>#N/A</v>
      </c>
      <c r="S1573" s="279" t="e">
        <f>IF(R1573="si",0,IF(E1573="si",0,IF(J1573&gt;K1573,0,+K1573-J1573)))+IF('calcolo base'!P2265="SI",('Commissioni De Angeli'!K1573-'Commissioni De Angeli'!J1573),0)</f>
        <v>#N/A</v>
      </c>
      <c r="T1573" s="117" t="e">
        <f t="shared" si="293"/>
        <v>#N/A</v>
      </c>
      <c r="U1573" s="272" t="e">
        <f>IF(Q1573=0,'calcolo base'!L4172,(T1573+Q1573))</f>
        <v>#N/A</v>
      </c>
      <c r="V1573" s="119"/>
      <c r="Z1573" s="118">
        <f t="shared" si="284"/>
        <v>0</v>
      </c>
      <c r="AA1573" s="118">
        <f t="shared" si="285"/>
        <v>0</v>
      </c>
    </row>
    <row r="1574" spans="2:27">
      <c r="B1574" s="47"/>
      <c r="C1574" s="35"/>
      <c r="D1574" s="53"/>
      <c r="E1574" s="53"/>
      <c r="F1574" s="48"/>
      <c r="G1574" s="243" t="e">
        <f>INDEX('calcolo base'!$B:$B, MATCH($A1574, 'calcolo base'!$A:$A, 0))</f>
        <v>#N/A</v>
      </c>
      <c r="H1574" s="54" t="e">
        <f t="shared" si="286"/>
        <v>#N/A</v>
      </c>
      <c r="I1574" s="259" t="e">
        <f>IF(  OR(      INDEX('calcolo base'!$D:$D, MATCH($A1574, 'calcolo base'!$A:$A, 0)) = 0,
      INDEX('calcolo base'!$D:$D, MATCH($A1574, 'calcolo base'!$A:$A, 0)) = ""   ),
   INDEX('calcolo base'!$K:$K, MATCH($A1574, 'calcolo base'!$A:$A, 0)),
   INDEX('calcolo base'!$J:$J, MATCH($A1574, 'calcolo base'!$A:$A, 0))
) / 1000</f>
        <v>#N/A</v>
      </c>
      <c r="J1574" s="50" t="e">
        <f t="shared" si="287"/>
        <v>#N/A</v>
      </c>
      <c r="K1574" s="50"/>
      <c r="L1574" s="267" t="e">
        <f>INDEX('calcolo base'!$H:$H, MATCH($A1574, 'calcolo base'!$A:$A, 0))</f>
        <v>#N/A</v>
      </c>
      <c r="M1574" s="50" t="e">
        <f t="shared" si="288"/>
        <v>#N/A</v>
      </c>
      <c r="N1574" s="50" t="e">
        <f t="shared" si="289"/>
        <v>#N/A</v>
      </c>
      <c r="O1574" s="50" t="e">
        <f t="shared" si="283"/>
        <v>#N/A</v>
      </c>
      <c r="P1574" s="50" t="e">
        <f t="shared" si="290"/>
        <v>#N/A</v>
      </c>
      <c r="Q1574" s="51" t="e">
        <f t="shared" si="291"/>
        <v>#N/A</v>
      </c>
      <c r="R1574" s="205" t="e">
        <f t="shared" si="292"/>
        <v>#N/A</v>
      </c>
      <c r="S1574" s="279" t="e">
        <f>IF(R1574="si",0,IF(E1574="si",0,IF(J1574&gt;K1574,0,+K1574-J1574)))+IF('calcolo base'!P2266="SI",('Commissioni De Angeli'!K1574-'Commissioni De Angeli'!J1574),0)</f>
        <v>#N/A</v>
      </c>
      <c r="T1574" s="117" t="e">
        <f t="shared" si="293"/>
        <v>#N/A</v>
      </c>
      <c r="U1574" s="272" t="e">
        <f>IF(Q1574=0,'calcolo base'!L4173,(T1574+Q1574))</f>
        <v>#N/A</v>
      </c>
      <c r="V1574" s="119"/>
      <c r="Z1574" s="118">
        <f t="shared" si="284"/>
        <v>0</v>
      </c>
      <c r="AA1574" s="118">
        <f t="shared" si="285"/>
        <v>0</v>
      </c>
    </row>
    <row r="1575" spans="2:27">
      <c r="B1575" s="47"/>
      <c r="C1575" s="35"/>
      <c r="D1575" s="53"/>
      <c r="E1575" s="53"/>
      <c r="F1575" s="48"/>
      <c r="G1575" s="243" t="e">
        <f>INDEX('calcolo base'!$B:$B, MATCH($A1575, 'calcolo base'!$A:$A, 0))</f>
        <v>#N/A</v>
      </c>
      <c r="H1575" s="54" t="e">
        <f t="shared" si="286"/>
        <v>#N/A</v>
      </c>
      <c r="I1575" s="259" t="e">
        <f>IF(  OR(      INDEX('calcolo base'!$D:$D, MATCH($A1575, 'calcolo base'!$A:$A, 0)) = 0,
      INDEX('calcolo base'!$D:$D, MATCH($A1575, 'calcolo base'!$A:$A, 0)) = ""   ),
   INDEX('calcolo base'!$K:$K, MATCH($A1575, 'calcolo base'!$A:$A, 0)),
   INDEX('calcolo base'!$J:$J, MATCH($A1575, 'calcolo base'!$A:$A, 0))
) / 1000</f>
        <v>#N/A</v>
      </c>
      <c r="J1575" s="50" t="e">
        <f t="shared" si="287"/>
        <v>#N/A</v>
      </c>
      <c r="K1575" s="50"/>
      <c r="L1575" s="267" t="e">
        <f>INDEX('calcolo base'!$H:$H, MATCH($A1575, 'calcolo base'!$A:$A, 0))</f>
        <v>#N/A</v>
      </c>
      <c r="M1575" s="50" t="e">
        <f t="shared" si="288"/>
        <v>#N/A</v>
      </c>
      <c r="N1575" s="50" t="e">
        <f t="shared" si="289"/>
        <v>#N/A</v>
      </c>
      <c r="O1575" s="50" t="e">
        <f t="shared" si="283"/>
        <v>#N/A</v>
      </c>
      <c r="P1575" s="50" t="e">
        <f t="shared" si="290"/>
        <v>#N/A</v>
      </c>
      <c r="Q1575" s="51" t="e">
        <f t="shared" si="291"/>
        <v>#N/A</v>
      </c>
      <c r="R1575" s="205" t="e">
        <f t="shared" si="292"/>
        <v>#N/A</v>
      </c>
      <c r="S1575" s="279" t="e">
        <f>IF(R1575="si",0,IF(E1575="si",0,IF(J1575&gt;K1575,0,+K1575-J1575)))+IF('calcolo base'!P2267="SI",('Commissioni De Angeli'!K1575-'Commissioni De Angeli'!J1575),0)</f>
        <v>#N/A</v>
      </c>
      <c r="T1575" s="117" t="e">
        <f t="shared" si="293"/>
        <v>#N/A</v>
      </c>
      <c r="U1575" s="272" t="e">
        <f>IF(Q1575=0,'calcolo base'!L4174,(T1575+Q1575))</f>
        <v>#N/A</v>
      </c>
      <c r="V1575" s="119"/>
      <c r="Z1575" s="118">
        <f t="shared" si="284"/>
        <v>0</v>
      </c>
      <c r="AA1575" s="118">
        <f t="shared" si="285"/>
        <v>0</v>
      </c>
    </row>
    <row r="1576" spans="2:27">
      <c r="B1576" s="47"/>
      <c r="C1576" s="35"/>
      <c r="D1576" s="53"/>
      <c r="E1576" s="53"/>
      <c r="F1576" s="48"/>
      <c r="G1576" s="243" t="e">
        <f>INDEX('calcolo base'!$B:$B, MATCH($A1576, 'calcolo base'!$A:$A, 0))</f>
        <v>#N/A</v>
      </c>
      <c r="H1576" s="54" t="e">
        <f t="shared" si="286"/>
        <v>#N/A</v>
      </c>
      <c r="I1576" s="259" t="e">
        <f>IF(  OR(      INDEX('calcolo base'!$D:$D, MATCH($A1576, 'calcolo base'!$A:$A, 0)) = 0,
      INDEX('calcolo base'!$D:$D, MATCH($A1576, 'calcolo base'!$A:$A, 0)) = ""   ),
   INDEX('calcolo base'!$K:$K, MATCH($A1576, 'calcolo base'!$A:$A, 0)),
   INDEX('calcolo base'!$J:$J, MATCH($A1576, 'calcolo base'!$A:$A, 0))
) / 1000</f>
        <v>#N/A</v>
      </c>
      <c r="J1576" s="50" t="e">
        <f t="shared" si="287"/>
        <v>#N/A</v>
      </c>
      <c r="K1576" s="50"/>
      <c r="L1576" s="267" t="e">
        <f>INDEX('calcolo base'!$H:$H, MATCH($A1576, 'calcolo base'!$A:$A, 0))</f>
        <v>#N/A</v>
      </c>
      <c r="M1576" s="50" t="e">
        <f t="shared" si="288"/>
        <v>#N/A</v>
      </c>
      <c r="N1576" s="50" t="e">
        <f t="shared" si="289"/>
        <v>#N/A</v>
      </c>
      <c r="O1576" s="50" t="e">
        <f t="shared" si="283"/>
        <v>#N/A</v>
      </c>
      <c r="P1576" s="50" t="e">
        <f t="shared" si="290"/>
        <v>#N/A</v>
      </c>
      <c r="Q1576" s="51" t="e">
        <f t="shared" si="291"/>
        <v>#N/A</v>
      </c>
      <c r="R1576" s="205" t="e">
        <f t="shared" si="292"/>
        <v>#N/A</v>
      </c>
      <c r="S1576" s="279" t="e">
        <f>IF(R1576="si",0,IF(E1576="si",0,IF(J1576&gt;K1576,0,+K1576-J1576)))+IF('calcolo base'!P2268="SI",('Commissioni De Angeli'!K1576-'Commissioni De Angeli'!J1576),0)</f>
        <v>#N/A</v>
      </c>
      <c r="T1576" s="117" t="e">
        <f t="shared" si="293"/>
        <v>#N/A</v>
      </c>
      <c r="U1576" s="272" t="e">
        <f>IF(Q1576=0,'calcolo base'!L4175,(T1576+Q1576))</f>
        <v>#N/A</v>
      </c>
      <c r="V1576" s="119"/>
      <c r="Z1576" s="118">
        <f t="shared" si="284"/>
        <v>0</v>
      </c>
      <c r="AA1576" s="118">
        <f t="shared" si="285"/>
        <v>0</v>
      </c>
    </row>
    <row r="1577" spans="2:27">
      <c r="B1577" s="47"/>
      <c r="C1577" s="35"/>
      <c r="D1577" s="53"/>
      <c r="E1577" s="53"/>
      <c r="F1577" s="48"/>
      <c r="G1577" s="243" t="e">
        <f>INDEX('calcolo base'!$B:$B, MATCH($A1577, 'calcolo base'!$A:$A, 0))</f>
        <v>#N/A</v>
      </c>
      <c r="H1577" s="54" t="e">
        <f t="shared" si="286"/>
        <v>#N/A</v>
      </c>
      <c r="I1577" s="259" t="e">
        <f>IF(  OR(      INDEX('calcolo base'!$D:$D, MATCH($A1577, 'calcolo base'!$A:$A, 0)) = 0,
      INDEX('calcolo base'!$D:$D, MATCH($A1577, 'calcolo base'!$A:$A, 0)) = ""   ),
   INDEX('calcolo base'!$K:$K, MATCH($A1577, 'calcolo base'!$A:$A, 0)),
   INDEX('calcolo base'!$J:$J, MATCH($A1577, 'calcolo base'!$A:$A, 0))
) / 1000</f>
        <v>#N/A</v>
      </c>
      <c r="J1577" s="50" t="e">
        <f t="shared" si="287"/>
        <v>#N/A</v>
      </c>
      <c r="K1577" s="50"/>
      <c r="L1577" s="267" t="e">
        <f>INDEX('calcolo base'!$H:$H, MATCH($A1577, 'calcolo base'!$A:$A, 0))</f>
        <v>#N/A</v>
      </c>
      <c r="M1577" s="50" t="e">
        <f t="shared" si="288"/>
        <v>#N/A</v>
      </c>
      <c r="N1577" s="50" t="e">
        <f t="shared" si="289"/>
        <v>#N/A</v>
      </c>
      <c r="O1577" s="50" t="e">
        <f t="shared" si="283"/>
        <v>#N/A</v>
      </c>
      <c r="P1577" s="50" t="e">
        <f t="shared" si="290"/>
        <v>#N/A</v>
      </c>
      <c r="Q1577" s="51" t="e">
        <f t="shared" si="291"/>
        <v>#N/A</v>
      </c>
      <c r="R1577" s="205" t="e">
        <f t="shared" si="292"/>
        <v>#N/A</v>
      </c>
      <c r="S1577" s="279" t="e">
        <f>IF(R1577="si",0,IF(E1577="si",0,IF(J1577&gt;K1577,0,+K1577-J1577)))+IF('calcolo base'!P2269="SI",('Commissioni De Angeli'!K1577-'Commissioni De Angeli'!J1577),0)</f>
        <v>#N/A</v>
      </c>
      <c r="T1577" s="117" t="e">
        <f t="shared" si="293"/>
        <v>#N/A</v>
      </c>
      <c r="U1577" s="272" t="e">
        <f>IF(Q1577=0,'calcolo base'!L4176,(T1577+Q1577))</f>
        <v>#N/A</v>
      </c>
      <c r="V1577" s="119"/>
      <c r="Z1577" s="118">
        <f t="shared" si="284"/>
        <v>0</v>
      </c>
      <c r="AA1577" s="118">
        <f t="shared" si="285"/>
        <v>0</v>
      </c>
    </row>
    <row r="1578" spans="2:27">
      <c r="B1578" s="47"/>
      <c r="C1578" s="35"/>
      <c r="D1578" s="53"/>
      <c r="E1578" s="53"/>
      <c r="F1578" s="48"/>
      <c r="G1578" s="243" t="e">
        <f>INDEX('calcolo base'!$B:$B, MATCH($A1578, 'calcolo base'!$A:$A, 0))</f>
        <v>#N/A</v>
      </c>
      <c r="H1578" s="54" t="e">
        <f t="shared" si="286"/>
        <v>#N/A</v>
      </c>
      <c r="I1578" s="259" t="e">
        <f>IF(  OR(      INDEX('calcolo base'!$D:$D, MATCH($A1578, 'calcolo base'!$A:$A, 0)) = 0,
      INDEX('calcolo base'!$D:$D, MATCH($A1578, 'calcolo base'!$A:$A, 0)) = ""   ),
   INDEX('calcolo base'!$K:$K, MATCH($A1578, 'calcolo base'!$A:$A, 0)),
   INDEX('calcolo base'!$J:$J, MATCH($A1578, 'calcolo base'!$A:$A, 0))
) / 1000</f>
        <v>#N/A</v>
      </c>
      <c r="J1578" s="50" t="e">
        <f t="shared" si="287"/>
        <v>#N/A</v>
      </c>
      <c r="K1578" s="50"/>
      <c r="L1578" s="267" t="e">
        <f>INDEX('calcolo base'!$H:$H, MATCH($A1578, 'calcolo base'!$A:$A, 0))</f>
        <v>#N/A</v>
      </c>
      <c r="M1578" s="50" t="e">
        <f t="shared" si="288"/>
        <v>#N/A</v>
      </c>
      <c r="N1578" s="50" t="e">
        <f t="shared" si="289"/>
        <v>#N/A</v>
      </c>
      <c r="O1578" s="50" t="e">
        <f t="shared" si="283"/>
        <v>#N/A</v>
      </c>
      <c r="P1578" s="50" t="e">
        <f t="shared" si="290"/>
        <v>#N/A</v>
      </c>
      <c r="Q1578" s="51" t="e">
        <f t="shared" si="291"/>
        <v>#N/A</v>
      </c>
      <c r="R1578" s="205" t="e">
        <f t="shared" si="292"/>
        <v>#N/A</v>
      </c>
      <c r="S1578" s="279" t="e">
        <f>IF(R1578="si",0,IF(E1578="si",0,IF(J1578&gt;K1578,0,+K1578-J1578)))+IF('calcolo base'!P2270="SI",('Commissioni De Angeli'!K1578-'Commissioni De Angeli'!J1578),0)</f>
        <v>#N/A</v>
      </c>
      <c r="T1578" s="117" t="e">
        <f t="shared" si="293"/>
        <v>#N/A</v>
      </c>
      <c r="U1578" s="272" t="e">
        <f>IF(Q1578=0,'calcolo base'!L4177,(T1578+Q1578))</f>
        <v>#N/A</v>
      </c>
      <c r="V1578" s="119"/>
      <c r="Z1578" s="118">
        <f t="shared" si="284"/>
        <v>0</v>
      </c>
      <c r="AA1578" s="118">
        <f t="shared" si="285"/>
        <v>0</v>
      </c>
    </row>
    <row r="1579" spans="2:27">
      <c r="B1579" s="47"/>
      <c r="C1579" s="35"/>
      <c r="D1579" s="53"/>
      <c r="E1579" s="53"/>
      <c r="F1579" s="48"/>
      <c r="G1579" s="243" t="e">
        <f>INDEX('calcolo base'!$B:$B, MATCH($A1579, 'calcolo base'!$A:$A, 0))</f>
        <v>#N/A</v>
      </c>
      <c r="H1579" s="54" t="e">
        <f t="shared" si="286"/>
        <v>#N/A</v>
      </c>
      <c r="I1579" s="259" t="e">
        <f>IF(  OR(      INDEX('calcolo base'!$D:$D, MATCH($A1579, 'calcolo base'!$A:$A, 0)) = 0,
      INDEX('calcolo base'!$D:$D, MATCH($A1579, 'calcolo base'!$A:$A, 0)) = ""   ),
   INDEX('calcolo base'!$K:$K, MATCH($A1579, 'calcolo base'!$A:$A, 0)),
   INDEX('calcolo base'!$J:$J, MATCH($A1579, 'calcolo base'!$A:$A, 0))
) / 1000</f>
        <v>#N/A</v>
      </c>
      <c r="J1579" s="50" t="e">
        <f t="shared" si="287"/>
        <v>#N/A</v>
      </c>
      <c r="K1579" s="50"/>
      <c r="L1579" s="267" t="e">
        <f>INDEX('calcolo base'!$H:$H, MATCH($A1579, 'calcolo base'!$A:$A, 0))</f>
        <v>#N/A</v>
      </c>
      <c r="M1579" s="50" t="e">
        <f t="shared" si="288"/>
        <v>#N/A</v>
      </c>
      <c r="N1579" s="50" t="e">
        <f t="shared" si="289"/>
        <v>#N/A</v>
      </c>
      <c r="O1579" s="50" t="e">
        <f t="shared" si="283"/>
        <v>#N/A</v>
      </c>
      <c r="P1579" s="50" t="e">
        <f t="shared" si="290"/>
        <v>#N/A</v>
      </c>
      <c r="Q1579" s="51" t="e">
        <f t="shared" si="291"/>
        <v>#N/A</v>
      </c>
      <c r="R1579" s="205" t="e">
        <f t="shared" si="292"/>
        <v>#N/A</v>
      </c>
      <c r="S1579" s="279" t="e">
        <f>IF(R1579="si",0,IF(E1579="si",0,IF(J1579&gt;K1579,0,+K1579-J1579)))+IF('calcolo base'!P2271="SI",('Commissioni De Angeli'!K1579-'Commissioni De Angeli'!J1579),0)</f>
        <v>#N/A</v>
      </c>
      <c r="T1579" s="117" t="e">
        <f t="shared" si="293"/>
        <v>#N/A</v>
      </c>
      <c r="U1579" s="272" t="e">
        <f>IF(Q1579=0,'calcolo base'!L4178,(T1579+Q1579))</f>
        <v>#N/A</v>
      </c>
      <c r="V1579" s="119"/>
      <c r="Z1579" s="118">
        <f t="shared" si="284"/>
        <v>0</v>
      </c>
      <c r="AA1579" s="118">
        <f t="shared" si="285"/>
        <v>0</v>
      </c>
    </row>
    <row r="1580" spans="2:27">
      <c r="B1580" s="47"/>
      <c r="C1580" s="35"/>
      <c r="D1580" s="53"/>
      <c r="E1580" s="53"/>
      <c r="F1580" s="48"/>
      <c r="G1580" s="243" t="e">
        <f>INDEX('calcolo base'!$B:$B, MATCH($A1580, 'calcolo base'!$A:$A, 0))</f>
        <v>#N/A</v>
      </c>
      <c r="H1580" s="54" t="e">
        <f t="shared" si="286"/>
        <v>#N/A</v>
      </c>
      <c r="I1580" s="259" t="e">
        <f>IF(  OR(      INDEX('calcolo base'!$D:$D, MATCH($A1580, 'calcolo base'!$A:$A, 0)) = 0,
      INDEX('calcolo base'!$D:$D, MATCH($A1580, 'calcolo base'!$A:$A, 0)) = ""   ),
   INDEX('calcolo base'!$K:$K, MATCH($A1580, 'calcolo base'!$A:$A, 0)),
   INDEX('calcolo base'!$J:$J, MATCH($A1580, 'calcolo base'!$A:$A, 0))
) / 1000</f>
        <v>#N/A</v>
      </c>
      <c r="J1580" s="50" t="e">
        <f t="shared" si="287"/>
        <v>#N/A</v>
      </c>
      <c r="K1580" s="50"/>
      <c r="L1580" s="267" t="e">
        <f>INDEX('calcolo base'!$H:$H, MATCH($A1580, 'calcolo base'!$A:$A, 0))</f>
        <v>#N/A</v>
      </c>
      <c r="M1580" s="50" t="e">
        <f t="shared" si="288"/>
        <v>#N/A</v>
      </c>
      <c r="N1580" s="50" t="e">
        <f t="shared" si="289"/>
        <v>#N/A</v>
      </c>
      <c r="O1580" s="50" t="e">
        <f t="shared" si="283"/>
        <v>#N/A</v>
      </c>
      <c r="P1580" s="50" t="e">
        <f t="shared" si="290"/>
        <v>#N/A</v>
      </c>
      <c r="Q1580" s="51" t="e">
        <f t="shared" si="291"/>
        <v>#N/A</v>
      </c>
      <c r="R1580" s="205" t="e">
        <f t="shared" si="292"/>
        <v>#N/A</v>
      </c>
      <c r="S1580" s="279" t="e">
        <f>IF(R1580="si",0,IF(E1580="si",0,IF(J1580&gt;K1580,0,+K1580-J1580)))+IF('calcolo base'!P2272="SI",('Commissioni De Angeli'!K1580-'Commissioni De Angeli'!J1580),0)</f>
        <v>#N/A</v>
      </c>
      <c r="T1580" s="117" t="e">
        <f t="shared" si="293"/>
        <v>#N/A</v>
      </c>
      <c r="U1580" s="272" t="e">
        <f>IF(Q1580=0,'calcolo base'!L4179,(T1580+Q1580))</f>
        <v>#N/A</v>
      </c>
      <c r="V1580" s="119"/>
      <c r="Z1580" s="118">
        <f t="shared" si="284"/>
        <v>0</v>
      </c>
      <c r="AA1580" s="118">
        <f t="shared" si="285"/>
        <v>0</v>
      </c>
    </row>
    <row r="1581" spans="2:27">
      <c r="B1581" s="47"/>
      <c r="C1581" s="35"/>
      <c r="D1581" s="53"/>
      <c r="E1581" s="53"/>
      <c r="F1581" s="48"/>
      <c r="G1581" s="243" t="e">
        <f>INDEX('calcolo base'!$B:$B, MATCH($A1581, 'calcolo base'!$A:$A, 0))</f>
        <v>#N/A</v>
      </c>
      <c r="H1581" s="54" t="e">
        <f t="shared" si="286"/>
        <v>#N/A</v>
      </c>
      <c r="I1581" s="259" t="e">
        <f>IF(  OR(      INDEX('calcolo base'!$D:$D, MATCH($A1581, 'calcolo base'!$A:$A, 0)) = 0,
      INDEX('calcolo base'!$D:$D, MATCH($A1581, 'calcolo base'!$A:$A, 0)) = ""   ),
   INDEX('calcolo base'!$K:$K, MATCH($A1581, 'calcolo base'!$A:$A, 0)),
   INDEX('calcolo base'!$J:$J, MATCH($A1581, 'calcolo base'!$A:$A, 0))
) / 1000</f>
        <v>#N/A</v>
      </c>
      <c r="J1581" s="50" t="e">
        <f t="shared" si="287"/>
        <v>#N/A</v>
      </c>
      <c r="K1581" s="50"/>
      <c r="L1581" s="267" t="e">
        <f>INDEX('calcolo base'!$H:$H, MATCH($A1581, 'calcolo base'!$A:$A, 0))</f>
        <v>#N/A</v>
      </c>
      <c r="M1581" s="50" t="e">
        <f t="shared" si="288"/>
        <v>#N/A</v>
      </c>
      <c r="N1581" s="50" t="e">
        <f t="shared" si="289"/>
        <v>#N/A</v>
      </c>
      <c r="O1581" s="50" t="e">
        <f t="shared" ref="O1581:O1638" si="294">IF($I1581=0,0,(IF($G1581="alluminio",($J1581)*3%,0)+IF($G1581="alluminio smaltato",($K1581)*3%,0)))</f>
        <v>#N/A</v>
      </c>
      <c r="P1581" s="50" t="e">
        <f t="shared" si="290"/>
        <v>#N/A</v>
      </c>
      <c r="Q1581" s="51" t="e">
        <f t="shared" si="291"/>
        <v>#N/A</v>
      </c>
      <c r="R1581" s="205" t="e">
        <f t="shared" si="292"/>
        <v>#N/A</v>
      </c>
      <c r="S1581" s="279" t="e">
        <f>IF(R1581="si",0,IF(E1581="si",0,IF(J1581&gt;K1581,0,+K1581-J1581)))+IF('calcolo base'!P2273="SI",('Commissioni De Angeli'!K1581-'Commissioni De Angeli'!J1581),0)</f>
        <v>#N/A</v>
      </c>
      <c r="T1581" s="117" t="e">
        <f t="shared" si="293"/>
        <v>#N/A</v>
      </c>
      <c r="U1581" s="272" t="e">
        <f>IF(Q1581=0,'calcolo base'!L4180,(T1581+Q1581))</f>
        <v>#N/A</v>
      </c>
      <c r="V1581" s="119"/>
      <c r="Z1581" s="118">
        <f t="shared" si="284"/>
        <v>0</v>
      </c>
      <c r="AA1581" s="118">
        <f t="shared" si="285"/>
        <v>0</v>
      </c>
    </row>
    <row r="1582" spans="2:27">
      <c r="B1582" s="47"/>
      <c r="C1582" s="35"/>
      <c r="D1582" s="53"/>
      <c r="E1582" s="53"/>
      <c r="F1582" s="48"/>
      <c r="G1582" s="243" t="e">
        <f>INDEX('calcolo base'!$B:$B, MATCH($A1582, 'calcolo base'!$A:$A, 0))</f>
        <v>#N/A</v>
      </c>
      <c r="H1582" s="54" t="e">
        <f t="shared" si="286"/>
        <v>#N/A</v>
      </c>
      <c r="I1582" s="259" t="e">
        <f>IF(  OR(      INDEX('calcolo base'!$D:$D, MATCH($A1582, 'calcolo base'!$A:$A, 0)) = 0,
      INDEX('calcolo base'!$D:$D, MATCH($A1582, 'calcolo base'!$A:$A, 0)) = ""   ),
   INDEX('calcolo base'!$K:$K, MATCH($A1582, 'calcolo base'!$A:$A, 0)),
   INDEX('calcolo base'!$J:$J, MATCH($A1582, 'calcolo base'!$A:$A, 0))
) / 1000</f>
        <v>#N/A</v>
      </c>
      <c r="J1582" s="50" t="e">
        <f t="shared" si="287"/>
        <v>#N/A</v>
      </c>
      <c r="K1582" s="50"/>
      <c r="L1582" s="267" t="e">
        <f>INDEX('calcolo base'!$H:$H, MATCH($A1582, 'calcolo base'!$A:$A, 0))</f>
        <v>#N/A</v>
      </c>
      <c r="M1582" s="50" t="e">
        <f t="shared" si="288"/>
        <v>#N/A</v>
      </c>
      <c r="N1582" s="50" t="e">
        <f t="shared" si="289"/>
        <v>#N/A</v>
      </c>
      <c r="O1582" s="50" t="e">
        <f t="shared" si="294"/>
        <v>#N/A</v>
      </c>
      <c r="P1582" s="50" t="e">
        <f t="shared" si="290"/>
        <v>#N/A</v>
      </c>
      <c r="Q1582" s="51" t="e">
        <f t="shared" si="291"/>
        <v>#N/A</v>
      </c>
      <c r="R1582" s="205" t="e">
        <f t="shared" si="292"/>
        <v>#N/A</v>
      </c>
      <c r="S1582" s="279" t="e">
        <f>IF(R1582="si",0,IF(E1582="si",0,IF(J1582&gt;K1582,0,+K1582-J1582)))+IF('calcolo base'!P2274="SI",('Commissioni De Angeli'!K1582-'Commissioni De Angeli'!J1582),0)</f>
        <v>#N/A</v>
      </c>
      <c r="T1582" s="117" t="e">
        <f t="shared" si="293"/>
        <v>#N/A</v>
      </c>
      <c r="U1582" s="272" t="e">
        <f>IF(Q1582=0,'calcolo base'!L4181,(T1582+Q1582))</f>
        <v>#N/A</v>
      </c>
      <c r="V1582" s="119"/>
      <c r="Z1582" s="118">
        <f t="shared" si="284"/>
        <v>0</v>
      </c>
      <c r="AA1582" s="118">
        <f t="shared" si="285"/>
        <v>0</v>
      </c>
    </row>
    <row r="1583" spans="2:27">
      <c r="B1583" s="47"/>
      <c r="C1583" s="35"/>
      <c r="D1583" s="53"/>
      <c r="E1583" s="53"/>
      <c r="F1583" s="48"/>
      <c r="G1583" s="243" t="e">
        <f>INDEX('calcolo base'!$B:$B, MATCH($A1583, 'calcolo base'!$A:$A, 0))</f>
        <v>#N/A</v>
      </c>
      <c r="H1583" s="54" t="e">
        <f t="shared" si="286"/>
        <v>#N/A</v>
      </c>
      <c r="I1583" s="259" t="e">
        <f>IF(  OR(      INDEX('calcolo base'!$D:$D, MATCH($A1583, 'calcolo base'!$A:$A, 0)) = 0,
      INDEX('calcolo base'!$D:$D, MATCH($A1583, 'calcolo base'!$A:$A, 0)) = ""   ),
   INDEX('calcolo base'!$K:$K, MATCH($A1583, 'calcolo base'!$A:$A, 0)),
   INDEX('calcolo base'!$J:$J, MATCH($A1583, 'calcolo base'!$A:$A, 0))
) / 1000</f>
        <v>#N/A</v>
      </c>
      <c r="J1583" s="50" t="e">
        <f t="shared" si="287"/>
        <v>#N/A</v>
      </c>
      <c r="K1583" s="50"/>
      <c r="L1583" s="267" t="e">
        <f>INDEX('calcolo base'!$H:$H, MATCH($A1583, 'calcolo base'!$A:$A, 0))</f>
        <v>#N/A</v>
      </c>
      <c r="M1583" s="50" t="e">
        <f t="shared" si="288"/>
        <v>#N/A</v>
      </c>
      <c r="N1583" s="50" t="e">
        <f t="shared" si="289"/>
        <v>#N/A</v>
      </c>
      <c r="O1583" s="50" t="e">
        <f t="shared" si="294"/>
        <v>#N/A</v>
      </c>
      <c r="P1583" s="50" t="e">
        <f t="shared" si="290"/>
        <v>#N/A</v>
      </c>
      <c r="Q1583" s="51" t="e">
        <f t="shared" si="291"/>
        <v>#N/A</v>
      </c>
      <c r="R1583" s="205" t="e">
        <f t="shared" si="292"/>
        <v>#N/A</v>
      </c>
      <c r="S1583" s="279" t="e">
        <f>IF(R1583="si",0,IF(E1583="si",0,IF(J1583&gt;K1583,0,+K1583-J1583)))+IF('calcolo base'!P2275="SI",('Commissioni De Angeli'!K1583-'Commissioni De Angeli'!J1583),0)</f>
        <v>#N/A</v>
      </c>
      <c r="T1583" s="117" t="e">
        <f t="shared" si="293"/>
        <v>#N/A</v>
      </c>
      <c r="U1583" s="272" t="e">
        <f>IF(Q1583=0,'calcolo base'!L4182,(T1583+Q1583))</f>
        <v>#N/A</v>
      </c>
      <c r="V1583" s="119"/>
      <c r="Z1583" s="118">
        <f t="shared" si="284"/>
        <v>0</v>
      </c>
      <c r="AA1583" s="118">
        <f t="shared" si="285"/>
        <v>0</v>
      </c>
    </row>
    <row r="1584" spans="2:27">
      <c r="B1584" s="47"/>
      <c r="C1584" s="35"/>
      <c r="D1584" s="53"/>
      <c r="E1584" s="53"/>
      <c r="F1584" s="48"/>
      <c r="G1584" s="243" t="e">
        <f>INDEX('calcolo base'!$B:$B, MATCH($A1584, 'calcolo base'!$A:$A, 0))</f>
        <v>#N/A</v>
      </c>
      <c r="H1584" s="54" t="e">
        <f t="shared" si="286"/>
        <v>#N/A</v>
      </c>
      <c r="I1584" s="259" t="e">
        <f>IF(  OR(      INDEX('calcolo base'!$D:$D, MATCH($A1584, 'calcolo base'!$A:$A, 0)) = 0,
      INDEX('calcolo base'!$D:$D, MATCH($A1584, 'calcolo base'!$A:$A, 0)) = ""   ),
   INDEX('calcolo base'!$K:$K, MATCH($A1584, 'calcolo base'!$A:$A, 0)),
   INDEX('calcolo base'!$J:$J, MATCH($A1584, 'calcolo base'!$A:$A, 0))
) / 1000</f>
        <v>#N/A</v>
      </c>
      <c r="J1584" s="50" t="e">
        <f t="shared" si="287"/>
        <v>#N/A</v>
      </c>
      <c r="K1584" s="50"/>
      <c r="L1584" s="267" t="e">
        <f>INDEX('calcolo base'!$H:$H, MATCH($A1584, 'calcolo base'!$A:$A, 0))</f>
        <v>#N/A</v>
      </c>
      <c r="M1584" s="50" t="e">
        <f t="shared" si="288"/>
        <v>#N/A</v>
      </c>
      <c r="N1584" s="50" t="e">
        <f t="shared" si="289"/>
        <v>#N/A</v>
      </c>
      <c r="O1584" s="50" t="e">
        <f t="shared" si="294"/>
        <v>#N/A</v>
      </c>
      <c r="P1584" s="50" t="e">
        <f t="shared" si="290"/>
        <v>#N/A</v>
      </c>
      <c r="Q1584" s="51" t="e">
        <f t="shared" si="291"/>
        <v>#N/A</v>
      </c>
      <c r="R1584" s="205" t="e">
        <f t="shared" si="292"/>
        <v>#N/A</v>
      </c>
      <c r="S1584" s="279" t="e">
        <f>IF(R1584="si",0,IF(E1584="si",0,IF(J1584&gt;K1584,0,+K1584-J1584)))+IF('calcolo base'!P2276="SI",('Commissioni De Angeli'!K1584-'Commissioni De Angeli'!J1584),0)</f>
        <v>#N/A</v>
      </c>
      <c r="T1584" s="117" t="e">
        <f t="shared" si="293"/>
        <v>#N/A</v>
      </c>
      <c r="U1584" s="272" t="e">
        <f>IF(Q1584=0,'calcolo base'!L4183,(T1584+Q1584))</f>
        <v>#N/A</v>
      </c>
      <c r="V1584" s="119"/>
      <c r="Z1584" s="118">
        <f t="shared" si="284"/>
        <v>0</v>
      </c>
      <c r="AA1584" s="118">
        <f t="shared" si="285"/>
        <v>0</v>
      </c>
    </row>
    <row r="1585" spans="2:27">
      <c r="B1585" s="47"/>
      <c r="C1585" s="35"/>
      <c r="D1585" s="53"/>
      <c r="E1585" s="53"/>
      <c r="F1585" s="48"/>
      <c r="G1585" s="243" t="e">
        <f>INDEX('calcolo base'!$B:$B, MATCH($A1585, 'calcolo base'!$A:$A, 0))</f>
        <v>#N/A</v>
      </c>
      <c r="H1585" s="54" t="e">
        <f t="shared" si="286"/>
        <v>#N/A</v>
      </c>
      <c r="I1585" s="259" t="e">
        <f>IF(  OR(      INDEX('calcolo base'!$D:$D, MATCH($A1585, 'calcolo base'!$A:$A, 0)) = 0,
      INDEX('calcolo base'!$D:$D, MATCH($A1585, 'calcolo base'!$A:$A, 0)) = ""   ),
   INDEX('calcolo base'!$K:$K, MATCH($A1585, 'calcolo base'!$A:$A, 0)),
   INDEX('calcolo base'!$J:$J, MATCH($A1585, 'calcolo base'!$A:$A, 0))
) / 1000</f>
        <v>#N/A</v>
      </c>
      <c r="J1585" s="50" t="e">
        <f t="shared" si="287"/>
        <v>#N/A</v>
      </c>
      <c r="K1585" s="50"/>
      <c r="L1585" s="267" t="e">
        <f>INDEX('calcolo base'!$H:$H, MATCH($A1585, 'calcolo base'!$A:$A, 0))</f>
        <v>#N/A</v>
      </c>
      <c r="M1585" s="50" t="e">
        <f t="shared" si="288"/>
        <v>#N/A</v>
      </c>
      <c r="N1585" s="50" t="e">
        <f t="shared" si="289"/>
        <v>#N/A</v>
      </c>
      <c r="O1585" s="50" t="e">
        <f t="shared" si="294"/>
        <v>#N/A</v>
      </c>
      <c r="P1585" s="50" t="e">
        <f t="shared" si="290"/>
        <v>#N/A</v>
      </c>
      <c r="Q1585" s="51" t="e">
        <f t="shared" si="291"/>
        <v>#N/A</v>
      </c>
      <c r="R1585" s="205" t="e">
        <f t="shared" si="292"/>
        <v>#N/A</v>
      </c>
      <c r="S1585" s="279" t="e">
        <f>IF(R1585="si",0,IF(E1585="si",0,IF(J1585&gt;K1585,0,+K1585-J1585)))+IF('calcolo base'!P2277="SI",('Commissioni De Angeli'!K1585-'Commissioni De Angeli'!J1585),0)</f>
        <v>#N/A</v>
      </c>
      <c r="T1585" s="117" t="e">
        <f t="shared" si="293"/>
        <v>#N/A</v>
      </c>
      <c r="U1585" s="272" t="e">
        <f>IF(Q1585=0,'calcolo base'!L4184,(T1585+Q1585))</f>
        <v>#N/A</v>
      </c>
      <c r="V1585" s="119"/>
      <c r="Z1585" s="118">
        <f t="shared" si="284"/>
        <v>0</v>
      </c>
      <c r="AA1585" s="118">
        <f t="shared" si="285"/>
        <v>0</v>
      </c>
    </row>
    <row r="1586" spans="2:27">
      <c r="B1586" s="47"/>
      <c r="C1586" s="35"/>
      <c r="D1586" s="53"/>
      <c r="E1586" s="53"/>
      <c r="F1586" s="48"/>
      <c r="G1586" s="243" t="e">
        <f>INDEX('calcolo base'!$B:$B, MATCH($A1586, 'calcolo base'!$A:$A, 0))</f>
        <v>#N/A</v>
      </c>
      <c r="H1586" s="54" t="e">
        <f t="shared" si="286"/>
        <v>#N/A</v>
      </c>
      <c r="I1586" s="259" t="e">
        <f>IF(  OR(      INDEX('calcolo base'!$D:$D, MATCH($A1586, 'calcolo base'!$A:$A, 0)) = 0,
      INDEX('calcolo base'!$D:$D, MATCH($A1586, 'calcolo base'!$A:$A, 0)) = ""   ),
   INDEX('calcolo base'!$K:$K, MATCH($A1586, 'calcolo base'!$A:$A, 0)),
   INDEX('calcolo base'!$J:$J, MATCH($A1586, 'calcolo base'!$A:$A, 0))
) / 1000</f>
        <v>#N/A</v>
      </c>
      <c r="J1586" s="50" t="e">
        <f t="shared" si="287"/>
        <v>#N/A</v>
      </c>
      <c r="K1586" s="50"/>
      <c r="L1586" s="267" t="e">
        <f>INDEX('calcolo base'!$H:$H, MATCH($A1586, 'calcolo base'!$A:$A, 0))</f>
        <v>#N/A</v>
      </c>
      <c r="M1586" s="50" t="e">
        <f t="shared" si="288"/>
        <v>#N/A</v>
      </c>
      <c r="N1586" s="50" t="e">
        <f t="shared" si="289"/>
        <v>#N/A</v>
      </c>
      <c r="O1586" s="50" t="e">
        <f t="shared" si="294"/>
        <v>#N/A</v>
      </c>
      <c r="P1586" s="50" t="e">
        <f t="shared" si="290"/>
        <v>#N/A</v>
      </c>
      <c r="Q1586" s="51" t="e">
        <f t="shared" si="291"/>
        <v>#N/A</v>
      </c>
      <c r="R1586" s="205" t="e">
        <f t="shared" si="292"/>
        <v>#N/A</v>
      </c>
      <c r="S1586" s="279" t="e">
        <f>IF(R1586="si",0,IF(E1586="si",0,IF(J1586&gt;K1586,0,+K1586-J1586)))+IF('calcolo base'!P2278="SI",('Commissioni De Angeli'!K1586-'Commissioni De Angeli'!J1586),0)</f>
        <v>#N/A</v>
      </c>
      <c r="T1586" s="117" t="e">
        <f t="shared" si="293"/>
        <v>#N/A</v>
      </c>
      <c r="U1586" s="272" t="e">
        <f>IF(Q1586=0,'calcolo base'!L4185,(T1586+Q1586))</f>
        <v>#N/A</v>
      </c>
      <c r="V1586" s="119"/>
      <c r="Z1586" s="118">
        <f t="shared" si="284"/>
        <v>0</v>
      </c>
      <c r="AA1586" s="118">
        <f t="shared" si="285"/>
        <v>0</v>
      </c>
    </row>
    <row r="1587" spans="2:27">
      <c r="B1587" s="47"/>
      <c r="C1587" s="35"/>
      <c r="D1587" s="53"/>
      <c r="E1587" s="53"/>
      <c r="F1587" s="48"/>
      <c r="G1587" s="243" t="e">
        <f>INDEX('calcolo base'!$B:$B, MATCH($A1587, 'calcolo base'!$A:$A, 0))</f>
        <v>#N/A</v>
      </c>
      <c r="H1587" s="54" t="e">
        <f t="shared" si="286"/>
        <v>#N/A</v>
      </c>
      <c r="I1587" s="259" t="e">
        <f>IF(  OR(      INDEX('calcolo base'!$D:$D, MATCH($A1587, 'calcolo base'!$A:$A, 0)) = 0,
      INDEX('calcolo base'!$D:$D, MATCH($A1587, 'calcolo base'!$A:$A, 0)) = ""   ),
   INDEX('calcolo base'!$K:$K, MATCH($A1587, 'calcolo base'!$A:$A, 0)),
   INDEX('calcolo base'!$J:$J, MATCH($A1587, 'calcolo base'!$A:$A, 0))
) / 1000</f>
        <v>#N/A</v>
      </c>
      <c r="J1587" s="50" t="e">
        <f t="shared" si="287"/>
        <v>#N/A</v>
      </c>
      <c r="K1587" s="50"/>
      <c r="L1587" s="267" t="e">
        <f>INDEX('calcolo base'!$H:$H, MATCH($A1587, 'calcolo base'!$A:$A, 0))</f>
        <v>#N/A</v>
      </c>
      <c r="M1587" s="50" t="e">
        <f t="shared" si="288"/>
        <v>#N/A</v>
      </c>
      <c r="N1587" s="50" t="e">
        <f t="shared" si="289"/>
        <v>#N/A</v>
      </c>
      <c r="O1587" s="50" t="e">
        <f t="shared" si="294"/>
        <v>#N/A</v>
      </c>
      <c r="P1587" s="50" t="e">
        <f t="shared" si="290"/>
        <v>#N/A</v>
      </c>
      <c r="Q1587" s="51" t="e">
        <f t="shared" si="291"/>
        <v>#N/A</v>
      </c>
      <c r="R1587" s="205" t="e">
        <f t="shared" si="292"/>
        <v>#N/A</v>
      </c>
      <c r="S1587" s="279" t="e">
        <f>IF(R1587="si",0,IF(E1587="si",0,IF(J1587&gt;K1587,0,+K1587-J1587)))+IF('calcolo base'!P2279="SI",('Commissioni De Angeli'!K1587-'Commissioni De Angeli'!J1587),0)</f>
        <v>#N/A</v>
      </c>
      <c r="T1587" s="117" t="e">
        <f t="shared" si="293"/>
        <v>#N/A</v>
      </c>
      <c r="U1587" s="272" t="e">
        <f>IF(Q1587=0,'calcolo base'!L4186,(T1587+Q1587))</f>
        <v>#N/A</v>
      </c>
      <c r="V1587" s="119"/>
      <c r="Z1587" s="118">
        <f t="shared" si="284"/>
        <v>0</v>
      </c>
      <c r="AA1587" s="118">
        <f t="shared" si="285"/>
        <v>0</v>
      </c>
    </row>
    <row r="1588" spans="2:27">
      <c r="B1588" s="47"/>
      <c r="C1588" s="35"/>
      <c r="D1588" s="53"/>
      <c r="E1588" s="53"/>
      <c r="F1588" s="48"/>
      <c r="G1588" s="243" t="e">
        <f>INDEX('calcolo base'!$B:$B, MATCH($A1588, 'calcolo base'!$A:$A, 0))</f>
        <v>#N/A</v>
      </c>
      <c r="H1588" s="54" t="e">
        <f t="shared" si="286"/>
        <v>#N/A</v>
      </c>
      <c r="I1588" s="259" t="e">
        <f>IF(  OR(      INDEX('calcolo base'!$D:$D, MATCH($A1588, 'calcolo base'!$A:$A, 0)) = 0,
      INDEX('calcolo base'!$D:$D, MATCH($A1588, 'calcolo base'!$A:$A, 0)) = ""   ),
   INDEX('calcolo base'!$K:$K, MATCH($A1588, 'calcolo base'!$A:$A, 0)),
   INDEX('calcolo base'!$J:$J, MATCH($A1588, 'calcolo base'!$A:$A, 0))
) / 1000</f>
        <v>#N/A</v>
      </c>
      <c r="J1588" s="50" t="e">
        <f t="shared" si="287"/>
        <v>#N/A</v>
      </c>
      <c r="K1588" s="50"/>
      <c r="L1588" s="267" t="e">
        <f>INDEX('calcolo base'!$H:$H, MATCH($A1588, 'calcolo base'!$A:$A, 0))</f>
        <v>#N/A</v>
      </c>
      <c r="M1588" s="50" t="e">
        <f t="shared" si="288"/>
        <v>#N/A</v>
      </c>
      <c r="N1588" s="50" t="e">
        <f t="shared" si="289"/>
        <v>#N/A</v>
      </c>
      <c r="O1588" s="50" t="e">
        <f t="shared" si="294"/>
        <v>#N/A</v>
      </c>
      <c r="P1588" s="50" t="e">
        <f t="shared" si="290"/>
        <v>#N/A</v>
      </c>
      <c r="Q1588" s="51" t="e">
        <f t="shared" si="291"/>
        <v>#N/A</v>
      </c>
      <c r="R1588" s="205" t="e">
        <f t="shared" si="292"/>
        <v>#N/A</v>
      </c>
      <c r="S1588" s="279" t="e">
        <f>IF(R1588="si",0,IF(E1588="si",0,IF(J1588&gt;K1588,0,+K1588-J1588)))+IF('calcolo base'!P2280="SI",('Commissioni De Angeli'!K1588-'Commissioni De Angeli'!J1588),0)</f>
        <v>#N/A</v>
      </c>
      <c r="T1588" s="117" t="e">
        <f t="shared" si="293"/>
        <v>#N/A</v>
      </c>
      <c r="U1588" s="272" t="e">
        <f>IF(Q1588=0,'calcolo base'!L4187,(T1588+Q1588))</f>
        <v>#N/A</v>
      </c>
      <c r="V1588" s="119"/>
      <c r="Z1588" s="118">
        <f t="shared" si="284"/>
        <v>0</v>
      </c>
      <c r="AA1588" s="118">
        <f t="shared" si="285"/>
        <v>0</v>
      </c>
    </row>
    <row r="1589" spans="2:27">
      <c r="B1589" s="47"/>
      <c r="C1589" s="35"/>
      <c r="D1589" s="53"/>
      <c r="E1589" s="53"/>
      <c r="F1589" s="48"/>
      <c r="G1589" s="243" t="e">
        <f>INDEX('calcolo base'!$B:$B, MATCH($A1589, 'calcolo base'!$A:$A, 0))</f>
        <v>#N/A</v>
      </c>
      <c r="H1589" s="54" t="e">
        <f t="shared" si="286"/>
        <v>#N/A</v>
      </c>
      <c r="I1589" s="259" t="e">
        <f>IF(  OR(      INDEX('calcolo base'!$D:$D, MATCH($A1589, 'calcolo base'!$A:$A, 0)) = 0,
      INDEX('calcolo base'!$D:$D, MATCH($A1589, 'calcolo base'!$A:$A, 0)) = ""   ),
   INDEX('calcolo base'!$K:$K, MATCH($A1589, 'calcolo base'!$A:$A, 0)),
   INDEX('calcolo base'!$J:$J, MATCH($A1589, 'calcolo base'!$A:$A, 0))
) / 1000</f>
        <v>#N/A</v>
      </c>
      <c r="J1589" s="50" t="e">
        <f t="shared" si="287"/>
        <v>#N/A</v>
      </c>
      <c r="K1589" s="50"/>
      <c r="L1589" s="267" t="e">
        <f>INDEX('calcolo base'!$H:$H, MATCH($A1589, 'calcolo base'!$A:$A, 0))</f>
        <v>#N/A</v>
      </c>
      <c r="M1589" s="50" t="e">
        <f t="shared" si="288"/>
        <v>#N/A</v>
      </c>
      <c r="N1589" s="50" t="e">
        <f t="shared" si="289"/>
        <v>#N/A</v>
      </c>
      <c r="O1589" s="50" t="e">
        <f t="shared" si="294"/>
        <v>#N/A</v>
      </c>
      <c r="P1589" s="50" t="e">
        <f t="shared" si="290"/>
        <v>#N/A</v>
      </c>
      <c r="Q1589" s="51" t="e">
        <f t="shared" si="291"/>
        <v>#N/A</v>
      </c>
      <c r="R1589" s="205" t="e">
        <f t="shared" si="292"/>
        <v>#N/A</v>
      </c>
      <c r="S1589" s="279" t="e">
        <f>IF(R1589="si",0,IF(E1589="si",0,IF(J1589&gt;K1589,0,+K1589-J1589)))+IF('calcolo base'!P2281="SI",('Commissioni De Angeli'!K1589-'Commissioni De Angeli'!J1589),0)</f>
        <v>#N/A</v>
      </c>
      <c r="T1589" s="117" t="e">
        <f t="shared" si="293"/>
        <v>#N/A</v>
      </c>
      <c r="U1589" s="272" t="e">
        <f>IF(Q1589=0,'calcolo base'!L4188,(T1589+Q1589))</f>
        <v>#N/A</v>
      </c>
      <c r="V1589" s="119"/>
      <c r="Z1589" s="118">
        <f t="shared" si="284"/>
        <v>0</v>
      </c>
      <c r="AA1589" s="118">
        <f t="shared" si="285"/>
        <v>0</v>
      </c>
    </row>
    <row r="1590" spans="2:27">
      <c r="B1590" s="47"/>
      <c r="C1590" s="35"/>
      <c r="D1590" s="53"/>
      <c r="E1590" s="53"/>
      <c r="F1590" s="48"/>
      <c r="G1590" s="243" t="e">
        <f>INDEX('calcolo base'!$B:$B, MATCH($A1590, 'calcolo base'!$A:$A, 0))</f>
        <v>#N/A</v>
      </c>
      <c r="H1590" s="54" t="e">
        <f t="shared" si="286"/>
        <v>#N/A</v>
      </c>
      <c r="I1590" s="259" t="e">
        <f>IF(  OR(      INDEX('calcolo base'!$D:$D, MATCH($A1590, 'calcolo base'!$A:$A, 0)) = 0,
      INDEX('calcolo base'!$D:$D, MATCH($A1590, 'calcolo base'!$A:$A, 0)) = ""   ),
   INDEX('calcolo base'!$K:$K, MATCH($A1590, 'calcolo base'!$A:$A, 0)),
   INDEX('calcolo base'!$J:$J, MATCH($A1590, 'calcolo base'!$A:$A, 0))
) / 1000</f>
        <v>#N/A</v>
      </c>
      <c r="J1590" s="50" t="e">
        <f t="shared" si="287"/>
        <v>#N/A</v>
      </c>
      <c r="K1590" s="50"/>
      <c r="L1590" s="267" t="e">
        <f>INDEX('calcolo base'!$H:$H, MATCH($A1590, 'calcolo base'!$A:$A, 0))</f>
        <v>#N/A</v>
      </c>
      <c r="M1590" s="50" t="e">
        <f t="shared" si="288"/>
        <v>#N/A</v>
      </c>
      <c r="N1590" s="50" t="e">
        <f t="shared" si="289"/>
        <v>#N/A</v>
      </c>
      <c r="O1590" s="50" t="e">
        <f t="shared" si="294"/>
        <v>#N/A</v>
      </c>
      <c r="P1590" s="50" t="e">
        <f t="shared" si="290"/>
        <v>#N/A</v>
      </c>
      <c r="Q1590" s="51" t="e">
        <f t="shared" si="291"/>
        <v>#N/A</v>
      </c>
      <c r="R1590" s="205" t="e">
        <f t="shared" si="292"/>
        <v>#N/A</v>
      </c>
      <c r="S1590" s="279" t="e">
        <f>IF(R1590="si",0,IF(E1590="si",0,IF(J1590&gt;K1590,0,+K1590-J1590)))+IF('calcolo base'!P2282="SI",('Commissioni De Angeli'!K1590-'Commissioni De Angeli'!J1590),0)</f>
        <v>#N/A</v>
      </c>
      <c r="T1590" s="117" t="e">
        <f t="shared" si="293"/>
        <v>#N/A</v>
      </c>
      <c r="U1590" s="272" t="e">
        <f>IF(Q1590=0,'calcolo base'!L4189,(T1590+Q1590))</f>
        <v>#N/A</v>
      </c>
      <c r="V1590" s="119"/>
      <c r="Z1590" s="118">
        <f t="shared" si="284"/>
        <v>0</v>
      </c>
      <c r="AA1590" s="118">
        <f t="shared" si="285"/>
        <v>0</v>
      </c>
    </row>
    <row r="1591" spans="2:27">
      <c r="B1591" s="47"/>
      <c r="C1591" s="35"/>
      <c r="D1591" s="53"/>
      <c r="E1591" s="53"/>
      <c r="F1591" s="48"/>
      <c r="G1591" s="243" t="e">
        <f>INDEX('calcolo base'!$B:$B, MATCH($A1591, 'calcolo base'!$A:$A, 0))</f>
        <v>#N/A</v>
      </c>
      <c r="H1591" s="54" t="e">
        <f t="shared" si="286"/>
        <v>#N/A</v>
      </c>
      <c r="I1591" s="259" t="e">
        <f>IF(  OR(      INDEX('calcolo base'!$D:$D, MATCH($A1591, 'calcolo base'!$A:$A, 0)) = 0,
      INDEX('calcolo base'!$D:$D, MATCH($A1591, 'calcolo base'!$A:$A, 0)) = ""   ),
   INDEX('calcolo base'!$K:$K, MATCH($A1591, 'calcolo base'!$A:$A, 0)),
   INDEX('calcolo base'!$J:$J, MATCH($A1591, 'calcolo base'!$A:$A, 0))
) / 1000</f>
        <v>#N/A</v>
      </c>
      <c r="J1591" s="50" t="e">
        <f t="shared" si="287"/>
        <v>#N/A</v>
      </c>
      <c r="K1591" s="50"/>
      <c r="L1591" s="267" t="e">
        <f>INDEX('calcolo base'!$H:$H, MATCH($A1591, 'calcolo base'!$A:$A, 0))</f>
        <v>#N/A</v>
      </c>
      <c r="M1591" s="50" t="e">
        <f t="shared" si="288"/>
        <v>#N/A</v>
      </c>
      <c r="N1591" s="50" t="e">
        <f t="shared" si="289"/>
        <v>#N/A</v>
      </c>
      <c r="O1591" s="50" t="e">
        <f t="shared" si="294"/>
        <v>#N/A</v>
      </c>
      <c r="P1591" s="50" t="e">
        <f t="shared" si="290"/>
        <v>#N/A</v>
      </c>
      <c r="Q1591" s="51" t="e">
        <f t="shared" si="291"/>
        <v>#N/A</v>
      </c>
      <c r="R1591" s="205" t="e">
        <f t="shared" si="292"/>
        <v>#N/A</v>
      </c>
      <c r="S1591" s="279" t="e">
        <f>IF(R1591="si",0,IF(E1591="si",0,IF(J1591&gt;K1591,0,+K1591-J1591)))+IF('calcolo base'!P2283="SI",('Commissioni De Angeli'!K1591-'Commissioni De Angeli'!J1591),0)</f>
        <v>#N/A</v>
      </c>
      <c r="T1591" s="117" t="e">
        <f t="shared" si="293"/>
        <v>#N/A</v>
      </c>
      <c r="U1591" s="272" t="e">
        <f>IF(Q1591=0,'calcolo base'!L4190,(T1591+Q1591))</f>
        <v>#N/A</v>
      </c>
      <c r="V1591" s="119"/>
      <c r="Z1591" s="118">
        <f t="shared" si="284"/>
        <v>0</v>
      </c>
      <c r="AA1591" s="118">
        <f t="shared" si="285"/>
        <v>0</v>
      </c>
    </row>
    <row r="1592" spans="2:27">
      <c r="B1592" s="47"/>
      <c r="C1592" s="35"/>
      <c r="D1592" s="53"/>
      <c r="E1592" s="53"/>
      <c r="F1592" s="48"/>
      <c r="G1592" s="243" t="e">
        <f>INDEX('calcolo base'!$B:$B, MATCH($A1592, 'calcolo base'!$A:$A, 0))</f>
        <v>#N/A</v>
      </c>
      <c r="H1592" s="54" t="e">
        <f t="shared" si="286"/>
        <v>#N/A</v>
      </c>
      <c r="I1592" s="259" t="e">
        <f>IF(  OR(      INDEX('calcolo base'!$D:$D, MATCH($A1592, 'calcolo base'!$A:$A, 0)) = 0,
      INDEX('calcolo base'!$D:$D, MATCH($A1592, 'calcolo base'!$A:$A, 0)) = ""   ),
   INDEX('calcolo base'!$K:$K, MATCH($A1592, 'calcolo base'!$A:$A, 0)),
   INDEX('calcolo base'!$J:$J, MATCH($A1592, 'calcolo base'!$A:$A, 0))
) / 1000</f>
        <v>#N/A</v>
      </c>
      <c r="J1592" s="50" t="e">
        <f t="shared" si="287"/>
        <v>#N/A</v>
      </c>
      <c r="K1592" s="50"/>
      <c r="L1592" s="267" t="e">
        <f>INDEX('calcolo base'!$H:$H, MATCH($A1592, 'calcolo base'!$A:$A, 0))</f>
        <v>#N/A</v>
      </c>
      <c r="M1592" s="50" t="e">
        <f t="shared" si="288"/>
        <v>#N/A</v>
      </c>
      <c r="N1592" s="50" t="e">
        <f t="shared" si="289"/>
        <v>#N/A</v>
      </c>
      <c r="O1592" s="50" t="e">
        <f t="shared" si="294"/>
        <v>#N/A</v>
      </c>
      <c r="P1592" s="50" t="e">
        <f t="shared" si="290"/>
        <v>#N/A</v>
      </c>
      <c r="Q1592" s="51" t="e">
        <f t="shared" si="291"/>
        <v>#N/A</v>
      </c>
      <c r="R1592" s="205" t="e">
        <f t="shared" si="292"/>
        <v>#N/A</v>
      </c>
      <c r="S1592" s="279" t="e">
        <f>IF(R1592="si",0,IF(E1592="si",0,IF(J1592&gt;K1592,0,+K1592-J1592)))+IF('calcolo base'!P2284="SI",('Commissioni De Angeli'!K1592-'Commissioni De Angeli'!J1592),0)</f>
        <v>#N/A</v>
      </c>
      <c r="T1592" s="117" t="e">
        <f t="shared" si="293"/>
        <v>#N/A</v>
      </c>
      <c r="U1592" s="272" t="e">
        <f>IF(Q1592=0,'calcolo base'!L4191,(T1592+Q1592))</f>
        <v>#N/A</v>
      </c>
      <c r="V1592" s="119"/>
      <c r="Z1592" s="118">
        <f t="shared" si="284"/>
        <v>0</v>
      </c>
      <c r="AA1592" s="118">
        <f t="shared" si="285"/>
        <v>0</v>
      </c>
    </row>
    <row r="1593" spans="2:27">
      <c r="B1593" s="47"/>
      <c r="C1593" s="35"/>
      <c r="D1593" s="53"/>
      <c r="E1593" s="53"/>
      <c r="F1593" s="48"/>
      <c r="G1593" s="243" t="e">
        <f>INDEX('calcolo base'!$B:$B, MATCH($A1593, 'calcolo base'!$A:$A, 0))</f>
        <v>#N/A</v>
      </c>
      <c r="H1593" s="54" t="e">
        <f t="shared" si="286"/>
        <v>#N/A</v>
      </c>
      <c r="I1593" s="259" t="e">
        <f>IF(  OR(      INDEX('calcolo base'!$D:$D, MATCH($A1593, 'calcolo base'!$A:$A, 0)) = 0,
      INDEX('calcolo base'!$D:$D, MATCH($A1593, 'calcolo base'!$A:$A, 0)) = ""   ),
   INDEX('calcolo base'!$K:$K, MATCH($A1593, 'calcolo base'!$A:$A, 0)),
   INDEX('calcolo base'!$J:$J, MATCH($A1593, 'calcolo base'!$A:$A, 0))
) / 1000</f>
        <v>#N/A</v>
      </c>
      <c r="J1593" s="50" t="e">
        <f t="shared" si="287"/>
        <v>#N/A</v>
      </c>
      <c r="K1593" s="50"/>
      <c r="L1593" s="267" t="e">
        <f>INDEX('calcolo base'!$H:$H, MATCH($A1593, 'calcolo base'!$A:$A, 0))</f>
        <v>#N/A</v>
      </c>
      <c r="M1593" s="50" t="e">
        <f t="shared" si="288"/>
        <v>#N/A</v>
      </c>
      <c r="N1593" s="50" t="e">
        <f t="shared" si="289"/>
        <v>#N/A</v>
      </c>
      <c r="O1593" s="50" t="e">
        <f t="shared" si="294"/>
        <v>#N/A</v>
      </c>
      <c r="P1593" s="50" t="e">
        <f t="shared" si="290"/>
        <v>#N/A</v>
      </c>
      <c r="Q1593" s="51" t="e">
        <f t="shared" si="291"/>
        <v>#N/A</v>
      </c>
      <c r="R1593" s="205" t="e">
        <f t="shared" si="292"/>
        <v>#N/A</v>
      </c>
      <c r="S1593" s="279" t="e">
        <f>IF(R1593="si",0,IF(E1593="si",0,IF(J1593&gt;K1593,0,+K1593-J1593)))+IF('calcolo base'!P2285="SI",('Commissioni De Angeli'!K1593-'Commissioni De Angeli'!J1593),0)</f>
        <v>#N/A</v>
      </c>
      <c r="T1593" s="117" t="e">
        <f t="shared" si="293"/>
        <v>#N/A</v>
      </c>
      <c r="U1593" s="272" t="e">
        <f>IF(Q1593=0,'calcolo base'!L4192,(T1593+Q1593))</f>
        <v>#N/A</v>
      </c>
      <c r="V1593" s="119"/>
      <c r="Z1593" s="118">
        <f t="shared" si="284"/>
        <v>0</v>
      </c>
      <c r="AA1593" s="118">
        <f t="shared" si="285"/>
        <v>0</v>
      </c>
    </row>
    <row r="1594" spans="2:27">
      <c r="B1594" s="47"/>
      <c r="C1594" s="35"/>
      <c r="D1594" s="53"/>
      <c r="E1594" s="53"/>
      <c r="F1594" s="48"/>
      <c r="G1594" s="243" t="e">
        <f>INDEX('calcolo base'!$B:$B, MATCH($A1594, 'calcolo base'!$A:$A, 0))</f>
        <v>#N/A</v>
      </c>
      <c r="H1594" s="54" t="e">
        <f t="shared" si="286"/>
        <v>#N/A</v>
      </c>
      <c r="I1594" s="259" t="e">
        <f>IF(  OR(      INDEX('calcolo base'!$D:$D, MATCH($A1594, 'calcolo base'!$A:$A, 0)) = 0,
      INDEX('calcolo base'!$D:$D, MATCH($A1594, 'calcolo base'!$A:$A, 0)) = ""   ),
   INDEX('calcolo base'!$K:$K, MATCH($A1594, 'calcolo base'!$A:$A, 0)),
   INDEX('calcolo base'!$J:$J, MATCH($A1594, 'calcolo base'!$A:$A, 0))
) / 1000</f>
        <v>#N/A</v>
      </c>
      <c r="J1594" s="50" t="e">
        <f t="shared" si="287"/>
        <v>#N/A</v>
      </c>
      <c r="K1594" s="50"/>
      <c r="L1594" s="267" t="e">
        <f>INDEX('calcolo base'!$H:$H, MATCH($A1594, 'calcolo base'!$A:$A, 0))</f>
        <v>#N/A</v>
      </c>
      <c r="M1594" s="50" t="e">
        <f t="shared" si="288"/>
        <v>#N/A</v>
      </c>
      <c r="N1594" s="50" t="e">
        <f t="shared" si="289"/>
        <v>#N/A</v>
      </c>
      <c r="O1594" s="50" t="e">
        <f t="shared" si="294"/>
        <v>#N/A</v>
      </c>
      <c r="P1594" s="50" t="e">
        <f t="shared" si="290"/>
        <v>#N/A</v>
      </c>
      <c r="Q1594" s="51" t="e">
        <f t="shared" si="291"/>
        <v>#N/A</v>
      </c>
      <c r="R1594" s="205" t="e">
        <f t="shared" si="292"/>
        <v>#N/A</v>
      </c>
      <c r="S1594" s="279" t="e">
        <f>IF(R1594="si",0,IF(E1594="si",0,IF(J1594&gt;K1594,0,+K1594-J1594)))+IF('calcolo base'!P2286="SI",('Commissioni De Angeli'!K1594-'Commissioni De Angeli'!J1594),0)</f>
        <v>#N/A</v>
      </c>
      <c r="T1594" s="117" t="e">
        <f t="shared" si="293"/>
        <v>#N/A</v>
      </c>
      <c r="U1594" s="272" t="e">
        <f>IF(Q1594=0,'calcolo base'!L4193,(T1594+Q1594))</f>
        <v>#N/A</v>
      </c>
      <c r="V1594" s="119"/>
      <c r="Z1594" s="118">
        <f t="shared" si="284"/>
        <v>0</v>
      </c>
      <c r="AA1594" s="118">
        <f t="shared" si="285"/>
        <v>0</v>
      </c>
    </row>
    <row r="1595" spans="2:27">
      <c r="B1595" s="47"/>
      <c r="C1595" s="35"/>
      <c r="D1595" s="53"/>
      <c r="E1595" s="53"/>
      <c r="F1595" s="48"/>
      <c r="G1595" s="243" t="e">
        <f>INDEX('calcolo base'!$B:$B, MATCH($A1595, 'calcolo base'!$A:$A, 0))</f>
        <v>#N/A</v>
      </c>
      <c r="H1595" s="54" t="e">
        <f t="shared" si="286"/>
        <v>#N/A</v>
      </c>
      <c r="I1595" s="259" t="e">
        <f>IF(  OR(      INDEX('calcolo base'!$D:$D, MATCH($A1595, 'calcolo base'!$A:$A, 0)) = 0,
      INDEX('calcolo base'!$D:$D, MATCH($A1595, 'calcolo base'!$A:$A, 0)) = ""   ),
   INDEX('calcolo base'!$K:$K, MATCH($A1595, 'calcolo base'!$A:$A, 0)),
   INDEX('calcolo base'!$J:$J, MATCH($A1595, 'calcolo base'!$A:$A, 0))
) / 1000</f>
        <v>#N/A</v>
      </c>
      <c r="J1595" s="50" t="e">
        <f t="shared" si="287"/>
        <v>#N/A</v>
      </c>
      <c r="K1595" s="50"/>
      <c r="L1595" s="267" t="e">
        <f>INDEX('calcolo base'!$H:$H, MATCH($A1595, 'calcolo base'!$A:$A, 0))</f>
        <v>#N/A</v>
      </c>
      <c r="M1595" s="50" t="e">
        <f t="shared" si="288"/>
        <v>#N/A</v>
      </c>
      <c r="N1595" s="50" t="e">
        <f t="shared" si="289"/>
        <v>#N/A</v>
      </c>
      <c r="O1595" s="50" t="e">
        <f t="shared" si="294"/>
        <v>#N/A</v>
      </c>
      <c r="P1595" s="50" t="e">
        <f t="shared" si="290"/>
        <v>#N/A</v>
      </c>
      <c r="Q1595" s="51" t="e">
        <f t="shared" si="291"/>
        <v>#N/A</v>
      </c>
      <c r="R1595" s="205" t="e">
        <f t="shared" si="292"/>
        <v>#N/A</v>
      </c>
      <c r="S1595" s="279" t="e">
        <f>IF(R1595="si",0,IF(E1595="si",0,IF(J1595&gt;K1595,0,+K1595-J1595)))+IF('calcolo base'!P2287="SI",('Commissioni De Angeli'!K1595-'Commissioni De Angeli'!J1595),0)</f>
        <v>#N/A</v>
      </c>
      <c r="T1595" s="117" t="e">
        <f t="shared" si="293"/>
        <v>#N/A</v>
      </c>
      <c r="U1595" s="272" t="e">
        <f>IF(Q1595=0,'calcolo base'!L4194,(T1595+Q1595))</f>
        <v>#N/A</v>
      </c>
      <c r="V1595" s="119"/>
      <c r="Z1595" s="118">
        <f t="shared" si="284"/>
        <v>0</v>
      </c>
      <c r="AA1595" s="118">
        <f t="shared" si="285"/>
        <v>0</v>
      </c>
    </row>
    <row r="1596" spans="2:27">
      <c r="B1596" s="47"/>
      <c r="C1596" s="35"/>
      <c r="D1596" s="53"/>
      <c r="E1596" s="53"/>
      <c r="F1596" s="48"/>
      <c r="G1596" s="243" t="e">
        <f>INDEX('calcolo base'!$B:$B, MATCH($A1596, 'calcolo base'!$A:$A, 0))</f>
        <v>#N/A</v>
      </c>
      <c r="H1596" s="54" t="e">
        <f t="shared" si="286"/>
        <v>#N/A</v>
      </c>
      <c r="I1596" s="259" t="e">
        <f>IF(  OR(      INDEX('calcolo base'!$D:$D, MATCH($A1596, 'calcolo base'!$A:$A, 0)) = 0,
      INDEX('calcolo base'!$D:$D, MATCH($A1596, 'calcolo base'!$A:$A, 0)) = ""   ),
   INDEX('calcolo base'!$K:$K, MATCH($A1596, 'calcolo base'!$A:$A, 0)),
   INDEX('calcolo base'!$J:$J, MATCH($A1596, 'calcolo base'!$A:$A, 0))
) / 1000</f>
        <v>#N/A</v>
      </c>
      <c r="J1596" s="50" t="e">
        <f t="shared" si="287"/>
        <v>#N/A</v>
      </c>
      <c r="K1596" s="50"/>
      <c r="L1596" s="267" t="e">
        <f>INDEX('calcolo base'!$H:$H, MATCH($A1596, 'calcolo base'!$A:$A, 0))</f>
        <v>#N/A</v>
      </c>
      <c r="M1596" s="50" t="e">
        <f t="shared" si="288"/>
        <v>#N/A</v>
      </c>
      <c r="N1596" s="50" t="e">
        <f t="shared" si="289"/>
        <v>#N/A</v>
      </c>
      <c r="O1596" s="50" t="e">
        <f t="shared" si="294"/>
        <v>#N/A</v>
      </c>
      <c r="P1596" s="50" t="e">
        <f t="shared" si="290"/>
        <v>#N/A</v>
      </c>
      <c r="Q1596" s="51" t="e">
        <f t="shared" si="291"/>
        <v>#N/A</v>
      </c>
      <c r="R1596" s="205" t="e">
        <f t="shared" si="292"/>
        <v>#N/A</v>
      </c>
      <c r="S1596" s="279" t="e">
        <f>IF(R1596="si",0,IF(E1596="si",0,IF(J1596&gt;K1596,0,+K1596-J1596)))+IF('calcolo base'!P2288="SI",('Commissioni De Angeli'!K1596-'Commissioni De Angeli'!J1596),0)</f>
        <v>#N/A</v>
      </c>
      <c r="T1596" s="117" t="e">
        <f t="shared" si="293"/>
        <v>#N/A</v>
      </c>
      <c r="U1596" s="272" t="e">
        <f>IF(Q1596=0,'calcolo base'!L4195,(T1596+Q1596))</f>
        <v>#N/A</v>
      </c>
      <c r="V1596" s="119"/>
      <c r="Z1596" s="118">
        <f t="shared" si="284"/>
        <v>0</v>
      </c>
      <c r="AA1596" s="118">
        <f t="shared" si="285"/>
        <v>0</v>
      </c>
    </row>
    <row r="1597" spans="2:27">
      <c r="B1597" s="47"/>
      <c r="C1597" s="35"/>
      <c r="D1597" s="53"/>
      <c r="E1597" s="53"/>
      <c r="F1597" s="48"/>
      <c r="G1597" s="243" t="e">
        <f>INDEX('calcolo base'!$B:$B, MATCH($A1597, 'calcolo base'!$A:$A, 0))</f>
        <v>#N/A</v>
      </c>
      <c r="H1597" s="54" t="e">
        <f t="shared" si="286"/>
        <v>#N/A</v>
      </c>
      <c r="I1597" s="259" t="e">
        <f>IF(  OR(      INDEX('calcolo base'!$D:$D, MATCH($A1597, 'calcolo base'!$A:$A, 0)) = 0,
      INDEX('calcolo base'!$D:$D, MATCH($A1597, 'calcolo base'!$A:$A, 0)) = ""   ),
   INDEX('calcolo base'!$K:$K, MATCH($A1597, 'calcolo base'!$A:$A, 0)),
   INDEX('calcolo base'!$J:$J, MATCH($A1597, 'calcolo base'!$A:$A, 0))
) / 1000</f>
        <v>#N/A</v>
      </c>
      <c r="J1597" s="50" t="e">
        <f t="shared" si="287"/>
        <v>#N/A</v>
      </c>
      <c r="K1597" s="50"/>
      <c r="L1597" s="267" t="e">
        <f>INDEX('calcolo base'!$H:$H, MATCH($A1597, 'calcolo base'!$A:$A, 0))</f>
        <v>#N/A</v>
      </c>
      <c r="M1597" s="50" t="e">
        <f t="shared" si="288"/>
        <v>#N/A</v>
      </c>
      <c r="N1597" s="50" t="e">
        <f t="shared" si="289"/>
        <v>#N/A</v>
      </c>
      <c r="O1597" s="50" t="e">
        <f t="shared" si="294"/>
        <v>#N/A</v>
      </c>
      <c r="P1597" s="50" t="e">
        <f t="shared" si="290"/>
        <v>#N/A</v>
      </c>
      <c r="Q1597" s="51" t="e">
        <f t="shared" si="291"/>
        <v>#N/A</v>
      </c>
      <c r="R1597" s="205" t="e">
        <f t="shared" si="292"/>
        <v>#N/A</v>
      </c>
      <c r="S1597" s="279" t="e">
        <f>IF(R1597="si",0,IF(E1597="si",0,IF(J1597&gt;K1597,0,+K1597-J1597)))+IF('calcolo base'!P2289="SI",('Commissioni De Angeli'!K1597-'Commissioni De Angeli'!J1597),0)</f>
        <v>#N/A</v>
      </c>
      <c r="T1597" s="117" t="e">
        <f t="shared" si="293"/>
        <v>#N/A</v>
      </c>
      <c r="U1597" s="272" t="e">
        <f>IF(Q1597=0,'calcolo base'!L4196,(T1597+Q1597))</f>
        <v>#N/A</v>
      </c>
      <c r="V1597" s="119"/>
      <c r="Z1597" s="118">
        <f t="shared" si="284"/>
        <v>0</v>
      </c>
      <c r="AA1597" s="118">
        <f t="shared" si="285"/>
        <v>0</v>
      </c>
    </row>
    <row r="1598" spans="2:27">
      <c r="B1598" s="47"/>
      <c r="C1598" s="35"/>
      <c r="D1598" s="53"/>
      <c r="E1598" s="53"/>
      <c r="F1598" s="48"/>
      <c r="G1598" s="243" t="e">
        <f>INDEX('calcolo base'!$B:$B, MATCH($A1598, 'calcolo base'!$A:$A, 0))</f>
        <v>#N/A</v>
      </c>
      <c r="H1598" s="54" t="e">
        <f t="shared" si="286"/>
        <v>#N/A</v>
      </c>
      <c r="I1598" s="259" t="e">
        <f>IF(  OR(      INDEX('calcolo base'!$D:$D, MATCH($A1598, 'calcolo base'!$A:$A, 0)) = 0,
      INDEX('calcolo base'!$D:$D, MATCH($A1598, 'calcolo base'!$A:$A, 0)) = ""   ),
   INDEX('calcolo base'!$K:$K, MATCH($A1598, 'calcolo base'!$A:$A, 0)),
   INDEX('calcolo base'!$J:$J, MATCH($A1598, 'calcolo base'!$A:$A, 0))
) / 1000</f>
        <v>#N/A</v>
      </c>
      <c r="J1598" s="50" t="e">
        <f t="shared" si="287"/>
        <v>#N/A</v>
      </c>
      <c r="K1598" s="50"/>
      <c r="L1598" s="267" t="e">
        <f>INDEX('calcolo base'!$H:$H, MATCH($A1598, 'calcolo base'!$A:$A, 0))</f>
        <v>#N/A</v>
      </c>
      <c r="M1598" s="50" t="e">
        <f t="shared" si="288"/>
        <v>#N/A</v>
      </c>
      <c r="N1598" s="50" t="e">
        <f t="shared" si="289"/>
        <v>#N/A</v>
      </c>
      <c r="O1598" s="50" t="e">
        <f t="shared" si="294"/>
        <v>#N/A</v>
      </c>
      <c r="P1598" s="50" t="e">
        <f t="shared" si="290"/>
        <v>#N/A</v>
      </c>
      <c r="Q1598" s="51" t="e">
        <f t="shared" si="291"/>
        <v>#N/A</v>
      </c>
      <c r="R1598" s="205" t="e">
        <f t="shared" si="292"/>
        <v>#N/A</v>
      </c>
      <c r="S1598" s="279" t="e">
        <f>IF(R1598="si",0,IF(E1598="si",0,IF(J1598&gt;K1598,0,+K1598-J1598)))+IF('calcolo base'!P2290="SI",('Commissioni De Angeli'!K1598-'Commissioni De Angeli'!J1598),0)</f>
        <v>#N/A</v>
      </c>
      <c r="T1598" s="117" t="e">
        <f t="shared" si="293"/>
        <v>#N/A</v>
      </c>
      <c r="U1598" s="272" t="e">
        <f>IF(Q1598=0,'calcolo base'!L4197,(T1598+Q1598))</f>
        <v>#N/A</v>
      </c>
      <c r="V1598" s="119"/>
      <c r="Z1598" s="118">
        <f t="shared" si="284"/>
        <v>0</v>
      </c>
      <c r="AA1598" s="118">
        <f t="shared" si="285"/>
        <v>0</v>
      </c>
    </row>
    <row r="1599" spans="2:27">
      <c r="B1599" s="47"/>
      <c r="C1599" s="35"/>
      <c r="D1599" s="53"/>
      <c r="E1599" s="53"/>
      <c r="F1599" s="48"/>
      <c r="G1599" s="243" t="e">
        <f>INDEX('calcolo base'!$B:$B, MATCH($A1599, 'calcolo base'!$A:$A, 0))</f>
        <v>#N/A</v>
      </c>
      <c r="H1599" s="54" t="e">
        <f t="shared" si="286"/>
        <v>#N/A</v>
      </c>
      <c r="I1599" s="259" t="e">
        <f>IF(  OR(      INDEX('calcolo base'!$D:$D, MATCH($A1599, 'calcolo base'!$A:$A, 0)) = 0,
      INDEX('calcolo base'!$D:$D, MATCH($A1599, 'calcolo base'!$A:$A, 0)) = ""   ),
   INDEX('calcolo base'!$K:$K, MATCH($A1599, 'calcolo base'!$A:$A, 0)),
   INDEX('calcolo base'!$J:$J, MATCH($A1599, 'calcolo base'!$A:$A, 0))
) / 1000</f>
        <v>#N/A</v>
      </c>
      <c r="J1599" s="50" t="e">
        <f t="shared" si="287"/>
        <v>#N/A</v>
      </c>
      <c r="K1599" s="50"/>
      <c r="L1599" s="267" t="e">
        <f>INDEX('calcolo base'!$H:$H, MATCH($A1599, 'calcolo base'!$A:$A, 0))</f>
        <v>#N/A</v>
      </c>
      <c r="M1599" s="50" t="e">
        <f t="shared" si="288"/>
        <v>#N/A</v>
      </c>
      <c r="N1599" s="50" t="e">
        <f t="shared" si="289"/>
        <v>#N/A</v>
      </c>
      <c r="O1599" s="50" t="e">
        <f t="shared" si="294"/>
        <v>#N/A</v>
      </c>
      <c r="P1599" s="50" t="e">
        <f t="shared" si="290"/>
        <v>#N/A</v>
      </c>
      <c r="Q1599" s="51" t="e">
        <f t="shared" si="291"/>
        <v>#N/A</v>
      </c>
      <c r="R1599" s="205" t="e">
        <f t="shared" si="292"/>
        <v>#N/A</v>
      </c>
      <c r="S1599" s="279" t="e">
        <f>IF(R1599="si",0,IF(E1599="si",0,IF(J1599&gt;K1599,0,+K1599-J1599)))+IF('calcolo base'!P2291="SI",('Commissioni De Angeli'!K1599-'Commissioni De Angeli'!J1599),0)</f>
        <v>#N/A</v>
      </c>
      <c r="T1599" s="117" t="e">
        <f t="shared" si="293"/>
        <v>#N/A</v>
      </c>
      <c r="U1599" s="272" t="e">
        <f>IF(Q1599=0,'calcolo base'!L4198,(T1599+Q1599))</f>
        <v>#N/A</v>
      </c>
      <c r="V1599" s="119"/>
      <c r="Z1599" s="118">
        <f t="shared" si="284"/>
        <v>0</v>
      </c>
      <c r="AA1599" s="118">
        <f t="shared" si="285"/>
        <v>0</v>
      </c>
    </row>
    <row r="1600" spans="2:27">
      <c r="B1600" s="47"/>
      <c r="C1600" s="35"/>
      <c r="D1600" s="53"/>
      <c r="E1600" s="53"/>
      <c r="F1600" s="48"/>
      <c r="G1600" s="243" t="e">
        <f>INDEX('calcolo base'!$B:$B, MATCH($A1600, 'calcolo base'!$A:$A, 0))</f>
        <v>#N/A</v>
      </c>
      <c r="H1600" s="54" t="e">
        <f t="shared" si="286"/>
        <v>#N/A</v>
      </c>
      <c r="I1600" s="259" t="e">
        <f>IF(  OR(      INDEX('calcolo base'!$D:$D, MATCH($A1600, 'calcolo base'!$A:$A, 0)) = 0,
      INDEX('calcolo base'!$D:$D, MATCH($A1600, 'calcolo base'!$A:$A, 0)) = ""   ),
   INDEX('calcolo base'!$K:$K, MATCH($A1600, 'calcolo base'!$A:$A, 0)),
   INDEX('calcolo base'!$J:$J, MATCH($A1600, 'calcolo base'!$A:$A, 0))
) / 1000</f>
        <v>#N/A</v>
      </c>
      <c r="J1600" s="50" t="e">
        <f t="shared" si="287"/>
        <v>#N/A</v>
      </c>
      <c r="K1600" s="50"/>
      <c r="L1600" s="267" t="e">
        <f>INDEX('calcolo base'!$H:$H, MATCH($A1600, 'calcolo base'!$A:$A, 0))</f>
        <v>#N/A</v>
      </c>
      <c r="M1600" s="50" t="e">
        <f t="shared" si="288"/>
        <v>#N/A</v>
      </c>
      <c r="N1600" s="50" t="e">
        <f t="shared" si="289"/>
        <v>#N/A</v>
      </c>
      <c r="O1600" s="50" t="e">
        <f t="shared" si="294"/>
        <v>#N/A</v>
      </c>
      <c r="P1600" s="50" t="e">
        <f t="shared" si="290"/>
        <v>#N/A</v>
      </c>
      <c r="Q1600" s="51" t="e">
        <f t="shared" si="291"/>
        <v>#N/A</v>
      </c>
      <c r="R1600" s="205" t="e">
        <f t="shared" si="292"/>
        <v>#N/A</v>
      </c>
      <c r="S1600" s="279" t="e">
        <f>IF(R1600="si",0,IF(E1600="si",0,IF(J1600&gt;K1600,0,+K1600-J1600)))+IF('calcolo base'!P2292="SI",('Commissioni De Angeli'!K1600-'Commissioni De Angeli'!J1600),0)</f>
        <v>#N/A</v>
      </c>
      <c r="T1600" s="117" t="e">
        <f t="shared" si="293"/>
        <v>#N/A</v>
      </c>
      <c r="U1600" s="272" t="e">
        <f>IF(Q1600=0,'calcolo base'!L4199,(T1600+Q1600))</f>
        <v>#N/A</v>
      </c>
      <c r="V1600" s="119"/>
      <c r="Z1600" s="118">
        <f t="shared" si="284"/>
        <v>0</v>
      </c>
      <c r="AA1600" s="118">
        <f t="shared" si="285"/>
        <v>0</v>
      </c>
    </row>
    <row r="1601" spans="2:27">
      <c r="B1601" s="47"/>
      <c r="C1601" s="35"/>
      <c r="D1601" s="53"/>
      <c r="E1601" s="53"/>
      <c r="F1601" s="48"/>
      <c r="G1601" s="243" t="e">
        <f>INDEX('calcolo base'!$B:$B, MATCH($A1601, 'calcolo base'!$A:$A, 0))</f>
        <v>#N/A</v>
      </c>
      <c r="H1601" s="54" t="e">
        <f t="shared" si="286"/>
        <v>#N/A</v>
      </c>
      <c r="I1601" s="259" t="e">
        <f>IF(  OR(      INDEX('calcolo base'!$D:$D, MATCH($A1601, 'calcolo base'!$A:$A, 0)) = 0,
      INDEX('calcolo base'!$D:$D, MATCH($A1601, 'calcolo base'!$A:$A, 0)) = ""   ),
   INDEX('calcolo base'!$K:$K, MATCH($A1601, 'calcolo base'!$A:$A, 0)),
   INDEX('calcolo base'!$J:$J, MATCH($A1601, 'calcolo base'!$A:$A, 0))
) / 1000</f>
        <v>#N/A</v>
      </c>
      <c r="J1601" s="50" t="e">
        <f t="shared" si="287"/>
        <v>#N/A</v>
      </c>
      <c r="K1601" s="50"/>
      <c r="L1601" s="267" t="e">
        <f>INDEX('calcolo base'!$H:$H, MATCH($A1601, 'calcolo base'!$A:$A, 0))</f>
        <v>#N/A</v>
      </c>
      <c r="M1601" s="50" t="e">
        <f t="shared" si="288"/>
        <v>#N/A</v>
      </c>
      <c r="N1601" s="50" t="e">
        <f t="shared" si="289"/>
        <v>#N/A</v>
      </c>
      <c r="O1601" s="50" t="e">
        <f t="shared" si="294"/>
        <v>#N/A</v>
      </c>
      <c r="P1601" s="50" t="e">
        <f t="shared" si="290"/>
        <v>#N/A</v>
      </c>
      <c r="Q1601" s="51" t="e">
        <f t="shared" si="291"/>
        <v>#N/A</v>
      </c>
      <c r="R1601" s="205" t="e">
        <f t="shared" si="292"/>
        <v>#N/A</v>
      </c>
      <c r="S1601" s="279" t="e">
        <f>IF(R1601="si",0,IF(E1601="si",0,IF(J1601&gt;K1601,0,+K1601-J1601)))+IF('calcolo base'!P2293="SI",('Commissioni De Angeli'!K1601-'Commissioni De Angeli'!J1601),0)</f>
        <v>#N/A</v>
      </c>
      <c r="T1601" s="117" t="e">
        <f t="shared" si="293"/>
        <v>#N/A</v>
      </c>
      <c r="U1601" s="272" t="e">
        <f>IF(Q1601=0,'calcolo base'!L4200,(T1601+Q1601))</f>
        <v>#N/A</v>
      </c>
      <c r="V1601" s="119"/>
      <c r="Z1601" s="118">
        <f t="shared" si="284"/>
        <v>0</v>
      </c>
      <c r="AA1601" s="118">
        <f t="shared" si="285"/>
        <v>0</v>
      </c>
    </row>
    <row r="1602" spans="2:27">
      <c r="B1602" s="47"/>
      <c r="C1602" s="35"/>
      <c r="D1602" s="53"/>
      <c r="E1602" s="53"/>
      <c r="F1602" s="48"/>
      <c r="G1602" s="243" t="e">
        <f>INDEX('calcolo base'!$B:$B, MATCH($A1602, 'calcolo base'!$A:$A, 0))</f>
        <v>#N/A</v>
      </c>
      <c r="H1602" s="54" t="e">
        <f t="shared" si="286"/>
        <v>#N/A</v>
      </c>
      <c r="I1602" s="259" t="e">
        <f>IF(  OR(      INDEX('calcolo base'!$D:$D, MATCH($A1602, 'calcolo base'!$A:$A, 0)) = 0,
      INDEX('calcolo base'!$D:$D, MATCH($A1602, 'calcolo base'!$A:$A, 0)) = ""   ),
   INDEX('calcolo base'!$K:$K, MATCH($A1602, 'calcolo base'!$A:$A, 0)),
   INDEX('calcolo base'!$J:$J, MATCH($A1602, 'calcolo base'!$A:$A, 0))
) / 1000</f>
        <v>#N/A</v>
      </c>
      <c r="J1602" s="50" t="e">
        <f t="shared" si="287"/>
        <v>#N/A</v>
      </c>
      <c r="K1602" s="50"/>
      <c r="L1602" s="267" t="e">
        <f>INDEX('calcolo base'!$H:$H, MATCH($A1602, 'calcolo base'!$A:$A, 0))</f>
        <v>#N/A</v>
      </c>
      <c r="M1602" s="50" t="e">
        <f t="shared" si="288"/>
        <v>#N/A</v>
      </c>
      <c r="N1602" s="50" t="e">
        <f t="shared" si="289"/>
        <v>#N/A</v>
      </c>
      <c r="O1602" s="50" t="e">
        <f t="shared" si="294"/>
        <v>#N/A</v>
      </c>
      <c r="P1602" s="50" t="e">
        <f t="shared" si="290"/>
        <v>#N/A</v>
      </c>
      <c r="Q1602" s="51" t="e">
        <f t="shared" si="291"/>
        <v>#N/A</v>
      </c>
      <c r="R1602" s="205" t="e">
        <f t="shared" si="292"/>
        <v>#N/A</v>
      </c>
      <c r="S1602" s="279" t="e">
        <f>IF(R1602="si",0,IF(E1602="si",0,IF(J1602&gt;K1602,0,+K1602-J1602)))+IF('calcolo base'!P2294="SI",('Commissioni De Angeli'!K1602-'Commissioni De Angeli'!J1602),0)</f>
        <v>#N/A</v>
      </c>
      <c r="T1602" s="117" t="e">
        <f t="shared" si="293"/>
        <v>#N/A</v>
      </c>
      <c r="U1602" s="272" t="e">
        <f>IF(Q1602=0,'calcolo base'!L4201,(T1602+Q1602))</f>
        <v>#N/A</v>
      </c>
      <c r="V1602" s="119"/>
      <c r="Z1602" s="118">
        <f t="shared" si="284"/>
        <v>0</v>
      </c>
      <c r="AA1602" s="118">
        <f t="shared" si="285"/>
        <v>0</v>
      </c>
    </row>
    <row r="1603" spans="2:27">
      <c r="B1603" s="47"/>
      <c r="C1603" s="35"/>
      <c r="D1603" s="53"/>
      <c r="E1603" s="53"/>
      <c r="F1603" s="48"/>
      <c r="G1603" s="243" t="e">
        <f>INDEX('calcolo base'!$B:$B, MATCH($A1603, 'calcolo base'!$A:$A, 0))</f>
        <v>#N/A</v>
      </c>
      <c r="H1603" s="54" t="e">
        <f t="shared" si="286"/>
        <v>#N/A</v>
      </c>
      <c r="I1603" s="259" t="e">
        <f>IF(  OR(      INDEX('calcolo base'!$D:$D, MATCH($A1603, 'calcolo base'!$A:$A, 0)) = 0,
      INDEX('calcolo base'!$D:$D, MATCH($A1603, 'calcolo base'!$A:$A, 0)) = ""   ),
   INDEX('calcolo base'!$K:$K, MATCH($A1603, 'calcolo base'!$A:$A, 0)),
   INDEX('calcolo base'!$J:$J, MATCH($A1603, 'calcolo base'!$A:$A, 0))
) / 1000</f>
        <v>#N/A</v>
      </c>
      <c r="J1603" s="50" t="e">
        <f t="shared" si="287"/>
        <v>#N/A</v>
      </c>
      <c r="K1603" s="50"/>
      <c r="L1603" s="267" t="e">
        <f>INDEX('calcolo base'!$H:$H, MATCH($A1603, 'calcolo base'!$A:$A, 0))</f>
        <v>#N/A</v>
      </c>
      <c r="M1603" s="50" t="e">
        <f t="shared" si="288"/>
        <v>#N/A</v>
      </c>
      <c r="N1603" s="50" t="e">
        <f t="shared" si="289"/>
        <v>#N/A</v>
      </c>
      <c r="O1603" s="50" t="e">
        <f t="shared" si="294"/>
        <v>#N/A</v>
      </c>
      <c r="P1603" s="50" t="e">
        <f t="shared" si="290"/>
        <v>#N/A</v>
      </c>
      <c r="Q1603" s="51" t="e">
        <f t="shared" si="291"/>
        <v>#N/A</v>
      </c>
      <c r="R1603" s="205" t="e">
        <f t="shared" si="292"/>
        <v>#N/A</v>
      </c>
      <c r="S1603" s="279" t="e">
        <f>IF(R1603="si",0,IF(E1603="si",0,IF(J1603&gt;K1603,0,+K1603-J1603)))+IF('calcolo base'!P2295="SI",('Commissioni De Angeli'!K1603-'Commissioni De Angeli'!J1603),0)</f>
        <v>#N/A</v>
      </c>
      <c r="T1603" s="117" t="e">
        <f t="shared" si="293"/>
        <v>#N/A</v>
      </c>
      <c r="U1603" s="272" t="e">
        <f>IF(Q1603=0,'calcolo base'!L4202,(T1603+Q1603))</f>
        <v>#N/A</v>
      </c>
      <c r="V1603" s="119"/>
      <c r="Z1603" s="118">
        <f t="shared" si="284"/>
        <v>0</v>
      </c>
      <c r="AA1603" s="118">
        <f t="shared" si="285"/>
        <v>0</v>
      </c>
    </row>
    <row r="1604" spans="2:27">
      <c r="B1604" s="47"/>
      <c r="C1604" s="35"/>
      <c r="D1604" s="53"/>
      <c r="E1604" s="53"/>
      <c r="F1604" s="48"/>
      <c r="G1604" s="243" t="e">
        <f>INDEX('calcolo base'!$B:$B, MATCH($A1604, 'calcolo base'!$A:$A, 0))</f>
        <v>#N/A</v>
      </c>
      <c r="H1604" s="54" t="e">
        <f t="shared" si="286"/>
        <v>#N/A</v>
      </c>
      <c r="I1604" s="259" t="e">
        <f>IF(  OR(      INDEX('calcolo base'!$D:$D, MATCH($A1604, 'calcolo base'!$A:$A, 0)) = 0,
      INDEX('calcolo base'!$D:$D, MATCH($A1604, 'calcolo base'!$A:$A, 0)) = ""   ),
   INDEX('calcolo base'!$K:$K, MATCH($A1604, 'calcolo base'!$A:$A, 0)),
   INDEX('calcolo base'!$J:$J, MATCH($A1604, 'calcolo base'!$A:$A, 0))
) / 1000</f>
        <v>#N/A</v>
      </c>
      <c r="J1604" s="50" t="e">
        <f t="shared" si="287"/>
        <v>#N/A</v>
      </c>
      <c r="K1604" s="50"/>
      <c r="L1604" s="267" t="e">
        <f>INDEX('calcolo base'!$H:$H, MATCH($A1604, 'calcolo base'!$A:$A, 0))</f>
        <v>#N/A</v>
      </c>
      <c r="M1604" s="50" t="e">
        <f t="shared" si="288"/>
        <v>#N/A</v>
      </c>
      <c r="N1604" s="50" t="e">
        <f t="shared" si="289"/>
        <v>#N/A</v>
      </c>
      <c r="O1604" s="50" t="e">
        <f t="shared" si="294"/>
        <v>#N/A</v>
      </c>
      <c r="P1604" s="50" t="e">
        <f t="shared" si="290"/>
        <v>#N/A</v>
      </c>
      <c r="Q1604" s="51" t="e">
        <f t="shared" si="291"/>
        <v>#N/A</v>
      </c>
      <c r="R1604" s="205" t="e">
        <f t="shared" si="292"/>
        <v>#N/A</v>
      </c>
      <c r="S1604" s="279" t="e">
        <f>IF(R1604="si",0,IF(E1604="si",0,IF(J1604&gt;K1604,0,+K1604-J1604)))+IF('calcolo base'!P2296="SI",('Commissioni De Angeli'!K1604-'Commissioni De Angeli'!J1604),0)</f>
        <v>#N/A</v>
      </c>
      <c r="T1604" s="117" t="e">
        <f t="shared" si="293"/>
        <v>#N/A</v>
      </c>
      <c r="U1604" s="272" t="e">
        <f>IF(Q1604=0,'calcolo base'!L4203,(T1604+Q1604))</f>
        <v>#N/A</v>
      </c>
      <c r="V1604" s="119"/>
      <c r="Z1604" s="118">
        <f t="shared" si="284"/>
        <v>0</v>
      </c>
      <c r="AA1604" s="118">
        <f t="shared" si="285"/>
        <v>0</v>
      </c>
    </row>
    <row r="1605" spans="2:27">
      <c r="B1605" s="47"/>
      <c r="C1605" s="35"/>
      <c r="D1605" s="53"/>
      <c r="E1605" s="53"/>
      <c r="F1605" s="48"/>
      <c r="G1605" s="243" t="e">
        <f>INDEX('calcolo base'!$B:$B, MATCH($A1605, 'calcolo base'!$A:$A, 0))</f>
        <v>#N/A</v>
      </c>
      <c r="H1605" s="54" t="e">
        <f t="shared" si="286"/>
        <v>#N/A</v>
      </c>
      <c r="I1605" s="259" t="e">
        <f>IF(  OR(      INDEX('calcolo base'!$D:$D, MATCH($A1605, 'calcolo base'!$A:$A, 0)) = 0,
      INDEX('calcolo base'!$D:$D, MATCH($A1605, 'calcolo base'!$A:$A, 0)) = ""   ),
   INDEX('calcolo base'!$K:$K, MATCH($A1605, 'calcolo base'!$A:$A, 0)),
   INDEX('calcolo base'!$J:$J, MATCH($A1605, 'calcolo base'!$A:$A, 0))
) / 1000</f>
        <v>#N/A</v>
      </c>
      <c r="J1605" s="50" t="e">
        <f t="shared" si="287"/>
        <v>#N/A</v>
      </c>
      <c r="K1605" s="50"/>
      <c r="L1605" s="267" t="e">
        <f>INDEX('calcolo base'!$H:$H, MATCH($A1605, 'calcolo base'!$A:$A, 0))</f>
        <v>#N/A</v>
      </c>
      <c r="M1605" s="50" t="e">
        <f t="shared" si="288"/>
        <v>#N/A</v>
      </c>
      <c r="N1605" s="50" t="e">
        <f t="shared" si="289"/>
        <v>#N/A</v>
      </c>
      <c r="O1605" s="50" t="e">
        <f t="shared" si="294"/>
        <v>#N/A</v>
      </c>
      <c r="P1605" s="50" t="e">
        <f t="shared" si="290"/>
        <v>#N/A</v>
      </c>
      <c r="Q1605" s="51" t="e">
        <f t="shared" si="291"/>
        <v>#N/A</v>
      </c>
      <c r="R1605" s="205" t="e">
        <f t="shared" si="292"/>
        <v>#N/A</v>
      </c>
      <c r="S1605" s="279" t="e">
        <f>IF(R1605="si",0,IF(E1605="si",0,IF(J1605&gt;K1605,0,+K1605-J1605)))+IF('calcolo base'!P2297="SI",('Commissioni De Angeli'!K1605-'Commissioni De Angeli'!J1605),0)</f>
        <v>#N/A</v>
      </c>
      <c r="T1605" s="117" t="e">
        <f t="shared" si="293"/>
        <v>#N/A</v>
      </c>
      <c r="U1605" s="272" t="e">
        <f>IF(Q1605=0,'calcolo base'!L4204,(T1605+Q1605))</f>
        <v>#N/A</v>
      </c>
      <c r="V1605" s="119"/>
      <c r="Z1605" s="118">
        <f t="shared" si="284"/>
        <v>0</v>
      </c>
      <c r="AA1605" s="118">
        <f t="shared" si="285"/>
        <v>0</v>
      </c>
    </row>
    <row r="1606" spans="2:27">
      <c r="B1606" s="47"/>
      <c r="C1606" s="35"/>
      <c r="D1606" s="53"/>
      <c r="E1606" s="53"/>
      <c r="F1606" s="48"/>
      <c r="G1606" s="243" t="e">
        <f>INDEX('calcolo base'!$B:$B, MATCH($A1606, 'calcolo base'!$A:$A, 0))</f>
        <v>#N/A</v>
      </c>
      <c r="H1606" s="54" t="e">
        <f t="shared" si="286"/>
        <v>#N/A</v>
      </c>
      <c r="I1606" s="259" t="e">
        <f>IF(  OR(      INDEX('calcolo base'!$D:$D, MATCH($A1606, 'calcolo base'!$A:$A, 0)) = 0,
      INDEX('calcolo base'!$D:$D, MATCH($A1606, 'calcolo base'!$A:$A, 0)) = ""   ),
   INDEX('calcolo base'!$K:$K, MATCH($A1606, 'calcolo base'!$A:$A, 0)),
   INDEX('calcolo base'!$J:$J, MATCH($A1606, 'calcolo base'!$A:$A, 0))
) / 1000</f>
        <v>#N/A</v>
      </c>
      <c r="J1606" s="50" t="e">
        <f t="shared" si="287"/>
        <v>#N/A</v>
      </c>
      <c r="K1606" s="50"/>
      <c r="L1606" s="267" t="e">
        <f>INDEX('calcolo base'!$H:$H, MATCH($A1606, 'calcolo base'!$A:$A, 0))</f>
        <v>#N/A</v>
      </c>
      <c r="M1606" s="50" t="e">
        <f t="shared" si="288"/>
        <v>#N/A</v>
      </c>
      <c r="N1606" s="50" t="e">
        <f t="shared" si="289"/>
        <v>#N/A</v>
      </c>
      <c r="O1606" s="50" t="e">
        <f t="shared" si="294"/>
        <v>#N/A</v>
      </c>
      <c r="P1606" s="50" t="e">
        <f t="shared" si="290"/>
        <v>#N/A</v>
      </c>
      <c r="Q1606" s="51" t="e">
        <f t="shared" si="291"/>
        <v>#N/A</v>
      </c>
      <c r="R1606" s="205" t="e">
        <f t="shared" si="292"/>
        <v>#N/A</v>
      </c>
      <c r="S1606" s="279" t="e">
        <f>IF(R1606="si",0,IF(E1606="si",0,IF(J1606&gt;K1606,0,+K1606-J1606)))+IF('calcolo base'!P2298="SI",('Commissioni De Angeli'!K1606-'Commissioni De Angeli'!J1606),0)</f>
        <v>#N/A</v>
      </c>
      <c r="T1606" s="117" t="e">
        <f t="shared" si="293"/>
        <v>#N/A</v>
      </c>
      <c r="U1606" s="272" t="e">
        <f>IF(Q1606=0,'calcolo base'!L4205,(T1606+Q1606))</f>
        <v>#N/A</v>
      </c>
      <c r="V1606" s="119"/>
      <c r="Z1606" s="118">
        <f t="shared" si="284"/>
        <v>0</v>
      </c>
      <c r="AA1606" s="118">
        <f t="shared" si="285"/>
        <v>0</v>
      </c>
    </row>
    <row r="1607" spans="2:27">
      <c r="B1607" s="47"/>
      <c r="C1607" s="35"/>
      <c r="D1607" s="53"/>
      <c r="E1607" s="53"/>
      <c r="F1607" s="48"/>
      <c r="G1607" s="243" t="e">
        <f>INDEX('calcolo base'!$B:$B, MATCH($A1607, 'calcolo base'!$A:$A, 0))</f>
        <v>#N/A</v>
      </c>
      <c r="H1607" s="54" t="e">
        <f t="shared" si="286"/>
        <v>#N/A</v>
      </c>
      <c r="I1607" s="259" t="e">
        <f>IF(  OR(      INDEX('calcolo base'!$D:$D, MATCH($A1607, 'calcolo base'!$A:$A, 0)) = 0,
      INDEX('calcolo base'!$D:$D, MATCH($A1607, 'calcolo base'!$A:$A, 0)) = ""   ),
   INDEX('calcolo base'!$K:$K, MATCH($A1607, 'calcolo base'!$A:$A, 0)),
   INDEX('calcolo base'!$J:$J, MATCH($A1607, 'calcolo base'!$A:$A, 0))
) / 1000</f>
        <v>#N/A</v>
      </c>
      <c r="J1607" s="50" t="e">
        <f t="shared" si="287"/>
        <v>#N/A</v>
      </c>
      <c r="K1607" s="50"/>
      <c r="L1607" s="267" t="e">
        <f>INDEX('calcolo base'!$H:$H, MATCH($A1607, 'calcolo base'!$A:$A, 0))</f>
        <v>#N/A</v>
      </c>
      <c r="M1607" s="50" t="e">
        <f t="shared" si="288"/>
        <v>#N/A</v>
      </c>
      <c r="N1607" s="50" t="e">
        <f t="shared" si="289"/>
        <v>#N/A</v>
      </c>
      <c r="O1607" s="50" t="e">
        <f t="shared" si="294"/>
        <v>#N/A</v>
      </c>
      <c r="P1607" s="50" t="e">
        <f t="shared" si="290"/>
        <v>#N/A</v>
      </c>
      <c r="Q1607" s="51" t="e">
        <f t="shared" si="291"/>
        <v>#N/A</v>
      </c>
      <c r="R1607" s="205" t="e">
        <f t="shared" si="292"/>
        <v>#N/A</v>
      </c>
      <c r="S1607" s="279" t="e">
        <f>IF(R1607="si",0,IF(E1607="si",0,IF(J1607&gt;K1607,0,+K1607-J1607)))+IF('calcolo base'!P2299="SI",('Commissioni De Angeli'!K1607-'Commissioni De Angeli'!J1607),0)</f>
        <v>#N/A</v>
      </c>
      <c r="T1607" s="117" t="e">
        <f t="shared" si="293"/>
        <v>#N/A</v>
      </c>
      <c r="U1607" s="272" t="e">
        <f>IF(Q1607=0,'calcolo base'!L4206,(T1607+Q1607))</f>
        <v>#N/A</v>
      </c>
      <c r="V1607" s="119"/>
      <c r="Z1607" s="118">
        <f t="shared" si="284"/>
        <v>0</v>
      </c>
      <c r="AA1607" s="118">
        <f t="shared" si="285"/>
        <v>0</v>
      </c>
    </row>
    <row r="1608" spans="2:27">
      <c r="B1608" s="47"/>
      <c r="C1608" s="35"/>
      <c r="D1608" s="53"/>
      <c r="E1608" s="53"/>
      <c r="F1608" s="48"/>
      <c r="G1608" s="243" t="e">
        <f>INDEX('calcolo base'!$B:$B, MATCH($A1608, 'calcolo base'!$A:$A, 0))</f>
        <v>#N/A</v>
      </c>
      <c r="H1608" s="54" t="e">
        <f t="shared" si="286"/>
        <v>#N/A</v>
      </c>
      <c r="I1608" s="259" t="e">
        <f>IF(  OR(      INDEX('calcolo base'!$D:$D, MATCH($A1608, 'calcolo base'!$A:$A, 0)) = 0,
      INDEX('calcolo base'!$D:$D, MATCH($A1608, 'calcolo base'!$A:$A, 0)) = ""   ),
   INDEX('calcolo base'!$K:$K, MATCH($A1608, 'calcolo base'!$A:$A, 0)),
   INDEX('calcolo base'!$J:$J, MATCH($A1608, 'calcolo base'!$A:$A, 0))
) / 1000</f>
        <v>#N/A</v>
      </c>
      <c r="J1608" s="50" t="e">
        <f t="shared" si="287"/>
        <v>#N/A</v>
      </c>
      <c r="K1608" s="50"/>
      <c r="L1608" s="267" t="e">
        <f>INDEX('calcolo base'!$H:$H, MATCH($A1608, 'calcolo base'!$A:$A, 0))</f>
        <v>#N/A</v>
      </c>
      <c r="M1608" s="50" t="e">
        <f t="shared" si="288"/>
        <v>#N/A</v>
      </c>
      <c r="N1608" s="50" t="e">
        <f t="shared" si="289"/>
        <v>#N/A</v>
      </c>
      <c r="O1608" s="50" t="e">
        <f t="shared" si="294"/>
        <v>#N/A</v>
      </c>
      <c r="P1608" s="50" t="e">
        <f t="shared" si="290"/>
        <v>#N/A</v>
      </c>
      <c r="Q1608" s="51" t="e">
        <f t="shared" si="291"/>
        <v>#N/A</v>
      </c>
      <c r="R1608" s="205" t="e">
        <f t="shared" si="292"/>
        <v>#N/A</v>
      </c>
      <c r="S1608" s="279" t="e">
        <f>IF(R1608="si",0,IF(E1608="si",0,IF(J1608&gt;K1608,0,+K1608-J1608)))+IF('calcolo base'!P2300="SI",('Commissioni De Angeli'!K1608-'Commissioni De Angeli'!J1608),0)</f>
        <v>#N/A</v>
      </c>
      <c r="T1608" s="117" t="e">
        <f t="shared" si="293"/>
        <v>#N/A</v>
      </c>
      <c r="U1608" s="272" t="e">
        <f>IF(Q1608=0,'calcolo base'!L4207,(T1608+Q1608))</f>
        <v>#N/A</v>
      </c>
      <c r="V1608" s="119"/>
      <c r="Z1608" s="118">
        <f t="shared" si="284"/>
        <v>0</v>
      </c>
      <c r="AA1608" s="118">
        <f t="shared" si="285"/>
        <v>0</v>
      </c>
    </row>
    <row r="1609" spans="2:27">
      <c r="B1609" s="47"/>
      <c r="C1609" s="35"/>
      <c r="D1609" s="53"/>
      <c r="E1609" s="53"/>
      <c r="F1609" s="48"/>
      <c r="G1609" s="243" t="e">
        <f>INDEX('calcolo base'!$B:$B, MATCH($A1609, 'calcolo base'!$A:$A, 0))</f>
        <v>#N/A</v>
      </c>
      <c r="H1609" s="54" t="e">
        <f t="shared" si="286"/>
        <v>#N/A</v>
      </c>
      <c r="I1609" s="259" t="e">
        <f>IF(  OR(      INDEX('calcolo base'!$D:$D, MATCH($A1609, 'calcolo base'!$A:$A, 0)) = 0,
      INDEX('calcolo base'!$D:$D, MATCH($A1609, 'calcolo base'!$A:$A, 0)) = ""   ),
   INDEX('calcolo base'!$K:$K, MATCH($A1609, 'calcolo base'!$A:$A, 0)),
   INDEX('calcolo base'!$J:$J, MATCH($A1609, 'calcolo base'!$A:$A, 0))
) / 1000</f>
        <v>#N/A</v>
      </c>
      <c r="J1609" s="50" t="e">
        <f t="shared" si="287"/>
        <v>#N/A</v>
      </c>
      <c r="K1609" s="50"/>
      <c r="L1609" s="267" t="e">
        <f>INDEX('calcolo base'!$H:$H, MATCH($A1609, 'calcolo base'!$A:$A, 0))</f>
        <v>#N/A</v>
      </c>
      <c r="M1609" s="50" t="e">
        <f t="shared" si="288"/>
        <v>#N/A</v>
      </c>
      <c r="N1609" s="50" t="e">
        <f t="shared" si="289"/>
        <v>#N/A</v>
      </c>
      <c r="O1609" s="50" t="e">
        <f t="shared" si="294"/>
        <v>#N/A</v>
      </c>
      <c r="P1609" s="50" t="e">
        <f t="shared" si="290"/>
        <v>#N/A</v>
      </c>
      <c r="Q1609" s="51" t="e">
        <f t="shared" si="291"/>
        <v>#N/A</v>
      </c>
      <c r="R1609" s="205" t="e">
        <f t="shared" si="292"/>
        <v>#N/A</v>
      </c>
      <c r="S1609" s="279" t="e">
        <f>IF(R1609="si",0,IF(E1609="si",0,IF(J1609&gt;K1609,0,+K1609-J1609)))+IF('calcolo base'!P2301="SI",('Commissioni De Angeli'!K1609-'Commissioni De Angeli'!J1609),0)</f>
        <v>#N/A</v>
      </c>
      <c r="T1609" s="117" t="e">
        <f t="shared" si="293"/>
        <v>#N/A</v>
      </c>
      <c r="U1609" s="272" t="e">
        <f>IF(Q1609=0,'calcolo base'!L4208,(T1609+Q1609))</f>
        <v>#N/A</v>
      </c>
      <c r="V1609" s="119"/>
      <c r="Z1609" s="118">
        <f t="shared" si="284"/>
        <v>0</v>
      </c>
      <c r="AA1609" s="118">
        <f t="shared" si="285"/>
        <v>0</v>
      </c>
    </row>
    <row r="1610" spans="2:27">
      <c r="B1610" s="47"/>
      <c r="C1610" s="35"/>
      <c r="D1610" s="53"/>
      <c r="E1610" s="53"/>
      <c r="F1610" s="48"/>
      <c r="G1610" s="243" t="e">
        <f>INDEX('calcolo base'!$B:$B, MATCH($A1610, 'calcolo base'!$A:$A, 0))</f>
        <v>#N/A</v>
      </c>
      <c r="H1610" s="54" t="e">
        <f t="shared" si="286"/>
        <v>#N/A</v>
      </c>
      <c r="I1610" s="259" t="e">
        <f>IF(  OR(      INDEX('calcolo base'!$D:$D, MATCH($A1610, 'calcolo base'!$A:$A, 0)) = 0,
      INDEX('calcolo base'!$D:$D, MATCH($A1610, 'calcolo base'!$A:$A, 0)) = ""   ),
   INDEX('calcolo base'!$K:$K, MATCH($A1610, 'calcolo base'!$A:$A, 0)),
   INDEX('calcolo base'!$J:$J, MATCH($A1610, 'calcolo base'!$A:$A, 0))
) / 1000</f>
        <v>#N/A</v>
      </c>
      <c r="J1610" s="50" t="e">
        <f t="shared" si="287"/>
        <v>#N/A</v>
      </c>
      <c r="K1610" s="50"/>
      <c r="L1610" s="267" t="e">
        <f>INDEX('calcolo base'!$H:$H, MATCH($A1610, 'calcolo base'!$A:$A, 0))</f>
        <v>#N/A</v>
      </c>
      <c r="M1610" s="50" t="e">
        <f t="shared" si="288"/>
        <v>#N/A</v>
      </c>
      <c r="N1610" s="50" t="e">
        <f t="shared" si="289"/>
        <v>#N/A</v>
      </c>
      <c r="O1610" s="50" t="e">
        <f t="shared" si="294"/>
        <v>#N/A</v>
      </c>
      <c r="P1610" s="50" t="e">
        <f t="shared" si="290"/>
        <v>#N/A</v>
      </c>
      <c r="Q1610" s="51" t="e">
        <f t="shared" si="291"/>
        <v>#N/A</v>
      </c>
      <c r="R1610" s="205" t="e">
        <f t="shared" si="292"/>
        <v>#N/A</v>
      </c>
      <c r="S1610" s="279" t="e">
        <f>IF(R1610="si",0,IF(E1610="si",0,IF(J1610&gt;K1610,0,+K1610-J1610)))+IF('calcolo base'!P2302="SI",('Commissioni De Angeli'!K1610-'Commissioni De Angeli'!J1610),0)</f>
        <v>#N/A</v>
      </c>
      <c r="T1610" s="117" t="e">
        <f t="shared" si="293"/>
        <v>#N/A</v>
      </c>
      <c r="U1610" s="272" t="e">
        <f>IF(Q1610=0,'calcolo base'!L4209,(T1610+Q1610))</f>
        <v>#N/A</v>
      </c>
      <c r="V1610" s="119"/>
      <c r="Z1610" s="118">
        <f t="shared" si="284"/>
        <v>0</v>
      </c>
      <c r="AA1610" s="118">
        <f t="shared" si="285"/>
        <v>0</v>
      </c>
    </row>
    <row r="1611" spans="2:27">
      <c r="B1611" s="47"/>
      <c r="C1611" s="35"/>
      <c r="D1611" s="53"/>
      <c r="E1611" s="53"/>
      <c r="F1611" s="48"/>
      <c r="G1611" s="243" t="e">
        <f>INDEX('calcolo base'!$B:$B, MATCH($A1611, 'calcolo base'!$A:$A, 0))</f>
        <v>#N/A</v>
      </c>
      <c r="H1611" s="54" t="e">
        <f t="shared" si="286"/>
        <v>#N/A</v>
      </c>
      <c r="I1611" s="259" t="e">
        <f>IF(  OR(      INDEX('calcolo base'!$D:$D, MATCH($A1611, 'calcolo base'!$A:$A, 0)) = 0,
      INDEX('calcolo base'!$D:$D, MATCH($A1611, 'calcolo base'!$A:$A, 0)) = ""   ),
   INDEX('calcolo base'!$K:$K, MATCH($A1611, 'calcolo base'!$A:$A, 0)),
   INDEX('calcolo base'!$J:$J, MATCH($A1611, 'calcolo base'!$A:$A, 0))
) / 1000</f>
        <v>#N/A</v>
      </c>
      <c r="J1611" s="50" t="e">
        <f t="shared" si="287"/>
        <v>#N/A</v>
      </c>
      <c r="K1611" s="50"/>
      <c r="L1611" s="267" t="e">
        <f>INDEX('calcolo base'!$H:$H, MATCH($A1611, 'calcolo base'!$A:$A, 0))</f>
        <v>#N/A</v>
      </c>
      <c r="M1611" s="50" t="e">
        <f t="shared" si="288"/>
        <v>#N/A</v>
      </c>
      <c r="N1611" s="50" t="e">
        <f t="shared" si="289"/>
        <v>#N/A</v>
      </c>
      <c r="O1611" s="50" t="e">
        <f t="shared" si="294"/>
        <v>#N/A</v>
      </c>
      <c r="P1611" s="50" t="e">
        <f t="shared" si="290"/>
        <v>#N/A</v>
      </c>
      <c r="Q1611" s="51" t="e">
        <f t="shared" si="291"/>
        <v>#N/A</v>
      </c>
      <c r="R1611" s="205" t="e">
        <f t="shared" si="292"/>
        <v>#N/A</v>
      </c>
      <c r="S1611" s="279" t="e">
        <f>IF(R1611="si",0,IF(E1611="si",0,IF(J1611&gt;K1611,0,+K1611-J1611)))+IF('calcolo base'!P2303="SI",('Commissioni De Angeli'!K1611-'Commissioni De Angeli'!J1611),0)</f>
        <v>#N/A</v>
      </c>
      <c r="T1611" s="117" t="e">
        <f t="shared" si="293"/>
        <v>#N/A</v>
      </c>
      <c r="U1611" s="272" t="e">
        <f>IF(Q1611=0,'calcolo base'!L4210,(T1611+Q1611))</f>
        <v>#N/A</v>
      </c>
      <c r="V1611" s="119"/>
      <c r="Z1611" s="118">
        <f t="shared" si="284"/>
        <v>0</v>
      </c>
      <c r="AA1611" s="118">
        <f t="shared" si="285"/>
        <v>0</v>
      </c>
    </row>
    <row r="1612" spans="2:27">
      <c r="B1612" s="47"/>
      <c r="C1612" s="35"/>
      <c r="D1612" s="53"/>
      <c r="E1612" s="53"/>
      <c r="F1612" s="48"/>
      <c r="G1612" s="243" t="e">
        <f>INDEX('calcolo base'!$B:$B, MATCH($A1612, 'calcolo base'!$A:$A, 0))</f>
        <v>#N/A</v>
      </c>
      <c r="H1612" s="54" t="e">
        <f t="shared" si="286"/>
        <v>#N/A</v>
      </c>
      <c r="I1612" s="259" t="e">
        <f>IF(  OR(      INDEX('calcolo base'!$D:$D, MATCH($A1612, 'calcolo base'!$A:$A, 0)) = 0,
      INDEX('calcolo base'!$D:$D, MATCH($A1612, 'calcolo base'!$A:$A, 0)) = ""   ),
   INDEX('calcolo base'!$K:$K, MATCH($A1612, 'calcolo base'!$A:$A, 0)),
   INDEX('calcolo base'!$J:$J, MATCH($A1612, 'calcolo base'!$A:$A, 0))
) / 1000</f>
        <v>#N/A</v>
      </c>
      <c r="J1612" s="50" t="e">
        <f t="shared" si="287"/>
        <v>#N/A</v>
      </c>
      <c r="K1612" s="50"/>
      <c r="L1612" s="267" t="e">
        <f>INDEX('calcolo base'!$H:$H, MATCH($A1612, 'calcolo base'!$A:$A, 0))</f>
        <v>#N/A</v>
      </c>
      <c r="M1612" s="50" t="e">
        <f t="shared" si="288"/>
        <v>#N/A</v>
      </c>
      <c r="N1612" s="50" t="e">
        <f t="shared" si="289"/>
        <v>#N/A</v>
      </c>
      <c r="O1612" s="50" t="e">
        <f t="shared" si="294"/>
        <v>#N/A</v>
      </c>
      <c r="P1612" s="50" t="e">
        <f t="shared" si="290"/>
        <v>#N/A</v>
      </c>
      <c r="Q1612" s="51" t="e">
        <f t="shared" si="291"/>
        <v>#N/A</v>
      </c>
      <c r="R1612" s="205" t="e">
        <f t="shared" si="292"/>
        <v>#N/A</v>
      </c>
      <c r="S1612" s="279" t="e">
        <f>IF(R1612="si",0,IF(E1612="si",0,IF(J1612&gt;K1612,0,+K1612-J1612)))+IF('calcolo base'!P2304="SI",('Commissioni De Angeli'!K1612-'Commissioni De Angeli'!J1612),0)</f>
        <v>#N/A</v>
      </c>
      <c r="T1612" s="117" t="e">
        <f t="shared" si="293"/>
        <v>#N/A</v>
      </c>
      <c r="U1612" s="272" t="e">
        <f>IF(Q1612=0,'calcolo base'!L4211,(T1612+Q1612))</f>
        <v>#N/A</v>
      </c>
      <c r="V1612" s="119"/>
      <c r="Z1612" s="118">
        <f t="shared" si="284"/>
        <v>0</v>
      </c>
      <c r="AA1612" s="118">
        <f t="shared" si="285"/>
        <v>0</v>
      </c>
    </row>
    <row r="1613" spans="2:27">
      <c r="B1613" s="47"/>
      <c r="C1613" s="35"/>
      <c r="D1613" s="53"/>
      <c r="E1613" s="53"/>
      <c r="F1613" s="48"/>
      <c r="G1613" s="243" t="e">
        <f>INDEX('calcolo base'!$B:$B, MATCH($A1613, 'calcolo base'!$A:$A, 0))</f>
        <v>#N/A</v>
      </c>
      <c r="H1613" s="54" t="e">
        <f t="shared" si="286"/>
        <v>#N/A</v>
      </c>
      <c r="I1613" s="259" t="e">
        <f>IF(  OR(      INDEX('calcolo base'!$D:$D, MATCH($A1613, 'calcolo base'!$A:$A, 0)) = 0,
      INDEX('calcolo base'!$D:$D, MATCH($A1613, 'calcolo base'!$A:$A, 0)) = ""   ),
   INDEX('calcolo base'!$K:$K, MATCH($A1613, 'calcolo base'!$A:$A, 0)),
   INDEX('calcolo base'!$J:$J, MATCH($A1613, 'calcolo base'!$A:$A, 0))
) / 1000</f>
        <v>#N/A</v>
      </c>
      <c r="J1613" s="50" t="e">
        <f t="shared" si="287"/>
        <v>#N/A</v>
      </c>
      <c r="K1613" s="50"/>
      <c r="L1613" s="267" t="e">
        <f>INDEX('calcolo base'!$H:$H, MATCH($A1613, 'calcolo base'!$A:$A, 0))</f>
        <v>#N/A</v>
      </c>
      <c r="M1613" s="50" t="e">
        <f t="shared" si="288"/>
        <v>#N/A</v>
      </c>
      <c r="N1613" s="50" t="e">
        <f t="shared" si="289"/>
        <v>#N/A</v>
      </c>
      <c r="O1613" s="50" t="e">
        <f t="shared" si="294"/>
        <v>#N/A</v>
      </c>
      <c r="P1613" s="50" t="e">
        <f t="shared" si="290"/>
        <v>#N/A</v>
      </c>
      <c r="Q1613" s="51" t="e">
        <f t="shared" si="291"/>
        <v>#N/A</v>
      </c>
      <c r="R1613" s="205" t="e">
        <f t="shared" si="292"/>
        <v>#N/A</v>
      </c>
      <c r="S1613" s="279" t="e">
        <f>IF(R1613="si",0,IF(E1613="si",0,IF(J1613&gt;K1613,0,+K1613-J1613)))+IF('calcolo base'!P2305="SI",('Commissioni De Angeli'!K1613-'Commissioni De Angeli'!J1613),0)</f>
        <v>#N/A</v>
      </c>
      <c r="T1613" s="117" t="e">
        <f t="shared" si="293"/>
        <v>#N/A</v>
      </c>
      <c r="U1613" s="272" t="e">
        <f>IF(Q1613=0,'calcolo base'!L4212,(T1613+Q1613))</f>
        <v>#N/A</v>
      </c>
      <c r="V1613" s="119"/>
      <c r="Z1613" s="118">
        <f t="shared" si="284"/>
        <v>0</v>
      </c>
      <c r="AA1613" s="118">
        <f t="shared" si="285"/>
        <v>0</v>
      </c>
    </row>
    <row r="1614" spans="2:27">
      <c r="B1614" s="47"/>
      <c r="C1614" s="35"/>
      <c r="D1614" s="53"/>
      <c r="E1614" s="53"/>
      <c r="F1614" s="48"/>
      <c r="G1614" s="243" t="e">
        <f>INDEX('calcolo base'!$B:$B, MATCH($A1614, 'calcolo base'!$A:$A, 0))</f>
        <v>#N/A</v>
      </c>
      <c r="H1614" s="54" t="e">
        <f t="shared" si="286"/>
        <v>#N/A</v>
      </c>
      <c r="I1614" s="259" t="e">
        <f>IF(  OR(      INDEX('calcolo base'!$D:$D, MATCH($A1614, 'calcolo base'!$A:$A, 0)) = 0,
      INDEX('calcolo base'!$D:$D, MATCH($A1614, 'calcolo base'!$A:$A, 0)) = ""   ),
   INDEX('calcolo base'!$K:$K, MATCH($A1614, 'calcolo base'!$A:$A, 0)),
   INDEX('calcolo base'!$J:$J, MATCH($A1614, 'calcolo base'!$A:$A, 0))
) / 1000</f>
        <v>#N/A</v>
      </c>
      <c r="J1614" s="50" t="e">
        <f t="shared" si="287"/>
        <v>#N/A</v>
      </c>
      <c r="K1614" s="50"/>
      <c r="L1614" s="267" t="e">
        <f>INDEX('calcolo base'!$H:$H, MATCH($A1614, 'calcolo base'!$A:$A, 0))</f>
        <v>#N/A</v>
      </c>
      <c r="M1614" s="50" t="e">
        <f t="shared" si="288"/>
        <v>#N/A</v>
      </c>
      <c r="N1614" s="50" t="e">
        <f t="shared" si="289"/>
        <v>#N/A</v>
      </c>
      <c r="O1614" s="50" t="e">
        <f t="shared" si="294"/>
        <v>#N/A</v>
      </c>
      <c r="P1614" s="50" t="e">
        <f t="shared" si="290"/>
        <v>#N/A</v>
      </c>
      <c r="Q1614" s="51" t="e">
        <f t="shared" si="291"/>
        <v>#N/A</v>
      </c>
      <c r="R1614" s="205" t="e">
        <f t="shared" si="292"/>
        <v>#N/A</v>
      </c>
      <c r="S1614" s="279" t="e">
        <f>IF(R1614="si",0,IF(E1614="si",0,IF(J1614&gt;K1614,0,+K1614-J1614)))+IF('calcolo base'!P2306="SI",('Commissioni De Angeli'!K1614-'Commissioni De Angeli'!J1614),0)</f>
        <v>#N/A</v>
      </c>
      <c r="T1614" s="117" t="e">
        <f t="shared" si="293"/>
        <v>#N/A</v>
      </c>
      <c r="U1614" s="272" t="e">
        <f>IF(Q1614=0,'calcolo base'!L4213,(T1614+Q1614))</f>
        <v>#N/A</v>
      </c>
      <c r="V1614" s="119"/>
      <c r="Z1614" s="118">
        <f t="shared" si="284"/>
        <v>0</v>
      </c>
      <c r="AA1614" s="118">
        <f t="shared" si="285"/>
        <v>0</v>
      </c>
    </row>
    <row r="1615" spans="2:27">
      <c r="B1615" s="47"/>
      <c r="C1615" s="35"/>
      <c r="D1615" s="53"/>
      <c r="E1615" s="53"/>
      <c r="F1615" s="48"/>
      <c r="G1615" s="243" t="e">
        <f>INDEX('calcolo base'!$B:$B, MATCH($A1615, 'calcolo base'!$A:$A, 0))</f>
        <v>#N/A</v>
      </c>
      <c r="H1615" s="54" t="e">
        <f t="shared" si="286"/>
        <v>#N/A</v>
      </c>
      <c r="I1615" s="259" t="e">
        <f>IF(  OR(      INDEX('calcolo base'!$D:$D, MATCH($A1615, 'calcolo base'!$A:$A, 0)) = 0,
      INDEX('calcolo base'!$D:$D, MATCH($A1615, 'calcolo base'!$A:$A, 0)) = ""   ),
   INDEX('calcolo base'!$K:$K, MATCH($A1615, 'calcolo base'!$A:$A, 0)),
   INDEX('calcolo base'!$J:$J, MATCH($A1615, 'calcolo base'!$A:$A, 0))
) / 1000</f>
        <v>#N/A</v>
      </c>
      <c r="J1615" s="50" t="e">
        <f t="shared" si="287"/>
        <v>#N/A</v>
      </c>
      <c r="K1615" s="50"/>
      <c r="L1615" s="267" t="e">
        <f>INDEX('calcolo base'!$H:$H, MATCH($A1615, 'calcolo base'!$A:$A, 0))</f>
        <v>#N/A</v>
      </c>
      <c r="M1615" s="50" t="e">
        <f t="shared" si="288"/>
        <v>#N/A</v>
      </c>
      <c r="N1615" s="50" t="e">
        <f t="shared" si="289"/>
        <v>#N/A</v>
      </c>
      <c r="O1615" s="50" t="e">
        <f t="shared" si="294"/>
        <v>#N/A</v>
      </c>
      <c r="P1615" s="50" t="e">
        <f t="shared" si="290"/>
        <v>#N/A</v>
      </c>
      <c r="Q1615" s="51" t="e">
        <f t="shared" si="291"/>
        <v>#N/A</v>
      </c>
      <c r="R1615" s="205" t="e">
        <f t="shared" si="292"/>
        <v>#N/A</v>
      </c>
      <c r="S1615" s="279" t="e">
        <f>IF(R1615="si",0,IF(E1615="si",0,IF(J1615&gt;K1615,0,+K1615-J1615)))+IF('calcolo base'!P2307="SI",('Commissioni De Angeli'!K1615-'Commissioni De Angeli'!J1615),0)</f>
        <v>#N/A</v>
      </c>
      <c r="T1615" s="117" t="e">
        <f t="shared" si="293"/>
        <v>#N/A</v>
      </c>
      <c r="U1615" s="272" t="e">
        <f>IF(Q1615=0,'calcolo base'!L4214,(T1615+Q1615))</f>
        <v>#N/A</v>
      </c>
      <c r="V1615" s="119"/>
      <c r="Z1615" s="118">
        <f t="shared" si="284"/>
        <v>0</v>
      </c>
      <c r="AA1615" s="118">
        <f t="shared" si="285"/>
        <v>0</v>
      </c>
    </row>
    <row r="1616" spans="2:27">
      <c r="B1616" s="47"/>
      <c r="C1616" s="35"/>
      <c r="D1616" s="53"/>
      <c r="E1616" s="53"/>
      <c r="F1616" s="48"/>
      <c r="G1616" s="243" t="e">
        <f>INDEX('calcolo base'!$B:$B, MATCH($A1616, 'calcolo base'!$A:$A, 0))</f>
        <v>#N/A</v>
      </c>
      <c r="H1616" s="54" t="e">
        <f t="shared" si="286"/>
        <v>#N/A</v>
      </c>
      <c r="I1616" s="259" t="e">
        <f>IF(  OR(      INDEX('calcolo base'!$D:$D, MATCH($A1616, 'calcolo base'!$A:$A, 0)) = 0,
      INDEX('calcolo base'!$D:$D, MATCH($A1616, 'calcolo base'!$A:$A, 0)) = ""   ),
   INDEX('calcolo base'!$K:$K, MATCH($A1616, 'calcolo base'!$A:$A, 0)),
   INDEX('calcolo base'!$J:$J, MATCH($A1616, 'calcolo base'!$A:$A, 0))
) / 1000</f>
        <v>#N/A</v>
      </c>
      <c r="J1616" s="50" t="e">
        <f t="shared" si="287"/>
        <v>#N/A</v>
      </c>
      <c r="K1616" s="50"/>
      <c r="L1616" s="267" t="e">
        <f>INDEX('calcolo base'!$H:$H, MATCH($A1616, 'calcolo base'!$A:$A, 0))</f>
        <v>#N/A</v>
      </c>
      <c r="M1616" s="50" t="e">
        <f t="shared" si="288"/>
        <v>#N/A</v>
      </c>
      <c r="N1616" s="50" t="e">
        <f t="shared" si="289"/>
        <v>#N/A</v>
      </c>
      <c r="O1616" s="50" t="e">
        <f t="shared" si="294"/>
        <v>#N/A</v>
      </c>
      <c r="P1616" s="50" t="e">
        <f t="shared" si="290"/>
        <v>#N/A</v>
      </c>
      <c r="Q1616" s="51" t="e">
        <f t="shared" si="291"/>
        <v>#N/A</v>
      </c>
      <c r="R1616" s="205" t="e">
        <f t="shared" si="292"/>
        <v>#N/A</v>
      </c>
      <c r="S1616" s="279" t="e">
        <f>IF(R1616="si",0,IF(E1616="si",0,IF(J1616&gt;K1616,0,+K1616-J1616)))+IF('calcolo base'!P2308="SI",('Commissioni De Angeli'!K1616-'Commissioni De Angeli'!J1616),0)</f>
        <v>#N/A</v>
      </c>
      <c r="T1616" s="117" t="e">
        <f t="shared" si="293"/>
        <v>#N/A</v>
      </c>
      <c r="U1616" s="272" t="e">
        <f>IF(Q1616=0,'calcolo base'!L4215,(T1616+Q1616))</f>
        <v>#N/A</v>
      </c>
      <c r="V1616" s="119"/>
      <c r="Z1616" s="118">
        <f t="shared" si="284"/>
        <v>0</v>
      </c>
      <c r="AA1616" s="118">
        <f t="shared" si="285"/>
        <v>0</v>
      </c>
    </row>
    <row r="1617" spans="2:27">
      <c r="B1617" s="47"/>
      <c r="C1617" s="35"/>
      <c r="D1617" s="53"/>
      <c r="E1617" s="53"/>
      <c r="F1617" s="48"/>
      <c r="G1617" s="243" t="e">
        <f>INDEX('calcolo base'!$B:$B, MATCH($A1617, 'calcolo base'!$A:$A, 0))</f>
        <v>#N/A</v>
      </c>
      <c r="H1617" s="54" t="e">
        <f t="shared" si="286"/>
        <v>#N/A</v>
      </c>
      <c r="I1617" s="259" t="e">
        <f>IF(  OR(      INDEX('calcolo base'!$D:$D, MATCH($A1617, 'calcolo base'!$A:$A, 0)) = 0,
      INDEX('calcolo base'!$D:$D, MATCH($A1617, 'calcolo base'!$A:$A, 0)) = ""   ),
   INDEX('calcolo base'!$K:$K, MATCH($A1617, 'calcolo base'!$A:$A, 0)),
   INDEX('calcolo base'!$J:$J, MATCH($A1617, 'calcolo base'!$A:$A, 0))
) / 1000</f>
        <v>#N/A</v>
      </c>
      <c r="J1617" s="50" t="e">
        <f t="shared" si="287"/>
        <v>#N/A</v>
      </c>
      <c r="K1617" s="50"/>
      <c r="L1617" s="267" t="e">
        <f>INDEX('calcolo base'!$H:$H, MATCH($A1617, 'calcolo base'!$A:$A, 0))</f>
        <v>#N/A</v>
      </c>
      <c r="M1617" s="50" t="e">
        <f t="shared" si="288"/>
        <v>#N/A</v>
      </c>
      <c r="N1617" s="50" t="e">
        <f t="shared" si="289"/>
        <v>#N/A</v>
      </c>
      <c r="O1617" s="50" t="e">
        <f t="shared" si="294"/>
        <v>#N/A</v>
      </c>
      <c r="P1617" s="50" t="e">
        <f t="shared" si="290"/>
        <v>#N/A</v>
      </c>
      <c r="Q1617" s="51" t="e">
        <f t="shared" si="291"/>
        <v>#N/A</v>
      </c>
      <c r="R1617" s="205" t="e">
        <f t="shared" si="292"/>
        <v>#N/A</v>
      </c>
      <c r="S1617" s="279" t="e">
        <f>IF(R1617="si",0,IF(E1617="si",0,IF(J1617&gt;K1617,0,+K1617-J1617)))+IF('calcolo base'!P2309="SI",('Commissioni De Angeli'!K1617-'Commissioni De Angeli'!J1617),0)</f>
        <v>#N/A</v>
      </c>
      <c r="T1617" s="117" t="e">
        <f t="shared" si="293"/>
        <v>#N/A</v>
      </c>
      <c r="U1617" s="272" t="e">
        <f>IF(Q1617=0,'calcolo base'!L4216,(T1617+Q1617))</f>
        <v>#N/A</v>
      </c>
      <c r="V1617" s="119"/>
      <c r="Z1617" s="118">
        <f t="shared" si="284"/>
        <v>0</v>
      </c>
      <c r="AA1617" s="118">
        <f t="shared" si="285"/>
        <v>0</v>
      </c>
    </row>
    <row r="1618" spans="2:27">
      <c r="B1618" s="47"/>
      <c r="C1618" s="35"/>
      <c r="D1618" s="53"/>
      <c r="E1618" s="53"/>
      <c r="F1618" s="48"/>
      <c r="G1618" s="243" t="e">
        <f>INDEX('calcolo base'!$B:$B, MATCH($A1618, 'calcolo base'!$A:$A, 0))</f>
        <v>#N/A</v>
      </c>
      <c r="H1618" s="54" t="e">
        <f t="shared" si="286"/>
        <v>#N/A</v>
      </c>
      <c r="I1618" s="259" t="e">
        <f>IF(  OR(      INDEX('calcolo base'!$D:$D, MATCH($A1618, 'calcolo base'!$A:$A, 0)) = 0,
      INDEX('calcolo base'!$D:$D, MATCH($A1618, 'calcolo base'!$A:$A, 0)) = ""   ),
   INDEX('calcolo base'!$K:$K, MATCH($A1618, 'calcolo base'!$A:$A, 0)),
   INDEX('calcolo base'!$J:$J, MATCH($A1618, 'calcolo base'!$A:$A, 0))
) / 1000</f>
        <v>#N/A</v>
      </c>
      <c r="J1618" s="50" t="e">
        <f t="shared" si="287"/>
        <v>#N/A</v>
      </c>
      <c r="K1618" s="50"/>
      <c r="L1618" s="267" t="e">
        <f>INDEX('calcolo base'!$H:$H, MATCH($A1618, 'calcolo base'!$A:$A, 0))</f>
        <v>#N/A</v>
      </c>
      <c r="M1618" s="50" t="e">
        <f t="shared" si="288"/>
        <v>#N/A</v>
      </c>
      <c r="N1618" s="50" t="e">
        <f t="shared" si="289"/>
        <v>#N/A</v>
      </c>
      <c r="O1618" s="50" t="e">
        <f t="shared" si="294"/>
        <v>#N/A</v>
      </c>
      <c r="P1618" s="50" t="e">
        <f t="shared" si="290"/>
        <v>#N/A</v>
      </c>
      <c r="Q1618" s="51" t="e">
        <f t="shared" si="291"/>
        <v>#N/A</v>
      </c>
      <c r="R1618" s="205" t="e">
        <f t="shared" si="292"/>
        <v>#N/A</v>
      </c>
      <c r="S1618" s="279" t="e">
        <f>IF(R1618="si",0,IF(E1618="si",0,IF(J1618&gt;K1618,0,+K1618-J1618)))+IF('calcolo base'!P2310="SI",('Commissioni De Angeli'!K1618-'Commissioni De Angeli'!J1618),0)</f>
        <v>#N/A</v>
      </c>
      <c r="T1618" s="117" t="e">
        <f t="shared" si="293"/>
        <v>#N/A</v>
      </c>
      <c r="U1618" s="272" t="e">
        <f>IF(Q1618=0,'calcolo base'!L4217,(T1618+Q1618))</f>
        <v>#N/A</v>
      </c>
      <c r="V1618" s="119"/>
      <c r="Z1618" s="118">
        <f t="shared" si="284"/>
        <v>0</v>
      </c>
      <c r="AA1618" s="118">
        <f t="shared" si="285"/>
        <v>0</v>
      </c>
    </row>
    <row r="1619" spans="2:27">
      <c r="B1619" s="47"/>
      <c r="C1619" s="35"/>
      <c r="D1619" s="53"/>
      <c r="E1619" s="53"/>
      <c r="F1619" s="48"/>
      <c r="G1619" s="243" t="e">
        <f>INDEX('calcolo base'!$B:$B, MATCH($A1619, 'calcolo base'!$A:$A, 0))</f>
        <v>#N/A</v>
      </c>
      <c r="H1619" s="54" t="e">
        <f t="shared" si="286"/>
        <v>#N/A</v>
      </c>
      <c r="I1619" s="259" t="e">
        <f>IF(  OR(      INDEX('calcolo base'!$D:$D, MATCH($A1619, 'calcolo base'!$A:$A, 0)) = 0,
      INDEX('calcolo base'!$D:$D, MATCH($A1619, 'calcolo base'!$A:$A, 0)) = ""   ),
   INDEX('calcolo base'!$K:$K, MATCH($A1619, 'calcolo base'!$A:$A, 0)),
   INDEX('calcolo base'!$J:$J, MATCH($A1619, 'calcolo base'!$A:$A, 0))
) / 1000</f>
        <v>#N/A</v>
      </c>
      <c r="J1619" s="50" t="e">
        <f t="shared" si="287"/>
        <v>#N/A</v>
      </c>
      <c r="K1619" s="50"/>
      <c r="L1619" s="267" t="e">
        <f>INDEX('calcolo base'!$H:$H, MATCH($A1619, 'calcolo base'!$A:$A, 0))</f>
        <v>#N/A</v>
      </c>
      <c r="M1619" s="50" t="e">
        <f t="shared" si="288"/>
        <v>#N/A</v>
      </c>
      <c r="N1619" s="50" t="e">
        <f t="shared" si="289"/>
        <v>#N/A</v>
      </c>
      <c r="O1619" s="50" t="e">
        <f t="shared" si="294"/>
        <v>#N/A</v>
      </c>
      <c r="P1619" s="50" t="e">
        <f t="shared" si="290"/>
        <v>#N/A</v>
      </c>
      <c r="Q1619" s="51" t="e">
        <f t="shared" si="291"/>
        <v>#N/A</v>
      </c>
      <c r="R1619" s="205" t="e">
        <f t="shared" si="292"/>
        <v>#N/A</v>
      </c>
      <c r="S1619" s="279" t="e">
        <f>IF(R1619="si",0,IF(E1619="si",0,IF(J1619&gt;K1619,0,+K1619-J1619)))+IF('calcolo base'!P2311="SI",('Commissioni De Angeli'!K1619-'Commissioni De Angeli'!J1619),0)</f>
        <v>#N/A</v>
      </c>
      <c r="T1619" s="117" t="e">
        <f t="shared" si="293"/>
        <v>#N/A</v>
      </c>
      <c r="U1619" s="272" t="e">
        <f>IF(Q1619=0,'calcolo base'!L4218,(T1619+Q1619))</f>
        <v>#N/A</v>
      </c>
      <c r="V1619" s="119"/>
      <c r="Z1619" s="118">
        <f t="shared" si="284"/>
        <v>0</v>
      </c>
      <c r="AA1619" s="118">
        <f t="shared" si="285"/>
        <v>0</v>
      </c>
    </row>
    <row r="1620" spans="2:27">
      <c r="B1620" s="47"/>
      <c r="C1620" s="35"/>
      <c r="D1620" s="53"/>
      <c r="E1620" s="53"/>
      <c r="F1620" s="48"/>
      <c r="G1620" s="243" t="e">
        <f>INDEX('calcolo base'!$B:$B, MATCH($A1620, 'calcolo base'!$A:$A, 0))</f>
        <v>#N/A</v>
      </c>
      <c r="H1620" s="54" t="e">
        <f t="shared" si="286"/>
        <v>#N/A</v>
      </c>
      <c r="I1620" s="259" t="e">
        <f>IF(  OR(      INDEX('calcolo base'!$D:$D, MATCH($A1620, 'calcolo base'!$A:$A, 0)) = 0,
      INDEX('calcolo base'!$D:$D, MATCH($A1620, 'calcolo base'!$A:$A, 0)) = ""   ),
   INDEX('calcolo base'!$K:$K, MATCH($A1620, 'calcolo base'!$A:$A, 0)),
   INDEX('calcolo base'!$J:$J, MATCH($A1620, 'calcolo base'!$A:$A, 0))
) / 1000</f>
        <v>#N/A</v>
      </c>
      <c r="J1620" s="50" t="e">
        <f t="shared" si="287"/>
        <v>#N/A</v>
      </c>
      <c r="K1620" s="50"/>
      <c r="L1620" s="267" t="e">
        <f>INDEX('calcolo base'!$H:$H, MATCH($A1620, 'calcolo base'!$A:$A, 0))</f>
        <v>#N/A</v>
      </c>
      <c r="M1620" s="50" t="e">
        <f t="shared" si="288"/>
        <v>#N/A</v>
      </c>
      <c r="N1620" s="50" t="e">
        <f t="shared" si="289"/>
        <v>#N/A</v>
      </c>
      <c r="O1620" s="50" t="e">
        <f t="shared" si="294"/>
        <v>#N/A</v>
      </c>
      <c r="P1620" s="50" t="e">
        <f t="shared" si="290"/>
        <v>#N/A</v>
      </c>
      <c r="Q1620" s="51" t="e">
        <f t="shared" si="291"/>
        <v>#N/A</v>
      </c>
      <c r="R1620" s="205" t="e">
        <f t="shared" si="292"/>
        <v>#N/A</v>
      </c>
      <c r="S1620" s="279" t="e">
        <f>IF(R1620="si",0,IF(E1620="si",0,IF(J1620&gt;K1620,0,+K1620-J1620)))+IF('calcolo base'!P2312="SI",('Commissioni De Angeli'!K1620-'Commissioni De Angeli'!J1620),0)</f>
        <v>#N/A</v>
      </c>
      <c r="T1620" s="117" t="e">
        <f t="shared" si="293"/>
        <v>#N/A</v>
      </c>
      <c r="U1620" s="272" t="e">
        <f>IF(Q1620=0,'calcolo base'!L4219,(T1620+Q1620))</f>
        <v>#N/A</v>
      </c>
      <c r="V1620" s="119"/>
      <c r="Z1620" s="118">
        <f t="shared" si="284"/>
        <v>0</v>
      </c>
      <c r="AA1620" s="118">
        <f t="shared" si="285"/>
        <v>0</v>
      </c>
    </row>
    <row r="1621" spans="2:27">
      <c r="B1621" s="47"/>
      <c r="C1621" s="35"/>
      <c r="D1621" s="53"/>
      <c r="E1621" s="53"/>
      <c r="F1621" s="48"/>
      <c r="G1621" s="243" t="e">
        <f>INDEX('calcolo base'!$B:$B, MATCH($A1621, 'calcolo base'!$A:$A, 0))</f>
        <v>#N/A</v>
      </c>
      <c r="H1621" s="54" t="e">
        <f t="shared" si="286"/>
        <v>#N/A</v>
      </c>
      <c r="I1621" s="259" t="e">
        <f>IF(  OR(      INDEX('calcolo base'!$D:$D, MATCH($A1621, 'calcolo base'!$A:$A, 0)) = 0,
      INDEX('calcolo base'!$D:$D, MATCH($A1621, 'calcolo base'!$A:$A, 0)) = ""   ),
   INDEX('calcolo base'!$K:$K, MATCH($A1621, 'calcolo base'!$A:$A, 0)),
   INDEX('calcolo base'!$J:$J, MATCH($A1621, 'calcolo base'!$A:$A, 0))
) / 1000</f>
        <v>#N/A</v>
      </c>
      <c r="J1621" s="50" t="e">
        <f t="shared" si="287"/>
        <v>#N/A</v>
      </c>
      <c r="K1621" s="50"/>
      <c r="L1621" s="267" t="e">
        <f>INDEX('calcolo base'!$H:$H, MATCH($A1621, 'calcolo base'!$A:$A, 0))</f>
        <v>#N/A</v>
      </c>
      <c r="M1621" s="50" t="e">
        <f t="shared" si="288"/>
        <v>#N/A</v>
      </c>
      <c r="N1621" s="50" t="e">
        <f t="shared" si="289"/>
        <v>#N/A</v>
      </c>
      <c r="O1621" s="50" t="e">
        <f t="shared" si="294"/>
        <v>#N/A</v>
      </c>
      <c r="P1621" s="50" t="e">
        <f t="shared" si="290"/>
        <v>#N/A</v>
      </c>
      <c r="Q1621" s="51" t="e">
        <f t="shared" si="291"/>
        <v>#N/A</v>
      </c>
      <c r="R1621" s="205" t="e">
        <f t="shared" si="292"/>
        <v>#N/A</v>
      </c>
      <c r="S1621" s="279" t="e">
        <f>IF(R1621="si",0,IF(E1621="si",0,IF(J1621&gt;K1621,0,+K1621-J1621)))+IF('calcolo base'!P2313="SI",('Commissioni De Angeli'!K1621-'Commissioni De Angeli'!J1621),0)</f>
        <v>#N/A</v>
      </c>
      <c r="T1621" s="117" t="e">
        <f t="shared" si="293"/>
        <v>#N/A</v>
      </c>
      <c r="U1621" s="272" t="e">
        <f>IF(Q1621=0,'calcolo base'!L4220,(T1621+Q1621))</f>
        <v>#N/A</v>
      </c>
      <c r="V1621" s="119"/>
      <c r="Z1621" s="118">
        <f t="shared" ref="Z1621:Z1638" si="295">IF(V1621="",0,MONTH(V1621))</f>
        <v>0</v>
      </c>
      <c r="AA1621" s="118">
        <f t="shared" ref="AA1621:AA1638" si="296">IF(V1621="",0,YEAR(V1621))</f>
        <v>0</v>
      </c>
    </row>
    <row r="1622" spans="2:27">
      <c r="B1622" s="47"/>
      <c r="C1622" s="35"/>
      <c r="D1622" s="53"/>
      <c r="E1622" s="53"/>
      <c r="F1622" s="48"/>
      <c r="G1622" s="243" t="e">
        <f>INDEX('calcolo base'!$B:$B, MATCH($A1622, 'calcolo base'!$A:$A, 0))</f>
        <v>#N/A</v>
      </c>
      <c r="H1622" s="54" t="e">
        <f t="shared" si="286"/>
        <v>#N/A</v>
      </c>
      <c r="I1622" s="259" t="e">
        <f>IF(  OR(      INDEX('calcolo base'!$D:$D, MATCH($A1622, 'calcolo base'!$A:$A, 0)) = 0,
      INDEX('calcolo base'!$D:$D, MATCH($A1622, 'calcolo base'!$A:$A, 0)) = ""   ),
   INDEX('calcolo base'!$K:$K, MATCH($A1622, 'calcolo base'!$A:$A, 0)),
   INDEX('calcolo base'!$J:$J, MATCH($A1622, 'calcolo base'!$A:$A, 0))
) / 1000</f>
        <v>#N/A</v>
      </c>
      <c r="J1622" s="50" t="e">
        <f t="shared" si="287"/>
        <v>#N/A</v>
      </c>
      <c r="K1622" s="50"/>
      <c r="L1622" s="267" t="e">
        <f>INDEX('calcolo base'!$H:$H, MATCH($A1622, 'calcolo base'!$A:$A, 0))</f>
        <v>#N/A</v>
      </c>
      <c r="M1622" s="50" t="e">
        <f t="shared" si="288"/>
        <v>#N/A</v>
      </c>
      <c r="N1622" s="50" t="e">
        <f t="shared" si="289"/>
        <v>#N/A</v>
      </c>
      <c r="O1622" s="50" t="e">
        <f t="shared" si="294"/>
        <v>#N/A</v>
      </c>
      <c r="P1622" s="50" t="e">
        <f t="shared" si="290"/>
        <v>#N/A</v>
      </c>
      <c r="Q1622" s="51" t="e">
        <f t="shared" si="291"/>
        <v>#N/A</v>
      </c>
      <c r="R1622" s="205" t="e">
        <f t="shared" si="292"/>
        <v>#N/A</v>
      </c>
      <c r="S1622" s="279" t="e">
        <f>IF(R1622="si",0,IF(E1622="si",0,IF(J1622&gt;K1622,0,+K1622-J1622)))+IF('calcolo base'!P2314="SI",('Commissioni De Angeli'!K1622-'Commissioni De Angeli'!J1622),0)</f>
        <v>#N/A</v>
      </c>
      <c r="T1622" s="117" t="e">
        <f t="shared" si="293"/>
        <v>#N/A</v>
      </c>
      <c r="U1622" s="272" t="e">
        <f>IF(Q1622=0,'calcolo base'!L4221,(T1622+Q1622))</f>
        <v>#N/A</v>
      </c>
      <c r="V1622" s="119"/>
      <c r="Z1622" s="118">
        <f t="shared" si="295"/>
        <v>0</v>
      </c>
      <c r="AA1622" s="118">
        <f t="shared" si="296"/>
        <v>0</v>
      </c>
    </row>
    <row r="1623" spans="2:27">
      <c r="B1623" s="47"/>
      <c r="C1623" s="35"/>
      <c r="D1623" s="53"/>
      <c r="E1623" s="53"/>
      <c r="F1623" s="48"/>
      <c r="G1623" s="243" t="e">
        <f>INDEX('calcolo base'!$B:$B, MATCH($A1623, 'calcolo base'!$A:$A, 0))</f>
        <v>#N/A</v>
      </c>
      <c r="H1623" s="54" t="e">
        <f t="shared" si="286"/>
        <v>#N/A</v>
      </c>
      <c r="I1623" s="259" t="e">
        <f>IF(  OR(      INDEX('calcolo base'!$D:$D, MATCH($A1623, 'calcolo base'!$A:$A, 0)) = 0,
      INDEX('calcolo base'!$D:$D, MATCH($A1623, 'calcolo base'!$A:$A, 0)) = ""   ),
   INDEX('calcolo base'!$K:$K, MATCH($A1623, 'calcolo base'!$A:$A, 0)),
   INDEX('calcolo base'!$J:$J, MATCH($A1623, 'calcolo base'!$A:$A, 0))
) / 1000</f>
        <v>#N/A</v>
      </c>
      <c r="J1623" s="50" t="e">
        <f t="shared" si="287"/>
        <v>#N/A</v>
      </c>
      <c r="K1623" s="50"/>
      <c r="L1623" s="267" t="e">
        <f>INDEX('calcolo base'!$H:$H, MATCH($A1623, 'calcolo base'!$A:$A, 0))</f>
        <v>#N/A</v>
      </c>
      <c r="M1623" s="50" t="e">
        <f t="shared" si="288"/>
        <v>#N/A</v>
      </c>
      <c r="N1623" s="50" t="e">
        <f t="shared" si="289"/>
        <v>#N/A</v>
      </c>
      <c r="O1623" s="50" t="e">
        <f t="shared" si="294"/>
        <v>#N/A</v>
      </c>
      <c r="P1623" s="50" t="e">
        <f t="shared" si="290"/>
        <v>#N/A</v>
      </c>
      <c r="Q1623" s="51" t="e">
        <f t="shared" si="291"/>
        <v>#N/A</v>
      </c>
      <c r="R1623" s="205" t="e">
        <f t="shared" si="292"/>
        <v>#N/A</v>
      </c>
      <c r="S1623" s="279" t="e">
        <f>IF(R1623="si",0,IF(E1623="si",0,IF(J1623&gt;K1623,0,+K1623-J1623)))+IF('calcolo base'!P2315="SI",('Commissioni De Angeli'!K1623-'Commissioni De Angeli'!J1623),0)</f>
        <v>#N/A</v>
      </c>
      <c r="T1623" s="117" t="e">
        <f t="shared" si="293"/>
        <v>#N/A</v>
      </c>
      <c r="U1623" s="272" t="e">
        <f>IF(Q1623=0,'calcolo base'!L4222,(T1623+Q1623))</f>
        <v>#N/A</v>
      </c>
      <c r="V1623" s="119"/>
      <c r="Z1623" s="118">
        <f t="shared" si="295"/>
        <v>0</v>
      </c>
      <c r="AA1623" s="118">
        <f t="shared" si="296"/>
        <v>0</v>
      </c>
    </row>
    <row r="1624" spans="2:27">
      <c r="B1624" s="47"/>
      <c r="C1624" s="35"/>
      <c r="D1624" s="53"/>
      <c r="E1624" s="53"/>
      <c r="F1624" s="48"/>
      <c r="G1624" s="243" t="e">
        <f>INDEX('calcolo base'!$B:$B, MATCH($A1624, 'calcolo base'!$A:$A, 0))</f>
        <v>#N/A</v>
      </c>
      <c r="H1624" s="54" t="e">
        <f t="shared" si="286"/>
        <v>#N/A</v>
      </c>
      <c r="I1624" s="259" t="e">
        <f>IF(  OR(      INDEX('calcolo base'!$D:$D, MATCH($A1624, 'calcolo base'!$A:$A, 0)) = 0,
      INDEX('calcolo base'!$D:$D, MATCH($A1624, 'calcolo base'!$A:$A, 0)) = ""   ),
   INDEX('calcolo base'!$K:$K, MATCH($A1624, 'calcolo base'!$A:$A, 0)),
   INDEX('calcolo base'!$J:$J, MATCH($A1624, 'calcolo base'!$A:$A, 0))
) / 1000</f>
        <v>#N/A</v>
      </c>
      <c r="J1624" s="50" t="e">
        <f t="shared" si="287"/>
        <v>#N/A</v>
      </c>
      <c r="K1624" s="50"/>
      <c r="L1624" s="267" t="e">
        <f>INDEX('calcolo base'!$H:$H, MATCH($A1624, 'calcolo base'!$A:$A, 0))</f>
        <v>#N/A</v>
      </c>
      <c r="M1624" s="50" t="e">
        <f t="shared" si="288"/>
        <v>#N/A</v>
      </c>
      <c r="N1624" s="50" t="e">
        <f t="shared" si="289"/>
        <v>#N/A</v>
      </c>
      <c r="O1624" s="50" t="e">
        <f t="shared" si="294"/>
        <v>#N/A</v>
      </c>
      <c r="P1624" s="50" t="e">
        <f t="shared" si="290"/>
        <v>#N/A</v>
      </c>
      <c r="Q1624" s="51" t="e">
        <f t="shared" si="291"/>
        <v>#N/A</v>
      </c>
      <c r="R1624" s="205" t="e">
        <f t="shared" si="292"/>
        <v>#N/A</v>
      </c>
      <c r="S1624" s="279" t="e">
        <f>IF(R1624="si",0,IF(E1624="si",0,IF(J1624&gt;K1624,0,+K1624-J1624)))+IF('calcolo base'!P2316="SI",('Commissioni De Angeli'!K1624-'Commissioni De Angeli'!J1624),0)</f>
        <v>#N/A</v>
      </c>
      <c r="T1624" s="117" t="e">
        <f t="shared" si="293"/>
        <v>#N/A</v>
      </c>
      <c r="U1624" s="272" t="e">
        <f>IF(Q1624=0,'calcolo base'!L4223,(T1624+Q1624))</f>
        <v>#N/A</v>
      </c>
      <c r="V1624" s="119"/>
      <c r="Z1624" s="118">
        <f t="shared" si="295"/>
        <v>0</v>
      </c>
      <c r="AA1624" s="118">
        <f t="shared" si="296"/>
        <v>0</v>
      </c>
    </row>
    <row r="1625" spans="2:27">
      <c r="B1625" s="47"/>
      <c r="C1625" s="35"/>
      <c r="D1625" s="53"/>
      <c r="E1625" s="53"/>
      <c r="F1625" s="48"/>
      <c r="G1625" s="243" t="e">
        <f>INDEX('calcolo base'!$B:$B, MATCH($A1625, 'calcolo base'!$A:$A, 0))</f>
        <v>#N/A</v>
      </c>
      <c r="H1625" s="54" t="e">
        <f t="shared" si="286"/>
        <v>#N/A</v>
      </c>
      <c r="I1625" s="259" t="e">
        <f>IF(  OR(      INDEX('calcolo base'!$D:$D, MATCH($A1625, 'calcolo base'!$A:$A, 0)) = 0,
      INDEX('calcolo base'!$D:$D, MATCH($A1625, 'calcolo base'!$A:$A, 0)) = ""   ),
   INDEX('calcolo base'!$K:$K, MATCH($A1625, 'calcolo base'!$A:$A, 0)),
   INDEX('calcolo base'!$J:$J, MATCH($A1625, 'calcolo base'!$A:$A, 0))
) / 1000</f>
        <v>#N/A</v>
      </c>
      <c r="J1625" s="50" t="e">
        <f t="shared" si="287"/>
        <v>#N/A</v>
      </c>
      <c r="K1625" s="50"/>
      <c r="L1625" s="267" t="e">
        <f>INDEX('calcolo base'!$H:$H, MATCH($A1625, 'calcolo base'!$A:$A, 0))</f>
        <v>#N/A</v>
      </c>
      <c r="M1625" s="50" t="e">
        <f t="shared" si="288"/>
        <v>#N/A</v>
      </c>
      <c r="N1625" s="50" t="e">
        <f t="shared" si="289"/>
        <v>#N/A</v>
      </c>
      <c r="O1625" s="50" t="e">
        <f t="shared" si="294"/>
        <v>#N/A</v>
      </c>
      <c r="P1625" s="50" t="e">
        <f t="shared" si="290"/>
        <v>#N/A</v>
      </c>
      <c r="Q1625" s="51" t="e">
        <f t="shared" si="291"/>
        <v>#N/A</v>
      </c>
      <c r="R1625" s="205" t="e">
        <f t="shared" si="292"/>
        <v>#N/A</v>
      </c>
      <c r="S1625" s="279" t="e">
        <f>IF(R1625="si",0,IF(E1625="si",0,IF(J1625&gt;K1625,0,+K1625-J1625)))+IF('calcolo base'!P2317="SI",('Commissioni De Angeli'!K1625-'Commissioni De Angeli'!J1625),0)</f>
        <v>#N/A</v>
      </c>
      <c r="T1625" s="117" t="e">
        <f t="shared" si="293"/>
        <v>#N/A</v>
      </c>
      <c r="U1625" s="272" t="e">
        <f>IF(Q1625=0,'calcolo base'!L4224,(T1625+Q1625))</f>
        <v>#N/A</v>
      </c>
      <c r="V1625" s="119"/>
      <c r="Z1625" s="118">
        <f t="shared" si="295"/>
        <v>0</v>
      </c>
      <c r="AA1625" s="118">
        <f t="shared" si="296"/>
        <v>0</v>
      </c>
    </row>
    <row r="1626" spans="2:27">
      <c r="B1626" s="47"/>
      <c r="C1626" s="35"/>
      <c r="D1626" s="53"/>
      <c r="E1626" s="53"/>
      <c r="F1626" s="48"/>
      <c r="G1626" s="243" t="e">
        <f>INDEX('calcolo base'!$B:$B, MATCH($A1626, 'calcolo base'!$A:$A, 0))</f>
        <v>#N/A</v>
      </c>
      <c r="H1626" s="54" t="e">
        <f t="shared" si="286"/>
        <v>#N/A</v>
      </c>
      <c r="I1626" s="259" t="e">
        <f>IF(  OR(      INDEX('calcolo base'!$D:$D, MATCH($A1626, 'calcolo base'!$A:$A, 0)) = 0,
      INDEX('calcolo base'!$D:$D, MATCH($A1626, 'calcolo base'!$A:$A, 0)) = ""   ),
   INDEX('calcolo base'!$K:$K, MATCH($A1626, 'calcolo base'!$A:$A, 0)),
   INDEX('calcolo base'!$J:$J, MATCH($A1626, 'calcolo base'!$A:$A, 0))
) / 1000</f>
        <v>#N/A</v>
      </c>
      <c r="J1626" s="50" t="e">
        <f t="shared" si="287"/>
        <v>#N/A</v>
      </c>
      <c r="K1626" s="50"/>
      <c r="L1626" s="267" t="e">
        <f>INDEX('calcolo base'!$H:$H, MATCH($A1626, 'calcolo base'!$A:$A, 0))</f>
        <v>#N/A</v>
      </c>
      <c r="M1626" s="50" t="e">
        <f t="shared" si="288"/>
        <v>#N/A</v>
      </c>
      <c r="N1626" s="50" t="e">
        <f t="shared" si="289"/>
        <v>#N/A</v>
      </c>
      <c r="O1626" s="50" t="e">
        <f t="shared" si="294"/>
        <v>#N/A</v>
      </c>
      <c r="P1626" s="50" t="e">
        <f t="shared" si="290"/>
        <v>#N/A</v>
      </c>
      <c r="Q1626" s="51" t="e">
        <f t="shared" si="291"/>
        <v>#N/A</v>
      </c>
      <c r="R1626" s="205" t="e">
        <f t="shared" si="292"/>
        <v>#N/A</v>
      </c>
      <c r="S1626" s="279" t="e">
        <f>IF(R1626="si",0,IF(E1626="si",0,IF(J1626&gt;K1626,0,+K1626-J1626)))+IF('calcolo base'!P2318="SI",('Commissioni De Angeli'!K1626-'Commissioni De Angeli'!J1626),0)</f>
        <v>#N/A</v>
      </c>
      <c r="T1626" s="117" t="e">
        <f t="shared" si="293"/>
        <v>#N/A</v>
      </c>
      <c r="U1626" s="272" t="e">
        <f>IF(Q1626=0,'calcolo base'!L4225,(T1626+Q1626))</f>
        <v>#N/A</v>
      </c>
      <c r="V1626" s="119"/>
      <c r="Z1626" s="118">
        <f t="shared" si="295"/>
        <v>0</v>
      </c>
      <c r="AA1626" s="118">
        <f t="shared" si="296"/>
        <v>0</v>
      </c>
    </row>
    <row r="1627" spans="2:27">
      <c r="B1627" s="47"/>
      <c r="C1627" s="35"/>
      <c r="D1627" s="53"/>
      <c r="E1627" s="53"/>
      <c r="F1627" s="48"/>
      <c r="G1627" s="243" t="e">
        <f>INDEX('calcolo base'!$B:$B, MATCH($A1627, 'calcolo base'!$A:$A, 0))</f>
        <v>#N/A</v>
      </c>
      <c r="H1627" s="54" t="e">
        <f t="shared" si="286"/>
        <v>#N/A</v>
      </c>
      <c r="I1627" s="259" t="e">
        <f>IF(  OR(      INDEX('calcolo base'!$D:$D, MATCH($A1627, 'calcolo base'!$A:$A, 0)) = 0,
      INDEX('calcolo base'!$D:$D, MATCH($A1627, 'calcolo base'!$A:$A, 0)) = ""   ),
   INDEX('calcolo base'!$K:$K, MATCH($A1627, 'calcolo base'!$A:$A, 0)),
   INDEX('calcolo base'!$J:$J, MATCH($A1627, 'calcolo base'!$A:$A, 0))
) / 1000</f>
        <v>#N/A</v>
      </c>
      <c r="J1627" s="50" t="e">
        <f t="shared" si="287"/>
        <v>#N/A</v>
      </c>
      <c r="K1627" s="50"/>
      <c r="L1627" s="267" t="e">
        <f>INDEX('calcolo base'!$H:$H, MATCH($A1627, 'calcolo base'!$A:$A, 0))</f>
        <v>#N/A</v>
      </c>
      <c r="M1627" s="50" t="e">
        <f t="shared" si="288"/>
        <v>#N/A</v>
      </c>
      <c r="N1627" s="50" t="e">
        <f t="shared" si="289"/>
        <v>#N/A</v>
      </c>
      <c r="O1627" s="50" t="e">
        <f t="shared" si="294"/>
        <v>#N/A</v>
      </c>
      <c r="P1627" s="50" t="e">
        <f t="shared" si="290"/>
        <v>#N/A</v>
      </c>
      <c r="Q1627" s="51" t="e">
        <f t="shared" si="291"/>
        <v>#N/A</v>
      </c>
      <c r="R1627" s="205" t="e">
        <f t="shared" si="292"/>
        <v>#N/A</v>
      </c>
      <c r="S1627" s="279" t="e">
        <f>IF(R1627="si",0,IF(E1627="si",0,IF(J1627&gt;K1627,0,+K1627-J1627)))+IF('calcolo base'!P2319="SI",('Commissioni De Angeli'!K1627-'Commissioni De Angeli'!J1627),0)</f>
        <v>#N/A</v>
      </c>
      <c r="T1627" s="117" t="e">
        <f t="shared" si="293"/>
        <v>#N/A</v>
      </c>
      <c r="U1627" s="272" t="e">
        <f>IF(Q1627=0,'calcolo base'!L4226,(T1627+Q1627))</f>
        <v>#N/A</v>
      </c>
      <c r="V1627" s="119"/>
      <c r="Z1627" s="118">
        <f t="shared" si="295"/>
        <v>0</v>
      </c>
      <c r="AA1627" s="118">
        <f t="shared" si="296"/>
        <v>0</v>
      </c>
    </row>
    <row r="1628" spans="2:27">
      <c r="B1628" s="47"/>
      <c r="C1628" s="35"/>
      <c r="D1628" s="53"/>
      <c r="E1628" s="53"/>
      <c r="F1628" s="48"/>
      <c r="G1628" s="243" t="e">
        <f>INDEX('calcolo base'!$B:$B, MATCH($A1628, 'calcolo base'!$A:$A, 0))</f>
        <v>#N/A</v>
      </c>
      <c r="H1628" s="54" t="e">
        <f t="shared" ref="H1628:H1638" si="297">IF(G1628=0,"",+G1628)</f>
        <v>#N/A</v>
      </c>
      <c r="I1628" s="259" t="e">
        <f>IF(  OR(      INDEX('calcolo base'!$D:$D, MATCH($A1628, 'calcolo base'!$A:$A, 0)) = 0,
      INDEX('calcolo base'!$D:$D, MATCH($A1628, 'calcolo base'!$A:$A, 0)) = ""   ),
   INDEX('calcolo base'!$K:$K, MATCH($A1628, 'calcolo base'!$A:$A, 0)),
   INDEX('calcolo base'!$J:$J, MATCH($A1628, 'calcolo base'!$A:$A, 0))
) / 1000</f>
        <v>#N/A</v>
      </c>
      <c r="J1628" s="50" t="e">
        <f t="shared" ref="J1628:J1638" si="298">+F1628+I1628</f>
        <v>#N/A</v>
      </c>
      <c r="K1628" s="50"/>
      <c r="L1628" s="267" t="e">
        <f>INDEX('calcolo base'!$H:$H, MATCH($A1628, 'calcolo base'!$A:$A, 0))</f>
        <v>#N/A</v>
      </c>
      <c r="M1628" s="50" t="e">
        <f t="shared" ref="M1628:M1638" si="299">IF(L1628=0,0,J1628*L1628)</f>
        <v>#N/A</v>
      </c>
      <c r="N1628" s="50" t="e">
        <f t="shared" ref="N1628:N1638" si="300">IF(E1628="si",K1628*1.5%,IF($L1628&gt;=5%,IF($I1628=0,0,(IF($G1628="RAME",($J1628)*1.5%,0)+IF($G1628="rame smaltato",($K1628)*1.5%,0))),0))</f>
        <v>#N/A</v>
      </c>
      <c r="O1628" s="50" t="e">
        <f t="shared" si="294"/>
        <v>#N/A</v>
      </c>
      <c r="P1628" s="50" t="e">
        <f t="shared" ref="P1628:P1638" si="301">IF(H1628="alluminio",0,IF(L1628&lt;5%,F1628*8%,0))</f>
        <v>#N/A</v>
      </c>
      <c r="Q1628" s="51" t="e">
        <f t="shared" ref="Q1628:Q1638" si="302">+(N1628*D1628)+(O1628*D1628)+(P1628*D1628)</f>
        <v>#N/A</v>
      </c>
      <c r="R1628" s="205" t="e">
        <f t="shared" ref="R1628:R1638" si="303">IF(H1628="ALLUMINIO",0,IF(L1628&lt;5%,"si",0))</f>
        <v>#N/A</v>
      </c>
      <c r="S1628" s="279" t="e">
        <f>IF(R1628="si",0,IF(E1628="si",0,IF(J1628&gt;K1628,0,+K1628-J1628)))+IF('calcolo base'!P2320="SI",('Commissioni De Angeli'!K1628-'Commissioni De Angeli'!J1628),0)</f>
        <v>#N/A</v>
      </c>
      <c r="T1628" s="117" t="e">
        <f t="shared" ref="T1628:T1638" si="304">+(S1628)*D1628*40%</f>
        <v>#N/A</v>
      </c>
      <c r="U1628" s="272" t="e">
        <f>IF(Q1628=0,'calcolo base'!L4227,(T1628+Q1628))</f>
        <v>#N/A</v>
      </c>
      <c r="V1628" s="119"/>
      <c r="Z1628" s="118">
        <f t="shared" si="295"/>
        <v>0</v>
      </c>
      <c r="AA1628" s="118">
        <f t="shared" si="296"/>
        <v>0</v>
      </c>
    </row>
    <row r="1629" spans="2:27">
      <c r="B1629" s="47"/>
      <c r="C1629" s="35"/>
      <c r="D1629" s="53"/>
      <c r="E1629" s="53"/>
      <c r="F1629" s="48"/>
      <c r="G1629" s="243" t="e">
        <f>INDEX('calcolo base'!$B:$B, MATCH($A1629, 'calcolo base'!$A:$A, 0))</f>
        <v>#N/A</v>
      </c>
      <c r="H1629" s="54" t="e">
        <f t="shared" si="297"/>
        <v>#N/A</v>
      </c>
      <c r="I1629" s="259" t="e">
        <f>IF(  OR(      INDEX('calcolo base'!$D:$D, MATCH($A1629, 'calcolo base'!$A:$A, 0)) = 0,
      INDEX('calcolo base'!$D:$D, MATCH($A1629, 'calcolo base'!$A:$A, 0)) = ""   ),
   INDEX('calcolo base'!$K:$K, MATCH($A1629, 'calcolo base'!$A:$A, 0)),
   INDEX('calcolo base'!$J:$J, MATCH($A1629, 'calcolo base'!$A:$A, 0))
) / 1000</f>
        <v>#N/A</v>
      </c>
      <c r="J1629" s="50" t="e">
        <f t="shared" si="298"/>
        <v>#N/A</v>
      </c>
      <c r="K1629" s="50"/>
      <c r="L1629" s="267" t="e">
        <f>INDEX('calcolo base'!$H:$H, MATCH($A1629, 'calcolo base'!$A:$A, 0))</f>
        <v>#N/A</v>
      </c>
      <c r="M1629" s="50" t="e">
        <f t="shared" si="299"/>
        <v>#N/A</v>
      </c>
      <c r="N1629" s="50" t="e">
        <f t="shared" si="300"/>
        <v>#N/A</v>
      </c>
      <c r="O1629" s="50" t="e">
        <f t="shared" si="294"/>
        <v>#N/A</v>
      </c>
      <c r="P1629" s="50" t="e">
        <f t="shared" si="301"/>
        <v>#N/A</v>
      </c>
      <c r="Q1629" s="51" t="e">
        <f t="shared" si="302"/>
        <v>#N/A</v>
      </c>
      <c r="R1629" s="205" t="e">
        <f t="shared" si="303"/>
        <v>#N/A</v>
      </c>
      <c r="S1629" s="279" t="e">
        <f>IF(R1629="si",0,IF(E1629="si",0,IF(J1629&gt;K1629,0,+K1629-J1629)))+IF('calcolo base'!P2321="SI",('Commissioni De Angeli'!K1629-'Commissioni De Angeli'!J1629),0)</f>
        <v>#N/A</v>
      </c>
      <c r="T1629" s="117" t="e">
        <f t="shared" si="304"/>
        <v>#N/A</v>
      </c>
      <c r="U1629" s="272" t="e">
        <f>IF(Q1629=0,'calcolo base'!L4228,(T1629+Q1629))</f>
        <v>#N/A</v>
      </c>
      <c r="V1629" s="119"/>
      <c r="Z1629" s="118">
        <f t="shared" si="295"/>
        <v>0</v>
      </c>
      <c r="AA1629" s="118">
        <f t="shared" si="296"/>
        <v>0</v>
      </c>
    </row>
    <row r="1630" spans="2:27">
      <c r="B1630" s="47"/>
      <c r="C1630" s="35"/>
      <c r="D1630" s="53"/>
      <c r="E1630" s="53"/>
      <c r="F1630" s="48"/>
      <c r="G1630" s="243" t="e">
        <f>INDEX('calcolo base'!$B:$B, MATCH($A1630, 'calcolo base'!$A:$A, 0))</f>
        <v>#N/A</v>
      </c>
      <c r="H1630" s="54" t="e">
        <f t="shared" si="297"/>
        <v>#N/A</v>
      </c>
      <c r="I1630" s="259" t="e">
        <f>IF(  OR(      INDEX('calcolo base'!$D:$D, MATCH($A1630, 'calcolo base'!$A:$A, 0)) = 0,
      INDEX('calcolo base'!$D:$D, MATCH($A1630, 'calcolo base'!$A:$A, 0)) = ""   ),
   INDEX('calcolo base'!$K:$K, MATCH($A1630, 'calcolo base'!$A:$A, 0)),
   INDEX('calcolo base'!$J:$J, MATCH($A1630, 'calcolo base'!$A:$A, 0))
) / 1000</f>
        <v>#N/A</v>
      </c>
      <c r="J1630" s="50" t="e">
        <f t="shared" si="298"/>
        <v>#N/A</v>
      </c>
      <c r="K1630" s="50"/>
      <c r="L1630" s="267" t="e">
        <f>INDEX('calcolo base'!$H:$H, MATCH($A1630, 'calcolo base'!$A:$A, 0))</f>
        <v>#N/A</v>
      </c>
      <c r="M1630" s="50" t="e">
        <f t="shared" si="299"/>
        <v>#N/A</v>
      </c>
      <c r="N1630" s="50" t="e">
        <f t="shared" si="300"/>
        <v>#N/A</v>
      </c>
      <c r="O1630" s="50" t="e">
        <f t="shared" si="294"/>
        <v>#N/A</v>
      </c>
      <c r="P1630" s="50" t="e">
        <f t="shared" si="301"/>
        <v>#N/A</v>
      </c>
      <c r="Q1630" s="51" t="e">
        <f t="shared" si="302"/>
        <v>#N/A</v>
      </c>
      <c r="R1630" s="205" t="e">
        <f t="shared" si="303"/>
        <v>#N/A</v>
      </c>
      <c r="S1630" s="279" t="e">
        <f>IF(R1630="si",0,IF(E1630="si",0,IF(J1630&gt;K1630,0,+K1630-J1630)))+IF('calcolo base'!P2322="SI",('Commissioni De Angeli'!K1630-'Commissioni De Angeli'!J1630),0)</f>
        <v>#N/A</v>
      </c>
      <c r="T1630" s="117" t="e">
        <f t="shared" si="304"/>
        <v>#N/A</v>
      </c>
      <c r="U1630" s="272" t="e">
        <f>IF(Q1630=0,'calcolo base'!L4229,(T1630+Q1630))</f>
        <v>#N/A</v>
      </c>
      <c r="V1630" s="119"/>
      <c r="Z1630" s="118">
        <f t="shared" si="295"/>
        <v>0</v>
      </c>
      <c r="AA1630" s="118">
        <f t="shared" si="296"/>
        <v>0</v>
      </c>
    </row>
    <row r="1631" spans="2:27">
      <c r="B1631" s="47"/>
      <c r="C1631" s="35"/>
      <c r="D1631" s="53"/>
      <c r="E1631" s="53"/>
      <c r="F1631" s="48"/>
      <c r="G1631" s="243" t="e">
        <f>INDEX('calcolo base'!$B:$B, MATCH($A1631, 'calcolo base'!$A:$A, 0))</f>
        <v>#N/A</v>
      </c>
      <c r="H1631" s="54" t="e">
        <f t="shared" si="297"/>
        <v>#N/A</v>
      </c>
      <c r="I1631" s="259" t="e">
        <f>IF(  OR(      INDEX('calcolo base'!$D:$D, MATCH($A1631, 'calcolo base'!$A:$A, 0)) = 0,
      INDEX('calcolo base'!$D:$D, MATCH($A1631, 'calcolo base'!$A:$A, 0)) = ""   ),
   INDEX('calcolo base'!$K:$K, MATCH($A1631, 'calcolo base'!$A:$A, 0)),
   INDEX('calcolo base'!$J:$J, MATCH($A1631, 'calcolo base'!$A:$A, 0))
) / 1000</f>
        <v>#N/A</v>
      </c>
      <c r="J1631" s="50" t="e">
        <f t="shared" si="298"/>
        <v>#N/A</v>
      </c>
      <c r="K1631" s="50"/>
      <c r="L1631" s="267" t="e">
        <f>INDEX('calcolo base'!$H:$H, MATCH($A1631, 'calcolo base'!$A:$A, 0))</f>
        <v>#N/A</v>
      </c>
      <c r="M1631" s="50" t="e">
        <f t="shared" si="299"/>
        <v>#N/A</v>
      </c>
      <c r="N1631" s="50" t="e">
        <f t="shared" si="300"/>
        <v>#N/A</v>
      </c>
      <c r="O1631" s="50" t="e">
        <f t="shared" si="294"/>
        <v>#N/A</v>
      </c>
      <c r="P1631" s="50" t="e">
        <f t="shared" si="301"/>
        <v>#N/A</v>
      </c>
      <c r="Q1631" s="51" t="e">
        <f t="shared" si="302"/>
        <v>#N/A</v>
      </c>
      <c r="R1631" s="205" t="e">
        <f t="shared" si="303"/>
        <v>#N/A</v>
      </c>
      <c r="S1631" s="279" t="e">
        <f>IF(R1631="si",0,IF(E1631="si",0,IF(J1631&gt;K1631,0,+K1631-J1631)))+IF('calcolo base'!P2323="SI",('Commissioni De Angeli'!K1631-'Commissioni De Angeli'!J1631),0)</f>
        <v>#N/A</v>
      </c>
      <c r="T1631" s="117" t="e">
        <f t="shared" si="304"/>
        <v>#N/A</v>
      </c>
      <c r="U1631" s="272" t="e">
        <f>IF(Q1631=0,'calcolo base'!L4230,(T1631+Q1631))</f>
        <v>#N/A</v>
      </c>
      <c r="V1631" s="119"/>
      <c r="Z1631" s="118">
        <f t="shared" si="295"/>
        <v>0</v>
      </c>
      <c r="AA1631" s="118">
        <f t="shared" si="296"/>
        <v>0</v>
      </c>
    </row>
    <row r="1632" spans="2:27">
      <c r="B1632" s="47"/>
      <c r="C1632" s="35"/>
      <c r="D1632" s="53"/>
      <c r="E1632" s="53"/>
      <c r="F1632" s="48"/>
      <c r="G1632" s="243" t="e">
        <f>INDEX('calcolo base'!$B:$B, MATCH($A1632, 'calcolo base'!$A:$A, 0))</f>
        <v>#N/A</v>
      </c>
      <c r="H1632" s="54" t="e">
        <f t="shared" si="297"/>
        <v>#N/A</v>
      </c>
      <c r="I1632" s="259" t="e">
        <f>IF(  OR(      INDEX('calcolo base'!$D:$D, MATCH($A1632, 'calcolo base'!$A:$A, 0)) = 0,
      INDEX('calcolo base'!$D:$D, MATCH($A1632, 'calcolo base'!$A:$A, 0)) = ""   ),
   INDEX('calcolo base'!$K:$K, MATCH($A1632, 'calcolo base'!$A:$A, 0)),
   INDEX('calcolo base'!$J:$J, MATCH($A1632, 'calcolo base'!$A:$A, 0))
) / 1000</f>
        <v>#N/A</v>
      </c>
      <c r="J1632" s="50" t="e">
        <f t="shared" si="298"/>
        <v>#N/A</v>
      </c>
      <c r="K1632" s="50"/>
      <c r="L1632" s="267" t="e">
        <f>INDEX('calcolo base'!$H:$H, MATCH($A1632, 'calcolo base'!$A:$A, 0))</f>
        <v>#N/A</v>
      </c>
      <c r="M1632" s="50" t="e">
        <f t="shared" si="299"/>
        <v>#N/A</v>
      </c>
      <c r="N1632" s="50" t="e">
        <f t="shared" si="300"/>
        <v>#N/A</v>
      </c>
      <c r="O1632" s="50" t="e">
        <f t="shared" si="294"/>
        <v>#N/A</v>
      </c>
      <c r="P1632" s="50" t="e">
        <f t="shared" si="301"/>
        <v>#N/A</v>
      </c>
      <c r="Q1632" s="51" t="e">
        <f t="shared" si="302"/>
        <v>#N/A</v>
      </c>
      <c r="R1632" s="205" t="e">
        <f t="shared" si="303"/>
        <v>#N/A</v>
      </c>
      <c r="S1632" s="279" t="e">
        <f>IF(R1632="si",0,IF(E1632="si",0,IF(J1632&gt;K1632,0,+K1632-J1632)))+IF('calcolo base'!P2324="SI",('Commissioni De Angeli'!K1632-'Commissioni De Angeli'!J1632),0)</f>
        <v>#N/A</v>
      </c>
      <c r="T1632" s="117" t="e">
        <f t="shared" si="304"/>
        <v>#N/A</v>
      </c>
      <c r="U1632" s="272" t="e">
        <f>IF(Q1632=0,'calcolo base'!L4231,(T1632+Q1632))</f>
        <v>#N/A</v>
      </c>
      <c r="V1632" s="119"/>
      <c r="Z1632" s="118">
        <f t="shared" si="295"/>
        <v>0</v>
      </c>
      <c r="AA1632" s="118">
        <f t="shared" si="296"/>
        <v>0</v>
      </c>
    </row>
    <row r="1633" spans="2:27">
      <c r="B1633" s="47"/>
      <c r="C1633" s="35"/>
      <c r="D1633" s="53"/>
      <c r="E1633" s="53"/>
      <c r="F1633" s="48"/>
      <c r="G1633" s="243" t="e">
        <f>INDEX('calcolo base'!$B:$B, MATCH($A1633, 'calcolo base'!$A:$A, 0))</f>
        <v>#N/A</v>
      </c>
      <c r="H1633" s="54" t="e">
        <f t="shared" si="297"/>
        <v>#N/A</v>
      </c>
      <c r="I1633" s="259" t="e">
        <f>IF(  OR(      INDEX('calcolo base'!$D:$D, MATCH($A1633, 'calcolo base'!$A:$A, 0)) = 0,
      INDEX('calcolo base'!$D:$D, MATCH($A1633, 'calcolo base'!$A:$A, 0)) = ""   ),
   INDEX('calcolo base'!$K:$K, MATCH($A1633, 'calcolo base'!$A:$A, 0)),
   INDEX('calcolo base'!$J:$J, MATCH($A1633, 'calcolo base'!$A:$A, 0))
) / 1000</f>
        <v>#N/A</v>
      </c>
      <c r="J1633" s="50" t="e">
        <f t="shared" si="298"/>
        <v>#N/A</v>
      </c>
      <c r="K1633" s="50"/>
      <c r="L1633" s="267" t="e">
        <f>INDEX('calcolo base'!$H:$H, MATCH($A1633, 'calcolo base'!$A:$A, 0))</f>
        <v>#N/A</v>
      </c>
      <c r="M1633" s="50" t="e">
        <f t="shared" si="299"/>
        <v>#N/A</v>
      </c>
      <c r="N1633" s="50" t="e">
        <f t="shared" si="300"/>
        <v>#N/A</v>
      </c>
      <c r="O1633" s="50" t="e">
        <f t="shared" si="294"/>
        <v>#N/A</v>
      </c>
      <c r="P1633" s="50" t="e">
        <f t="shared" si="301"/>
        <v>#N/A</v>
      </c>
      <c r="Q1633" s="51" t="e">
        <f t="shared" si="302"/>
        <v>#N/A</v>
      </c>
      <c r="R1633" s="205" t="e">
        <f t="shared" si="303"/>
        <v>#N/A</v>
      </c>
      <c r="S1633" s="279" t="e">
        <f>IF(R1633="si",0,IF(E1633="si",0,IF(J1633&gt;K1633,0,+K1633-J1633)))+IF('calcolo base'!P2325="SI",('Commissioni De Angeli'!K1633-'Commissioni De Angeli'!J1633),0)</f>
        <v>#N/A</v>
      </c>
      <c r="T1633" s="117" t="e">
        <f t="shared" si="304"/>
        <v>#N/A</v>
      </c>
      <c r="U1633" s="272" t="e">
        <f>IF(Q1633=0,'calcolo base'!L4232,(T1633+Q1633))</f>
        <v>#N/A</v>
      </c>
      <c r="V1633" s="119"/>
      <c r="Z1633" s="118">
        <f t="shared" si="295"/>
        <v>0</v>
      </c>
      <c r="AA1633" s="118">
        <f t="shared" si="296"/>
        <v>0</v>
      </c>
    </row>
    <row r="1634" spans="2:27">
      <c r="B1634" s="47"/>
      <c r="C1634" s="35"/>
      <c r="D1634" s="53"/>
      <c r="E1634" s="53"/>
      <c r="F1634" s="48"/>
      <c r="G1634" s="243" t="e">
        <f>INDEX('calcolo base'!$B:$B, MATCH($A1634, 'calcolo base'!$A:$A, 0))</f>
        <v>#N/A</v>
      </c>
      <c r="H1634" s="54" t="e">
        <f t="shared" si="297"/>
        <v>#N/A</v>
      </c>
      <c r="I1634" s="259" t="e">
        <f>IF(  OR(      INDEX('calcolo base'!$D:$D, MATCH($A1634, 'calcolo base'!$A:$A, 0)) = 0,
      INDEX('calcolo base'!$D:$D, MATCH($A1634, 'calcolo base'!$A:$A, 0)) = ""   ),
   INDEX('calcolo base'!$K:$K, MATCH($A1634, 'calcolo base'!$A:$A, 0)),
   INDEX('calcolo base'!$J:$J, MATCH($A1634, 'calcolo base'!$A:$A, 0))
) / 1000</f>
        <v>#N/A</v>
      </c>
      <c r="J1634" s="50" t="e">
        <f t="shared" si="298"/>
        <v>#N/A</v>
      </c>
      <c r="K1634" s="50"/>
      <c r="L1634" s="267" t="e">
        <f>INDEX('calcolo base'!$H:$H, MATCH($A1634, 'calcolo base'!$A:$A, 0))</f>
        <v>#N/A</v>
      </c>
      <c r="M1634" s="50" t="e">
        <f t="shared" si="299"/>
        <v>#N/A</v>
      </c>
      <c r="N1634" s="50" t="e">
        <f t="shared" si="300"/>
        <v>#N/A</v>
      </c>
      <c r="O1634" s="50" t="e">
        <f t="shared" si="294"/>
        <v>#N/A</v>
      </c>
      <c r="P1634" s="50" t="e">
        <f t="shared" si="301"/>
        <v>#N/A</v>
      </c>
      <c r="Q1634" s="51" t="e">
        <f t="shared" si="302"/>
        <v>#N/A</v>
      </c>
      <c r="R1634" s="205" t="e">
        <f t="shared" si="303"/>
        <v>#N/A</v>
      </c>
      <c r="S1634" s="279" t="e">
        <f>IF(R1634="si",0,IF(E1634="si",0,IF(J1634&gt;K1634,0,+K1634-J1634)))+IF('calcolo base'!P2326="SI",('Commissioni De Angeli'!K1634-'Commissioni De Angeli'!J1634),0)</f>
        <v>#N/A</v>
      </c>
      <c r="T1634" s="117" t="e">
        <f t="shared" si="304"/>
        <v>#N/A</v>
      </c>
      <c r="U1634" s="272" t="e">
        <f>IF(Q1634=0,'calcolo base'!L4233,(T1634+Q1634))</f>
        <v>#N/A</v>
      </c>
      <c r="V1634" s="119"/>
      <c r="Z1634" s="118">
        <f t="shared" si="295"/>
        <v>0</v>
      </c>
      <c r="AA1634" s="118">
        <f t="shared" si="296"/>
        <v>0</v>
      </c>
    </row>
    <row r="1635" spans="2:27">
      <c r="B1635" s="47"/>
      <c r="C1635" s="35"/>
      <c r="D1635" s="53"/>
      <c r="E1635" s="53"/>
      <c r="F1635" s="48"/>
      <c r="G1635" s="243" t="e">
        <f>INDEX('calcolo base'!$B:$B, MATCH($A1635, 'calcolo base'!$A:$A, 0))</f>
        <v>#N/A</v>
      </c>
      <c r="H1635" s="54" t="e">
        <f t="shared" si="297"/>
        <v>#N/A</v>
      </c>
      <c r="I1635" s="259" t="e">
        <f>IF(  OR(      INDEX('calcolo base'!$D:$D, MATCH($A1635, 'calcolo base'!$A:$A, 0)) = 0,
      INDEX('calcolo base'!$D:$D, MATCH($A1635, 'calcolo base'!$A:$A, 0)) = ""   ),
   INDEX('calcolo base'!$K:$K, MATCH($A1635, 'calcolo base'!$A:$A, 0)),
   INDEX('calcolo base'!$J:$J, MATCH($A1635, 'calcolo base'!$A:$A, 0))
) / 1000</f>
        <v>#N/A</v>
      </c>
      <c r="J1635" s="50" t="e">
        <f t="shared" si="298"/>
        <v>#N/A</v>
      </c>
      <c r="K1635" s="50"/>
      <c r="L1635" s="267" t="e">
        <f>INDEX('calcolo base'!$H:$H, MATCH($A1635, 'calcolo base'!$A:$A, 0))</f>
        <v>#N/A</v>
      </c>
      <c r="M1635" s="50" t="e">
        <f t="shared" si="299"/>
        <v>#N/A</v>
      </c>
      <c r="N1635" s="50" t="e">
        <f t="shared" si="300"/>
        <v>#N/A</v>
      </c>
      <c r="O1635" s="50" t="e">
        <f t="shared" si="294"/>
        <v>#N/A</v>
      </c>
      <c r="P1635" s="50" t="e">
        <f t="shared" si="301"/>
        <v>#N/A</v>
      </c>
      <c r="Q1635" s="51" t="e">
        <f t="shared" si="302"/>
        <v>#N/A</v>
      </c>
      <c r="R1635" s="205" t="e">
        <f t="shared" si="303"/>
        <v>#N/A</v>
      </c>
      <c r="S1635" s="279" t="e">
        <f>IF(R1635="si",0,IF(E1635="si",0,IF(J1635&gt;K1635,0,+K1635-J1635)))+IF('calcolo base'!P2327="SI",('Commissioni De Angeli'!K1635-'Commissioni De Angeli'!J1635),0)</f>
        <v>#N/A</v>
      </c>
      <c r="T1635" s="117" t="e">
        <f t="shared" si="304"/>
        <v>#N/A</v>
      </c>
      <c r="U1635" s="272" t="e">
        <f>IF(Q1635=0,'calcolo base'!L4234,(T1635+Q1635))</f>
        <v>#N/A</v>
      </c>
      <c r="V1635" s="119"/>
      <c r="Z1635" s="118">
        <f t="shared" si="295"/>
        <v>0</v>
      </c>
      <c r="AA1635" s="118">
        <f t="shared" si="296"/>
        <v>0</v>
      </c>
    </row>
    <row r="1636" spans="2:27">
      <c r="B1636" s="47"/>
      <c r="C1636" s="35"/>
      <c r="D1636" s="53"/>
      <c r="E1636" s="53"/>
      <c r="F1636" s="48"/>
      <c r="G1636" s="243" t="e">
        <f>INDEX('calcolo base'!$B:$B, MATCH($A1636, 'calcolo base'!$A:$A, 0))</f>
        <v>#N/A</v>
      </c>
      <c r="H1636" s="54" t="e">
        <f t="shared" si="297"/>
        <v>#N/A</v>
      </c>
      <c r="I1636" s="259" t="e">
        <f>IF(  OR(      INDEX('calcolo base'!$D:$D, MATCH($A1636, 'calcolo base'!$A:$A, 0)) = 0,
      INDEX('calcolo base'!$D:$D, MATCH($A1636, 'calcolo base'!$A:$A, 0)) = ""   ),
   INDEX('calcolo base'!$K:$K, MATCH($A1636, 'calcolo base'!$A:$A, 0)),
   INDEX('calcolo base'!$J:$J, MATCH($A1636, 'calcolo base'!$A:$A, 0))
) / 1000</f>
        <v>#N/A</v>
      </c>
      <c r="J1636" s="50" t="e">
        <f t="shared" si="298"/>
        <v>#N/A</v>
      </c>
      <c r="K1636" s="50"/>
      <c r="L1636" s="267" t="e">
        <f>INDEX('calcolo base'!$H:$H, MATCH($A1636, 'calcolo base'!$A:$A, 0))</f>
        <v>#N/A</v>
      </c>
      <c r="M1636" s="50" t="e">
        <f t="shared" si="299"/>
        <v>#N/A</v>
      </c>
      <c r="N1636" s="50" t="e">
        <f t="shared" si="300"/>
        <v>#N/A</v>
      </c>
      <c r="O1636" s="50" t="e">
        <f t="shared" si="294"/>
        <v>#N/A</v>
      </c>
      <c r="P1636" s="50" t="e">
        <f t="shared" si="301"/>
        <v>#N/A</v>
      </c>
      <c r="Q1636" s="51" t="e">
        <f t="shared" si="302"/>
        <v>#N/A</v>
      </c>
      <c r="R1636" s="205" t="e">
        <f t="shared" si="303"/>
        <v>#N/A</v>
      </c>
      <c r="S1636" s="279" t="e">
        <f>IF(R1636="si",0,IF(E1636="si",0,IF(J1636&gt;K1636,0,+K1636-J1636)))+IF('calcolo base'!P2328="SI",('Commissioni De Angeli'!K1636-'Commissioni De Angeli'!J1636),0)</f>
        <v>#N/A</v>
      </c>
      <c r="T1636" s="117" t="e">
        <f t="shared" si="304"/>
        <v>#N/A</v>
      </c>
      <c r="U1636" s="272" t="e">
        <f>IF(Q1636=0,'calcolo base'!L4235,(T1636+Q1636))</f>
        <v>#N/A</v>
      </c>
      <c r="V1636" s="119"/>
      <c r="Z1636" s="118">
        <f t="shared" si="295"/>
        <v>0</v>
      </c>
      <c r="AA1636" s="118">
        <f t="shared" si="296"/>
        <v>0</v>
      </c>
    </row>
    <row r="1637" spans="2:27">
      <c r="B1637" s="47"/>
      <c r="C1637" s="35"/>
      <c r="D1637" s="53"/>
      <c r="E1637" s="53"/>
      <c r="F1637" s="48"/>
      <c r="G1637" s="243" t="e">
        <f>INDEX('calcolo base'!$B:$B, MATCH($A1637, 'calcolo base'!$A:$A, 0))</f>
        <v>#N/A</v>
      </c>
      <c r="H1637" s="54" t="e">
        <f t="shared" si="297"/>
        <v>#N/A</v>
      </c>
      <c r="I1637" s="259" t="e">
        <f>IF(  OR(      INDEX('calcolo base'!$D:$D, MATCH($A1637, 'calcolo base'!$A:$A, 0)) = 0,
      INDEX('calcolo base'!$D:$D, MATCH($A1637, 'calcolo base'!$A:$A, 0)) = ""   ),
   INDEX('calcolo base'!$K:$K, MATCH($A1637, 'calcolo base'!$A:$A, 0)),
   INDEX('calcolo base'!$J:$J, MATCH($A1637, 'calcolo base'!$A:$A, 0))
) / 1000</f>
        <v>#N/A</v>
      </c>
      <c r="J1637" s="50" t="e">
        <f t="shared" si="298"/>
        <v>#N/A</v>
      </c>
      <c r="K1637" s="50"/>
      <c r="L1637" s="267" t="e">
        <f>INDEX('calcolo base'!$H:$H, MATCH($A1637, 'calcolo base'!$A:$A, 0))</f>
        <v>#N/A</v>
      </c>
      <c r="M1637" s="50" t="e">
        <f t="shared" si="299"/>
        <v>#N/A</v>
      </c>
      <c r="N1637" s="50" t="e">
        <f t="shared" si="300"/>
        <v>#N/A</v>
      </c>
      <c r="O1637" s="50" t="e">
        <f t="shared" si="294"/>
        <v>#N/A</v>
      </c>
      <c r="P1637" s="50" t="e">
        <f t="shared" si="301"/>
        <v>#N/A</v>
      </c>
      <c r="Q1637" s="51" t="e">
        <f t="shared" si="302"/>
        <v>#N/A</v>
      </c>
      <c r="R1637" s="205" t="e">
        <f t="shared" si="303"/>
        <v>#N/A</v>
      </c>
      <c r="S1637" s="279" t="e">
        <f>IF(R1637="si",0,IF(E1637="si",0,IF(J1637&gt;K1637,0,+K1637-J1637)))+IF('calcolo base'!P2329="SI",('Commissioni De Angeli'!K1637-'Commissioni De Angeli'!J1637),0)</f>
        <v>#N/A</v>
      </c>
      <c r="T1637" s="117" t="e">
        <f t="shared" si="304"/>
        <v>#N/A</v>
      </c>
      <c r="U1637" s="272" t="e">
        <f>IF(Q1637=0,'calcolo base'!L4236,(T1637+Q1637))</f>
        <v>#N/A</v>
      </c>
      <c r="V1637" s="119"/>
      <c r="Z1637" s="118">
        <f t="shared" si="295"/>
        <v>0</v>
      </c>
      <c r="AA1637" s="118">
        <f t="shared" si="296"/>
        <v>0</v>
      </c>
    </row>
    <row r="1638" spans="2:27">
      <c r="B1638" s="47"/>
      <c r="C1638" s="35"/>
      <c r="D1638" s="53"/>
      <c r="E1638" s="53"/>
      <c r="F1638" s="48"/>
      <c r="G1638" s="243" t="e">
        <f>INDEX('calcolo base'!$B:$B, MATCH($A1638, 'calcolo base'!$A:$A, 0))</f>
        <v>#N/A</v>
      </c>
      <c r="H1638" s="54" t="e">
        <f t="shared" si="297"/>
        <v>#N/A</v>
      </c>
      <c r="I1638" s="259" t="e">
        <f>IF(  OR(      INDEX('calcolo base'!$D:$D, MATCH($A1638, 'calcolo base'!$A:$A, 0)) = 0,
      INDEX('calcolo base'!$D:$D, MATCH($A1638, 'calcolo base'!$A:$A, 0)) = ""   ),
   INDEX('calcolo base'!$K:$K, MATCH($A1638, 'calcolo base'!$A:$A, 0)),
   INDEX('calcolo base'!$J:$J, MATCH($A1638, 'calcolo base'!$A:$A, 0))
) / 1000</f>
        <v>#N/A</v>
      </c>
      <c r="J1638" s="50" t="e">
        <f t="shared" si="298"/>
        <v>#N/A</v>
      </c>
      <c r="K1638" s="50"/>
      <c r="L1638" s="267" t="e">
        <f>INDEX('calcolo base'!$H:$H, MATCH($A1638, 'calcolo base'!$A:$A, 0))</f>
        <v>#N/A</v>
      </c>
      <c r="M1638" s="50" t="e">
        <f t="shared" si="299"/>
        <v>#N/A</v>
      </c>
      <c r="N1638" s="50" t="e">
        <f t="shared" si="300"/>
        <v>#N/A</v>
      </c>
      <c r="O1638" s="50" t="e">
        <f t="shared" si="294"/>
        <v>#N/A</v>
      </c>
      <c r="P1638" s="50" t="e">
        <f t="shared" si="301"/>
        <v>#N/A</v>
      </c>
      <c r="Q1638" s="51" t="e">
        <f t="shared" si="302"/>
        <v>#N/A</v>
      </c>
      <c r="R1638" s="205" t="e">
        <f t="shared" si="303"/>
        <v>#N/A</v>
      </c>
      <c r="S1638" s="279" t="e">
        <f>IF(R1638="si",0,IF(E1638="si",0,IF(J1638&gt;K1638,0,+K1638-J1638)))+IF('calcolo base'!P2330="SI",('Commissioni De Angeli'!K1638-'Commissioni De Angeli'!J1638),0)</f>
        <v>#N/A</v>
      </c>
      <c r="T1638" s="117" t="e">
        <f t="shared" si="304"/>
        <v>#N/A</v>
      </c>
      <c r="U1638" s="272" t="e">
        <f>IF(Q1638=0,'calcolo base'!L4237,(T1638+Q1638))</f>
        <v>#N/A</v>
      </c>
      <c r="V1638" s="119"/>
      <c r="Z1638" s="118">
        <f t="shared" si="295"/>
        <v>0</v>
      </c>
      <c r="AA1638" s="118">
        <f t="shared" si="296"/>
        <v>0</v>
      </c>
    </row>
    <row r="1639" spans="2:27">
      <c r="B1639" s="101"/>
      <c r="C1639" s="75"/>
      <c r="D1639" s="53"/>
      <c r="E1639" s="53"/>
      <c r="F1639" s="114"/>
      <c r="G1639" s="243" t="e">
        <f>INDEX('calcolo base'!$B:$B, MATCH($A1639, 'calcolo base'!$A:$A, 0))</f>
        <v>#N/A</v>
      </c>
      <c r="H1639" s="115" t="e">
        <f t="shared" ref="H1639:H1644" si="305">IF(G1639=0,"",+G1639)</f>
        <v>#N/A</v>
      </c>
      <c r="I1639" s="259" t="e">
        <f>IF(  OR(      INDEX('calcolo base'!$D:$D, MATCH($A1639, 'calcolo base'!$A:$A, 0)) = 0,
      INDEX('calcolo base'!$D:$D, MATCH($A1639, 'calcolo base'!$A:$A, 0)) = ""   ),
   INDEX('calcolo base'!$K:$K, MATCH($A1639, 'calcolo base'!$A:$A, 0)),
   INDEX('calcolo base'!$J:$J, MATCH($A1639, 'calcolo base'!$A:$A, 0))
) / 1000</f>
        <v>#N/A</v>
      </c>
      <c r="J1639" s="116" t="e">
        <f t="shared" ref="J1639:J1644" si="306">+F1639+I1639</f>
        <v>#N/A</v>
      </c>
      <c r="K1639" s="116"/>
      <c r="L1639" s="267" t="e">
        <f>INDEX('calcolo base'!$H:$H, MATCH($A1639, 'calcolo base'!$A:$A, 0))</f>
        <v>#N/A</v>
      </c>
      <c r="M1639" s="116" t="e">
        <f t="shared" ref="M1639:M1644" si="307">IF(L1639=0,0,J1639*L1639)</f>
        <v>#N/A</v>
      </c>
      <c r="N1639" s="116" t="e">
        <f t="shared" ref="N1639:N1644" si="308">IF(E1639="si",K1639*1.5%,IF($L1639&gt;=5%,IF($I1639=0,0,(IF($G1639="RAME",($J1639)*1.5%,0)+IF($G1639="rame smaltato",($K1639)*1.5%,0))),0))</f>
        <v>#N/A</v>
      </c>
      <c r="O1639" s="116" t="e">
        <f t="shared" ref="O1639:O1644" si="309">IF($I1639=0,0,(IF($G1639="alluminio",($J1639)*3%,0)+IF($G1639="alluminio smaltato",($K1639)*3%,0)))</f>
        <v>#N/A</v>
      </c>
      <c r="P1639" s="116" t="e">
        <f t="shared" ref="P1639:P1644" si="310">IF(H1639="alluminio",0,IF(L1639&lt;5%,F1639*8%,0))</f>
        <v>#N/A</v>
      </c>
      <c r="Q1639" s="117" t="e">
        <f t="shared" ref="Q1639:Q1644" si="311">+(N1639*D1639)+(O1639*D1639)+(P1639*D1639)</f>
        <v>#N/A</v>
      </c>
      <c r="R1639" s="204" t="e">
        <f t="shared" ref="R1639:R1644" si="312">IF(H1639="ALLUMINIO",0,IF(L1639&lt;5%,"si",0))</f>
        <v>#N/A</v>
      </c>
      <c r="S1639" s="279" t="e">
        <f>IF(R1639="si",0,IF(E1639="si",0,IF(J1639&gt;K1639,0,K1639-J1639))) + IF(INDEX('calcolo base'!$P:$P, MATCH($A1639, 'calcolo base'!$A:$A, 0))="SI", ('Commissioni De Angeli'!K1639-'Commissioni De Angeli'!J1639), 0)</f>
        <v>#N/A</v>
      </c>
      <c r="T1639" s="117" t="e">
        <f t="shared" ref="T1639:T1644" si="313">+(S1639)*D1639*40%</f>
        <v>#N/A</v>
      </c>
      <c r="U1639" s="272" t="e">
        <f>IF(Q1639=0,'calcolo base'!L4238,(T1639+Q1639))</f>
        <v>#N/A</v>
      </c>
      <c r="V1639" s="119"/>
      <c r="Z1639" s="118">
        <f t="shared" ref="Z1639:Z1644" si="314">IF(V1639="",0,MONTH(V1639))</f>
        <v>0</v>
      </c>
      <c r="AA1639" s="118">
        <f t="shared" ref="AA1639:AA1644" si="315">IF(V1639="",0,YEAR(V1639))</f>
        <v>0</v>
      </c>
    </row>
    <row r="1640" spans="2:27">
      <c r="B1640" s="101"/>
      <c r="C1640" s="75"/>
      <c r="D1640" s="53"/>
      <c r="E1640" s="53"/>
      <c r="F1640" s="114"/>
      <c r="G1640" s="243" t="e">
        <f>INDEX('calcolo base'!$B:$B, MATCH($A1640, 'calcolo base'!$A:$A, 0))</f>
        <v>#N/A</v>
      </c>
      <c r="H1640" s="115" t="e">
        <f t="shared" si="305"/>
        <v>#N/A</v>
      </c>
      <c r="I1640" s="259" t="e">
        <f>IF(  OR(      INDEX('calcolo base'!$D:$D, MATCH($A1640, 'calcolo base'!$A:$A, 0)) = 0,
      INDEX('calcolo base'!$D:$D, MATCH($A1640, 'calcolo base'!$A:$A, 0)) = ""   ),
   INDEX('calcolo base'!$K:$K, MATCH($A1640, 'calcolo base'!$A:$A, 0)),
   INDEX('calcolo base'!$J:$J, MATCH($A1640, 'calcolo base'!$A:$A, 0))
) / 1000</f>
        <v>#N/A</v>
      </c>
      <c r="J1640" s="116" t="e">
        <f t="shared" si="306"/>
        <v>#N/A</v>
      </c>
      <c r="K1640" s="116"/>
      <c r="L1640" s="267" t="e">
        <f>INDEX('calcolo base'!$H:$H, MATCH($A1640, 'calcolo base'!$A:$A, 0))</f>
        <v>#N/A</v>
      </c>
      <c r="M1640" s="116" t="e">
        <f t="shared" si="307"/>
        <v>#N/A</v>
      </c>
      <c r="N1640" s="116" t="e">
        <f t="shared" si="308"/>
        <v>#N/A</v>
      </c>
      <c r="O1640" s="116" t="e">
        <f t="shared" si="309"/>
        <v>#N/A</v>
      </c>
      <c r="P1640" s="116" t="e">
        <f t="shared" si="310"/>
        <v>#N/A</v>
      </c>
      <c r="Q1640" s="117" t="e">
        <f t="shared" si="311"/>
        <v>#N/A</v>
      </c>
      <c r="R1640" s="204" t="e">
        <f t="shared" si="312"/>
        <v>#N/A</v>
      </c>
      <c r="S1640" s="279" t="e">
        <f>IF(R1640="si",0,IF(E1640="si",0,IF(J1640&gt;K1640,0,K1640-J1640))) + IF(INDEX('calcolo base'!$P:$P, MATCH($A1640, 'calcolo base'!$A:$A, 0))="SI", ('Commissioni De Angeli'!K1640-'Commissioni De Angeli'!J1640), 0)</f>
        <v>#N/A</v>
      </c>
      <c r="T1640" s="117" t="e">
        <f t="shared" si="313"/>
        <v>#N/A</v>
      </c>
      <c r="U1640" s="272" t="e">
        <f>IF(Q1640=0,'calcolo base'!L4238,(T1640+Q1640))</f>
        <v>#N/A</v>
      </c>
      <c r="V1640" s="119"/>
      <c r="Z1640" s="118">
        <f t="shared" si="314"/>
        <v>0</v>
      </c>
      <c r="AA1640" s="118">
        <f t="shared" si="315"/>
        <v>0</v>
      </c>
    </row>
    <row r="1641" spans="2:27">
      <c r="B1641" s="101"/>
      <c r="C1641" s="75"/>
      <c r="D1641" s="53"/>
      <c r="E1641" s="53"/>
      <c r="F1641" s="114"/>
      <c r="G1641" s="243" t="e">
        <f>INDEX('calcolo base'!$B:$B, MATCH($A1641, 'calcolo base'!$A:$A, 0))</f>
        <v>#N/A</v>
      </c>
      <c r="H1641" s="115" t="e">
        <f t="shared" si="305"/>
        <v>#N/A</v>
      </c>
      <c r="I1641" s="259" t="e">
        <f>IF(  OR(      INDEX('calcolo base'!$D:$D, MATCH($A1641, 'calcolo base'!$A:$A, 0)) = 0,
      INDEX('calcolo base'!$D:$D, MATCH($A1641, 'calcolo base'!$A:$A, 0)) = ""   ),
   INDEX('calcolo base'!$K:$K, MATCH($A1641, 'calcolo base'!$A:$A, 0)),
   INDEX('calcolo base'!$J:$J, MATCH($A1641, 'calcolo base'!$A:$A, 0))
) / 1000</f>
        <v>#N/A</v>
      </c>
      <c r="J1641" s="116" t="e">
        <f t="shared" si="306"/>
        <v>#N/A</v>
      </c>
      <c r="K1641" s="116"/>
      <c r="L1641" s="267" t="e">
        <f>INDEX('calcolo base'!$H:$H, MATCH($A1641, 'calcolo base'!$A:$A, 0))</f>
        <v>#N/A</v>
      </c>
      <c r="M1641" s="116" t="e">
        <f t="shared" si="307"/>
        <v>#N/A</v>
      </c>
      <c r="N1641" s="116" t="e">
        <f t="shared" si="308"/>
        <v>#N/A</v>
      </c>
      <c r="O1641" s="116" t="e">
        <f t="shared" si="309"/>
        <v>#N/A</v>
      </c>
      <c r="P1641" s="116" t="e">
        <f t="shared" si="310"/>
        <v>#N/A</v>
      </c>
      <c r="Q1641" s="117" t="e">
        <f t="shared" si="311"/>
        <v>#N/A</v>
      </c>
      <c r="R1641" s="204" t="e">
        <f t="shared" si="312"/>
        <v>#N/A</v>
      </c>
      <c r="S1641" s="279" t="e">
        <f>IF(R1641="si",0,IF(E1641="si",0,IF(J1641&gt;K1641,0,K1641-J1641))) + IF(INDEX('calcolo base'!$P:$P, MATCH($A1641, 'calcolo base'!$A:$A, 0))="SI", ('Commissioni De Angeli'!K1641-'Commissioni De Angeli'!J1641), 0)</f>
        <v>#N/A</v>
      </c>
      <c r="T1641" s="117" t="e">
        <f t="shared" si="313"/>
        <v>#N/A</v>
      </c>
      <c r="U1641" s="272" t="e">
        <f>IF(Q1641=0,'calcolo base'!L4238,(T1641+Q1641))</f>
        <v>#N/A</v>
      </c>
      <c r="V1641" s="119"/>
      <c r="Z1641" s="118">
        <f t="shared" si="314"/>
        <v>0</v>
      </c>
      <c r="AA1641" s="118">
        <f t="shared" si="315"/>
        <v>0</v>
      </c>
    </row>
    <row r="1642" spans="2:27">
      <c r="B1642" s="101"/>
      <c r="C1642" s="75"/>
      <c r="D1642" s="53"/>
      <c r="E1642" s="53"/>
      <c r="F1642" s="114"/>
      <c r="G1642" s="243" t="e">
        <f>INDEX('calcolo base'!$B:$B, MATCH($A1642, 'calcolo base'!$A:$A, 0))</f>
        <v>#N/A</v>
      </c>
      <c r="H1642" s="115" t="e">
        <f t="shared" si="305"/>
        <v>#N/A</v>
      </c>
      <c r="I1642" s="259" t="e">
        <f>IF(  OR(      INDEX('calcolo base'!$D:$D, MATCH($A1642, 'calcolo base'!$A:$A, 0)) = 0,
      INDEX('calcolo base'!$D:$D, MATCH($A1642, 'calcolo base'!$A:$A, 0)) = ""   ),
   INDEX('calcolo base'!$K:$K, MATCH($A1642, 'calcolo base'!$A:$A, 0)),
   INDEX('calcolo base'!$J:$J, MATCH($A1642, 'calcolo base'!$A:$A, 0))
) / 1000</f>
        <v>#N/A</v>
      </c>
      <c r="J1642" s="116" t="e">
        <f t="shared" si="306"/>
        <v>#N/A</v>
      </c>
      <c r="K1642" s="116"/>
      <c r="L1642" s="267" t="e">
        <f>INDEX('calcolo base'!$H:$H, MATCH($A1642, 'calcolo base'!$A:$A, 0))</f>
        <v>#N/A</v>
      </c>
      <c r="M1642" s="116" t="e">
        <f t="shared" si="307"/>
        <v>#N/A</v>
      </c>
      <c r="N1642" s="116" t="e">
        <f t="shared" si="308"/>
        <v>#N/A</v>
      </c>
      <c r="O1642" s="116" t="e">
        <f t="shared" si="309"/>
        <v>#N/A</v>
      </c>
      <c r="P1642" s="116" t="e">
        <f t="shared" si="310"/>
        <v>#N/A</v>
      </c>
      <c r="Q1642" s="117" t="e">
        <f t="shared" si="311"/>
        <v>#N/A</v>
      </c>
      <c r="R1642" s="204" t="e">
        <f t="shared" si="312"/>
        <v>#N/A</v>
      </c>
      <c r="S1642" s="279" t="e">
        <f>IF(R1642="si",0,IF(E1642="si",0,IF(J1642&gt;K1642,0,K1642-J1642))) + IF(INDEX('calcolo base'!$P:$P, MATCH($A1642, 'calcolo base'!$A:$A, 0))="SI", ('Commissioni De Angeli'!K1642-'Commissioni De Angeli'!J1642), 0)</f>
        <v>#N/A</v>
      </c>
      <c r="T1642" s="117" t="e">
        <f t="shared" si="313"/>
        <v>#N/A</v>
      </c>
      <c r="U1642" s="272" t="e">
        <f>IF(Q1642=0,'calcolo base'!L4238,(T1642+Q1642))</f>
        <v>#N/A</v>
      </c>
      <c r="V1642" s="119"/>
      <c r="Z1642" s="118">
        <f t="shared" si="314"/>
        <v>0</v>
      </c>
      <c r="AA1642" s="118">
        <f t="shared" si="315"/>
        <v>0</v>
      </c>
    </row>
    <row r="1643" spans="2:27">
      <c r="B1643" s="101"/>
      <c r="C1643" s="75"/>
      <c r="D1643" s="53"/>
      <c r="E1643" s="53"/>
      <c r="F1643" s="114"/>
      <c r="G1643" s="243" t="e">
        <f>INDEX('calcolo base'!$B:$B, MATCH($A1643, 'calcolo base'!$A:$A, 0))</f>
        <v>#N/A</v>
      </c>
      <c r="H1643" s="115" t="e">
        <f t="shared" si="305"/>
        <v>#N/A</v>
      </c>
      <c r="I1643" s="259" t="e">
        <f>IF(  OR(      INDEX('calcolo base'!$D:$D, MATCH($A1643, 'calcolo base'!$A:$A, 0)) = 0,
      INDEX('calcolo base'!$D:$D, MATCH($A1643, 'calcolo base'!$A:$A, 0)) = ""   ),
   INDEX('calcolo base'!$K:$K, MATCH($A1643, 'calcolo base'!$A:$A, 0)),
   INDEX('calcolo base'!$J:$J, MATCH($A1643, 'calcolo base'!$A:$A, 0))
) / 1000</f>
        <v>#N/A</v>
      </c>
      <c r="J1643" s="116" t="e">
        <f t="shared" si="306"/>
        <v>#N/A</v>
      </c>
      <c r="K1643" s="116"/>
      <c r="L1643" s="267" t="e">
        <f>INDEX('calcolo base'!$H:$H, MATCH($A1643, 'calcolo base'!$A:$A, 0))</f>
        <v>#N/A</v>
      </c>
      <c r="M1643" s="116" t="e">
        <f t="shared" si="307"/>
        <v>#N/A</v>
      </c>
      <c r="N1643" s="116" t="e">
        <f t="shared" si="308"/>
        <v>#N/A</v>
      </c>
      <c r="O1643" s="116" t="e">
        <f t="shared" si="309"/>
        <v>#N/A</v>
      </c>
      <c r="P1643" s="116" t="e">
        <f t="shared" si="310"/>
        <v>#N/A</v>
      </c>
      <c r="Q1643" s="117" t="e">
        <f t="shared" si="311"/>
        <v>#N/A</v>
      </c>
      <c r="R1643" s="204" t="e">
        <f t="shared" si="312"/>
        <v>#N/A</v>
      </c>
      <c r="S1643" s="279" t="e">
        <f>IF(R1643="si",0,IF(E1643="si",0,IF(J1643&gt;K1643,0,K1643-J1643))) + IF(INDEX('calcolo base'!$P:$P, MATCH($A1643, 'calcolo base'!$A:$A, 0))="SI", ('Commissioni De Angeli'!K1643-'Commissioni De Angeli'!J1643), 0)</f>
        <v>#N/A</v>
      </c>
      <c r="T1643" s="117" t="e">
        <f t="shared" si="313"/>
        <v>#N/A</v>
      </c>
      <c r="U1643" s="272" t="e">
        <f>IF(Q1643=0,'calcolo base'!L4238,(T1643+Q1643))</f>
        <v>#N/A</v>
      </c>
      <c r="V1643" s="119"/>
      <c r="Z1643" s="118">
        <f t="shared" si="314"/>
        <v>0</v>
      </c>
      <c r="AA1643" s="118">
        <f t="shared" si="315"/>
        <v>0</v>
      </c>
    </row>
    <row r="1644" spans="2:27" ht="13.5" thickBot="1">
      <c r="B1644" s="47"/>
      <c r="C1644" s="35"/>
      <c r="D1644" s="53"/>
      <c r="E1644" s="53"/>
      <c r="F1644" s="48"/>
      <c r="G1644" s="243" t="e">
        <f>INDEX('calcolo base'!$B:$B, MATCH($A1644, 'calcolo base'!$A:$A, 0))</f>
        <v>#N/A</v>
      </c>
      <c r="H1644" s="54" t="e">
        <f t="shared" si="305"/>
        <v>#N/A</v>
      </c>
      <c r="I1644" s="259" t="e">
        <f>IF(  OR(      INDEX('calcolo base'!$D:$D, MATCH($A1644, 'calcolo base'!$A:$A, 0)) = 0,
      INDEX('calcolo base'!$D:$D, MATCH($A1644, 'calcolo base'!$A:$A, 0)) = ""   ),
   INDEX('calcolo base'!$K:$K, MATCH($A1644, 'calcolo base'!$A:$A, 0)),
   INDEX('calcolo base'!$J:$J, MATCH($A1644, 'calcolo base'!$A:$A, 0))
) / 1000</f>
        <v>#N/A</v>
      </c>
      <c r="J1644" s="50" t="e">
        <f t="shared" si="306"/>
        <v>#N/A</v>
      </c>
      <c r="K1644" s="50"/>
      <c r="L1644" s="267" t="e">
        <f>INDEX('calcolo base'!$H:$H, MATCH($A1644, 'calcolo base'!$A:$A, 0))</f>
        <v>#N/A</v>
      </c>
      <c r="M1644" s="50" t="e">
        <f t="shared" si="307"/>
        <v>#N/A</v>
      </c>
      <c r="N1644" s="50" t="e">
        <f t="shared" si="308"/>
        <v>#N/A</v>
      </c>
      <c r="O1644" s="50" t="e">
        <f t="shared" si="309"/>
        <v>#N/A</v>
      </c>
      <c r="P1644" s="50" t="e">
        <f t="shared" si="310"/>
        <v>#N/A</v>
      </c>
      <c r="Q1644" s="51" t="e">
        <f t="shared" si="311"/>
        <v>#N/A</v>
      </c>
      <c r="R1644" s="205" t="e">
        <f t="shared" si="312"/>
        <v>#N/A</v>
      </c>
      <c r="S1644" s="279" t="e">
        <f>IF(R1644="si",0,IF(E1644="si",0,IF(J1644&gt;K1644,0,+K1644-J1644)))+IF('calcolo base'!P1297="SI",('Commissioni De Angeli'!K1644-'Commissioni De Angeli'!J1644),0)</f>
        <v>#N/A</v>
      </c>
      <c r="T1644" s="117" t="e">
        <f t="shared" si="313"/>
        <v>#N/A</v>
      </c>
      <c r="U1644" s="272" t="e">
        <f>IF(Q1644=0,'calcolo base'!L4238,(T1644+Q1644))</f>
        <v>#N/A</v>
      </c>
      <c r="V1644" s="119"/>
      <c r="Z1644" s="118">
        <f t="shared" si="314"/>
        <v>0</v>
      </c>
      <c r="AA1644" s="118">
        <f t="shared" si="315"/>
        <v>0</v>
      </c>
    </row>
    <row r="1645" spans="2:27" ht="13.5" thickBot="1">
      <c r="B1645" s="236" t="s">
        <v>204</v>
      </c>
      <c r="C1645" s="124"/>
      <c r="D1645" s="125">
        <f>SUM(D7:D1644)</f>
        <v>486461.03</v>
      </c>
      <c r="E1645" s="126"/>
      <c r="Q1645" s="201">
        <f>_xlfn.AGGREGATE(9, 6, Q6:Q1638)</f>
        <v>108961.90561690847</v>
      </c>
      <c r="S1645" s="275">
        <f>IF(R1645="si",0,IF(E1645="si",0,IF(J1645&gt;K1645,0,+K1645-J1645)))+IF('calcolo base'!P1022="SI",('Commissioni De Angeli'!K1645-'Commissioni De Angeli'!J1645),0)</f>
        <v>0</v>
      </c>
      <c r="T1645" s="127">
        <f>IF(P1645=0,'calcolo base'!K2499,(S1645+P1645))</f>
        <v>0</v>
      </c>
      <c r="U1645" s="273">
        <f>_xlfn.AGGREGATE(9, 6, U6:U1638)</f>
        <v>156206.68004232351</v>
      </c>
      <c r="V1645" s="128"/>
    </row>
    <row r="1646" spans="2:27">
      <c r="J1646" s="129"/>
      <c r="K1646" s="129"/>
      <c r="L1646" s="270"/>
      <c r="M1646" s="129"/>
      <c r="Q1646" s="202"/>
      <c r="R1646" s="206"/>
      <c r="S1646" s="281"/>
      <c r="T1646" s="202"/>
      <c r="U1646" s="274"/>
    </row>
    <row r="1647" spans="2:27">
      <c r="J1647" s="129"/>
    </row>
    <row r="1651" spans="3:10" ht="13.5" thickBot="1"/>
    <row r="1652" spans="3:10" ht="13.5" thickBot="1">
      <c r="C1652" s="130" t="s">
        <v>6</v>
      </c>
      <c r="D1652" s="131" t="s">
        <v>7</v>
      </c>
      <c r="E1652" s="132"/>
      <c r="F1652" s="133" t="s">
        <v>8</v>
      </c>
      <c r="G1652" s="245" t="s">
        <v>9</v>
      </c>
      <c r="H1652" s="134" t="s">
        <v>82</v>
      </c>
      <c r="I1652" s="245" t="s">
        <v>88</v>
      </c>
    </row>
    <row r="1653" spans="3:10">
      <c r="C1653" s="135"/>
      <c r="D1653" s="136"/>
      <c r="E1653" s="137"/>
      <c r="F1653" s="138"/>
      <c r="G1653" s="246"/>
      <c r="H1653" s="139"/>
      <c r="I1653" s="261"/>
    </row>
    <row r="1654" spans="3:10">
      <c r="C1654" s="140" t="s">
        <v>76</v>
      </c>
      <c r="D1654" s="141">
        <f>SUMIF(C7:C1644,"aeg",D7:D1644)</f>
        <v>0</v>
      </c>
      <c r="E1654" s="142"/>
      <c r="F1654" s="143">
        <f>SUMIF(C7:C1644,"aeg",U7:U1644)</f>
        <v>0</v>
      </c>
      <c r="G1654" s="247"/>
      <c r="H1654" s="144">
        <f>SUMIFS($U$7:$U$1644,$C$7:$C$1644,"Aeg",$W$7:$W$1644,"OK")</f>
        <v>0</v>
      </c>
      <c r="I1654" s="251">
        <f>SUMIFS($D$7:$D$1644,$C$7:$C$1644,"Aeg",$W$7:$W$1644,"OK")</f>
        <v>0</v>
      </c>
    </row>
    <row r="1655" spans="3:10">
      <c r="C1655" s="140" t="s">
        <v>77</v>
      </c>
      <c r="D1655" s="141">
        <f>SUMIF(C$7:C$1644,"alstom",D$7:D$1644)</f>
        <v>28928</v>
      </c>
      <c r="E1655" s="142"/>
      <c r="F1655" s="143">
        <f>SUMIF(C$7:C$1644,"alstom",U$7:U$1644)</f>
        <v>5414.4156401253385</v>
      </c>
      <c r="G1655" s="247"/>
      <c r="H1655" s="144">
        <f>SUMIFS(U$7:U$1644,C$7:C$1644,"Alstom",W$7:W$1644,"OK")</f>
        <v>2706.6946601598734</v>
      </c>
      <c r="I1655" s="251">
        <f>SUMIFS($D$7:$D$1644,$C$7:$C$1644,"Alstom",$W$7:$W$1644,"OK")</f>
        <v>14159</v>
      </c>
    </row>
    <row r="1656" spans="3:10">
      <c r="C1656" s="140" t="s">
        <v>105</v>
      </c>
      <c r="D1656" s="141">
        <f>SUMIF(C$7:C$1644,"ansaldo",D$7:D$1644)</f>
        <v>231898.1</v>
      </c>
      <c r="E1656" s="142"/>
      <c r="F1656" s="143">
        <f>SUMIF(C$7:C$1644,"ansaldo",U$7:U$1644)</f>
        <v>83259.805359999998</v>
      </c>
      <c r="G1656" s="247"/>
      <c r="H1656" s="144">
        <f>SUMIFS(U$7:U$1644,C$7:C$1644,"ansaldo",W$7:W$1644,"OK")</f>
        <v>0</v>
      </c>
      <c r="I1656" s="251">
        <f>SUMIFS($D$7:$D$1644,$C$7:$C$1644,"ansaldo",$W$7:$W$1644,"OK")</f>
        <v>0</v>
      </c>
    </row>
    <row r="1657" spans="3:10">
      <c r="C1657" s="145" t="s">
        <v>49</v>
      </c>
      <c r="D1657" s="141">
        <f>SUMIF(C7:C1644,"asg",D7:D1644)</f>
        <v>0</v>
      </c>
      <c r="E1657" s="142"/>
      <c r="F1657" s="143">
        <f>SUMIF(C7:C1644,"asg",U7:U1644)</f>
        <v>0</v>
      </c>
      <c r="G1657" s="248"/>
      <c r="H1657" s="144">
        <f>SUMIFS(U$7:U$1644,C$7:C$1644,"Asg",W$7:W$1644,"OK")</f>
        <v>0</v>
      </c>
      <c r="I1657" s="251">
        <f>SUMIFS($D$7:$D$1644,$C$7:$C$1644,"Asg",$W$7:$W$1644,"OK")</f>
        <v>0</v>
      </c>
      <c r="J1657" s="146"/>
    </row>
    <row r="1658" spans="3:10">
      <c r="C1658" s="145" t="s">
        <v>85</v>
      </c>
      <c r="D1658" s="141">
        <f>SUMIF(C7:C1644,"auril",D7:D1644)</f>
        <v>176.13</v>
      </c>
      <c r="E1658" s="142"/>
      <c r="F1658" s="143">
        <f>SUMIF(C7:C1644,"auril",U7:U1644)</f>
        <v>122.48767263659458</v>
      </c>
      <c r="G1658" s="248"/>
      <c r="H1658" s="144">
        <f>SUMIFS(U$7:U$1644,C$7:C$1644,"Auril",W$7:W$1644,"OK")</f>
        <v>122.48767263659458</v>
      </c>
      <c r="I1658" s="251">
        <f>SUMIFS($D$7:$D$1644,$C$7:$C$1644,"Auril",$W$7:$W$1644,"OK")</f>
        <v>176.13</v>
      </c>
      <c r="J1658" s="146"/>
    </row>
    <row r="1659" spans="3:10">
      <c r="C1659" s="145" t="s">
        <v>104</v>
      </c>
      <c r="D1659" s="141">
        <f>SUMIF(C7:C1644,"bin",D7:D1644)</f>
        <v>0</v>
      </c>
      <c r="E1659" s="142"/>
      <c r="F1659" s="143">
        <f>SUMIF(C7:C1644,"bin",U7:U1644)</f>
        <v>0</v>
      </c>
      <c r="G1659" s="249"/>
      <c r="H1659" s="144">
        <f>SUMIFS(U$7:U$1644,C$7:C$1644,"bin",W$7:W$1644,"OK")</f>
        <v>0</v>
      </c>
      <c r="I1659" s="251">
        <f>SUMIFS($D$7:$D$1644,$C$7:$C$1644,"bin",$W$7:$W$1644,"OK")</f>
        <v>0</v>
      </c>
      <c r="J1659" s="146"/>
    </row>
    <row r="1660" spans="3:10">
      <c r="C1660" s="145" t="s">
        <v>143</v>
      </c>
      <c r="D1660" s="147">
        <f>SUMIF(C$7:C$1644,"by carpel",D$7:D$1644)</f>
        <v>11500</v>
      </c>
      <c r="E1660" s="148"/>
      <c r="F1660" s="149">
        <f>SUMIF(C$7:C$1644,"by carpel",U$7:U$1644)</f>
        <v>3396.7222516498778</v>
      </c>
      <c r="G1660" s="250"/>
      <c r="H1660" s="149">
        <f>SUMIFS(U$7:U$1644,C$7:C$1644,"by carpel",W$7:W$1644,"OK")</f>
        <v>0</v>
      </c>
      <c r="I1660" s="251">
        <f>SUMIFS($D$7:$D$1644,$C$7:$C$1644,"by carpel",$W$7:$W$1644,"OK")</f>
        <v>0</v>
      </c>
      <c r="J1660" s="146"/>
    </row>
    <row r="1661" spans="3:10">
      <c r="C1661" s="145" t="s">
        <v>86</v>
      </c>
      <c r="D1661" s="141">
        <f>SUMIF(C7:C1644,"braga",D7:D1644)</f>
        <v>0</v>
      </c>
      <c r="E1661" s="142"/>
      <c r="F1661" s="143">
        <f>SUMIF(C7:C1644,"braga",U7:U1644)</f>
        <v>0</v>
      </c>
      <c r="G1661" s="251" t="e">
        <f>SUMIFS(T$7:T$1644,B$7:B$1644,"Auril",#REF!,"OK")</f>
        <v>#REF!</v>
      </c>
      <c r="H1661" s="144">
        <f>SUMIFS(U$7:U$1644,C$7:C$1644,"BRAGA",W$7:W$1644,"OK")</f>
        <v>0</v>
      </c>
      <c r="I1661" s="251">
        <f>SUMIFS($D$7:$D$1644,$C$7:$C$1644,"Braga",$W$7:$W$1644,"OK")</f>
        <v>0</v>
      </c>
      <c r="J1661" s="146"/>
    </row>
    <row r="1662" spans="3:10">
      <c r="C1662" s="145" t="s">
        <v>153</v>
      </c>
      <c r="D1662" s="141">
        <f>SUMIF(C7:C1645,"belotti",D7:D1645)</f>
        <v>3500</v>
      </c>
      <c r="E1662" s="142"/>
      <c r="F1662" s="143">
        <f>SUMIF(C7:C1645,"belotti",U7:U1645)</f>
        <v>2180.3455952149761</v>
      </c>
      <c r="G1662" s="252" t="e">
        <f>SUMIFS(T$7:T$1644,B$7:B$1644,"Auril",#REF!,"OK")</f>
        <v>#REF!</v>
      </c>
      <c r="H1662" s="144">
        <f>SUMIFS(U$7:U$1644,C$7:C$1644,"Belotti",W$7:W$1644,"OK")</f>
        <v>0</v>
      </c>
      <c r="I1662" s="251">
        <f>SUMIFS($D$7:$D$1644,$C$7:$C$1644,"Belotti",$W$7:$W$1644,"OK")</f>
        <v>0</v>
      </c>
      <c r="J1662" s="146"/>
    </row>
    <row r="1663" spans="3:10">
      <c r="C1663" s="145" t="s">
        <v>50</v>
      </c>
      <c r="D1663" s="141">
        <f>SUMIF(C7:C1644,"cabur",D7:D1644)</f>
        <v>15410</v>
      </c>
      <c r="E1663" s="142"/>
      <c r="F1663" s="143">
        <f>SUMIF(C7:C1644,"cabur",U7:U1644)</f>
        <v>2929.0372170556479</v>
      </c>
      <c r="G1663" s="248"/>
      <c r="H1663" s="144">
        <f>SUMIFS(U$7:U$1644,C$7:C$1644,"Cabur",W$7:W$1644,"OK")</f>
        <v>0</v>
      </c>
      <c r="I1663" s="251">
        <f>SUMIFS($D$7:$D$1644,$C$7:$C$1644,"Cabur",$W$7:$W$1644,"OK")</f>
        <v>0</v>
      </c>
    </row>
    <row r="1664" spans="3:10">
      <c r="C1664" s="145" t="s">
        <v>65</v>
      </c>
      <c r="D1664" s="141">
        <f>SUMIF(C7:C1644,"cam",D7:D1644)</f>
        <v>0</v>
      </c>
      <c r="E1664" s="142"/>
      <c r="F1664" s="143">
        <f>SUMIF(C7:C1644,"cam",U7:U1644)</f>
        <v>0</v>
      </c>
      <c r="G1664" s="248"/>
      <c r="H1664" s="144">
        <f>SUMIFS(U$7:U$1644,C$7:C$1644,"Cam",W$7:W$1644,"OK")</f>
        <v>0</v>
      </c>
      <c r="I1664" s="251">
        <v>0</v>
      </c>
    </row>
    <row r="1665" spans="3:9">
      <c r="C1665" s="150" t="s">
        <v>46</v>
      </c>
      <c r="D1665" s="147">
        <f>SUMIF(C7:C1644,"cariboni",D7:D1644)</f>
        <v>0</v>
      </c>
      <c r="E1665" s="148"/>
      <c r="F1665" s="149">
        <f>SUMIF(C7:C1644,"cariboni",U7:U1644)</f>
        <v>0</v>
      </c>
      <c r="G1665" s="250"/>
      <c r="H1665" s="149">
        <f>SUMIFS(U$7:U$1644,C$7:C$1644,"Cariboni",W$7:W$1644,"OK")</f>
        <v>0</v>
      </c>
      <c r="I1665" s="251"/>
    </row>
    <row r="1666" spans="3:9">
      <c r="C1666" s="150" t="s">
        <v>68</v>
      </c>
      <c r="D1666" s="147">
        <f>SUMIF(C$7:C$1644,"carpel",D$7:D$1644)</f>
        <v>0</v>
      </c>
      <c r="E1666" s="148"/>
      <c r="F1666" s="149">
        <f>SUMIF(C$7:C$1644,"carpel",U$7:U$1644)</f>
        <v>0</v>
      </c>
      <c r="G1666" s="250"/>
      <c r="H1666" s="149">
        <f>SUMIFS(U$7:U$1644,C$7:C$1644,"Carpel",W$7:W$1644,"OK")</f>
        <v>0</v>
      </c>
      <c r="I1666" s="251"/>
    </row>
    <row r="1667" spans="3:9">
      <c r="C1667" s="150" t="s">
        <v>124</v>
      </c>
      <c r="D1667" s="147">
        <f>SUMIF(C$7:C$1644,"cembre",D$7:D$1644)</f>
        <v>84738</v>
      </c>
      <c r="E1667" s="148"/>
      <c r="F1667" s="149">
        <f>SUMIF(C$7:C$1644,"cembre",U$7:U$1644)</f>
        <v>30019.03736097712</v>
      </c>
      <c r="G1667" s="250"/>
      <c r="H1667" s="149">
        <f>SUMIFS(U$7:U$1644,C$7:C$1644,"cembre",W$7:W$1644,"OK")</f>
        <v>3911.1364595334044</v>
      </c>
      <c r="I1667" s="251">
        <f>SUMIFS($D$7:$D$1644,$C$7:$C$1644,"Cembre",$W$7:$W$1644,"OK")</f>
        <v>11738</v>
      </c>
    </row>
    <row r="1668" spans="3:9">
      <c r="C1668" s="150" t="s">
        <v>72</v>
      </c>
      <c r="D1668" s="147">
        <f>SUMIF(C7:C1644,"cgs",D7:D1644)</f>
        <v>0</v>
      </c>
      <c r="E1668" s="148"/>
      <c r="F1668" s="149">
        <f>SUMIF(C7:C1644,"cgs",U7:U1644)</f>
        <v>0</v>
      </c>
      <c r="G1668" s="250"/>
      <c r="H1668" s="149">
        <f>SUMIFS(U$7:U$1644,C$7:C$1644,"Cgs",W$7:W$1644,"OK")</f>
        <v>0</v>
      </c>
      <c r="I1668" s="251"/>
    </row>
    <row r="1669" spans="3:9">
      <c r="C1669" s="150" t="s">
        <v>84</v>
      </c>
      <c r="D1669" s="147">
        <f>SUMIF(C7:C1644,"cobral",D7:D1644)</f>
        <v>0</v>
      </c>
      <c r="E1669" s="148"/>
      <c r="F1669" s="149">
        <f>SUMIF(C7:C1644,"cobral",U7:U1644)</f>
        <v>0</v>
      </c>
      <c r="G1669" s="250"/>
      <c r="H1669" s="149">
        <f>SUMIFS(U$7:U$1644,C$7:C$1644,"Cobral",W$7:W$1644,"OK")</f>
        <v>0</v>
      </c>
      <c r="I1669" s="251"/>
    </row>
    <row r="1670" spans="3:9">
      <c r="C1670" s="150" t="s">
        <v>71</v>
      </c>
      <c r="D1670" s="147">
        <f>SUMIF(C7:C1644,"colombo",D7:D1644)</f>
        <v>0</v>
      </c>
      <c r="E1670" s="148"/>
      <c r="F1670" s="149">
        <f>SUMIF(C7:C1644,"colombo",U7:U1644)</f>
        <v>0</v>
      </c>
      <c r="G1670" s="250"/>
      <c r="H1670" s="149">
        <f>SUMIFS(U$7:U$1644,C$7:C$1644,"Colombo",W$7:W$1644,"OK")</f>
        <v>0</v>
      </c>
      <c r="I1670" s="251"/>
    </row>
    <row r="1671" spans="3:9">
      <c r="C1671" s="150" t="s">
        <v>156</v>
      </c>
      <c r="D1671" s="147">
        <f>SUMIF(C7:C1645,"coms",D7:D1645)</f>
        <v>0</v>
      </c>
      <c r="E1671" s="148"/>
      <c r="F1671" s="149">
        <f>SUMIF(C7:C1645,"coms",U7:U1645)</f>
        <v>0</v>
      </c>
      <c r="G1671" s="250"/>
      <c r="H1671" s="149">
        <f>SUMIFS(U$7:U$1644,C$7:C$1644,"Coms",W$7:W$1644,"OK")</f>
        <v>0</v>
      </c>
      <c r="I1671" s="251">
        <f>SUMIFS($D$7:$D$1644,$C$7:$C$1644,"Coms",$W$7:$W$1644,"OK")</f>
        <v>0</v>
      </c>
    </row>
    <row r="1672" spans="3:9">
      <c r="C1672" s="150" t="s">
        <v>145</v>
      </c>
      <c r="D1672" s="147">
        <f>SUMIF(C$7:C$1644,"csf",D$7:D$1644)</f>
        <v>4800</v>
      </c>
      <c r="E1672" s="148"/>
      <c r="F1672" s="149">
        <f>SUMIF(C$7:C$1644,"csf",U$7:U$1644)</f>
        <v>1500.1103820753137</v>
      </c>
      <c r="G1672" s="250"/>
      <c r="H1672" s="149">
        <f>SUMIFS(U$7:U$1644,C$7:C$1644,"csf",W$7:W$1644,"OK")</f>
        <v>0</v>
      </c>
      <c r="I1672" s="251">
        <f>SUMIFS($D$7:$D$1644,$C$7:$C$1644,"csf",$W$7:$W$1644,"OK")</f>
        <v>0</v>
      </c>
    </row>
    <row r="1673" spans="3:9">
      <c r="C1673" s="150" t="s">
        <v>151</v>
      </c>
      <c r="D1673" s="147">
        <f>SUMIF(C$7:C$1644,"dm metal",D$7:D$1644)</f>
        <v>1000</v>
      </c>
      <c r="E1673" s="148"/>
      <c r="F1673" s="149">
        <f>SUMIF(C$7:C$1644,"dm metal",U$7:U$1644)</f>
        <v>371.29474708171301</v>
      </c>
      <c r="G1673" s="250"/>
      <c r="H1673" s="149">
        <f>SUMIFS(U$7:U$1644,C$7:C$1644,"dm metal",W$7:W$1644,"OK")</f>
        <v>0</v>
      </c>
      <c r="I1673" s="251">
        <f>SUMIFS($D$7:$D$1644,$C$7:$C$1644,"dm metal",$W$7:$W$1644,"OK")</f>
        <v>0</v>
      </c>
    </row>
    <row r="1674" spans="3:9">
      <c r="C1674" s="150" t="s">
        <v>80</v>
      </c>
      <c r="D1674" s="147">
        <f>SUMIF(C7:C1644,"danese",D7:D1644)</f>
        <v>0</v>
      </c>
      <c r="E1674" s="148"/>
      <c r="F1674" s="149">
        <f>SUMIF(C7:C1644,"danese",U7:U1644)</f>
        <v>0</v>
      </c>
      <c r="G1674" s="250"/>
      <c r="H1674" s="149">
        <f>SUMIFS(U$7:U$1644,C$7:C$1644,"Danese",W$7:W$1644,"OK")</f>
        <v>0</v>
      </c>
      <c r="I1674" s="251"/>
    </row>
    <row r="1675" spans="3:9">
      <c r="C1675" s="150" t="s">
        <v>89</v>
      </c>
      <c r="D1675" s="147">
        <f>SUMIF(C7:C1644,"danieli",D7:D1644)</f>
        <v>0</v>
      </c>
      <c r="E1675" s="148"/>
      <c r="F1675" s="149">
        <f>SUMIF(C7:C1644,"danieli",U7:U1644)</f>
        <v>0</v>
      </c>
      <c r="G1675" s="250"/>
      <c r="H1675" s="149">
        <f>SUMIFS(U$7:U$1644,C$7:C$1644,"Danese",W$7:W$1644,"OK")</f>
        <v>0</v>
      </c>
      <c r="I1675" s="251"/>
    </row>
    <row r="1676" spans="3:9">
      <c r="C1676" s="150" t="s">
        <v>148</v>
      </c>
      <c r="D1676" s="147">
        <f>SUMIF(C7:C1645,"dsr",D7:D1645)</f>
        <v>0</v>
      </c>
      <c r="E1676" s="148"/>
      <c r="F1676" s="149">
        <f>SUMIF(C7:C1645,"dsr",U7:U1645)</f>
        <v>0</v>
      </c>
      <c r="G1676" s="250"/>
      <c r="H1676" s="149">
        <f>SUMIFS(U$7:U$1644,C$7:C$1644,"Dsr",W$7:W$1644,"OK")</f>
        <v>0</v>
      </c>
      <c r="I1676" s="251"/>
    </row>
    <row r="1677" spans="3:9">
      <c r="C1677" s="150" t="s">
        <v>83</v>
      </c>
      <c r="D1677" s="147">
        <f>SUMIF(C7:C1644,"electromotor",D7:D1644)</f>
        <v>402.8</v>
      </c>
      <c r="E1677" s="148"/>
      <c r="F1677" s="149">
        <f>SUMIF(C7:C1644,"electromotor",U7:U1644)</f>
        <v>343.03789405006364</v>
      </c>
      <c r="G1677" s="250"/>
      <c r="H1677" s="149">
        <f>SUMIFS(U$7:U$1644,C$7:C$1644,"electromotor",W$7:W$1644,"OK")</f>
        <v>182.36085477513893</v>
      </c>
      <c r="I1677" s="251">
        <f>SUMIFS($D$7:$D$1644,$C$7:$C$1644,"electromotor",$W$7:$W$1644,"OK")</f>
        <v>202.8</v>
      </c>
    </row>
    <row r="1678" spans="3:9">
      <c r="C1678" s="150" t="s">
        <v>67</v>
      </c>
      <c r="D1678" s="147">
        <f>SUMIF(C7:C1644,"elektra",D7:D1644)</f>
        <v>0</v>
      </c>
      <c r="E1678" s="148"/>
      <c r="F1678" s="149">
        <f>SUMIF(C7:C1644,"elektra",U7:U1644)</f>
        <v>0</v>
      </c>
      <c r="G1678" s="250"/>
      <c r="H1678" s="149">
        <f>SUMIFS(U$7:U$1644,C$7:C$1644,"Elektra",W$7:W$1644,"OK")</f>
        <v>0</v>
      </c>
      <c r="I1678" s="251">
        <f>SUMIFS($D$7:$D$1644,$C$7:$C$1644,"elektra",$W$7:$W$1644,"OK")</f>
        <v>0</v>
      </c>
    </row>
    <row r="1679" spans="3:9">
      <c r="C1679" s="150" t="s">
        <v>91</v>
      </c>
      <c r="D1679" s="147">
        <f>SUMIF(C$7:C$1644,"elektromotor",D$7:D$1644)</f>
        <v>0</v>
      </c>
      <c r="E1679" s="148"/>
      <c r="F1679" s="149">
        <f>SUMIF(C$7:C$1644,"elektromotor",U$7:U$1644)</f>
        <v>0</v>
      </c>
      <c r="G1679" s="250"/>
      <c r="H1679" s="149">
        <f>SUMIFS(U$7:U$1644,C$7:C$1644,"Elektromotor",W$7:W$1644,"OK")</f>
        <v>0</v>
      </c>
      <c r="I1679" s="251">
        <f>SUMIFS($D$7:$D$1644,$C$7:$C$1644,"elektromotor",$W$7:$W$1644,"OK")</f>
        <v>0</v>
      </c>
    </row>
    <row r="1680" spans="3:9">
      <c r="C1680" s="150" t="s">
        <v>150</v>
      </c>
      <c r="D1680" s="147">
        <f>SUMIF(C$7:C$1644,"Elektroremont",D$7:D$1644)</f>
        <v>0</v>
      </c>
      <c r="E1680" s="148"/>
      <c r="F1680" s="149">
        <f>SUMIF(C$7:C$1644,"Elektroremont",U$7:U$1644)</f>
        <v>0</v>
      </c>
      <c r="G1680" s="253">
        <f>SUMIFS(T$7:T$1644,B$7:B$1644,"csf",V$7:V$1644,"OK")</f>
        <v>0</v>
      </c>
      <c r="H1680" s="144">
        <f>SUMIFS($D$7:$D$1644,$C$7:$C$1644,"Elektroremont",$W$7:$W$1644,"OK")</f>
        <v>0</v>
      </c>
      <c r="I1680" s="251"/>
    </row>
    <row r="1681" spans="3:9">
      <c r="C1681" s="150" t="s">
        <v>33</v>
      </c>
      <c r="D1681" s="147">
        <f>SUMIF(C$7:C$1644,"eletrafo",D$7:D$1644)</f>
        <v>0</v>
      </c>
      <c r="E1681" s="148"/>
      <c r="F1681" s="149">
        <f>SUMIF(C$7:C$1644,"eletrafo",U$7:U$1644)</f>
        <v>0</v>
      </c>
      <c r="G1681" s="250"/>
      <c r="H1681" s="149">
        <f>SUMIFS(U$7:U$1644,C$7:C$1644,"Eletrafo",W$7:W$1644,"OK")</f>
        <v>0</v>
      </c>
      <c r="I1681" s="251">
        <f>SUMIFS($D$7:$D$1644,$C$7:$C$1644,"eletrafo",$W$7:$W$1644,"OK")</f>
        <v>0</v>
      </c>
    </row>
    <row r="1682" spans="3:9">
      <c r="C1682" s="150" t="s">
        <v>59</v>
      </c>
      <c r="D1682" s="147">
        <f>SUMIF(C7:C1644,"elettromil",D7:D1644)</f>
        <v>4070</v>
      </c>
      <c r="E1682" s="148"/>
      <c r="F1682" s="149">
        <f>SUMIF(C7:C1644,"elettromil",U7:U1644)</f>
        <v>1511.9375321552479</v>
      </c>
      <c r="G1682" s="250"/>
      <c r="H1682" s="149">
        <f>SUMIFS(U$7:U$1644,C$7:C$1644,"Elettromil",W$7:W$1644,"OK")</f>
        <v>0</v>
      </c>
      <c r="I1682" s="251">
        <f>SUMIFS($D$7:$D$1644,$C$7:$C$1644,"elettromil",$W$7:$W$1644,"OK")</f>
        <v>0</v>
      </c>
    </row>
    <row r="1683" spans="3:9">
      <c r="C1683" s="150" t="s">
        <v>146</v>
      </c>
      <c r="D1683" s="147">
        <f>SUMIF(C7:C1645,"elettromil al",D7:D1645)</f>
        <v>0</v>
      </c>
      <c r="E1683" s="148"/>
      <c r="F1683" s="149">
        <f>SUMIF(C7:C1645,"elettromil al",U7:U1645)</f>
        <v>0</v>
      </c>
      <c r="G1683" s="250"/>
      <c r="H1683" s="149">
        <f>SUMIFS(U$7:U$1644,C$7:C$1644,"Elettromil al",W$7:W$1644,"OK")</f>
        <v>0</v>
      </c>
      <c r="I1683" s="251">
        <f>SUMIFS($D$7:$D$1644,$C$7:$C$1644,"elettromil al",$W$7:$W$1644,"OK")</f>
        <v>0</v>
      </c>
    </row>
    <row r="1684" spans="3:9">
      <c r="C1684" s="150" t="s">
        <v>62</v>
      </c>
      <c r="D1684" s="151">
        <f>SUMIF(C7:C1644,"ELHAND",D7:D1644)</f>
        <v>0</v>
      </c>
      <c r="E1684" s="152"/>
      <c r="F1684" s="149">
        <f>SUMIF(C7:C1644,"elhand",U7:U1644)</f>
        <v>0</v>
      </c>
      <c r="G1684" s="254"/>
      <c r="H1684" s="153">
        <f>SUMIFS(U$7:U$1644,C$7:C$1644,"Elhan",W$7:W$1644,"OK")</f>
        <v>0</v>
      </c>
      <c r="I1684" s="251"/>
    </row>
    <row r="1685" spans="3:9">
      <c r="C1685" s="150" t="s">
        <v>37</v>
      </c>
      <c r="D1685" s="151">
        <f>SUMIF(C7:C1644,"Elca",D7:D1644)</f>
        <v>0</v>
      </c>
      <c r="E1685" s="152"/>
      <c r="F1685" s="149">
        <f>SUMIF(C7:C1644,"elca",U7:U1644)</f>
        <v>0</v>
      </c>
      <c r="G1685" s="254"/>
      <c r="H1685" s="153">
        <f>SUMIFS(U$7:U$1644,C$7:C$1644,"Elca",W$7:W$1644,"OK")</f>
        <v>0</v>
      </c>
      <c r="I1685" s="251">
        <f>SUMIFS($D$7:$D$1644,$C$7:$C$1644,"elca",$W$7:$W$1644,"OK")</f>
        <v>0</v>
      </c>
    </row>
    <row r="1686" spans="3:9">
      <c r="C1686" s="150" t="s">
        <v>90</v>
      </c>
      <c r="D1686" s="151">
        <f>SUMIF(C7:C1644,"Ergolines",D7:D1644)</f>
        <v>0</v>
      </c>
      <c r="E1686" s="152"/>
      <c r="F1686" s="149">
        <f>SUMIF(C7:C1644,"ergolines",U7:U1644)</f>
        <v>0</v>
      </c>
      <c r="G1686" s="254"/>
      <c r="H1686" s="153">
        <f>SUMIFS(U$7:U$1644,C$7:C$1644,"Ergolines",W$7:W$1644,"OK")</f>
        <v>0</v>
      </c>
      <c r="I1686" s="251">
        <v>0</v>
      </c>
    </row>
    <row r="1687" spans="3:9">
      <c r="C1687" s="154" t="s">
        <v>64</v>
      </c>
      <c r="D1687" s="151">
        <f>SUMIF(C7:C1644,"ftm",D7:D1644)</f>
        <v>1000</v>
      </c>
      <c r="E1687" s="152"/>
      <c r="F1687" s="149">
        <f>SUMIF(C7:C1644,"ftm",U7:U1644)</f>
        <v>172.78850564875066</v>
      </c>
      <c r="G1687" s="254"/>
      <c r="H1687" s="153">
        <f>SUMIFS(U$7:U$1644,C$7:C$1644,"Ftm",W$7:W$1644,"OK")</f>
        <v>0</v>
      </c>
      <c r="I1687" s="251">
        <f>SUMIFS($D$7:$D$1644,$C$7:$C$1644,"ftm",$W$7:$W$1644,"OK")</f>
        <v>0</v>
      </c>
    </row>
    <row r="1688" spans="3:9">
      <c r="C1688" s="154" t="s">
        <v>69</v>
      </c>
      <c r="D1688" s="151">
        <f>SUMIF(C$7:C$1644,"giovenzana",D$7:D$1644)</f>
        <v>0</v>
      </c>
      <c r="E1688" s="152"/>
      <c r="F1688" s="149">
        <f>SUMIF(C$7:C$1644,"giovenzana",U$7:U$1644)</f>
        <v>0</v>
      </c>
      <c r="G1688" s="254"/>
      <c r="H1688" s="153">
        <f>SUMIFS(U$7:U$1644,C$7:C$1644,"Giovenzana",W$7:W$1644,"OK")</f>
        <v>0</v>
      </c>
      <c r="I1688" s="251">
        <v>0</v>
      </c>
    </row>
    <row r="1689" spans="3:9">
      <c r="C1689" s="154" t="s">
        <v>98</v>
      </c>
      <c r="D1689" s="151">
        <f>SUMIF(C$7:C$1644,"gmg",D$7:D$1644)</f>
        <v>0</v>
      </c>
      <c r="E1689" s="152"/>
      <c r="F1689" s="149">
        <f>SUMIF(C$7:C$1644,"gmg",U$7:U$1644)</f>
        <v>0</v>
      </c>
      <c r="G1689" s="254"/>
      <c r="H1689" s="153">
        <f>SUMIFS(U$7:U$1644,C$7:C$1644,"Gmg",W$7:W$1644,"OK")</f>
        <v>0</v>
      </c>
      <c r="I1689" s="251">
        <v>0</v>
      </c>
    </row>
    <row r="1690" spans="3:9">
      <c r="C1690" s="154" t="s">
        <v>121</v>
      </c>
      <c r="D1690" s="151">
        <f>SUMIF(C$7:C$1644,"hpg",D$7:D$1644)</f>
        <v>0</v>
      </c>
      <c r="E1690" s="152"/>
      <c r="F1690" s="149">
        <f>SUMIF(C$7:C$1644,"hpg",U$7:U$1644)</f>
        <v>0</v>
      </c>
      <c r="G1690" s="254"/>
      <c r="H1690" s="153">
        <f>SUMIFS(U$7:U$1644,C$7:C$1644,"hpg",W$7:W$1644,"OK")</f>
        <v>0</v>
      </c>
      <c r="I1690" s="251">
        <v>0</v>
      </c>
    </row>
    <row r="1691" spans="3:9">
      <c r="C1691" s="154" t="s">
        <v>73</v>
      </c>
      <c r="D1691" s="151">
        <f>SUMIF(C7:C1644,"green metal",D7:D1644)</f>
        <v>0</v>
      </c>
      <c r="E1691" s="152"/>
      <c r="F1691" s="149">
        <f>SUMIF(C7:C1644,"green metal",U7:U1644)</f>
        <v>0</v>
      </c>
      <c r="G1691" s="254"/>
      <c r="H1691" s="153">
        <f>SUMIFS(U$7:U$1644,C$7:C$1644,"Green Metal",W$7:W$1644,"OK")</f>
        <v>0</v>
      </c>
      <c r="I1691" s="251">
        <f>SUMIFS($D$7:$D$1644,$C$7:$C$1644,"Green Metal",$W$7:$W$1644,"OK")</f>
        <v>0</v>
      </c>
    </row>
    <row r="1692" spans="3:9">
      <c r="C1692" s="154" t="s">
        <v>81</v>
      </c>
      <c r="D1692" s="151">
        <f>SUMIF(C7:C1644,"icar",D7:D1644)</f>
        <v>0</v>
      </c>
      <c r="E1692" s="152"/>
      <c r="F1692" s="149">
        <f>SUMIF(C7:C1644,"ICAR",U7:U1644)</f>
        <v>0</v>
      </c>
      <c r="G1692" s="254"/>
      <c r="H1692" s="153">
        <f>SUMIFS(U$7:U$1644,C$7:C$1644,"Icar",W$7:W$1644,"OK")</f>
        <v>0</v>
      </c>
      <c r="I1692" s="251"/>
    </row>
    <row r="1693" spans="3:9">
      <c r="C1693" s="154" t="s">
        <v>99</v>
      </c>
      <c r="D1693" s="151">
        <f>SUMIF(C$7:C$1644,"iee",D$7:D$1644)</f>
        <v>0</v>
      </c>
      <c r="E1693" s="152"/>
      <c r="F1693" s="149">
        <f>SUMIF(C$7:C$1644,"Iee",U$7:U$1644)</f>
        <v>0</v>
      </c>
      <c r="G1693" s="254"/>
      <c r="H1693" s="153">
        <f>SUMIFS(U$7:U$1644,C$7:C$1644,"Iee",W$7:W$1644,"OK")</f>
        <v>0</v>
      </c>
      <c r="I1693" s="251"/>
    </row>
    <row r="1694" spans="3:9">
      <c r="C1694" s="154" t="s">
        <v>123</v>
      </c>
      <c r="D1694" s="151">
        <f>SUMIF(C$7:C$1644,"kunez",D$7:D$1644)</f>
        <v>0</v>
      </c>
      <c r="E1694" s="152"/>
      <c r="F1694" s="149">
        <f>SUMIF(C$7:C$1644,"kunez",U$7:U$1644)</f>
        <v>0</v>
      </c>
      <c r="G1694" s="255">
        <f>SUMIFS(T$7:T$1644,B$7:B$1644,"Iee",V$7:V$1644,"OK")</f>
        <v>0</v>
      </c>
      <c r="H1694" s="144">
        <f>SUMIFS(U$7:U$1644,C$7:C$1644,"kunez",W$7:W$1644,"OK")</f>
        <v>0</v>
      </c>
      <c r="I1694" s="251"/>
    </row>
    <row r="1695" spans="3:9">
      <c r="C1695" s="154" t="s">
        <v>158</v>
      </c>
      <c r="D1695" s="151">
        <f>SUMIF(C$7:C$1644,"malinverno",D$7:D$1644)</f>
        <v>11591</v>
      </c>
      <c r="E1695" s="152"/>
      <c r="F1695" s="149">
        <f>SUMIF(C$7:C$1644,"malinverno",U$7:U$1644)</f>
        <v>4556.0973021231584</v>
      </c>
      <c r="G1695" s="255">
        <f>SUMIFS(T$7:T$1644,B$7:B$1644,"Iee",V$7:V$1644,"OK")</f>
        <v>0</v>
      </c>
      <c r="H1695" s="144">
        <f>SUMIFS(U$7:U$1644,C$7:C$1644,"malinverno",W$7:W$1644,"OK")</f>
        <v>732.88730367152107</v>
      </c>
      <c r="I1695" s="251">
        <f>SUMIFS($D$7:$D$1644,$C$7:$C$1644,"malinverno",$W$7:$W$1644,"OK")</f>
        <v>1591</v>
      </c>
    </row>
    <row r="1696" spans="3:9">
      <c r="C1696" s="154" t="s">
        <v>70</v>
      </c>
      <c r="D1696" s="151">
        <f>SUMIF(C$7:C$1644,"meis",D$7:D$1644)</f>
        <v>0</v>
      </c>
      <c r="E1696" s="152"/>
      <c r="F1696" s="149">
        <f>SUMIF(C$7:C$1644,"meis",U$7:U$1644)</f>
        <v>0</v>
      </c>
      <c r="G1696" s="254"/>
      <c r="H1696" s="153">
        <f>SUMIFS(U$7:U$1644,C$7:C$1644,"Meis",W$7:W$1644,"OK")</f>
        <v>0</v>
      </c>
      <c r="I1696" s="251">
        <f>SUMIFS($D$7:$D$1644,$C$7:$C$1644,"meis",$W$7:$W$1644,"OK")</f>
        <v>0</v>
      </c>
    </row>
    <row r="1697" spans="3:9">
      <c r="C1697" s="154" t="s">
        <v>127</v>
      </c>
      <c r="D1697" s="147">
        <f>SUMIF(C$7:C$1644,"meca",D$7:D$1644)</f>
        <v>0</v>
      </c>
      <c r="E1697" s="152"/>
      <c r="F1697" s="149">
        <f>SUMIF(C$7:C$1644,"meca",U$7:U$1644)</f>
        <v>0</v>
      </c>
      <c r="G1697" s="255">
        <f>SUMIFS(T$7:T$1644,B$7:B$1644,"Meis",V$7:V$1644,"OK")</f>
        <v>0</v>
      </c>
      <c r="H1697" s="153">
        <f>SUMIFS(U$7:U$1644,C$7:C$1644,"Meca",W$7:W$1644,"OK")</f>
        <v>0</v>
      </c>
      <c r="I1697" s="251"/>
    </row>
    <row r="1698" spans="3:9">
      <c r="C1698" s="154" t="s">
        <v>154</v>
      </c>
      <c r="D1698" s="151">
        <f>SUMIF(C$7:C$1644,"mec",D$7:D$1644)</f>
        <v>0</v>
      </c>
      <c r="E1698" s="152"/>
      <c r="F1698" s="149">
        <f>SUMIF(C$7:C$1644,"mec",U$7:U$1644)</f>
        <v>0</v>
      </c>
      <c r="G1698" s="255">
        <f>SUMIFS(T$7:T$1644,B$7:B$1644,"Meca",V$7:V$1644,"OK")</f>
        <v>0</v>
      </c>
      <c r="H1698" s="144"/>
      <c r="I1698" s="251"/>
    </row>
    <row r="1699" spans="3:9">
      <c r="C1699" s="154" t="s">
        <v>152</v>
      </c>
      <c r="D1699" s="147">
        <f>SUMIF(C7:C1644,"metaltrasfo",D7:D1644)</f>
        <v>0</v>
      </c>
      <c r="E1699" s="148"/>
      <c r="F1699" s="149">
        <f>SUMIF(C7:C1644,"metaltrasfo",U7:U1644)</f>
        <v>0</v>
      </c>
      <c r="G1699" s="254"/>
      <c r="H1699" s="153">
        <f>SUMIFS(U$7:U$1644,C$7:C$1644,"Metaltrasfo",W$7:W$1644,"OK")</f>
        <v>0</v>
      </c>
      <c r="I1699" s="251"/>
    </row>
    <row r="1700" spans="3:9">
      <c r="C1700" s="154" t="s">
        <v>162</v>
      </c>
      <c r="D1700" s="147">
        <f>SUMIF(C8:C1645,"mgs",D8:D1645)</f>
        <v>0</v>
      </c>
      <c r="E1700" s="148"/>
      <c r="F1700" s="149">
        <f>SUMIF(C8:C1645,"mgs",U8:U1645)</f>
        <v>0</v>
      </c>
      <c r="G1700" s="254"/>
      <c r="H1700" s="153">
        <f>SUMIFS(U$7:U$1644,C$7:C$1644,"Mgs",W$7:W$1644,"OK")</f>
        <v>0</v>
      </c>
      <c r="I1700" s="251">
        <f>SUMIFS($D$7:$D$1644,$C$7:$C$1644,"mgs",$W$7:$W$1644,"OK")</f>
        <v>0</v>
      </c>
    </row>
    <row r="1701" spans="3:9">
      <c r="C1701" s="154" t="s">
        <v>97</v>
      </c>
      <c r="D1701" s="147">
        <f>SUMIF(C7:C1644,"mime",D7:D1644)</f>
        <v>0</v>
      </c>
      <c r="E1701" s="148"/>
      <c r="F1701" s="149">
        <f>SUMIF(C7:C1644,"mime",U7:U1644)</f>
        <v>0</v>
      </c>
      <c r="G1701" s="254"/>
      <c r="H1701" s="153">
        <f>SUMIFS(U$7:U$1644,C$7:C$1644,"Mime",W$7:W$1644,"OK")</f>
        <v>0</v>
      </c>
      <c r="I1701" s="251"/>
    </row>
    <row r="1702" spans="3:9">
      <c r="C1702" s="154" t="s">
        <v>100</v>
      </c>
      <c r="D1702" s="147">
        <f>SUMIF(C7:C1644,"MSA",D7:D1644)</f>
        <v>0</v>
      </c>
      <c r="E1702" s="148"/>
      <c r="F1702" s="149">
        <f>SUMIF(C7:C1644,"MSA",U7:U1644)</f>
        <v>0</v>
      </c>
      <c r="G1702" s="254"/>
      <c r="H1702" s="153">
        <f>SUMIFS(U$7:U$1644,C$7:C$1644,"MSA",W$7:W$1644,"OK")</f>
        <v>0</v>
      </c>
      <c r="I1702" s="251">
        <f>SUMIFS($D$7:$D$1644,$C$7:$C$1644,"msa",$W$7:$W$1644,"OK")</f>
        <v>0</v>
      </c>
    </row>
    <row r="1703" spans="3:9">
      <c r="C1703" s="154" t="s">
        <v>75</v>
      </c>
      <c r="D1703" s="147">
        <f>SUMIF(C7:C1644,"newton",D7:D1644)</f>
        <v>1124.1999999999998</v>
      </c>
      <c r="E1703" s="148"/>
      <c r="F1703" s="149">
        <f>SUMIF(C7:C1644,"newton",U7:U1644)</f>
        <v>358.75115664486066</v>
      </c>
      <c r="G1703" s="254"/>
      <c r="H1703" s="153">
        <f>SUMIFS(U$7:U$1644,C$7:C$1644,"Newton",W$7:W$1644,"OK")</f>
        <v>358.75115664486066</v>
      </c>
      <c r="I1703" s="251">
        <f>SUMIFS($D$7:$D$1644,$C$7:$C$1644,"newton",$W$7:$W$1644,"OK")</f>
        <v>1124.1999999999998</v>
      </c>
    </row>
    <row r="1704" spans="3:9">
      <c r="C1704" s="154" t="s">
        <v>74</v>
      </c>
      <c r="D1704" s="147">
        <f>SUMIF(C7:C1644,"ocrem",D7:D1644)</f>
        <v>0</v>
      </c>
      <c r="E1704" s="148"/>
      <c r="F1704" s="149">
        <f>SUMIF(C7:C1644,"ocrem",U7:U1644)</f>
        <v>0</v>
      </c>
      <c r="G1704" s="254"/>
      <c r="H1704" s="153">
        <f>SUMIFS(U$7:U$1644,C$7:C$1644,"Ocrem",W$7:W$1644,"OK")</f>
        <v>0</v>
      </c>
      <c r="I1704" s="251"/>
    </row>
    <row r="1705" spans="3:9">
      <c r="C1705" s="154" t="s">
        <v>47</v>
      </c>
      <c r="D1705" s="155">
        <f>SUMIF(C7:C1644,"omis",D7:D1644)</f>
        <v>0</v>
      </c>
      <c r="E1705" s="156"/>
      <c r="F1705" s="153">
        <f>SUMIF(C7:C1644,"omis",U7:U1644)</f>
        <v>0</v>
      </c>
      <c r="G1705" s="254"/>
      <c r="H1705" s="153">
        <f>SUMIFS(U$7:U$1644,C$7:C$1644,"Omis",W$7:W$1644,"OK")</f>
        <v>0</v>
      </c>
      <c r="I1705" s="251">
        <f>SUMIFS($D$7:$D$1644,$C$7:$C$1644,"Omis",$W$7:$W$1644,"OK")</f>
        <v>0</v>
      </c>
    </row>
    <row r="1706" spans="3:9">
      <c r="C1706" s="154" t="s">
        <v>147</v>
      </c>
      <c r="D1706" s="155">
        <f>SUMIF(C7:C1645,"ortea",D7:D1645)</f>
        <v>0</v>
      </c>
      <c r="E1706" s="156"/>
      <c r="F1706" s="153">
        <f>SUMIF(C7:C1645,"ortea",U7:U1645)</f>
        <v>0</v>
      </c>
      <c r="G1706" s="254"/>
      <c r="H1706" s="153">
        <f>SUMIFS(U$7:U$1644,C$7:C$1644,"Ortea",W$7:W$1644,"OK")</f>
        <v>0</v>
      </c>
      <c r="I1706" s="251">
        <f>SUMIFS($D$7:$D$1644,$C$7:$C$1644,"Ortea",$W$7:$W$1644,"OK")</f>
        <v>0</v>
      </c>
    </row>
    <row r="1707" spans="3:9">
      <c r="C1707" s="154" t="s">
        <v>66</v>
      </c>
      <c r="D1707" s="155">
        <f>SUMIF(C7:C1645,"pizzamiglio",D7:D1645)</f>
        <v>0</v>
      </c>
      <c r="E1707" s="156"/>
      <c r="F1707" s="153">
        <f>SUMIF(C7:C1645,"pizzamiglio",U7:U1645)</f>
        <v>0</v>
      </c>
      <c r="G1707" s="254"/>
      <c r="H1707" s="153">
        <f>SUMIFS(U$7:U$1644,C$7:C$1644,"Pizzamiglio",W$7:W$1644,"OK")</f>
        <v>0</v>
      </c>
      <c r="I1707" s="251"/>
    </row>
    <row r="1708" spans="3:9">
      <c r="C1708" s="154" t="s">
        <v>48</v>
      </c>
      <c r="D1708" s="155">
        <f>SUMIF(C$7:C$1644,"rema",D$7:D$1644)</f>
        <v>37359</v>
      </c>
      <c r="E1708" s="156"/>
      <c r="F1708" s="153">
        <f>SUMIF(C$7:C$1644,"rema",U$7:U$1644)</f>
        <v>7061.6431901196474</v>
      </c>
      <c r="G1708" s="254"/>
      <c r="H1708" s="153">
        <f>SUMIFS(U$7:U$1644,C$7:C$1644,"Rema",W$7:W$1644,"OK")</f>
        <v>2415.8235854430377</v>
      </c>
      <c r="I1708" s="251">
        <f>SUMIFS($D$7:$D$1644,$C$7:$C$1644,"rema",$W$7:$W$1644,"OK")</f>
        <v>12859</v>
      </c>
    </row>
    <row r="1709" spans="3:9">
      <c r="C1709" s="154" t="s">
        <v>157</v>
      </c>
      <c r="D1709" s="155">
        <f>SUMIF(C$7:C$1644,"rotech",D$7:D$1644)</f>
        <v>0</v>
      </c>
      <c r="E1709" s="156"/>
      <c r="F1709" s="153">
        <f>SUMIF(C$7:C$1644,"rotech",U$7:U$1644)</f>
        <v>0</v>
      </c>
      <c r="G1709" s="254"/>
      <c r="H1709" s="153">
        <f>SUMIFS(U$7:U$1644,C$7:C$1644,"Rotech",W$7:W$1644,"OK")</f>
        <v>0</v>
      </c>
      <c r="I1709" s="251">
        <f>SUMIFS($D$7:$D$1644,$C$7:$C$1644,"rotech",$W$7:$W$1644,"OK")</f>
        <v>0</v>
      </c>
    </row>
    <row r="1710" spans="3:9">
      <c r="C1710" s="154" t="s">
        <v>106</v>
      </c>
      <c r="D1710" s="155">
        <f>SUMIF(C$7:C$1644,"saer",D$7:D$1644)</f>
        <v>0</v>
      </c>
      <c r="E1710" s="156"/>
      <c r="F1710" s="153">
        <f>SUMIF(C$7:C$1644,"saer",U$7:U$1644)</f>
        <v>0</v>
      </c>
      <c r="G1710" s="254"/>
      <c r="H1710" s="153">
        <f>SUMIFS(U$7:U$1644,C$7:C$1644,"saer",W$7:W$1644,"OK")</f>
        <v>0</v>
      </c>
      <c r="I1710" s="251">
        <f>SUMIFS($D$7:$D$1644,$C$7:$C$1644,"saer",$W$7:$W$1644,"OK")</f>
        <v>0</v>
      </c>
    </row>
    <row r="1711" spans="3:9">
      <c r="C1711" s="154" t="s">
        <v>87</v>
      </c>
      <c r="D1711" s="155">
        <f>SUMIF(C$7:C$1644,"scame",D$7:D$1644)</f>
        <v>2000</v>
      </c>
      <c r="E1711" s="156"/>
      <c r="F1711" s="153">
        <f>SUMIF(C$7:C$1644,"scame",U$7:U$1644)</f>
        <v>696.23233644859931</v>
      </c>
      <c r="G1711" s="254"/>
      <c r="H1711" s="153">
        <f>SUMIFS(U$7:U$1644,C$7:C$1644,"scame",W$7:W$1644,"OK")</f>
        <v>0</v>
      </c>
      <c r="I1711" s="251">
        <f>SUMIFS($D$7:$D$1644,$C$7:$C$1644,"scame",$W$7:$W$1644,"OK")</f>
        <v>0</v>
      </c>
    </row>
    <row r="1712" spans="3:9">
      <c r="C1712" s="154" t="s">
        <v>125</v>
      </c>
      <c r="D1712" s="155">
        <f>SUMIF(C$7:C$1644,"semar",D$7:D$1644)</f>
        <v>0</v>
      </c>
      <c r="E1712" s="156"/>
      <c r="F1712" s="153">
        <f>SUMIF(C$7:C$1644,"semar",U$7:U$1644)</f>
        <v>0</v>
      </c>
      <c r="G1712" s="254"/>
      <c r="H1712" s="153">
        <f>SUMIFS(U$7:U$1644,C$7:C$1644,"semar",W$7:W$1644,"OK")</f>
        <v>0</v>
      </c>
      <c r="I1712" s="251">
        <f>SUMIFS($D$7:$D$1644,$C$7:$C$1644,"semar",$W$7:$W$1644,"OK")</f>
        <v>0</v>
      </c>
    </row>
    <row r="1713" spans="3:9">
      <c r="C1713" s="154" t="s">
        <v>63</v>
      </c>
      <c r="D1713" s="157">
        <f>SUMIF(C7:C1644,"semilavorati",D7:D1644)</f>
        <v>0</v>
      </c>
      <c r="E1713" s="158"/>
      <c r="F1713" s="153">
        <f>SUMIF(C7:C1644,"semilavorati",U7:U1644)</f>
        <v>0</v>
      </c>
      <c r="G1713" s="254"/>
      <c r="H1713" s="153">
        <f>SUMIFS(U$7:U$1644,C$7:C$1644,"Semilavorati",W$7:W$1644,"OK")</f>
        <v>0</v>
      </c>
      <c r="I1713" s="251">
        <f>SUMIFS($D$7:$D$1644,$C$7:$C$1644,"semilavorati",$W$7:$W$1644,"OK")</f>
        <v>0</v>
      </c>
    </row>
    <row r="1714" spans="3:9">
      <c r="C1714" s="154" t="s">
        <v>144</v>
      </c>
      <c r="D1714" s="155">
        <f>SUMIF(C$7:C$1644,"sider",D$7:D$1644)</f>
        <v>0</v>
      </c>
      <c r="E1714" s="156"/>
      <c r="F1714" s="153">
        <f>SUMIF(C$7:C$1644,"sider",U$7:U$1644)</f>
        <v>0</v>
      </c>
      <c r="G1714" s="254"/>
      <c r="H1714" s="153">
        <f>SUMIFS(U$7:U$1644,C$7:C$1644,"sider",W$7:W$1644,"OK")</f>
        <v>0</v>
      </c>
      <c r="I1714" s="251">
        <f>SUMIFS($D$7:$D$1644,$C$7:$C$1644,"sider",$W$7:$W$1644,"OK")</f>
        <v>0</v>
      </c>
    </row>
    <row r="1715" spans="3:9">
      <c r="C1715" s="154" t="s">
        <v>45</v>
      </c>
      <c r="D1715" s="157">
        <f>SUMIF(C7:C1644,"siltech",D7:D1644)</f>
        <v>0</v>
      </c>
      <c r="E1715" s="158"/>
      <c r="F1715" s="153">
        <f>SUMIF(C7:C1644,"siltech",U7:U1644)</f>
        <v>0</v>
      </c>
      <c r="G1715" s="254"/>
      <c r="H1715" s="153">
        <f>SUMIFS(U$7:U$1644,C$7:C$1644,"Siltech",W$7:W$1644,"OK")</f>
        <v>0</v>
      </c>
      <c r="I1715" s="251">
        <f>SUMIFS($D$7:$D$1644,$C$7:$C$1644,"siltech",$W$7:$W$1644,"OK")</f>
        <v>0</v>
      </c>
    </row>
    <row r="1716" spans="3:9">
      <c r="C1716" s="154" t="s">
        <v>149</v>
      </c>
      <c r="D1716" s="157">
        <f>SUMIF(C7:C1644,"tamura",D7:D1644)</f>
        <v>0</v>
      </c>
      <c r="E1716" s="158"/>
      <c r="F1716" s="153">
        <f>SUMIF(C7:C1644,"tamura",U7:U1644)</f>
        <v>0</v>
      </c>
      <c r="G1716" s="254"/>
      <c r="H1716" s="153">
        <f>SUMIFS(U$7:U$1644,C$7:C$1644,"tamura",W$7:W$1644,"OK")</f>
        <v>0</v>
      </c>
      <c r="I1716" s="251">
        <f>SUMIFS($D$7:$D$1644,$C$7:$C$1644,"tamura",$W$7:$W$1644,"OK")</f>
        <v>0</v>
      </c>
    </row>
    <row r="1717" spans="3:9">
      <c r="C1717" s="154" t="s">
        <v>159</v>
      </c>
      <c r="D1717" s="157">
        <f>SUMIF(C7:C1645,"top quality",D7:D1645)</f>
        <v>2500</v>
      </c>
      <c r="E1717" s="158"/>
      <c r="F1717" s="153">
        <f>SUMIF(C7:C1645,"top quality",U7:U1645)</f>
        <v>1688.5878224582684</v>
      </c>
      <c r="G1717" s="254"/>
      <c r="H1717" s="153">
        <f>SUMIFS(U$7:U$1644,C$7:C$1644,"top quality",W$7:W$1644,"OK")</f>
        <v>0</v>
      </c>
      <c r="I1717" s="251">
        <f>SUMIFS($D$7:$D$1644,$C$7:$C$1644,"top quality",$W$7:$W$1644,"OK")</f>
        <v>0</v>
      </c>
    </row>
    <row r="1718" spans="3:9">
      <c r="C1718" s="154" t="s">
        <v>78</v>
      </c>
      <c r="D1718" s="157">
        <f>SUMIF(C7:C1644,"vezzaro",D7:D1644)</f>
        <v>37699</v>
      </c>
      <c r="E1718" s="158"/>
      <c r="F1718" s="153">
        <f>SUMIF(C7:C1644,"vezzaro",U7:U1644)</f>
        <v>8327.2024000000001</v>
      </c>
      <c r="G1718" s="254"/>
      <c r="H1718" s="153">
        <f>SUMIFS(U$7:U$1644,C$7:C$1644,"Vezzaro",W$7:W$1644,"OK")</f>
        <v>1441.6024</v>
      </c>
      <c r="I1718" s="251">
        <f>SUMIFS($D$7:$D$1644,$C$7:$C$1644,"vezzaro",$W$7:$W$1644,"OK")</f>
        <v>6699</v>
      </c>
    </row>
    <row r="1719" spans="3:9">
      <c r="C1719" s="154"/>
      <c r="D1719" s="157"/>
      <c r="E1719" s="158"/>
      <c r="F1719" s="153"/>
      <c r="G1719" s="254"/>
      <c r="H1719" s="159"/>
      <c r="I1719" s="262"/>
    </row>
    <row r="1720" spans="3:9">
      <c r="C1720" s="154"/>
      <c r="D1720" s="157"/>
      <c r="E1720" s="158"/>
      <c r="F1720" s="153"/>
      <c r="G1720" s="254"/>
      <c r="H1720" s="159"/>
      <c r="I1720" s="262"/>
    </row>
    <row r="1721" spans="3:9">
      <c r="C1721" s="154"/>
      <c r="D1721" s="157"/>
      <c r="E1721" s="158"/>
      <c r="F1721" s="153"/>
      <c r="G1721" s="254"/>
      <c r="H1721" s="159"/>
      <c r="I1721" s="262"/>
    </row>
    <row r="1722" spans="3:9">
      <c r="C1722" s="154"/>
      <c r="D1722" s="157"/>
      <c r="E1722" s="158"/>
      <c r="F1722" s="153"/>
      <c r="G1722" s="254"/>
      <c r="H1722" s="159"/>
      <c r="I1722" s="262"/>
    </row>
    <row r="1723" spans="3:9">
      <c r="C1723" s="154"/>
      <c r="D1723" s="157"/>
      <c r="E1723" s="158"/>
      <c r="F1723" s="153"/>
      <c r="G1723" s="254"/>
      <c r="H1723" s="159"/>
      <c r="I1723" s="262"/>
    </row>
    <row r="1724" spans="3:9">
      <c r="C1724" s="154"/>
      <c r="D1724" s="157"/>
      <c r="E1724" s="158"/>
      <c r="F1724" s="153"/>
      <c r="G1724" s="254"/>
      <c r="H1724" s="159"/>
      <c r="I1724" s="262"/>
    </row>
    <row r="1725" spans="3:9">
      <c r="C1725" s="154"/>
      <c r="D1725" s="157"/>
      <c r="E1725" s="158"/>
      <c r="F1725" s="153"/>
      <c r="G1725" s="254"/>
      <c r="H1725" s="159"/>
      <c r="I1725" s="262"/>
    </row>
    <row r="1726" spans="3:9">
      <c r="C1726" s="154"/>
      <c r="D1726" s="157"/>
      <c r="E1726" s="158"/>
      <c r="F1726" s="153"/>
      <c r="G1726" s="254"/>
      <c r="H1726" s="159"/>
      <c r="I1726" s="262"/>
    </row>
    <row r="1727" spans="3:9">
      <c r="C1727" s="154"/>
      <c r="D1727" s="157"/>
      <c r="E1727" s="158"/>
      <c r="F1727" s="153"/>
      <c r="G1727" s="254"/>
      <c r="H1727" s="159"/>
      <c r="I1727" s="262"/>
    </row>
    <row r="1728" spans="3:9">
      <c r="C1728" s="154"/>
      <c r="D1728" s="157"/>
      <c r="E1728" s="158"/>
      <c r="F1728" s="153"/>
      <c r="G1728" s="254"/>
      <c r="H1728" s="159"/>
      <c r="I1728" s="262"/>
    </row>
    <row r="1729" spans="3:9">
      <c r="C1729" s="154"/>
      <c r="D1729" s="157"/>
      <c r="E1729" s="158"/>
      <c r="F1729" s="153"/>
      <c r="G1729" s="254"/>
      <c r="H1729" s="159"/>
      <c r="I1729" s="262"/>
    </row>
    <row r="1730" spans="3:9">
      <c r="C1730" s="154"/>
      <c r="D1730" s="157"/>
      <c r="E1730" s="158"/>
      <c r="F1730" s="153"/>
      <c r="G1730" s="254"/>
      <c r="H1730" s="159"/>
      <c r="I1730" s="262"/>
    </row>
    <row r="1731" spans="3:9">
      <c r="C1731" s="154"/>
      <c r="D1731" s="157"/>
      <c r="E1731" s="158"/>
      <c r="F1731" s="153"/>
      <c r="G1731" s="254"/>
      <c r="H1731" s="159"/>
      <c r="I1731" s="262"/>
    </row>
    <row r="1732" spans="3:9">
      <c r="C1732" s="154"/>
      <c r="D1732" s="157"/>
      <c r="E1732" s="158"/>
      <c r="F1732" s="153"/>
      <c r="G1732" s="254"/>
      <c r="H1732" s="159"/>
      <c r="I1732" s="262"/>
    </row>
    <row r="1733" spans="3:9">
      <c r="C1733" s="154"/>
      <c r="D1733" s="157"/>
      <c r="E1733" s="158"/>
      <c r="F1733" s="153"/>
      <c r="G1733" s="254"/>
      <c r="H1733" s="159"/>
      <c r="I1733" s="262"/>
    </row>
    <row r="1734" spans="3:9">
      <c r="C1734" s="154"/>
      <c r="D1734" s="157"/>
      <c r="E1734" s="158"/>
      <c r="F1734" s="153"/>
      <c r="G1734" s="254"/>
      <c r="H1734" s="159"/>
      <c r="I1734" s="262"/>
    </row>
    <row r="1735" spans="3:9">
      <c r="C1735" s="154"/>
      <c r="D1735" s="157"/>
      <c r="E1735" s="158"/>
      <c r="F1735" s="153"/>
      <c r="G1735" s="254"/>
      <c r="H1735" s="159"/>
      <c r="I1735" s="262"/>
    </row>
    <row r="1736" spans="3:9">
      <c r="C1736" s="154"/>
      <c r="D1736" s="157"/>
      <c r="E1736" s="158"/>
      <c r="F1736" s="153"/>
      <c r="G1736" s="254"/>
      <c r="H1736" s="159"/>
      <c r="I1736" s="262"/>
    </row>
    <row r="1737" spans="3:9">
      <c r="C1737" s="154"/>
      <c r="D1737" s="157"/>
      <c r="E1737" s="158"/>
      <c r="F1737" s="153"/>
      <c r="G1737" s="254"/>
      <c r="H1737" s="159"/>
      <c r="I1737" s="262"/>
    </row>
    <row r="1738" spans="3:9">
      <c r="C1738" s="154"/>
      <c r="D1738" s="157"/>
      <c r="E1738" s="158"/>
      <c r="F1738" s="153"/>
      <c r="G1738" s="254"/>
      <c r="H1738" s="160"/>
      <c r="I1738" s="262"/>
    </row>
    <row r="1739" spans="3:9">
      <c r="C1739" s="154"/>
      <c r="D1739" s="157"/>
      <c r="E1739" s="158"/>
      <c r="F1739" s="153"/>
      <c r="G1739" s="254"/>
      <c r="H1739" s="160"/>
      <c r="I1739" s="262"/>
    </row>
    <row r="1740" spans="3:9">
      <c r="C1740" s="154"/>
      <c r="D1740" s="157"/>
      <c r="E1740" s="158"/>
      <c r="F1740" s="153"/>
      <c r="G1740" s="254"/>
      <c r="H1740" s="160"/>
      <c r="I1740" s="262"/>
    </row>
    <row r="1741" spans="3:9" ht="13.5" thickBot="1">
      <c r="C1741" s="161"/>
      <c r="D1741" s="162"/>
      <c r="E1741" s="163"/>
      <c r="F1741" s="164"/>
      <c r="G1741" s="256"/>
      <c r="H1741" s="165"/>
      <c r="I1741" s="263"/>
    </row>
    <row r="1742" spans="3:9" ht="13.5" thickBot="1">
      <c r="D1742" s="166">
        <f>SUM(D1653:D1741)</f>
        <v>479696.23</v>
      </c>
      <c r="E1742" s="167"/>
      <c r="F1742" s="168">
        <f>SUM(F1653:F1741)</f>
        <v>153909.5343664652</v>
      </c>
      <c r="G1742" s="257">
        <f>SUM(G1665:G1741)</f>
        <v>0</v>
      </c>
      <c r="H1742" s="168">
        <f>SUM(H1653:H1741)</f>
        <v>11871.744092864432</v>
      </c>
      <c r="I1742" s="264">
        <f>SUM(I1654:I1741)</f>
        <v>48549.13</v>
      </c>
    </row>
    <row r="1743" spans="3:9">
      <c r="D1743" s="146"/>
      <c r="E1743" s="146"/>
    </row>
    <row r="1744" spans="3:9">
      <c r="D1744" s="146">
        <f>+D1742-D1645</f>
        <v>-6764.8000000000466</v>
      </c>
      <c r="E1744" s="146"/>
      <c r="H1744" s="169">
        <f>+H1742-W5</f>
        <v>-265.80988410132704</v>
      </c>
    </row>
    <row r="1745" spans="4:9">
      <c r="I1745" s="265"/>
    </row>
    <row r="1746" spans="4:9">
      <c r="F1746" s="169"/>
    </row>
    <row r="1747" spans="4:9">
      <c r="D1747" s="146"/>
      <c r="E1747" s="146"/>
    </row>
  </sheetData>
  <sheetProtection formatCells="0" insertRows="0" deleteRows="0" sort="0" autoFilter="0"/>
  <phoneticPr fontId="4" type="noConversion"/>
  <conditionalFormatting sqref="D5:E5">
    <cfRule type="containsText" dxfId="27" priority="165" stopIfTrue="1" operator="containsText" text="ERRORE">
      <formula>NOT(ISERROR(SEARCH("ERRORE",D5)))</formula>
    </cfRule>
  </conditionalFormatting>
  <conditionalFormatting sqref="V1638 V1644 V7:V1635">
    <cfRule type="expression" priority="160" stopIfTrue="1">
      <formula>#REF!=0</formula>
    </cfRule>
    <cfRule type="expression" dxfId="26" priority="163" stopIfTrue="1">
      <formula>#REF!&lt;TODAY()</formula>
    </cfRule>
  </conditionalFormatting>
  <conditionalFormatting sqref="V1638 V1644 V7:V1635">
    <cfRule type="expression" priority="158" stopIfTrue="1">
      <formula>V7=0</formula>
    </cfRule>
    <cfRule type="expression" dxfId="25" priority="159" stopIfTrue="1">
      <formula>V7&lt;TODAY()</formula>
    </cfRule>
  </conditionalFormatting>
  <conditionalFormatting sqref="W4">
    <cfRule type="containsText" dxfId="24" priority="60" stopIfTrue="1" operator="containsText" text="ERRORE">
      <formula>NOT(ISERROR(SEARCH("ERRORE",W4)))</formula>
    </cfRule>
  </conditionalFormatting>
  <conditionalFormatting sqref="V1636:V1637">
    <cfRule type="expression" priority="58" stopIfTrue="1">
      <formula>#REF!=0</formula>
    </cfRule>
    <cfRule type="expression" dxfId="23" priority="59" stopIfTrue="1">
      <formula>#REF!&lt;TODAY()</formula>
    </cfRule>
  </conditionalFormatting>
  <conditionalFormatting sqref="V1636:V1637">
    <cfRule type="expression" priority="56" stopIfTrue="1">
      <formula>V1636=0</formula>
    </cfRule>
    <cfRule type="expression" dxfId="22" priority="57" stopIfTrue="1">
      <formula>V1636&lt;TODAY()</formula>
    </cfRule>
  </conditionalFormatting>
  <conditionalFormatting sqref="C1644 C7:C1638">
    <cfRule type="expression" dxfId="21" priority="51" stopIfTrue="1">
      <formula>AND(C7&lt;&gt;"", COUNTIF($C$1654:$C$1954, C7)=0)</formula>
    </cfRule>
  </conditionalFormatting>
  <conditionalFormatting sqref="V6">
    <cfRule type="expression" priority="44" stopIfTrue="1">
      <formula>#REF!=0</formula>
    </cfRule>
    <cfRule type="expression" dxfId="20" priority="45" stopIfTrue="1">
      <formula>#REF!&lt;TODAY()</formula>
    </cfRule>
  </conditionalFormatting>
  <conditionalFormatting sqref="V6">
    <cfRule type="expression" priority="42" stopIfTrue="1">
      <formula>V6=0</formula>
    </cfRule>
    <cfRule type="expression" dxfId="19" priority="43" stopIfTrue="1">
      <formula>V6&lt;TODAY()</formula>
    </cfRule>
  </conditionalFormatting>
  <conditionalFormatting sqref="C6">
    <cfRule type="expression" dxfId="18" priority="41" stopIfTrue="1">
      <formula>AND(C6&lt;&gt;"", COUNTIF($C$1654:$C$1954, C6)=0)</formula>
    </cfRule>
  </conditionalFormatting>
  <conditionalFormatting sqref="V1643">
    <cfRule type="expression" priority="34" stopIfTrue="1">
      <formula>#REF!=0</formula>
    </cfRule>
    <cfRule type="expression" dxfId="17" priority="35" stopIfTrue="1">
      <formula>#REF!&lt;TODAY()</formula>
    </cfRule>
  </conditionalFormatting>
  <conditionalFormatting sqref="V1643">
    <cfRule type="expression" priority="32" stopIfTrue="1">
      <formula>V1643=0</formula>
    </cfRule>
    <cfRule type="expression" dxfId="16" priority="33" stopIfTrue="1">
      <formula>V1643&lt;TODAY()</formula>
    </cfRule>
  </conditionalFormatting>
  <conditionalFormatting sqref="C1643">
    <cfRule type="expression" dxfId="15" priority="31" stopIfTrue="1">
      <formula>AND(C1643&lt;&gt;"", COUNTIF($C$1654:$C$1954, C1643)=0)</formula>
    </cfRule>
  </conditionalFormatting>
  <conditionalFormatting sqref="V1642">
    <cfRule type="expression" priority="29" stopIfTrue="1">
      <formula>#REF!=0</formula>
    </cfRule>
    <cfRule type="expression" dxfId="14" priority="30" stopIfTrue="1">
      <formula>#REF!&lt;TODAY()</formula>
    </cfRule>
  </conditionalFormatting>
  <conditionalFormatting sqref="V1642">
    <cfRule type="expression" priority="27" stopIfTrue="1">
      <formula>V1642=0</formula>
    </cfRule>
    <cfRule type="expression" dxfId="13" priority="28" stopIfTrue="1">
      <formula>V1642&lt;TODAY()</formula>
    </cfRule>
  </conditionalFormatting>
  <conditionalFormatting sqref="C1642">
    <cfRule type="expression" dxfId="12" priority="26" stopIfTrue="1">
      <formula>AND(C1642&lt;&gt;"", COUNTIF($C$1654:$C$1954, C1642)=0)</formula>
    </cfRule>
  </conditionalFormatting>
  <conditionalFormatting sqref="V1641">
    <cfRule type="expression" priority="19" stopIfTrue="1">
      <formula>#REF!=0</formula>
    </cfRule>
    <cfRule type="expression" dxfId="11" priority="20" stopIfTrue="1">
      <formula>#REF!&lt;TODAY()</formula>
    </cfRule>
  </conditionalFormatting>
  <conditionalFormatting sqref="V1641">
    <cfRule type="expression" priority="17" stopIfTrue="1">
      <formula>V1641=0</formula>
    </cfRule>
    <cfRule type="expression" dxfId="10" priority="18" stopIfTrue="1">
      <formula>V1641&lt;TODAY()</formula>
    </cfRule>
  </conditionalFormatting>
  <conditionalFormatting sqref="C1641">
    <cfRule type="expression" dxfId="9" priority="16" stopIfTrue="1">
      <formula>AND(C1641&lt;&gt;"", COUNTIF($C$1654:$C$1954, C1641)=0)</formula>
    </cfRule>
  </conditionalFormatting>
  <conditionalFormatting sqref="V1640">
    <cfRule type="expression" priority="14" stopIfTrue="1">
      <formula>#REF!=0</formula>
    </cfRule>
    <cfRule type="expression" dxfId="8" priority="15" stopIfTrue="1">
      <formula>#REF!&lt;TODAY()</formula>
    </cfRule>
  </conditionalFormatting>
  <conditionalFormatting sqref="V1640">
    <cfRule type="expression" priority="12" stopIfTrue="1">
      <formula>V1640=0</formula>
    </cfRule>
    <cfRule type="expression" dxfId="7" priority="13" stopIfTrue="1">
      <formula>V1640&lt;TODAY()</formula>
    </cfRule>
  </conditionalFormatting>
  <conditionalFormatting sqref="C1640">
    <cfRule type="expression" dxfId="6" priority="11" stopIfTrue="1">
      <formula>AND(C1640&lt;&gt;"", COUNTIF($C$1654:$C$1954, C1640)=0)</formula>
    </cfRule>
  </conditionalFormatting>
  <conditionalFormatting sqref="V1639">
    <cfRule type="expression" priority="4" stopIfTrue="1">
      <formula>#REF!=0</formula>
    </cfRule>
    <cfRule type="expression" dxfId="5" priority="5" stopIfTrue="1">
      <formula>#REF!&lt;TODAY()</formula>
    </cfRule>
  </conditionalFormatting>
  <conditionalFormatting sqref="V1639">
    <cfRule type="expression" priority="2" stopIfTrue="1">
      <formula>V1639=0</formula>
    </cfRule>
    <cfRule type="expression" dxfId="4" priority="3" stopIfTrue="1">
      <formula>V1639&lt;TODAY()</formula>
    </cfRule>
  </conditionalFormatting>
  <conditionalFormatting sqref="C1639">
    <cfRule type="expression" dxfId="3" priority="1" stopIfTrue="1">
      <formula>AND(C1639&lt;&gt;"", COUNTIF($C$1654:$C$1954, C1639)=0)</formula>
    </cfRule>
  </conditionalFormatting>
  <dataValidations count="1">
    <dataValidation type="list" allowBlank="1" showInputMessage="1" showErrorMessage="1" sqref="W7:W25 W44:W1644">
      <formula1>"OK"</formula1>
    </dataValidation>
  </dataValidations>
  <pageMargins left="0.74803149606299213" right="0.74803149606299213" top="0.98425196850393704" bottom="0.98425196850393704" header="0.51181102362204722" footer="0.51181102362204722"/>
  <pageSetup paperSize="9" scale="85" orientation="portrait" r:id="rId1"/>
  <headerFooter alignWithMargins="0"/>
  <rowBreaks count="1" manualBreakCount="1">
    <brk id="1645" min="1" max="15" man="1"/>
  </rowBreaks>
  <drawing r:id="rId2"/>
  <legacyDrawing r:id="rId3"/>
  <controls>
    <mc:AlternateContent xmlns:mc="http://schemas.openxmlformats.org/markup-compatibility/2006">
      <mc:Choice Requires="x14">
        <control shapeId="2055" r:id="rId4" name="CmdSelezionaTabella">
          <controlPr defaultSize="0" autoLine="0" r:id="rId5">
            <anchor moveWithCells="1">
              <from>
                <xdr:col>6</xdr:col>
                <xdr:colOff>0</xdr:colOff>
                <xdr:row>0</xdr:row>
                <xdr:rowOff>47625</xdr:rowOff>
              </from>
              <to>
                <xdr:col>8</xdr:col>
                <xdr:colOff>209550</xdr:colOff>
                <xdr:row>3</xdr:row>
                <xdr:rowOff>19050</xdr:rowOff>
              </to>
            </anchor>
          </controlPr>
        </control>
      </mc:Choice>
      <mc:Fallback>
        <control shapeId="2055" r:id="rId4" name="CmdSelezionaTabella"/>
      </mc:Fallback>
    </mc:AlternateContent>
    <mc:AlternateContent xmlns:mc="http://schemas.openxmlformats.org/markup-compatibility/2006">
      <mc:Choice Requires="x14">
        <control shapeId="2052" r:id="rId6" name="CmdNuovaRiga">
          <controlPr defaultSize="0" autoLine="0" autoPict="0" r:id="rId7">
            <anchor moveWithCells="1">
              <from>
                <xdr:col>0</xdr:col>
                <xdr:colOff>38100</xdr:colOff>
                <xdr:row>0</xdr:row>
                <xdr:rowOff>66675</xdr:rowOff>
              </from>
              <to>
                <xdr:col>1</xdr:col>
                <xdr:colOff>695325</xdr:colOff>
                <xdr:row>3</xdr:row>
                <xdr:rowOff>38100</xdr:rowOff>
              </to>
            </anchor>
          </controlPr>
        </control>
      </mc:Choice>
      <mc:Fallback>
        <control shapeId="2052" r:id="rId6" name="CmdNuovaRiga"/>
      </mc:Fallback>
    </mc:AlternateContent>
    <mc:AlternateContent xmlns:mc="http://schemas.openxmlformats.org/markup-compatibility/2006">
      <mc:Choice Requires="x14">
        <control shapeId="2053" r:id="rId8" name="cmdDuplicaRigaSelezionata">
          <controlPr defaultSize="0" autoLine="0" r:id="rId9">
            <anchor moveWithCells="1">
              <from>
                <xdr:col>1</xdr:col>
                <xdr:colOff>819150</xdr:colOff>
                <xdr:row>0</xdr:row>
                <xdr:rowOff>57150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053" r:id="rId8" name="cmdDuplicaRigaSelezionata"/>
      </mc:Fallback>
    </mc:AlternateContent>
    <mc:AlternateContent xmlns:mc="http://schemas.openxmlformats.org/markup-compatibility/2006">
      <mc:Choice Requires="x14">
        <control shapeId="2054" r:id="rId10" name="CmdEliminaERipristinaRiga">
          <controlPr defaultSize="0" autoLine="0" r:id="rId11">
            <anchor moveWithCells="1">
              <from>
                <xdr:col>3</xdr:col>
                <xdr:colOff>266700</xdr:colOff>
                <xdr:row>0</xdr:row>
                <xdr:rowOff>38100</xdr:rowOff>
              </from>
              <to>
                <xdr:col>4</xdr:col>
                <xdr:colOff>733425</xdr:colOff>
                <xdr:row>3</xdr:row>
                <xdr:rowOff>9525</xdr:rowOff>
              </to>
            </anchor>
          </controlPr>
        </control>
      </mc:Choice>
      <mc:Fallback>
        <control shapeId="2054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7"/>
  <dimension ref="A1"/>
  <sheetViews>
    <sheetView workbookViewId="0"/>
  </sheetViews>
  <sheetFormatPr defaultRowHeight="12.75"/>
  <sheetData>
    <row r="1" spans="1:1"/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P1645"/>
  <sheetViews>
    <sheetView tabSelected="1" zoomScale="70" zoomScaleNormal="70" zoomScaleSheetLayoutView="40" workbookViewId="0">
      <selection activeCell="C9" sqref="C9"/>
    </sheetView>
  </sheetViews>
  <sheetFormatPr defaultRowHeight="12.75"/>
  <cols>
    <col min="1" max="1" width="9.140625" style="118"/>
    <col min="2" max="2" width="15.28515625" style="118" bestFit="1" customWidth="1"/>
    <col min="3" max="3" width="27.7109375" style="118" bestFit="1" customWidth="1"/>
    <col min="4" max="4" width="16.7109375" style="118" bestFit="1" customWidth="1"/>
    <col min="5" max="5" width="50.28515625" style="118" bestFit="1" customWidth="1"/>
    <col min="6" max="6" width="11.5703125" style="118" bestFit="1" customWidth="1"/>
    <col min="7" max="7" width="17.5703125" style="118" bestFit="1" customWidth="1"/>
    <col min="8" max="8" width="23.28515625" style="118" customWidth="1"/>
    <col min="9" max="9" width="22.28515625" style="118" bestFit="1" customWidth="1"/>
    <col min="10" max="10" width="25.140625" style="118" bestFit="1" customWidth="1"/>
    <col min="11" max="12" width="12.140625" style="285" bestFit="1" customWidth="1"/>
    <col min="13" max="13" width="10.85546875" style="285" bestFit="1" customWidth="1"/>
    <col min="14" max="14" width="22.42578125" style="285" bestFit="1" customWidth="1"/>
    <col min="15" max="15" width="31.7109375" style="285" bestFit="1" customWidth="1"/>
    <col min="16" max="16" width="5" style="285" bestFit="1" customWidth="1"/>
    <col min="17" max="16384" width="9.140625" style="118"/>
  </cols>
  <sheetData>
    <row r="1" spans="1:16" ht="26.25" customHeight="1"/>
    <row r="2" spans="1:16" ht="18">
      <c r="E2" s="171" t="s">
        <v>44</v>
      </c>
      <c r="F2" s="171"/>
    </row>
    <row r="3" spans="1:16" customFormat="1">
      <c r="K3" s="284"/>
      <c r="L3" s="284"/>
      <c r="M3" s="284"/>
      <c r="N3" s="284"/>
      <c r="O3" s="284"/>
      <c r="P3" s="284"/>
    </row>
    <row r="4" spans="1:16" customFormat="1" ht="31.5" customHeight="1" thickBot="1">
      <c r="K4" s="284"/>
      <c r="L4" s="284"/>
      <c r="M4" s="284"/>
      <c r="N4" s="284"/>
      <c r="O4" s="284"/>
      <c r="P4" s="284"/>
    </row>
    <row r="5" spans="1:16" customFormat="1" ht="48.75" customHeight="1" thickBot="1">
      <c r="A5" s="170" t="s">
        <v>198</v>
      </c>
      <c r="B5" s="190" t="s">
        <v>43</v>
      </c>
      <c r="C5" s="191" t="s">
        <v>53</v>
      </c>
      <c r="D5" s="192" t="s">
        <v>41</v>
      </c>
      <c r="E5" s="192" t="s">
        <v>54</v>
      </c>
      <c r="F5" s="192" t="s">
        <v>42</v>
      </c>
      <c r="G5" s="192"/>
      <c r="H5" s="192" t="s">
        <v>55</v>
      </c>
      <c r="I5" s="193" t="s">
        <v>56</v>
      </c>
      <c r="J5" s="193" t="s">
        <v>52</v>
      </c>
      <c r="K5" s="286" t="s">
        <v>61</v>
      </c>
      <c r="L5" s="287" t="s">
        <v>57</v>
      </c>
      <c r="M5" s="286" t="s">
        <v>93</v>
      </c>
      <c r="N5" s="286" t="s">
        <v>92</v>
      </c>
      <c r="O5" s="287" t="s">
        <v>94</v>
      </c>
      <c r="P5" s="300" t="s">
        <v>128</v>
      </c>
    </row>
    <row r="6" spans="1:16" customFormat="1" ht="15">
      <c r="B6" s="194"/>
      <c r="C6" s="195"/>
      <c r="D6" s="196"/>
      <c r="E6" s="196"/>
      <c r="F6" s="197"/>
      <c r="G6" s="197">
        <f>IF(D6=0,0,(D6+E6)/F6)</f>
        <v>0</v>
      </c>
      <c r="H6" s="198"/>
      <c r="I6" s="199">
        <f>+G6*H6</f>
        <v>0</v>
      </c>
      <c r="J6" s="199">
        <f>+G6+I6</f>
        <v>0</v>
      </c>
      <c r="K6" s="288"/>
      <c r="L6" s="289"/>
      <c r="M6" s="290"/>
      <c r="N6" s="290">
        <f>IF(H6&lt;M6,H6/M6,0)</f>
        <v>0</v>
      </c>
      <c r="O6" s="297">
        <f>1.5%*N6</f>
        <v>0</v>
      </c>
      <c r="P6" s="301"/>
    </row>
    <row r="7" spans="1:16" ht="15">
      <c r="A7" s="118">
        <v>1</v>
      </c>
      <c r="B7" s="172" t="s">
        <v>26</v>
      </c>
      <c r="C7" s="173">
        <v>45771</v>
      </c>
      <c r="D7" s="174">
        <v>9410.5</v>
      </c>
      <c r="E7" s="174">
        <v>268</v>
      </c>
      <c r="F7" s="175">
        <v>1.1373</v>
      </c>
      <c r="G7" s="175">
        <f t="shared" ref="G7:G13" si="0">IF(D7=0,0,(D7+E7)/F7)</f>
        <v>8510.0677042117295</v>
      </c>
      <c r="H7" s="176">
        <v>0.04</v>
      </c>
      <c r="I7" s="177">
        <f t="shared" ref="I7:I13" si="1">+G7*H7</f>
        <v>340.40270816846919</v>
      </c>
      <c r="J7" s="177">
        <f t="shared" ref="J7:J13" si="2">+G7+I7</f>
        <v>8850.4704123801985</v>
      </c>
      <c r="K7" s="291"/>
      <c r="L7" s="292"/>
      <c r="M7" s="293"/>
      <c r="N7" s="293">
        <f t="shared" ref="N7:N13" si="3">IF(H7&lt;M7,H7/M7,0)</f>
        <v>0</v>
      </c>
      <c r="O7" s="298">
        <f t="shared" ref="O7:O13" si="4">1.5%*N7</f>
        <v>0</v>
      </c>
      <c r="P7" s="302"/>
    </row>
    <row r="8" spans="1:16" ht="15">
      <c r="A8" s="118">
        <v>2</v>
      </c>
      <c r="B8" s="172" t="s">
        <v>26</v>
      </c>
      <c r="C8" s="173">
        <v>45771</v>
      </c>
      <c r="D8" s="174">
        <v>9410.5</v>
      </c>
      <c r="E8" s="174">
        <v>268</v>
      </c>
      <c r="F8" s="175">
        <v>1.1373</v>
      </c>
      <c r="G8" s="175">
        <f t="shared" si="0"/>
        <v>8510.0677042117295</v>
      </c>
      <c r="H8" s="176">
        <v>0.04</v>
      </c>
      <c r="I8" s="177">
        <f t="shared" si="1"/>
        <v>340.40270816846919</v>
      </c>
      <c r="J8" s="177">
        <f t="shared" si="2"/>
        <v>8850.4704123801985</v>
      </c>
      <c r="K8" s="291"/>
      <c r="L8" s="292"/>
      <c r="M8" s="293"/>
      <c r="N8" s="293">
        <f t="shared" si="3"/>
        <v>0</v>
      </c>
      <c r="O8" s="298">
        <f t="shared" si="4"/>
        <v>0</v>
      </c>
      <c r="P8" s="302"/>
    </row>
    <row r="9" spans="1:16" ht="15">
      <c r="A9" s="118">
        <v>3</v>
      </c>
      <c r="B9" s="172" t="s">
        <v>26</v>
      </c>
      <c r="C9" s="173">
        <v>45771</v>
      </c>
      <c r="D9" s="174">
        <v>9410.5</v>
      </c>
      <c r="E9" s="174">
        <v>268</v>
      </c>
      <c r="F9" s="175">
        <v>1.1373</v>
      </c>
      <c r="G9" s="175">
        <f t="shared" si="0"/>
        <v>8510.0677042117295</v>
      </c>
      <c r="H9" s="176">
        <v>0.04</v>
      </c>
      <c r="I9" s="177">
        <f t="shared" si="1"/>
        <v>340.40270816846919</v>
      </c>
      <c r="J9" s="177">
        <f t="shared" si="2"/>
        <v>8850.4704123801985</v>
      </c>
      <c r="K9" s="291"/>
      <c r="L9" s="292"/>
      <c r="M9" s="293"/>
      <c r="N9" s="293">
        <f t="shared" si="3"/>
        <v>0</v>
      </c>
      <c r="O9" s="298">
        <f t="shared" si="4"/>
        <v>0</v>
      </c>
      <c r="P9" s="302"/>
    </row>
    <row r="10" spans="1:16" ht="15">
      <c r="A10" s="118">
        <v>4</v>
      </c>
      <c r="B10" s="172" t="s">
        <v>26</v>
      </c>
      <c r="C10" s="173">
        <v>45771</v>
      </c>
      <c r="D10" s="174">
        <v>9410.5</v>
      </c>
      <c r="E10" s="174">
        <v>268</v>
      </c>
      <c r="F10" s="175">
        <v>1.1373</v>
      </c>
      <c r="G10" s="175">
        <f t="shared" si="0"/>
        <v>8510.0677042117295</v>
      </c>
      <c r="H10" s="176">
        <v>0.04</v>
      </c>
      <c r="I10" s="177">
        <f t="shared" si="1"/>
        <v>340.40270816846919</v>
      </c>
      <c r="J10" s="177">
        <f t="shared" si="2"/>
        <v>8850.4704123801985</v>
      </c>
      <c r="K10" s="291"/>
      <c r="L10" s="292"/>
      <c r="M10" s="293"/>
      <c r="N10" s="293">
        <f t="shared" si="3"/>
        <v>0</v>
      </c>
      <c r="O10" s="298">
        <f t="shared" si="4"/>
        <v>0</v>
      </c>
      <c r="P10" s="302"/>
    </row>
    <row r="11" spans="1:16" ht="15">
      <c r="A11" s="118">
        <v>5</v>
      </c>
      <c r="B11" s="172" t="s">
        <v>26</v>
      </c>
      <c r="C11" s="173">
        <v>45841</v>
      </c>
      <c r="D11" s="174">
        <v>9985</v>
      </c>
      <c r="E11" s="174">
        <v>268</v>
      </c>
      <c r="F11" s="175">
        <v>1.1781999999999999</v>
      </c>
      <c r="G11" s="175">
        <f t="shared" si="0"/>
        <v>8702.2576812086245</v>
      </c>
      <c r="H11" s="176">
        <v>0.04</v>
      </c>
      <c r="I11" s="177">
        <f t="shared" si="1"/>
        <v>348.09030724834497</v>
      </c>
      <c r="J11" s="177">
        <f t="shared" si="2"/>
        <v>9050.3479884569697</v>
      </c>
      <c r="K11" s="291"/>
      <c r="L11" s="292"/>
      <c r="M11" s="293"/>
      <c r="N11" s="293">
        <f t="shared" si="3"/>
        <v>0</v>
      </c>
      <c r="O11" s="298">
        <f t="shared" si="4"/>
        <v>0</v>
      </c>
      <c r="P11" s="302"/>
    </row>
    <row r="12" spans="1:16" ht="15">
      <c r="A12" s="118">
        <v>6</v>
      </c>
      <c r="B12" s="172" t="s">
        <v>26</v>
      </c>
      <c r="C12" s="173">
        <v>45841</v>
      </c>
      <c r="D12" s="174">
        <v>9985</v>
      </c>
      <c r="E12" s="174">
        <v>268</v>
      </c>
      <c r="F12" s="175">
        <v>1.1781999999999999</v>
      </c>
      <c r="G12" s="175">
        <f t="shared" si="0"/>
        <v>8702.2576812086245</v>
      </c>
      <c r="H12" s="176">
        <v>0.04</v>
      </c>
      <c r="I12" s="177">
        <f t="shared" si="1"/>
        <v>348.09030724834497</v>
      </c>
      <c r="J12" s="177">
        <f t="shared" si="2"/>
        <v>9050.3479884569697</v>
      </c>
      <c r="K12" s="291"/>
      <c r="L12" s="292"/>
      <c r="M12" s="293"/>
      <c r="N12" s="293">
        <f t="shared" si="3"/>
        <v>0</v>
      </c>
      <c r="O12" s="298">
        <f t="shared" si="4"/>
        <v>0</v>
      </c>
      <c r="P12" s="302"/>
    </row>
    <row r="13" spans="1:16" ht="15">
      <c r="A13" s="118">
        <v>7</v>
      </c>
      <c r="B13" s="172" t="s">
        <v>26</v>
      </c>
      <c r="C13" s="173">
        <v>45841</v>
      </c>
      <c r="D13" s="174">
        <v>9985</v>
      </c>
      <c r="E13" s="174">
        <v>268</v>
      </c>
      <c r="F13" s="175">
        <v>1.1781999999999999</v>
      </c>
      <c r="G13" s="175">
        <f t="shared" si="0"/>
        <v>8702.2576812086245</v>
      </c>
      <c r="H13" s="176">
        <v>0.04</v>
      </c>
      <c r="I13" s="177">
        <f t="shared" si="1"/>
        <v>348.09030724834497</v>
      </c>
      <c r="J13" s="177">
        <f t="shared" si="2"/>
        <v>9050.3479884569697</v>
      </c>
      <c r="K13" s="291"/>
      <c r="L13" s="292"/>
      <c r="M13" s="293"/>
      <c r="N13" s="293">
        <f t="shared" si="3"/>
        <v>0</v>
      </c>
      <c r="O13" s="298">
        <f t="shared" si="4"/>
        <v>0</v>
      </c>
      <c r="P13" s="302"/>
    </row>
    <row r="14" spans="1:16" ht="15">
      <c r="A14" s="118">
        <v>8</v>
      </c>
      <c r="B14" s="172" t="s">
        <v>26</v>
      </c>
      <c r="C14" s="178">
        <v>45918</v>
      </c>
      <c r="D14" s="179">
        <v>9895</v>
      </c>
      <c r="E14" s="174">
        <v>268</v>
      </c>
      <c r="F14" s="175">
        <v>1.1818</v>
      </c>
      <c r="G14" s="175">
        <f>IF(D14=0,0,(D14+E14)/F14)</f>
        <v>8599.5938399052302</v>
      </c>
      <c r="H14" s="176">
        <v>0.04</v>
      </c>
      <c r="I14" s="177">
        <f>+G14*H14</f>
        <v>343.98375359620923</v>
      </c>
      <c r="J14" s="177">
        <f>+G14+I14</f>
        <v>8943.577593501439</v>
      </c>
      <c r="K14" s="291"/>
      <c r="L14" s="292"/>
      <c r="M14" s="293"/>
      <c r="N14" s="293">
        <f>IF(H14&lt;M14,H14/M14,0)</f>
        <v>0</v>
      </c>
      <c r="O14" s="298">
        <f>1.5%*N14</f>
        <v>0</v>
      </c>
      <c r="P14" s="302"/>
    </row>
    <row r="15" spans="1:16" ht="15">
      <c r="A15" s="118">
        <v>9</v>
      </c>
      <c r="B15" s="172" t="s">
        <v>26</v>
      </c>
      <c r="C15" s="178">
        <v>45918</v>
      </c>
      <c r="D15" s="179">
        <v>9895</v>
      </c>
      <c r="E15" s="174">
        <v>268</v>
      </c>
      <c r="F15" s="175">
        <v>1.1818</v>
      </c>
      <c r="G15" s="175">
        <f>IF(D15=0,0,(D15+E15)/F15)</f>
        <v>8599.5938399052302</v>
      </c>
      <c r="H15" s="176">
        <v>0.04</v>
      </c>
      <c r="I15" s="177">
        <f>+G15*H15</f>
        <v>343.98375359620923</v>
      </c>
      <c r="J15" s="177">
        <f>+G15+I15</f>
        <v>8943.577593501439</v>
      </c>
      <c r="K15" s="291"/>
      <c r="L15" s="292"/>
      <c r="M15" s="293"/>
      <c r="N15" s="293">
        <f>IF(H15&lt;M15,H15/M15,0)</f>
        <v>0</v>
      </c>
      <c r="O15" s="298">
        <f>1.5%*N15</f>
        <v>0</v>
      </c>
      <c r="P15" s="302"/>
    </row>
    <row r="16" spans="1:16" ht="15">
      <c r="A16" s="118">
        <v>10</v>
      </c>
      <c r="B16" s="172" t="s">
        <v>26</v>
      </c>
      <c r="C16" s="173">
        <v>45953</v>
      </c>
      <c r="D16" s="174">
        <v>10797</v>
      </c>
      <c r="E16" s="174">
        <v>268</v>
      </c>
      <c r="F16" s="175">
        <v>1.1587000000000001</v>
      </c>
      <c r="G16" s="175">
        <f t="shared" ref="G16:G25" si="5">IF(D16=0,0,(D16+E16)/F16)</f>
        <v>9549.4951238456888</v>
      </c>
      <c r="H16" s="176">
        <v>0.04</v>
      </c>
      <c r="I16" s="177">
        <f t="shared" ref="I16:I25" si="6">+G16*H16</f>
        <v>381.97980495382757</v>
      </c>
      <c r="J16" s="177">
        <f t="shared" ref="J16:J25" si="7">+G16+I16</f>
        <v>9931.4749287995164</v>
      </c>
      <c r="K16" s="291"/>
      <c r="L16" s="292"/>
      <c r="M16" s="293"/>
      <c r="N16" s="293">
        <f t="shared" ref="N16:N25" si="8">IF(H16&lt;M16,H16/M16,0)</f>
        <v>0</v>
      </c>
      <c r="O16" s="298">
        <f t="shared" ref="O16:O25" si="9">1.5%*N16</f>
        <v>0</v>
      </c>
      <c r="P16" s="302"/>
    </row>
    <row r="17" spans="1:16" ht="15">
      <c r="A17" s="118">
        <v>11</v>
      </c>
      <c r="B17" s="172" t="s">
        <v>26</v>
      </c>
      <c r="C17" s="180">
        <v>46142</v>
      </c>
      <c r="D17" s="181">
        <v>10800</v>
      </c>
      <c r="E17" s="174">
        <v>325</v>
      </c>
      <c r="F17" s="175">
        <v>1.1568000000000001</v>
      </c>
      <c r="G17" s="175">
        <f t="shared" si="5"/>
        <v>9617.0470262793915</v>
      </c>
      <c r="H17" s="176">
        <v>0.04</v>
      </c>
      <c r="I17" s="177">
        <f t="shared" si="6"/>
        <v>384.68188105117565</v>
      </c>
      <c r="J17" s="177">
        <f t="shared" si="7"/>
        <v>10001.728907330567</v>
      </c>
      <c r="K17" s="291"/>
      <c r="L17" s="292"/>
      <c r="M17" s="293"/>
      <c r="N17" s="293">
        <f t="shared" si="8"/>
        <v>0</v>
      </c>
      <c r="O17" s="298">
        <f t="shared" si="9"/>
        <v>0</v>
      </c>
      <c r="P17" s="302"/>
    </row>
    <row r="18" spans="1:16" ht="15">
      <c r="A18" s="118">
        <v>12</v>
      </c>
      <c r="B18" s="172" t="s">
        <v>26</v>
      </c>
      <c r="C18" s="180">
        <v>46173</v>
      </c>
      <c r="D18" s="181">
        <v>10800</v>
      </c>
      <c r="E18" s="174">
        <v>325</v>
      </c>
      <c r="F18" s="175">
        <v>1.1568000000000001</v>
      </c>
      <c r="G18" s="175">
        <f t="shared" si="5"/>
        <v>9617.0470262793915</v>
      </c>
      <c r="H18" s="176">
        <v>0.04</v>
      </c>
      <c r="I18" s="177">
        <f t="shared" si="6"/>
        <v>384.68188105117565</v>
      </c>
      <c r="J18" s="177">
        <f t="shared" si="7"/>
        <v>10001.728907330567</v>
      </c>
      <c r="K18" s="291"/>
      <c r="L18" s="292"/>
      <c r="M18" s="293"/>
      <c r="N18" s="293">
        <f t="shared" si="8"/>
        <v>0</v>
      </c>
      <c r="O18" s="298">
        <f t="shared" si="9"/>
        <v>0</v>
      </c>
      <c r="P18" s="302"/>
    </row>
    <row r="19" spans="1:16" ht="15">
      <c r="A19" s="118">
        <v>13</v>
      </c>
      <c r="B19" s="172" t="s">
        <v>26</v>
      </c>
      <c r="C19" s="180">
        <v>46173</v>
      </c>
      <c r="D19" s="181">
        <v>10800</v>
      </c>
      <c r="E19" s="174">
        <v>325</v>
      </c>
      <c r="F19" s="175">
        <v>1.1568000000000001</v>
      </c>
      <c r="G19" s="175">
        <f t="shared" si="5"/>
        <v>9617.0470262793915</v>
      </c>
      <c r="H19" s="176">
        <v>0.04</v>
      </c>
      <c r="I19" s="177">
        <f t="shared" si="6"/>
        <v>384.68188105117565</v>
      </c>
      <c r="J19" s="177">
        <f t="shared" si="7"/>
        <v>10001.728907330567</v>
      </c>
      <c r="K19" s="291"/>
      <c r="L19" s="292"/>
      <c r="M19" s="293"/>
      <c r="N19" s="293">
        <f t="shared" si="8"/>
        <v>0</v>
      </c>
      <c r="O19" s="298">
        <f t="shared" si="9"/>
        <v>0</v>
      </c>
      <c r="P19" s="302"/>
    </row>
    <row r="20" spans="1:16" ht="15">
      <c r="A20" s="118">
        <v>14</v>
      </c>
      <c r="B20" s="172" t="s">
        <v>26</v>
      </c>
      <c r="C20" s="173">
        <v>45980</v>
      </c>
      <c r="D20" s="174">
        <v>10784</v>
      </c>
      <c r="E20" s="174">
        <v>358</v>
      </c>
      <c r="F20" s="175">
        <v>1.1577999999999999</v>
      </c>
      <c r="G20" s="175">
        <f t="shared" si="5"/>
        <v>9623.4237346692007</v>
      </c>
      <c r="H20" s="176">
        <v>0.05</v>
      </c>
      <c r="I20" s="177">
        <f t="shared" si="6"/>
        <v>481.17118673346005</v>
      </c>
      <c r="J20" s="177">
        <f t="shared" si="7"/>
        <v>10104.59492140266</v>
      </c>
      <c r="K20" s="291"/>
      <c r="L20" s="292"/>
      <c r="M20" s="293"/>
      <c r="N20" s="293">
        <f t="shared" si="8"/>
        <v>0</v>
      </c>
      <c r="O20" s="298">
        <f t="shared" si="9"/>
        <v>0</v>
      </c>
      <c r="P20" s="302"/>
    </row>
    <row r="21" spans="1:16" ht="15">
      <c r="A21" s="118">
        <v>15</v>
      </c>
      <c r="B21" s="172" t="s">
        <v>26</v>
      </c>
      <c r="C21" s="173">
        <v>45980</v>
      </c>
      <c r="D21" s="174">
        <v>10784</v>
      </c>
      <c r="E21" s="174">
        <v>358</v>
      </c>
      <c r="F21" s="175">
        <v>1.1577999999999999</v>
      </c>
      <c r="G21" s="175">
        <f t="shared" si="5"/>
        <v>9623.4237346692007</v>
      </c>
      <c r="H21" s="176">
        <v>0.05</v>
      </c>
      <c r="I21" s="177">
        <f t="shared" si="6"/>
        <v>481.17118673346005</v>
      </c>
      <c r="J21" s="177">
        <f t="shared" si="7"/>
        <v>10104.59492140266</v>
      </c>
      <c r="K21" s="291"/>
      <c r="L21" s="292"/>
      <c r="M21" s="293"/>
      <c r="N21" s="293">
        <f t="shared" si="8"/>
        <v>0</v>
      </c>
      <c r="O21" s="298">
        <f t="shared" si="9"/>
        <v>0</v>
      </c>
      <c r="P21" s="302"/>
    </row>
    <row r="22" spans="1:16" ht="15">
      <c r="A22" s="118">
        <v>16</v>
      </c>
      <c r="B22" s="172" t="s">
        <v>26</v>
      </c>
      <c r="C22" s="173">
        <v>45980</v>
      </c>
      <c r="D22" s="174">
        <v>10784</v>
      </c>
      <c r="E22" s="174">
        <v>358</v>
      </c>
      <c r="F22" s="175">
        <v>1.1577999999999999</v>
      </c>
      <c r="G22" s="175">
        <f t="shared" si="5"/>
        <v>9623.4237346692007</v>
      </c>
      <c r="H22" s="176">
        <v>0.05</v>
      </c>
      <c r="I22" s="177">
        <f t="shared" si="6"/>
        <v>481.17118673346005</v>
      </c>
      <c r="J22" s="177">
        <f t="shared" si="7"/>
        <v>10104.59492140266</v>
      </c>
      <c r="K22" s="291"/>
      <c r="L22" s="292"/>
      <c r="M22" s="293"/>
      <c r="N22" s="293">
        <f t="shared" si="8"/>
        <v>0</v>
      </c>
      <c r="O22" s="298">
        <f t="shared" si="9"/>
        <v>0</v>
      </c>
      <c r="P22" s="302"/>
    </row>
    <row r="23" spans="1:16" ht="15">
      <c r="A23" s="118">
        <v>17</v>
      </c>
      <c r="B23" s="172" t="s">
        <v>26</v>
      </c>
      <c r="C23" s="173">
        <v>45980</v>
      </c>
      <c r="D23" s="174">
        <v>10784</v>
      </c>
      <c r="E23" s="174">
        <v>358</v>
      </c>
      <c r="F23" s="175">
        <v>1.1577999999999999</v>
      </c>
      <c r="G23" s="175">
        <f t="shared" si="5"/>
        <v>9623.4237346692007</v>
      </c>
      <c r="H23" s="176">
        <v>0.05</v>
      </c>
      <c r="I23" s="177">
        <f t="shared" si="6"/>
        <v>481.17118673346005</v>
      </c>
      <c r="J23" s="177">
        <f t="shared" si="7"/>
        <v>10104.59492140266</v>
      </c>
      <c r="K23" s="291"/>
      <c r="L23" s="292"/>
      <c r="M23" s="293"/>
      <c r="N23" s="293">
        <f t="shared" si="8"/>
        <v>0</v>
      </c>
      <c r="O23" s="298">
        <f t="shared" si="9"/>
        <v>0</v>
      </c>
      <c r="P23" s="302"/>
    </row>
    <row r="24" spans="1:16" ht="15">
      <c r="A24" s="118">
        <v>18</v>
      </c>
      <c r="B24" s="172" t="s">
        <v>26</v>
      </c>
      <c r="C24" s="173">
        <v>45966</v>
      </c>
      <c r="D24" s="174">
        <v>10603</v>
      </c>
      <c r="E24" s="174">
        <v>268</v>
      </c>
      <c r="F24" s="175">
        <v>1.1491</v>
      </c>
      <c r="G24" s="175">
        <f t="shared" si="5"/>
        <v>9460.4473065877646</v>
      </c>
      <c r="H24" s="176">
        <v>0.05</v>
      </c>
      <c r="I24" s="177">
        <f t="shared" si="6"/>
        <v>473.02236532938826</v>
      </c>
      <c r="J24" s="177">
        <f t="shared" si="7"/>
        <v>9933.4696719171534</v>
      </c>
      <c r="K24" s="291"/>
      <c r="L24" s="292"/>
      <c r="M24" s="293"/>
      <c r="N24" s="293">
        <f t="shared" si="8"/>
        <v>0</v>
      </c>
      <c r="O24" s="298">
        <f t="shared" si="9"/>
        <v>0</v>
      </c>
      <c r="P24" s="302"/>
    </row>
    <row r="25" spans="1:16" ht="15">
      <c r="A25" s="118">
        <v>19</v>
      </c>
      <c r="B25" s="172" t="s">
        <v>26</v>
      </c>
      <c r="C25" s="173">
        <v>45966</v>
      </c>
      <c r="D25" s="174">
        <v>10603</v>
      </c>
      <c r="E25" s="174">
        <v>268</v>
      </c>
      <c r="F25" s="175">
        <v>1.1491</v>
      </c>
      <c r="G25" s="175">
        <f t="shared" si="5"/>
        <v>9460.4473065877646</v>
      </c>
      <c r="H25" s="176">
        <v>0.05</v>
      </c>
      <c r="I25" s="177">
        <f t="shared" si="6"/>
        <v>473.02236532938826</v>
      </c>
      <c r="J25" s="177">
        <f t="shared" si="7"/>
        <v>9933.4696719171534</v>
      </c>
      <c r="K25" s="291"/>
      <c r="L25" s="292"/>
      <c r="M25" s="293"/>
      <c r="N25" s="293">
        <f t="shared" si="8"/>
        <v>0</v>
      </c>
      <c r="O25" s="298">
        <f t="shared" si="9"/>
        <v>0</v>
      </c>
      <c r="P25" s="302"/>
    </row>
    <row r="26" spans="1:16" ht="15">
      <c r="A26" s="118">
        <v>20</v>
      </c>
      <c r="B26" s="172" t="s">
        <v>26</v>
      </c>
      <c r="C26" s="173">
        <v>45966</v>
      </c>
      <c r="D26" s="174">
        <v>10603</v>
      </c>
      <c r="E26" s="174">
        <v>268</v>
      </c>
      <c r="F26" s="175">
        <v>1.1491</v>
      </c>
      <c r="G26" s="175">
        <f t="shared" ref="G26:G45" si="10">IF(D26=0,0,(D26+E26)/F26)</f>
        <v>9460.4473065877646</v>
      </c>
      <c r="H26" s="176">
        <v>0.05</v>
      </c>
      <c r="I26" s="177">
        <f t="shared" ref="I26:I45" si="11">+G26*H26</f>
        <v>473.02236532938826</v>
      </c>
      <c r="J26" s="177">
        <f t="shared" ref="J26:J45" si="12">+G26+I26</f>
        <v>9933.4696719171534</v>
      </c>
      <c r="K26" s="291"/>
      <c r="L26" s="292"/>
      <c r="M26" s="293"/>
      <c r="N26" s="293">
        <f t="shared" ref="N26:N45" si="13">IF(H26&lt;M26,H26/M26,0)</f>
        <v>0</v>
      </c>
      <c r="O26" s="298">
        <f t="shared" ref="O26:O45" si="14">1.5%*N26</f>
        <v>0</v>
      </c>
      <c r="P26" s="302"/>
    </row>
    <row r="27" spans="1:16" ht="15">
      <c r="A27" s="118">
        <v>21</v>
      </c>
      <c r="B27" s="172" t="s">
        <v>26</v>
      </c>
      <c r="C27" s="173">
        <v>45966</v>
      </c>
      <c r="D27" s="174">
        <v>10603</v>
      </c>
      <c r="E27" s="174">
        <v>268</v>
      </c>
      <c r="F27" s="175">
        <v>1.1491</v>
      </c>
      <c r="G27" s="175">
        <f t="shared" si="10"/>
        <v>9460.4473065877646</v>
      </c>
      <c r="H27" s="176">
        <v>0.05</v>
      </c>
      <c r="I27" s="177">
        <f t="shared" si="11"/>
        <v>473.02236532938826</v>
      </c>
      <c r="J27" s="177">
        <f t="shared" si="12"/>
        <v>9933.4696719171534</v>
      </c>
      <c r="K27" s="291"/>
      <c r="L27" s="292"/>
      <c r="M27" s="293"/>
      <c r="N27" s="293">
        <f t="shared" si="13"/>
        <v>0</v>
      </c>
      <c r="O27" s="298">
        <f t="shared" si="14"/>
        <v>0</v>
      </c>
      <c r="P27" s="302"/>
    </row>
    <row r="28" spans="1:16" ht="15">
      <c r="A28" s="118">
        <v>22</v>
      </c>
      <c r="B28" s="172" t="s">
        <v>26</v>
      </c>
      <c r="C28" s="173">
        <v>45966</v>
      </c>
      <c r="D28" s="174">
        <v>10603</v>
      </c>
      <c r="E28" s="174">
        <v>268</v>
      </c>
      <c r="F28" s="175">
        <v>1.1491</v>
      </c>
      <c r="G28" s="175">
        <f t="shared" si="10"/>
        <v>9460.4473065877646</v>
      </c>
      <c r="H28" s="176">
        <v>0.05</v>
      </c>
      <c r="I28" s="177">
        <f t="shared" si="11"/>
        <v>473.02236532938826</v>
      </c>
      <c r="J28" s="177">
        <f t="shared" si="12"/>
        <v>9933.4696719171534</v>
      </c>
      <c r="K28" s="291"/>
      <c r="L28" s="292"/>
      <c r="M28" s="293"/>
      <c r="N28" s="293">
        <f t="shared" si="13"/>
        <v>0</v>
      </c>
      <c r="O28" s="298">
        <f t="shared" si="14"/>
        <v>0</v>
      </c>
      <c r="P28" s="302"/>
    </row>
    <row r="29" spans="1:16" ht="15">
      <c r="A29" s="118">
        <v>23</v>
      </c>
      <c r="B29" s="172" t="s">
        <v>26</v>
      </c>
      <c r="C29" s="173">
        <v>45966</v>
      </c>
      <c r="D29" s="174">
        <v>10603</v>
      </c>
      <c r="E29" s="174">
        <v>268</v>
      </c>
      <c r="F29" s="175">
        <v>1.1491</v>
      </c>
      <c r="G29" s="175">
        <f t="shared" si="10"/>
        <v>9460.4473065877646</v>
      </c>
      <c r="H29" s="176">
        <v>0.05</v>
      </c>
      <c r="I29" s="177">
        <f t="shared" si="11"/>
        <v>473.02236532938826</v>
      </c>
      <c r="J29" s="177">
        <f t="shared" si="12"/>
        <v>9933.4696719171534</v>
      </c>
      <c r="K29" s="291"/>
      <c r="L29" s="292"/>
      <c r="M29" s="293"/>
      <c r="N29" s="293">
        <f t="shared" si="13"/>
        <v>0</v>
      </c>
      <c r="O29" s="298">
        <f t="shared" si="14"/>
        <v>0</v>
      </c>
      <c r="P29" s="302"/>
    </row>
    <row r="30" spans="1:16" ht="15">
      <c r="A30" s="118">
        <v>24</v>
      </c>
      <c r="B30" s="172" t="s">
        <v>26</v>
      </c>
      <c r="C30" s="173">
        <v>45993</v>
      </c>
      <c r="D30" s="174">
        <v>11293</v>
      </c>
      <c r="E30" s="174">
        <v>268</v>
      </c>
      <c r="F30" s="175">
        <v>1.1617999999999999</v>
      </c>
      <c r="G30" s="175">
        <f t="shared" si="10"/>
        <v>9950.9381993458428</v>
      </c>
      <c r="H30" s="176">
        <v>0.05</v>
      </c>
      <c r="I30" s="177">
        <f t="shared" si="11"/>
        <v>497.54690996729215</v>
      </c>
      <c r="J30" s="177">
        <f t="shared" si="12"/>
        <v>10448.485109313135</v>
      </c>
      <c r="K30" s="291"/>
      <c r="L30" s="292"/>
      <c r="M30" s="293"/>
      <c r="N30" s="293">
        <f t="shared" si="13"/>
        <v>0</v>
      </c>
      <c r="O30" s="298">
        <f t="shared" si="14"/>
        <v>0</v>
      </c>
      <c r="P30" s="302"/>
    </row>
    <row r="31" spans="1:16" ht="15">
      <c r="A31" s="118">
        <v>25</v>
      </c>
      <c r="B31" s="172" t="s">
        <v>26</v>
      </c>
      <c r="C31" s="180">
        <v>45777</v>
      </c>
      <c r="D31" s="181">
        <v>11680</v>
      </c>
      <c r="E31" s="174">
        <v>325</v>
      </c>
      <c r="F31" s="175">
        <v>1.1684000000000001</v>
      </c>
      <c r="G31" s="175">
        <f t="shared" si="10"/>
        <v>10274.734679904141</v>
      </c>
      <c r="H31" s="176">
        <v>0.04</v>
      </c>
      <c r="I31" s="177">
        <f t="shared" si="11"/>
        <v>410.98938719616564</v>
      </c>
      <c r="J31" s="177">
        <f t="shared" si="12"/>
        <v>10685.724067100306</v>
      </c>
      <c r="K31" s="291"/>
      <c r="L31" s="292"/>
      <c r="M31" s="293"/>
      <c r="N31" s="293">
        <f t="shared" si="13"/>
        <v>0</v>
      </c>
      <c r="O31" s="298">
        <f t="shared" si="14"/>
        <v>0</v>
      </c>
      <c r="P31" s="302"/>
    </row>
    <row r="32" spans="1:16" ht="15">
      <c r="A32" s="118">
        <v>26</v>
      </c>
      <c r="B32" s="172" t="s">
        <v>26</v>
      </c>
      <c r="C32" s="180">
        <v>45838</v>
      </c>
      <c r="D32" s="181">
        <v>11680</v>
      </c>
      <c r="E32" s="174">
        <v>325</v>
      </c>
      <c r="F32" s="175">
        <v>1.1684000000000001</v>
      </c>
      <c r="G32" s="175">
        <f t="shared" si="10"/>
        <v>10274.734679904141</v>
      </c>
      <c r="H32" s="176">
        <v>0.04</v>
      </c>
      <c r="I32" s="177">
        <f t="shared" si="11"/>
        <v>410.98938719616564</v>
      </c>
      <c r="J32" s="177">
        <f t="shared" si="12"/>
        <v>10685.724067100306</v>
      </c>
      <c r="K32" s="291"/>
      <c r="L32" s="292"/>
      <c r="M32" s="293"/>
      <c r="N32" s="293">
        <f t="shared" si="13"/>
        <v>0</v>
      </c>
      <c r="O32" s="298">
        <f t="shared" si="14"/>
        <v>0</v>
      </c>
      <c r="P32" s="302"/>
    </row>
    <row r="33" spans="1:16" ht="15">
      <c r="A33" s="118">
        <v>27</v>
      </c>
      <c r="B33" s="172" t="s">
        <v>26</v>
      </c>
      <c r="C33" s="180">
        <v>45747</v>
      </c>
      <c r="D33" s="181">
        <v>11680</v>
      </c>
      <c r="E33" s="174">
        <v>325</v>
      </c>
      <c r="F33" s="175">
        <v>1.1684000000000001</v>
      </c>
      <c r="G33" s="175">
        <f t="shared" si="10"/>
        <v>10274.734679904141</v>
      </c>
      <c r="H33" s="176">
        <v>0.04</v>
      </c>
      <c r="I33" s="177">
        <f t="shared" si="11"/>
        <v>410.98938719616564</v>
      </c>
      <c r="J33" s="177">
        <f t="shared" si="12"/>
        <v>10685.724067100306</v>
      </c>
      <c r="K33" s="291"/>
      <c r="L33" s="292"/>
      <c r="M33" s="293"/>
      <c r="N33" s="293">
        <f t="shared" si="13"/>
        <v>0</v>
      </c>
      <c r="O33" s="298">
        <f t="shared" si="14"/>
        <v>0</v>
      </c>
      <c r="P33" s="302"/>
    </row>
    <row r="34" spans="1:16" ht="15">
      <c r="A34" s="118">
        <v>28</v>
      </c>
      <c r="B34" s="172" t="s">
        <v>26</v>
      </c>
      <c r="C34" s="180">
        <v>45808</v>
      </c>
      <c r="D34" s="181">
        <v>11680</v>
      </c>
      <c r="E34" s="174">
        <v>325</v>
      </c>
      <c r="F34" s="175">
        <v>1.1684000000000001</v>
      </c>
      <c r="G34" s="175">
        <f t="shared" si="10"/>
        <v>10274.734679904141</v>
      </c>
      <c r="H34" s="176">
        <v>0.04</v>
      </c>
      <c r="I34" s="177">
        <f t="shared" si="11"/>
        <v>410.98938719616564</v>
      </c>
      <c r="J34" s="177">
        <f t="shared" si="12"/>
        <v>10685.724067100306</v>
      </c>
      <c r="K34" s="291"/>
      <c r="L34" s="292"/>
      <c r="M34" s="293"/>
      <c r="N34" s="293">
        <f t="shared" si="13"/>
        <v>0</v>
      </c>
      <c r="O34" s="298">
        <f t="shared" si="14"/>
        <v>0</v>
      </c>
      <c r="P34" s="302"/>
    </row>
    <row r="35" spans="1:16" ht="15">
      <c r="A35" s="118">
        <v>29</v>
      </c>
      <c r="B35" s="172" t="s">
        <v>26</v>
      </c>
      <c r="C35" s="180">
        <v>45747</v>
      </c>
      <c r="D35" s="181">
        <v>11680</v>
      </c>
      <c r="E35" s="174">
        <v>325</v>
      </c>
      <c r="F35" s="175">
        <v>1.1684000000000001</v>
      </c>
      <c r="G35" s="175">
        <f t="shared" si="10"/>
        <v>10274.734679904141</v>
      </c>
      <c r="H35" s="176">
        <v>0.04</v>
      </c>
      <c r="I35" s="177">
        <f t="shared" si="11"/>
        <v>410.98938719616564</v>
      </c>
      <c r="J35" s="177">
        <f t="shared" si="12"/>
        <v>10685.724067100306</v>
      </c>
      <c r="K35" s="291"/>
      <c r="L35" s="292"/>
      <c r="M35" s="293"/>
      <c r="N35" s="293">
        <f t="shared" si="13"/>
        <v>0</v>
      </c>
      <c r="O35" s="298">
        <f t="shared" si="14"/>
        <v>0</v>
      </c>
      <c r="P35" s="302"/>
    </row>
    <row r="36" spans="1:16" ht="15">
      <c r="A36" s="118">
        <v>30</v>
      </c>
      <c r="B36" s="172" t="s">
        <v>26</v>
      </c>
      <c r="C36" s="180">
        <v>45808</v>
      </c>
      <c r="D36" s="181">
        <v>11680</v>
      </c>
      <c r="E36" s="174">
        <v>325</v>
      </c>
      <c r="F36" s="175">
        <v>1.1684000000000001</v>
      </c>
      <c r="G36" s="175">
        <f t="shared" si="10"/>
        <v>10274.734679904141</v>
      </c>
      <c r="H36" s="176">
        <v>0.04</v>
      </c>
      <c r="I36" s="177">
        <f t="shared" si="11"/>
        <v>410.98938719616564</v>
      </c>
      <c r="J36" s="177">
        <f t="shared" si="12"/>
        <v>10685.724067100306</v>
      </c>
      <c r="K36" s="291"/>
      <c r="L36" s="292"/>
      <c r="M36" s="293"/>
      <c r="N36" s="293">
        <f t="shared" si="13"/>
        <v>0</v>
      </c>
      <c r="O36" s="298">
        <f t="shared" si="14"/>
        <v>0</v>
      </c>
      <c r="P36" s="302"/>
    </row>
    <row r="37" spans="1:16" ht="15">
      <c r="A37" s="118">
        <v>31</v>
      </c>
      <c r="B37" s="172" t="s">
        <v>26</v>
      </c>
      <c r="C37" s="180">
        <v>46112</v>
      </c>
      <c r="D37" s="181">
        <v>11680</v>
      </c>
      <c r="E37" s="174">
        <v>325</v>
      </c>
      <c r="F37" s="175">
        <v>1.1684000000000001</v>
      </c>
      <c r="G37" s="175">
        <f t="shared" si="10"/>
        <v>10274.734679904141</v>
      </c>
      <c r="H37" s="176">
        <v>0.05</v>
      </c>
      <c r="I37" s="177">
        <f t="shared" si="11"/>
        <v>513.73673399520703</v>
      </c>
      <c r="J37" s="177">
        <f t="shared" si="12"/>
        <v>10788.471413899348</v>
      </c>
      <c r="K37" s="291"/>
      <c r="L37" s="292"/>
      <c r="M37" s="293"/>
      <c r="N37" s="293">
        <f t="shared" si="13"/>
        <v>0</v>
      </c>
      <c r="O37" s="298">
        <f t="shared" si="14"/>
        <v>0</v>
      </c>
      <c r="P37" s="302"/>
    </row>
    <row r="38" spans="1:16" ht="15">
      <c r="A38" s="118">
        <v>32</v>
      </c>
      <c r="B38" s="172" t="s">
        <v>26</v>
      </c>
      <c r="C38" s="180">
        <v>46203</v>
      </c>
      <c r="D38" s="181">
        <v>12937</v>
      </c>
      <c r="E38" s="174">
        <v>325</v>
      </c>
      <c r="F38" s="175">
        <v>1.1621999999999999</v>
      </c>
      <c r="G38" s="175">
        <f t="shared" si="10"/>
        <v>11411.116847358458</v>
      </c>
      <c r="H38" s="176">
        <v>0.04</v>
      </c>
      <c r="I38" s="177">
        <f t="shared" si="11"/>
        <v>456.44467389433834</v>
      </c>
      <c r="J38" s="177">
        <f t="shared" si="12"/>
        <v>11867.561521252797</v>
      </c>
      <c r="K38" s="291"/>
      <c r="L38" s="292"/>
      <c r="M38" s="293"/>
      <c r="N38" s="293">
        <f t="shared" si="13"/>
        <v>0</v>
      </c>
      <c r="O38" s="298">
        <f t="shared" si="14"/>
        <v>0</v>
      </c>
      <c r="P38" s="302"/>
    </row>
    <row r="39" spans="1:16" ht="15">
      <c r="A39" s="118">
        <v>33</v>
      </c>
      <c r="B39" s="172" t="s">
        <v>26</v>
      </c>
      <c r="C39" s="180">
        <v>46081</v>
      </c>
      <c r="D39" s="181">
        <v>12937</v>
      </c>
      <c r="E39" s="174">
        <v>325</v>
      </c>
      <c r="F39" s="175">
        <v>1.1621999999999999</v>
      </c>
      <c r="G39" s="175">
        <f t="shared" si="10"/>
        <v>11411.116847358458</v>
      </c>
      <c r="H39" s="176">
        <v>0.04</v>
      </c>
      <c r="I39" s="177">
        <f t="shared" si="11"/>
        <v>456.44467389433834</v>
      </c>
      <c r="J39" s="177">
        <f t="shared" si="12"/>
        <v>11867.561521252797</v>
      </c>
      <c r="K39" s="291"/>
      <c r="L39" s="292"/>
      <c r="M39" s="293"/>
      <c r="N39" s="293">
        <f t="shared" si="13"/>
        <v>0</v>
      </c>
      <c r="O39" s="298">
        <f t="shared" si="14"/>
        <v>0</v>
      </c>
      <c r="P39" s="302"/>
    </row>
    <row r="40" spans="1:16" ht="15">
      <c r="A40" s="118">
        <v>34</v>
      </c>
      <c r="B40" s="172" t="s">
        <v>26</v>
      </c>
      <c r="C40" s="180">
        <v>46173</v>
      </c>
      <c r="D40" s="181">
        <v>12937</v>
      </c>
      <c r="E40" s="174">
        <v>325</v>
      </c>
      <c r="F40" s="175">
        <v>1.1621999999999999</v>
      </c>
      <c r="G40" s="175">
        <f t="shared" si="10"/>
        <v>11411.116847358458</v>
      </c>
      <c r="H40" s="176">
        <v>0.04</v>
      </c>
      <c r="I40" s="177">
        <f t="shared" si="11"/>
        <v>456.44467389433834</v>
      </c>
      <c r="J40" s="177">
        <f t="shared" si="12"/>
        <v>11867.561521252797</v>
      </c>
      <c r="K40" s="291"/>
      <c r="L40" s="292"/>
      <c r="M40" s="293"/>
      <c r="N40" s="293">
        <f t="shared" si="13"/>
        <v>0</v>
      </c>
      <c r="O40" s="298">
        <f t="shared" si="14"/>
        <v>0</v>
      </c>
      <c r="P40" s="302"/>
    </row>
    <row r="41" spans="1:16" ht="15">
      <c r="A41" s="118">
        <v>35</v>
      </c>
      <c r="B41" s="172" t="s">
        <v>26</v>
      </c>
      <c r="C41" s="180">
        <v>46173</v>
      </c>
      <c r="D41" s="181">
        <v>12937</v>
      </c>
      <c r="E41" s="174">
        <v>325</v>
      </c>
      <c r="F41" s="175">
        <v>1.1621999999999999</v>
      </c>
      <c r="G41" s="175">
        <f t="shared" si="10"/>
        <v>11411.116847358458</v>
      </c>
      <c r="H41" s="176">
        <v>0.04</v>
      </c>
      <c r="I41" s="177">
        <f t="shared" si="11"/>
        <v>456.44467389433834</v>
      </c>
      <c r="J41" s="177">
        <f t="shared" si="12"/>
        <v>11867.561521252797</v>
      </c>
      <c r="K41" s="291"/>
      <c r="L41" s="292"/>
      <c r="M41" s="293"/>
      <c r="N41" s="293">
        <f t="shared" si="13"/>
        <v>0</v>
      </c>
      <c r="O41" s="298">
        <f t="shared" si="14"/>
        <v>0</v>
      </c>
      <c r="P41" s="302"/>
    </row>
    <row r="42" spans="1:16" ht="15">
      <c r="A42" s="118">
        <v>36</v>
      </c>
      <c r="B42" s="172" t="s">
        <v>26</v>
      </c>
      <c r="C42" s="180">
        <v>46142</v>
      </c>
      <c r="D42" s="181">
        <v>12937</v>
      </c>
      <c r="E42" s="174">
        <v>325</v>
      </c>
      <c r="F42" s="175">
        <v>1.1621999999999999</v>
      </c>
      <c r="G42" s="175">
        <f t="shared" si="10"/>
        <v>11411.116847358458</v>
      </c>
      <c r="H42" s="176">
        <v>0.04</v>
      </c>
      <c r="I42" s="177">
        <f t="shared" si="11"/>
        <v>456.44467389433834</v>
      </c>
      <c r="J42" s="177">
        <f t="shared" si="12"/>
        <v>11867.561521252797</v>
      </c>
      <c r="K42" s="291"/>
      <c r="L42" s="292"/>
      <c r="M42" s="293"/>
      <c r="N42" s="293">
        <f t="shared" si="13"/>
        <v>0</v>
      </c>
      <c r="O42" s="298">
        <f t="shared" si="14"/>
        <v>0</v>
      </c>
      <c r="P42" s="302"/>
    </row>
    <row r="43" spans="1:16" ht="15">
      <c r="A43" s="118">
        <v>37</v>
      </c>
      <c r="B43" s="172" t="s">
        <v>26</v>
      </c>
      <c r="C43" s="182">
        <v>46112</v>
      </c>
      <c r="D43" s="183">
        <v>12498.977000000001</v>
      </c>
      <c r="E43" s="174">
        <v>325</v>
      </c>
      <c r="F43" s="175">
        <v>1.1557999999999999</v>
      </c>
      <c r="G43" s="175">
        <f t="shared" si="10"/>
        <v>11095.325315798582</v>
      </c>
      <c r="H43" s="176">
        <v>0.05</v>
      </c>
      <c r="I43" s="177">
        <f t="shared" si="11"/>
        <v>554.76626578992909</v>
      </c>
      <c r="J43" s="177">
        <f t="shared" si="12"/>
        <v>11650.091581588511</v>
      </c>
      <c r="K43" s="291"/>
      <c r="L43" s="292"/>
      <c r="M43" s="293"/>
      <c r="N43" s="293">
        <f t="shared" si="13"/>
        <v>0</v>
      </c>
      <c r="O43" s="298">
        <f t="shared" si="14"/>
        <v>0</v>
      </c>
      <c r="P43" s="302"/>
    </row>
    <row r="44" spans="1:16" ht="15">
      <c r="A44" s="118">
        <v>38</v>
      </c>
      <c r="B44" s="172" t="s">
        <v>26</v>
      </c>
      <c r="C44" s="178">
        <v>46045</v>
      </c>
      <c r="D44" s="179">
        <v>12920.5</v>
      </c>
      <c r="E44" s="174">
        <v>358</v>
      </c>
      <c r="F44" s="175">
        <v>1.1741999999999999</v>
      </c>
      <c r="G44" s="175">
        <f t="shared" si="10"/>
        <v>11308.550502469767</v>
      </c>
      <c r="H44" s="176">
        <v>0.05</v>
      </c>
      <c r="I44" s="177">
        <f t="shared" si="11"/>
        <v>565.42752512348841</v>
      </c>
      <c r="J44" s="177">
        <f t="shared" si="12"/>
        <v>11873.978027593255</v>
      </c>
      <c r="K44" s="291"/>
      <c r="L44" s="292"/>
      <c r="M44" s="293"/>
      <c r="N44" s="293">
        <f t="shared" si="13"/>
        <v>0</v>
      </c>
      <c r="O44" s="298">
        <f t="shared" si="14"/>
        <v>0</v>
      </c>
      <c r="P44" s="302"/>
    </row>
    <row r="45" spans="1:16" ht="15">
      <c r="A45" s="118">
        <v>39</v>
      </c>
      <c r="B45" s="172" t="s">
        <v>26</v>
      </c>
      <c r="C45" s="178">
        <v>46045</v>
      </c>
      <c r="D45" s="179">
        <v>12920.5</v>
      </c>
      <c r="E45" s="174">
        <v>358</v>
      </c>
      <c r="F45" s="175">
        <v>1.1741999999999999</v>
      </c>
      <c r="G45" s="175">
        <f t="shared" si="10"/>
        <v>11308.550502469767</v>
      </c>
      <c r="H45" s="176">
        <v>0.05</v>
      </c>
      <c r="I45" s="177">
        <f t="shared" si="11"/>
        <v>565.42752512348841</v>
      </c>
      <c r="J45" s="177">
        <f t="shared" si="12"/>
        <v>11873.978027593255</v>
      </c>
      <c r="K45" s="291"/>
      <c r="L45" s="292"/>
      <c r="M45" s="293"/>
      <c r="N45" s="293">
        <f t="shared" si="13"/>
        <v>0</v>
      </c>
      <c r="O45" s="298">
        <f t="shared" si="14"/>
        <v>0</v>
      </c>
      <c r="P45" s="302"/>
    </row>
    <row r="46" spans="1:16" ht="15">
      <c r="A46" s="118">
        <v>40</v>
      </c>
      <c r="B46" s="172" t="s">
        <v>26</v>
      </c>
      <c r="C46" s="178">
        <v>46043</v>
      </c>
      <c r="D46" s="179">
        <v>12898</v>
      </c>
      <c r="E46" s="174">
        <v>358</v>
      </c>
      <c r="F46" s="175">
        <v>1.1736</v>
      </c>
      <c r="G46" s="175">
        <f t="shared" ref="G46:G91" si="15">IF(D46=0,0,(D46+E46)/F46)</f>
        <v>11295.160190865712</v>
      </c>
      <c r="H46" s="176">
        <v>0.05</v>
      </c>
      <c r="I46" s="177">
        <f t="shared" ref="I46:I91" si="16">+G46*H46</f>
        <v>564.75800954328565</v>
      </c>
      <c r="J46" s="177">
        <f t="shared" ref="J46:J91" si="17">+G46+I46</f>
        <v>11859.918200408998</v>
      </c>
      <c r="K46" s="291"/>
      <c r="L46" s="292"/>
      <c r="M46" s="293"/>
      <c r="N46" s="293">
        <f t="shared" ref="N46:N91" si="18">IF(H46&lt;M46,H46/M46,0)</f>
        <v>0</v>
      </c>
      <c r="O46" s="298">
        <f t="shared" ref="O46:O91" si="19">1.5%*N46</f>
        <v>0</v>
      </c>
      <c r="P46" s="302"/>
    </row>
    <row r="47" spans="1:16" ht="15">
      <c r="A47" s="118">
        <v>41</v>
      </c>
      <c r="B47" s="172" t="s">
        <v>26</v>
      </c>
      <c r="C47" s="178">
        <v>46043</v>
      </c>
      <c r="D47" s="179">
        <v>12898</v>
      </c>
      <c r="E47" s="174">
        <v>358</v>
      </c>
      <c r="F47" s="175">
        <v>1.1736</v>
      </c>
      <c r="G47" s="175">
        <f t="shared" si="15"/>
        <v>11295.160190865712</v>
      </c>
      <c r="H47" s="176">
        <v>0.05</v>
      </c>
      <c r="I47" s="177">
        <f t="shared" si="16"/>
        <v>564.75800954328565</v>
      </c>
      <c r="J47" s="177">
        <f t="shared" si="17"/>
        <v>11859.918200408998</v>
      </c>
      <c r="K47" s="291"/>
      <c r="L47" s="292"/>
      <c r="M47" s="293"/>
      <c r="N47" s="293">
        <f t="shared" si="18"/>
        <v>0</v>
      </c>
      <c r="O47" s="298">
        <f t="shared" si="19"/>
        <v>0</v>
      </c>
      <c r="P47" s="302"/>
    </row>
    <row r="48" spans="1:16" ht="15">
      <c r="A48" s="118">
        <v>42</v>
      </c>
      <c r="B48" s="172" t="s">
        <v>26</v>
      </c>
      <c r="C48" s="178">
        <v>46043</v>
      </c>
      <c r="D48" s="179">
        <v>12898</v>
      </c>
      <c r="E48" s="174">
        <v>358</v>
      </c>
      <c r="F48" s="175">
        <v>1.1736</v>
      </c>
      <c r="G48" s="175">
        <f t="shared" si="15"/>
        <v>11295.160190865712</v>
      </c>
      <c r="H48" s="176">
        <v>0.05</v>
      </c>
      <c r="I48" s="177">
        <f t="shared" si="16"/>
        <v>564.75800954328565</v>
      </c>
      <c r="J48" s="177">
        <f t="shared" si="17"/>
        <v>11859.918200408998</v>
      </c>
      <c r="K48" s="291"/>
      <c r="L48" s="292"/>
      <c r="M48" s="293"/>
      <c r="N48" s="293">
        <f t="shared" si="18"/>
        <v>0</v>
      </c>
      <c r="O48" s="298">
        <f t="shared" si="19"/>
        <v>0</v>
      </c>
      <c r="P48" s="302"/>
    </row>
    <row r="49" spans="1:16" ht="15">
      <c r="A49" s="118">
        <v>43</v>
      </c>
      <c r="B49" s="172" t="s">
        <v>26</v>
      </c>
      <c r="C49" s="178">
        <v>46043</v>
      </c>
      <c r="D49" s="179">
        <v>12898</v>
      </c>
      <c r="E49" s="174">
        <v>358</v>
      </c>
      <c r="F49" s="175">
        <v>1.1736</v>
      </c>
      <c r="G49" s="175">
        <f t="shared" si="15"/>
        <v>11295.160190865712</v>
      </c>
      <c r="H49" s="176">
        <v>0.05</v>
      </c>
      <c r="I49" s="177">
        <f t="shared" si="16"/>
        <v>564.75800954328565</v>
      </c>
      <c r="J49" s="177">
        <f t="shared" si="17"/>
        <v>11859.918200408998</v>
      </c>
      <c r="K49" s="291"/>
      <c r="L49" s="292"/>
      <c r="M49" s="293"/>
      <c r="N49" s="293">
        <f t="shared" si="18"/>
        <v>0</v>
      </c>
      <c r="O49" s="298">
        <f t="shared" si="19"/>
        <v>0</v>
      </c>
      <c r="P49" s="302"/>
    </row>
    <row r="50" spans="1:16" ht="15">
      <c r="A50" s="118">
        <v>44</v>
      </c>
      <c r="B50" s="172" t="s">
        <v>26</v>
      </c>
      <c r="C50" s="173">
        <v>46051</v>
      </c>
      <c r="D50" s="174"/>
      <c r="E50" s="174"/>
      <c r="F50" s="175"/>
      <c r="G50" s="175">
        <f t="shared" si="15"/>
        <v>0</v>
      </c>
      <c r="H50" s="176">
        <v>0.05</v>
      </c>
      <c r="I50" s="177">
        <f t="shared" si="16"/>
        <v>0</v>
      </c>
      <c r="J50" s="177">
        <f t="shared" si="17"/>
        <v>0</v>
      </c>
      <c r="K50" s="291"/>
      <c r="L50" s="292"/>
      <c r="M50" s="293"/>
      <c r="N50" s="293">
        <f t="shared" si="18"/>
        <v>0</v>
      </c>
      <c r="O50" s="298">
        <f t="shared" si="19"/>
        <v>0</v>
      </c>
      <c r="P50" s="302"/>
    </row>
    <row r="51" spans="1:16" ht="15">
      <c r="A51" s="118">
        <v>45</v>
      </c>
      <c r="B51" s="172" t="s">
        <v>26</v>
      </c>
      <c r="C51" s="173">
        <v>46051</v>
      </c>
      <c r="D51" s="174"/>
      <c r="E51" s="174"/>
      <c r="F51" s="175"/>
      <c r="G51" s="175">
        <f t="shared" si="15"/>
        <v>0</v>
      </c>
      <c r="H51" s="176">
        <v>0.05</v>
      </c>
      <c r="I51" s="177">
        <f t="shared" si="16"/>
        <v>0</v>
      </c>
      <c r="J51" s="177">
        <f t="shared" si="17"/>
        <v>0</v>
      </c>
      <c r="K51" s="291"/>
      <c r="L51" s="292"/>
      <c r="M51" s="293"/>
      <c r="N51" s="293">
        <f t="shared" si="18"/>
        <v>0</v>
      </c>
      <c r="O51" s="298">
        <f t="shared" si="19"/>
        <v>0</v>
      </c>
      <c r="P51" s="302"/>
    </row>
    <row r="52" spans="1:16" ht="15">
      <c r="A52" s="118">
        <v>46</v>
      </c>
      <c r="B52" s="172" t="s">
        <v>26</v>
      </c>
      <c r="C52" s="173">
        <v>46055</v>
      </c>
      <c r="D52" s="174">
        <v>12987</v>
      </c>
      <c r="E52" s="174">
        <v>358</v>
      </c>
      <c r="F52" s="175">
        <v>1.1850000000000001</v>
      </c>
      <c r="G52" s="175">
        <f t="shared" si="15"/>
        <v>11261.603375527426</v>
      </c>
      <c r="H52" s="176">
        <v>0.05</v>
      </c>
      <c r="I52" s="177">
        <f t="shared" si="16"/>
        <v>563.08016877637135</v>
      </c>
      <c r="J52" s="177">
        <f t="shared" si="17"/>
        <v>11824.683544303796</v>
      </c>
      <c r="K52" s="291"/>
      <c r="L52" s="292"/>
      <c r="M52" s="293"/>
      <c r="N52" s="293">
        <f t="shared" si="18"/>
        <v>0</v>
      </c>
      <c r="O52" s="298">
        <f t="shared" si="19"/>
        <v>0</v>
      </c>
      <c r="P52" s="302"/>
    </row>
    <row r="53" spans="1:16" ht="15">
      <c r="A53" s="118">
        <v>47</v>
      </c>
      <c r="B53" s="172" t="s">
        <v>26</v>
      </c>
      <c r="C53" s="173">
        <v>46055</v>
      </c>
      <c r="D53" s="174">
        <v>12987</v>
      </c>
      <c r="E53" s="174">
        <v>358</v>
      </c>
      <c r="F53" s="175">
        <v>1.1850000000000001</v>
      </c>
      <c r="G53" s="175">
        <f t="shared" si="15"/>
        <v>11261.603375527426</v>
      </c>
      <c r="H53" s="176">
        <v>0.05</v>
      </c>
      <c r="I53" s="177">
        <f t="shared" si="16"/>
        <v>563.08016877637135</v>
      </c>
      <c r="J53" s="177">
        <f t="shared" si="17"/>
        <v>11824.683544303796</v>
      </c>
      <c r="K53" s="291"/>
      <c r="L53" s="292"/>
      <c r="M53" s="293"/>
      <c r="N53" s="293">
        <f t="shared" si="18"/>
        <v>0</v>
      </c>
      <c r="O53" s="298">
        <f t="shared" si="19"/>
        <v>0</v>
      </c>
      <c r="P53" s="302"/>
    </row>
    <row r="54" spans="1:16" ht="15">
      <c r="A54" s="118">
        <v>48</v>
      </c>
      <c r="B54" s="172" t="s">
        <v>26</v>
      </c>
      <c r="C54" s="180">
        <v>46173</v>
      </c>
      <c r="D54" s="181">
        <v>12987</v>
      </c>
      <c r="E54" s="174">
        <v>325</v>
      </c>
      <c r="F54" s="175">
        <v>1.1850000000000001</v>
      </c>
      <c r="G54" s="175">
        <f t="shared" si="15"/>
        <v>11233.755274261603</v>
      </c>
      <c r="H54" s="176">
        <v>0.05</v>
      </c>
      <c r="I54" s="177">
        <f t="shared" si="16"/>
        <v>561.68776371308013</v>
      </c>
      <c r="J54" s="177">
        <f t="shared" si="17"/>
        <v>11795.443037974683</v>
      </c>
      <c r="K54" s="291"/>
      <c r="L54" s="292"/>
      <c r="M54" s="293"/>
      <c r="N54" s="293">
        <f t="shared" si="18"/>
        <v>0</v>
      </c>
      <c r="O54" s="298">
        <f t="shared" si="19"/>
        <v>0</v>
      </c>
      <c r="P54" s="302"/>
    </row>
    <row r="55" spans="1:16" ht="15">
      <c r="A55" s="118">
        <v>49</v>
      </c>
      <c r="B55" s="172" t="s">
        <v>26</v>
      </c>
      <c r="C55" s="173">
        <v>46094</v>
      </c>
      <c r="D55" s="174">
        <v>12758</v>
      </c>
      <c r="E55" s="174">
        <v>358</v>
      </c>
      <c r="F55" s="175">
        <v>1.1478999999999999</v>
      </c>
      <c r="G55" s="175">
        <f t="shared" si="15"/>
        <v>11426.082411359876</v>
      </c>
      <c r="H55" s="176">
        <v>0.05</v>
      </c>
      <c r="I55" s="177">
        <f t="shared" si="16"/>
        <v>571.30412056799378</v>
      </c>
      <c r="J55" s="177">
        <f t="shared" si="17"/>
        <v>11997.38653192787</v>
      </c>
      <c r="K55" s="291"/>
      <c r="L55" s="292"/>
      <c r="M55" s="293"/>
      <c r="N55" s="293">
        <f t="shared" si="18"/>
        <v>0</v>
      </c>
      <c r="O55" s="298">
        <f t="shared" si="19"/>
        <v>0</v>
      </c>
      <c r="P55" s="302"/>
    </row>
    <row r="56" spans="1:16" ht="15">
      <c r="A56" s="118">
        <v>50</v>
      </c>
      <c r="B56" s="172" t="s">
        <v>26</v>
      </c>
      <c r="C56" s="182">
        <v>46121</v>
      </c>
      <c r="D56" s="183">
        <v>12455</v>
      </c>
      <c r="E56" s="174">
        <v>358</v>
      </c>
      <c r="F56" s="175">
        <v>1.1687000000000001</v>
      </c>
      <c r="G56" s="175">
        <f t="shared" si="15"/>
        <v>10963.463677590484</v>
      </c>
      <c r="H56" s="176">
        <v>0.05</v>
      </c>
      <c r="I56" s="177">
        <f t="shared" si="16"/>
        <v>548.17318387952423</v>
      </c>
      <c r="J56" s="177">
        <f t="shared" si="17"/>
        <v>11511.636861470008</v>
      </c>
      <c r="K56" s="291"/>
      <c r="L56" s="292"/>
      <c r="M56" s="293"/>
      <c r="N56" s="293">
        <f t="shared" si="18"/>
        <v>0</v>
      </c>
      <c r="O56" s="298">
        <f t="shared" si="19"/>
        <v>0</v>
      </c>
      <c r="P56" s="302"/>
    </row>
    <row r="57" spans="1:16" ht="15">
      <c r="A57" s="118">
        <v>51</v>
      </c>
      <c r="B57" s="172" t="s">
        <v>26</v>
      </c>
      <c r="C57" s="182">
        <v>46121</v>
      </c>
      <c r="D57" s="183">
        <v>12455</v>
      </c>
      <c r="E57" s="174">
        <v>358</v>
      </c>
      <c r="F57" s="175">
        <v>1.1687000000000001</v>
      </c>
      <c r="G57" s="175">
        <f t="shared" si="15"/>
        <v>10963.463677590484</v>
      </c>
      <c r="H57" s="176">
        <v>0.05</v>
      </c>
      <c r="I57" s="177">
        <f t="shared" si="16"/>
        <v>548.17318387952423</v>
      </c>
      <c r="J57" s="177">
        <f t="shared" si="17"/>
        <v>11511.636861470008</v>
      </c>
      <c r="K57" s="291"/>
      <c r="L57" s="292"/>
      <c r="M57" s="293"/>
      <c r="N57" s="293">
        <f t="shared" si="18"/>
        <v>0</v>
      </c>
      <c r="O57" s="298">
        <f t="shared" si="19"/>
        <v>0</v>
      </c>
      <c r="P57" s="302"/>
    </row>
    <row r="58" spans="1:16" ht="15">
      <c r="A58" s="118">
        <v>52</v>
      </c>
      <c r="B58" s="172" t="s">
        <v>26</v>
      </c>
      <c r="C58" s="180">
        <v>46058</v>
      </c>
      <c r="D58" s="181">
        <v>12987</v>
      </c>
      <c r="E58" s="174">
        <v>325</v>
      </c>
      <c r="F58" s="175">
        <v>1.1850000000000001</v>
      </c>
      <c r="G58" s="175">
        <f t="shared" si="15"/>
        <v>11233.755274261603</v>
      </c>
      <c r="H58" s="176">
        <v>0.05</v>
      </c>
      <c r="I58" s="177">
        <f t="shared" si="16"/>
        <v>561.68776371308013</v>
      </c>
      <c r="J58" s="177">
        <f t="shared" si="17"/>
        <v>11795.443037974683</v>
      </c>
      <c r="K58" s="291"/>
      <c r="L58" s="292"/>
      <c r="M58" s="293"/>
      <c r="N58" s="293">
        <f t="shared" si="18"/>
        <v>0</v>
      </c>
      <c r="O58" s="298">
        <f t="shared" si="19"/>
        <v>0</v>
      </c>
      <c r="P58" s="302"/>
    </row>
    <row r="59" spans="1:16" ht="15">
      <c r="A59" s="118">
        <v>53</v>
      </c>
      <c r="B59" s="172" t="s">
        <v>26</v>
      </c>
      <c r="C59" s="173">
        <v>46059</v>
      </c>
      <c r="D59" s="174"/>
      <c r="E59" s="174"/>
      <c r="F59" s="175"/>
      <c r="G59" s="175">
        <f t="shared" si="15"/>
        <v>0</v>
      </c>
      <c r="H59" s="176">
        <v>0.05</v>
      </c>
      <c r="I59" s="177">
        <f t="shared" si="16"/>
        <v>0</v>
      </c>
      <c r="J59" s="177">
        <f t="shared" si="17"/>
        <v>0</v>
      </c>
      <c r="K59" s="291"/>
      <c r="L59" s="292"/>
      <c r="M59" s="293"/>
      <c r="N59" s="293">
        <f t="shared" si="18"/>
        <v>0</v>
      </c>
      <c r="O59" s="298">
        <f t="shared" si="19"/>
        <v>0</v>
      </c>
      <c r="P59" s="302"/>
    </row>
    <row r="60" spans="1:16" ht="15">
      <c r="A60" s="118">
        <v>54</v>
      </c>
      <c r="B60" s="172" t="s">
        <v>26</v>
      </c>
      <c r="C60" s="173">
        <v>46059</v>
      </c>
      <c r="D60" s="174"/>
      <c r="E60" s="174"/>
      <c r="F60" s="175"/>
      <c r="G60" s="175">
        <f t="shared" si="15"/>
        <v>0</v>
      </c>
      <c r="H60" s="176">
        <v>0.05</v>
      </c>
      <c r="I60" s="177">
        <f t="shared" si="16"/>
        <v>0</v>
      </c>
      <c r="J60" s="177">
        <f t="shared" si="17"/>
        <v>0</v>
      </c>
      <c r="K60" s="291"/>
      <c r="L60" s="292"/>
      <c r="M60" s="293"/>
      <c r="N60" s="293">
        <f t="shared" si="18"/>
        <v>0</v>
      </c>
      <c r="O60" s="298">
        <f t="shared" si="19"/>
        <v>0</v>
      </c>
      <c r="P60" s="302"/>
    </row>
    <row r="61" spans="1:16" ht="15">
      <c r="A61" s="118">
        <v>55</v>
      </c>
      <c r="B61" s="172" t="s">
        <v>26</v>
      </c>
      <c r="C61" s="173">
        <v>46059</v>
      </c>
      <c r="D61" s="174"/>
      <c r="E61" s="174"/>
      <c r="F61" s="175"/>
      <c r="G61" s="175">
        <f t="shared" si="15"/>
        <v>0</v>
      </c>
      <c r="H61" s="176">
        <v>0.05</v>
      </c>
      <c r="I61" s="177">
        <f t="shared" si="16"/>
        <v>0</v>
      </c>
      <c r="J61" s="177">
        <f t="shared" si="17"/>
        <v>0</v>
      </c>
      <c r="K61" s="291"/>
      <c r="L61" s="292"/>
      <c r="M61" s="293"/>
      <c r="N61" s="293">
        <f t="shared" si="18"/>
        <v>0</v>
      </c>
      <c r="O61" s="298">
        <f t="shared" si="19"/>
        <v>0</v>
      </c>
      <c r="P61" s="302"/>
    </row>
    <row r="62" spans="1:16" ht="15">
      <c r="A62" s="118">
        <v>56</v>
      </c>
      <c r="B62" s="172" t="s">
        <v>26</v>
      </c>
      <c r="C62" s="173">
        <v>46059</v>
      </c>
      <c r="D62" s="174"/>
      <c r="E62" s="174"/>
      <c r="F62" s="175"/>
      <c r="G62" s="175">
        <f t="shared" si="15"/>
        <v>0</v>
      </c>
      <c r="H62" s="176">
        <v>0.05</v>
      </c>
      <c r="I62" s="177">
        <f t="shared" si="16"/>
        <v>0</v>
      </c>
      <c r="J62" s="177">
        <f t="shared" si="17"/>
        <v>0</v>
      </c>
      <c r="K62" s="291"/>
      <c r="L62" s="292"/>
      <c r="M62" s="293"/>
      <c r="N62" s="293">
        <f t="shared" si="18"/>
        <v>0</v>
      </c>
      <c r="O62" s="298">
        <f t="shared" si="19"/>
        <v>0</v>
      </c>
      <c r="P62" s="302"/>
    </row>
    <row r="63" spans="1:16" ht="15">
      <c r="A63" s="118">
        <v>57</v>
      </c>
      <c r="B63" s="172" t="s">
        <v>26</v>
      </c>
      <c r="C63" s="173">
        <v>46059</v>
      </c>
      <c r="D63" s="174"/>
      <c r="E63" s="174"/>
      <c r="F63" s="175"/>
      <c r="G63" s="175">
        <f t="shared" si="15"/>
        <v>0</v>
      </c>
      <c r="H63" s="176">
        <v>0.05</v>
      </c>
      <c r="I63" s="177">
        <f t="shared" si="16"/>
        <v>0</v>
      </c>
      <c r="J63" s="177">
        <f t="shared" si="17"/>
        <v>0</v>
      </c>
      <c r="K63" s="291"/>
      <c r="L63" s="292"/>
      <c r="M63" s="293"/>
      <c r="N63" s="293">
        <f t="shared" si="18"/>
        <v>0</v>
      </c>
      <c r="O63" s="298">
        <f t="shared" si="19"/>
        <v>0</v>
      </c>
      <c r="P63" s="302"/>
    </row>
    <row r="64" spans="1:16" ht="15">
      <c r="A64" s="118">
        <v>58</v>
      </c>
      <c r="B64" s="172" t="s">
        <v>26</v>
      </c>
      <c r="C64" s="173">
        <v>46064</v>
      </c>
      <c r="D64" s="174">
        <v>13327</v>
      </c>
      <c r="E64" s="174">
        <v>358</v>
      </c>
      <c r="F64" s="175">
        <v>1.1900999999999999</v>
      </c>
      <c r="G64" s="175">
        <f t="shared" si="15"/>
        <v>11499.033694647509</v>
      </c>
      <c r="H64" s="176">
        <v>0.05</v>
      </c>
      <c r="I64" s="177">
        <f t="shared" si="16"/>
        <v>574.9516847323755</v>
      </c>
      <c r="J64" s="177">
        <f t="shared" si="17"/>
        <v>12073.985379379885</v>
      </c>
      <c r="K64" s="291"/>
      <c r="L64" s="292"/>
      <c r="M64" s="293"/>
      <c r="N64" s="293">
        <f t="shared" si="18"/>
        <v>0</v>
      </c>
      <c r="O64" s="298">
        <f t="shared" si="19"/>
        <v>0</v>
      </c>
      <c r="P64" s="302"/>
    </row>
    <row r="65" spans="1:16" ht="15">
      <c r="A65" s="118">
        <v>59</v>
      </c>
      <c r="B65" s="172" t="s">
        <v>26</v>
      </c>
      <c r="C65" s="173">
        <v>46064</v>
      </c>
      <c r="D65" s="174">
        <v>13327</v>
      </c>
      <c r="E65" s="174">
        <v>358</v>
      </c>
      <c r="F65" s="175">
        <v>1.1900999999999999</v>
      </c>
      <c r="G65" s="175">
        <f t="shared" si="15"/>
        <v>11499.033694647509</v>
      </c>
      <c r="H65" s="176">
        <v>0.05</v>
      </c>
      <c r="I65" s="177">
        <f t="shared" si="16"/>
        <v>574.9516847323755</v>
      </c>
      <c r="J65" s="177">
        <f t="shared" si="17"/>
        <v>12073.985379379885</v>
      </c>
      <c r="K65" s="291"/>
      <c r="L65" s="292"/>
      <c r="M65" s="293"/>
      <c r="N65" s="293">
        <f t="shared" si="18"/>
        <v>0</v>
      </c>
      <c r="O65" s="298">
        <f t="shared" si="19"/>
        <v>0</v>
      </c>
      <c r="P65" s="302"/>
    </row>
    <row r="66" spans="1:16" ht="15">
      <c r="A66" s="118">
        <v>60</v>
      </c>
      <c r="B66" s="172" t="s">
        <v>26</v>
      </c>
      <c r="C66" s="173">
        <v>46064</v>
      </c>
      <c r="D66" s="174">
        <v>13327</v>
      </c>
      <c r="E66" s="174">
        <v>358</v>
      </c>
      <c r="F66" s="175">
        <v>1.1900999999999999</v>
      </c>
      <c r="G66" s="175">
        <f t="shared" si="15"/>
        <v>11499.033694647509</v>
      </c>
      <c r="H66" s="176">
        <v>0.05</v>
      </c>
      <c r="I66" s="177">
        <f t="shared" si="16"/>
        <v>574.9516847323755</v>
      </c>
      <c r="J66" s="177">
        <f t="shared" si="17"/>
        <v>12073.985379379885</v>
      </c>
      <c r="K66" s="291"/>
      <c r="L66" s="292"/>
      <c r="M66" s="293"/>
      <c r="N66" s="293">
        <f t="shared" si="18"/>
        <v>0</v>
      </c>
      <c r="O66" s="298">
        <f t="shared" si="19"/>
        <v>0</v>
      </c>
      <c r="P66" s="302"/>
    </row>
    <row r="67" spans="1:16" ht="15">
      <c r="A67" s="118">
        <v>61</v>
      </c>
      <c r="B67" s="172" t="s">
        <v>26</v>
      </c>
      <c r="C67" s="173">
        <v>46065</v>
      </c>
      <c r="D67" s="174">
        <v>13172</v>
      </c>
      <c r="E67" s="174">
        <v>358</v>
      </c>
      <c r="F67" s="175">
        <v>1.1874</v>
      </c>
      <c r="G67" s="175">
        <f t="shared" si="15"/>
        <v>11394.643759474482</v>
      </c>
      <c r="H67" s="176">
        <v>0.05</v>
      </c>
      <c r="I67" s="177">
        <f t="shared" si="16"/>
        <v>569.73218797372408</v>
      </c>
      <c r="J67" s="177">
        <f t="shared" si="17"/>
        <v>11964.375947448207</v>
      </c>
      <c r="K67" s="291"/>
      <c r="L67" s="292"/>
      <c r="M67" s="293"/>
      <c r="N67" s="293">
        <f t="shared" si="18"/>
        <v>0</v>
      </c>
      <c r="O67" s="298">
        <f t="shared" si="19"/>
        <v>0</v>
      </c>
      <c r="P67" s="302"/>
    </row>
    <row r="68" spans="1:16" ht="15">
      <c r="A68" s="118">
        <v>62</v>
      </c>
      <c r="B68" s="172" t="s">
        <v>26</v>
      </c>
      <c r="C68" s="173">
        <v>46066</v>
      </c>
      <c r="D68" s="174">
        <v>12719</v>
      </c>
      <c r="E68" s="174">
        <v>358</v>
      </c>
      <c r="F68" s="175">
        <v>1.1861999999999999</v>
      </c>
      <c r="G68" s="175">
        <f t="shared" si="15"/>
        <v>11024.279210925646</v>
      </c>
      <c r="H68" s="176">
        <v>0.05</v>
      </c>
      <c r="I68" s="177">
        <f t="shared" si="16"/>
        <v>551.21396054628235</v>
      </c>
      <c r="J68" s="177">
        <f t="shared" si="17"/>
        <v>11575.493171471928</v>
      </c>
      <c r="K68" s="291"/>
      <c r="L68" s="292"/>
      <c r="M68" s="293"/>
      <c r="N68" s="293">
        <f t="shared" si="18"/>
        <v>0</v>
      </c>
      <c r="O68" s="298">
        <f t="shared" si="19"/>
        <v>0</v>
      </c>
      <c r="P68" s="302"/>
    </row>
    <row r="69" spans="1:16" ht="15">
      <c r="A69" s="118">
        <v>63</v>
      </c>
      <c r="B69" s="172" t="s">
        <v>26</v>
      </c>
      <c r="C69" s="173">
        <v>46067</v>
      </c>
      <c r="D69" s="174"/>
      <c r="E69" s="174"/>
      <c r="F69" s="175"/>
      <c r="G69" s="175">
        <f t="shared" si="15"/>
        <v>0</v>
      </c>
      <c r="H69" s="176">
        <v>0.05</v>
      </c>
      <c r="I69" s="177">
        <f t="shared" si="16"/>
        <v>0</v>
      </c>
      <c r="J69" s="177">
        <f t="shared" si="17"/>
        <v>0</v>
      </c>
      <c r="K69" s="291"/>
      <c r="L69" s="292"/>
      <c r="M69" s="293"/>
      <c r="N69" s="293">
        <f t="shared" si="18"/>
        <v>0</v>
      </c>
      <c r="O69" s="298">
        <f t="shared" si="19"/>
        <v>0</v>
      </c>
      <c r="P69" s="302"/>
    </row>
    <row r="70" spans="1:16" ht="15">
      <c r="A70" s="118">
        <v>64</v>
      </c>
      <c r="B70" s="172" t="s">
        <v>26</v>
      </c>
      <c r="C70" s="173">
        <v>46067</v>
      </c>
      <c r="D70" s="174"/>
      <c r="E70" s="174"/>
      <c r="F70" s="175"/>
      <c r="G70" s="175">
        <f t="shared" si="15"/>
        <v>0</v>
      </c>
      <c r="H70" s="176">
        <v>0.05</v>
      </c>
      <c r="I70" s="177">
        <f t="shared" si="16"/>
        <v>0</v>
      </c>
      <c r="J70" s="177">
        <f t="shared" si="17"/>
        <v>0</v>
      </c>
      <c r="K70" s="291"/>
      <c r="L70" s="292"/>
      <c r="M70" s="293"/>
      <c r="N70" s="293">
        <f t="shared" si="18"/>
        <v>0</v>
      </c>
      <c r="O70" s="298">
        <f t="shared" si="19"/>
        <v>0</v>
      </c>
      <c r="P70" s="302"/>
    </row>
    <row r="71" spans="1:16" ht="15">
      <c r="A71" s="118">
        <v>65</v>
      </c>
      <c r="B71" s="172" t="s">
        <v>26</v>
      </c>
      <c r="C71" s="173">
        <v>46067</v>
      </c>
      <c r="D71" s="174"/>
      <c r="E71" s="174"/>
      <c r="F71" s="175"/>
      <c r="G71" s="175">
        <f t="shared" si="15"/>
        <v>0</v>
      </c>
      <c r="H71" s="176">
        <v>0.05</v>
      </c>
      <c r="I71" s="177">
        <f t="shared" si="16"/>
        <v>0</v>
      </c>
      <c r="J71" s="177">
        <f t="shared" si="17"/>
        <v>0</v>
      </c>
      <c r="K71" s="291"/>
      <c r="L71" s="292"/>
      <c r="M71" s="293"/>
      <c r="N71" s="293">
        <f t="shared" si="18"/>
        <v>0</v>
      </c>
      <c r="O71" s="298">
        <f t="shared" si="19"/>
        <v>0</v>
      </c>
      <c r="P71" s="302"/>
    </row>
    <row r="72" spans="1:16" ht="15">
      <c r="A72" s="118">
        <v>66</v>
      </c>
      <c r="B72" s="172" t="s">
        <v>26</v>
      </c>
      <c r="C72" s="173">
        <v>46067</v>
      </c>
      <c r="D72" s="174"/>
      <c r="E72" s="174"/>
      <c r="F72" s="175"/>
      <c r="G72" s="175">
        <f t="shared" si="15"/>
        <v>0</v>
      </c>
      <c r="H72" s="176">
        <v>0.05</v>
      </c>
      <c r="I72" s="177">
        <f t="shared" si="16"/>
        <v>0</v>
      </c>
      <c r="J72" s="177">
        <f t="shared" si="17"/>
        <v>0</v>
      </c>
      <c r="K72" s="291"/>
      <c r="L72" s="292"/>
      <c r="M72" s="293"/>
      <c r="N72" s="293">
        <f t="shared" si="18"/>
        <v>0</v>
      </c>
      <c r="O72" s="298">
        <f t="shared" si="19"/>
        <v>0</v>
      </c>
      <c r="P72" s="302"/>
    </row>
    <row r="73" spans="1:16" ht="15">
      <c r="A73" s="118">
        <v>67</v>
      </c>
      <c r="B73" s="172" t="s">
        <v>26</v>
      </c>
      <c r="C73" s="178">
        <v>46066</v>
      </c>
      <c r="D73" s="179">
        <v>12719</v>
      </c>
      <c r="E73" s="174">
        <v>358</v>
      </c>
      <c r="F73" s="175">
        <v>1.1861999999999999</v>
      </c>
      <c r="G73" s="175">
        <f t="shared" si="15"/>
        <v>11024.279210925646</v>
      </c>
      <c r="H73" s="176">
        <v>0.05</v>
      </c>
      <c r="I73" s="177">
        <f t="shared" si="16"/>
        <v>551.21396054628235</v>
      </c>
      <c r="J73" s="177">
        <f t="shared" si="17"/>
        <v>11575.493171471928</v>
      </c>
      <c r="K73" s="291"/>
      <c r="L73" s="292"/>
      <c r="M73" s="293"/>
      <c r="N73" s="293">
        <f t="shared" si="18"/>
        <v>0</v>
      </c>
      <c r="O73" s="298">
        <f t="shared" si="19"/>
        <v>0</v>
      </c>
      <c r="P73" s="302"/>
    </row>
    <row r="74" spans="1:16" ht="15">
      <c r="A74" s="118">
        <v>68</v>
      </c>
      <c r="B74" s="172" t="s">
        <v>26</v>
      </c>
      <c r="C74" s="180">
        <v>46112</v>
      </c>
      <c r="D74" s="181">
        <v>12719</v>
      </c>
      <c r="E74" s="174">
        <v>325</v>
      </c>
      <c r="F74" s="175">
        <v>1.1861999999999999</v>
      </c>
      <c r="G74" s="175">
        <f t="shared" si="15"/>
        <v>10996.459281740012</v>
      </c>
      <c r="H74" s="176">
        <v>0.05</v>
      </c>
      <c r="I74" s="177">
        <f t="shared" si="16"/>
        <v>549.82296408700063</v>
      </c>
      <c r="J74" s="177">
        <f t="shared" si="17"/>
        <v>11546.282245827013</v>
      </c>
      <c r="K74" s="291"/>
      <c r="L74" s="292"/>
      <c r="M74" s="293"/>
      <c r="N74" s="293">
        <f t="shared" si="18"/>
        <v>0</v>
      </c>
      <c r="O74" s="298">
        <f t="shared" si="19"/>
        <v>0</v>
      </c>
      <c r="P74" s="302"/>
    </row>
    <row r="75" spans="1:16" ht="15">
      <c r="A75" s="118">
        <v>69</v>
      </c>
      <c r="B75" s="172" t="s">
        <v>26</v>
      </c>
      <c r="C75" s="180">
        <v>46112</v>
      </c>
      <c r="D75" s="181">
        <v>12719</v>
      </c>
      <c r="E75" s="174">
        <v>325</v>
      </c>
      <c r="F75" s="175">
        <v>1.1861999999999999</v>
      </c>
      <c r="G75" s="175">
        <f t="shared" si="15"/>
        <v>10996.459281740012</v>
      </c>
      <c r="H75" s="176">
        <v>0.05</v>
      </c>
      <c r="I75" s="177">
        <f t="shared" si="16"/>
        <v>549.82296408700063</v>
      </c>
      <c r="J75" s="177">
        <f t="shared" si="17"/>
        <v>11546.282245827013</v>
      </c>
      <c r="K75" s="291"/>
      <c r="L75" s="292"/>
      <c r="M75" s="293"/>
      <c r="N75" s="293">
        <f t="shared" si="18"/>
        <v>0</v>
      </c>
      <c r="O75" s="298">
        <f t="shared" si="19"/>
        <v>0</v>
      </c>
      <c r="P75" s="302"/>
    </row>
    <row r="76" spans="1:16" ht="15">
      <c r="A76" s="118">
        <v>70</v>
      </c>
      <c r="B76" s="172" t="s">
        <v>26</v>
      </c>
      <c r="C76" s="180">
        <v>46112</v>
      </c>
      <c r="D76" s="181">
        <v>12719</v>
      </c>
      <c r="E76" s="174">
        <v>325</v>
      </c>
      <c r="F76" s="175">
        <v>1.1861999999999999</v>
      </c>
      <c r="G76" s="175">
        <f t="shared" si="15"/>
        <v>10996.459281740012</v>
      </c>
      <c r="H76" s="176">
        <v>0.05</v>
      </c>
      <c r="I76" s="177">
        <f t="shared" si="16"/>
        <v>549.82296408700063</v>
      </c>
      <c r="J76" s="177">
        <f t="shared" si="17"/>
        <v>11546.282245827013</v>
      </c>
      <c r="K76" s="291"/>
      <c r="L76" s="292"/>
      <c r="M76" s="293"/>
      <c r="N76" s="293">
        <f t="shared" si="18"/>
        <v>0</v>
      </c>
      <c r="O76" s="298">
        <f t="shared" si="19"/>
        <v>0</v>
      </c>
      <c r="P76" s="302"/>
    </row>
    <row r="77" spans="1:16" ht="15">
      <c r="A77" s="118">
        <v>71</v>
      </c>
      <c r="B77" s="172" t="s">
        <v>26</v>
      </c>
      <c r="C77" s="173">
        <v>46055</v>
      </c>
      <c r="D77" s="174">
        <v>12987</v>
      </c>
      <c r="E77" s="174">
        <v>358</v>
      </c>
      <c r="F77" s="175">
        <v>1.1850000000000001</v>
      </c>
      <c r="G77" s="175">
        <f t="shared" si="15"/>
        <v>11261.603375527426</v>
      </c>
      <c r="H77" s="176">
        <v>0.05</v>
      </c>
      <c r="I77" s="177">
        <f t="shared" si="16"/>
        <v>563.08016877637135</v>
      </c>
      <c r="J77" s="177">
        <f t="shared" si="17"/>
        <v>11824.683544303796</v>
      </c>
      <c r="K77" s="291"/>
      <c r="L77" s="292"/>
      <c r="M77" s="293"/>
      <c r="N77" s="293">
        <f t="shared" si="18"/>
        <v>0</v>
      </c>
      <c r="O77" s="298">
        <f t="shared" si="19"/>
        <v>0</v>
      </c>
      <c r="P77" s="302"/>
    </row>
    <row r="78" spans="1:16" ht="15">
      <c r="A78" s="118">
        <v>72</v>
      </c>
      <c r="B78" s="172" t="s">
        <v>26</v>
      </c>
      <c r="C78" s="173">
        <v>46373</v>
      </c>
      <c r="D78" s="174">
        <v>11721.5</v>
      </c>
      <c r="E78" s="174">
        <v>268</v>
      </c>
      <c r="F78" s="175">
        <v>1.1714</v>
      </c>
      <c r="G78" s="175">
        <f t="shared" si="15"/>
        <v>10235.188663138126</v>
      </c>
      <c r="H78" s="176">
        <v>0.05</v>
      </c>
      <c r="I78" s="177">
        <f t="shared" si="16"/>
        <v>511.75943315690631</v>
      </c>
      <c r="J78" s="177">
        <f t="shared" si="17"/>
        <v>10746.948096295033</v>
      </c>
      <c r="K78" s="291"/>
      <c r="L78" s="292"/>
      <c r="M78" s="293"/>
      <c r="N78" s="293">
        <f t="shared" si="18"/>
        <v>0</v>
      </c>
      <c r="O78" s="298">
        <f t="shared" si="19"/>
        <v>0</v>
      </c>
      <c r="P78" s="302"/>
    </row>
    <row r="79" spans="1:16" ht="15">
      <c r="A79" s="118">
        <v>73</v>
      </c>
      <c r="B79" s="172" t="s">
        <v>26</v>
      </c>
      <c r="C79" s="173">
        <v>46373</v>
      </c>
      <c r="D79" s="174">
        <v>11721.5</v>
      </c>
      <c r="E79" s="174">
        <v>268</v>
      </c>
      <c r="F79" s="175">
        <v>1.1714</v>
      </c>
      <c r="G79" s="175">
        <f t="shared" si="15"/>
        <v>10235.188663138126</v>
      </c>
      <c r="H79" s="176">
        <v>0.05</v>
      </c>
      <c r="I79" s="177">
        <f t="shared" si="16"/>
        <v>511.75943315690631</v>
      </c>
      <c r="J79" s="177">
        <f t="shared" si="17"/>
        <v>10746.948096295033</v>
      </c>
      <c r="K79" s="291"/>
      <c r="L79" s="292"/>
      <c r="M79" s="293"/>
      <c r="N79" s="293">
        <f t="shared" si="18"/>
        <v>0</v>
      </c>
      <c r="O79" s="298">
        <f t="shared" si="19"/>
        <v>0</v>
      </c>
      <c r="P79" s="302"/>
    </row>
    <row r="80" spans="1:16" ht="15">
      <c r="A80" s="118">
        <v>74</v>
      </c>
      <c r="B80" s="172" t="s">
        <v>26</v>
      </c>
      <c r="C80" s="173">
        <v>46373</v>
      </c>
      <c r="D80" s="174">
        <v>11721.5</v>
      </c>
      <c r="E80" s="174">
        <v>268</v>
      </c>
      <c r="F80" s="175">
        <v>1.1714</v>
      </c>
      <c r="G80" s="175">
        <f t="shared" si="15"/>
        <v>10235.188663138126</v>
      </c>
      <c r="H80" s="176">
        <v>0.05</v>
      </c>
      <c r="I80" s="177">
        <f t="shared" si="16"/>
        <v>511.75943315690631</v>
      </c>
      <c r="J80" s="177">
        <f t="shared" si="17"/>
        <v>10746.948096295033</v>
      </c>
      <c r="K80" s="291"/>
      <c r="L80" s="292"/>
      <c r="M80" s="293"/>
      <c r="N80" s="293">
        <f t="shared" si="18"/>
        <v>0</v>
      </c>
      <c r="O80" s="298">
        <f t="shared" si="19"/>
        <v>0</v>
      </c>
      <c r="P80" s="302"/>
    </row>
    <row r="81" spans="1:16" ht="15">
      <c r="A81" s="118">
        <v>75</v>
      </c>
      <c r="B81" s="172" t="s">
        <v>26</v>
      </c>
      <c r="C81" s="173">
        <v>46373</v>
      </c>
      <c r="D81" s="174">
        <v>11721.5</v>
      </c>
      <c r="E81" s="174">
        <v>268</v>
      </c>
      <c r="F81" s="175">
        <v>1.1714</v>
      </c>
      <c r="G81" s="175">
        <f t="shared" si="15"/>
        <v>10235.188663138126</v>
      </c>
      <c r="H81" s="176">
        <v>0.05</v>
      </c>
      <c r="I81" s="177">
        <f t="shared" si="16"/>
        <v>511.75943315690631</v>
      </c>
      <c r="J81" s="177">
        <f t="shared" si="17"/>
        <v>10746.948096295033</v>
      </c>
      <c r="K81" s="291"/>
      <c r="L81" s="292"/>
      <c r="M81" s="293"/>
      <c r="N81" s="293">
        <f t="shared" si="18"/>
        <v>0</v>
      </c>
      <c r="O81" s="298">
        <f t="shared" si="19"/>
        <v>0</v>
      </c>
      <c r="P81" s="302"/>
    </row>
    <row r="82" spans="1:16" ht="15">
      <c r="A82" s="118">
        <v>76</v>
      </c>
      <c r="B82" s="172" t="s">
        <v>26</v>
      </c>
      <c r="C82" s="173">
        <v>46373</v>
      </c>
      <c r="D82" s="174">
        <v>11721.5</v>
      </c>
      <c r="E82" s="174">
        <v>268</v>
      </c>
      <c r="F82" s="175">
        <v>1.1714</v>
      </c>
      <c r="G82" s="175">
        <f t="shared" si="15"/>
        <v>10235.188663138126</v>
      </c>
      <c r="H82" s="176">
        <v>0.05</v>
      </c>
      <c r="I82" s="177">
        <f t="shared" si="16"/>
        <v>511.75943315690631</v>
      </c>
      <c r="J82" s="177">
        <f t="shared" si="17"/>
        <v>10746.948096295033</v>
      </c>
      <c r="K82" s="291"/>
      <c r="L82" s="292"/>
      <c r="M82" s="293"/>
      <c r="N82" s="293">
        <f t="shared" si="18"/>
        <v>0</v>
      </c>
      <c r="O82" s="298">
        <f t="shared" si="19"/>
        <v>0</v>
      </c>
      <c r="P82" s="302"/>
    </row>
    <row r="83" spans="1:16" ht="15">
      <c r="A83" s="118">
        <v>77</v>
      </c>
      <c r="B83" s="172" t="s">
        <v>26</v>
      </c>
      <c r="C83" s="180">
        <v>46173</v>
      </c>
      <c r="D83" s="181">
        <v>12626</v>
      </c>
      <c r="E83" s="174">
        <v>325</v>
      </c>
      <c r="F83" s="175">
        <v>1.177</v>
      </c>
      <c r="G83" s="175">
        <f t="shared" si="15"/>
        <v>11003.398470688189</v>
      </c>
      <c r="H83" s="176">
        <v>0.05</v>
      </c>
      <c r="I83" s="177">
        <f t="shared" si="16"/>
        <v>550.16992353440946</v>
      </c>
      <c r="J83" s="177">
        <f t="shared" si="17"/>
        <v>11553.568394222599</v>
      </c>
      <c r="K83" s="291"/>
      <c r="L83" s="292"/>
      <c r="M83" s="293"/>
      <c r="N83" s="293">
        <f t="shared" si="18"/>
        <v>0</v>
      </c>
      <c r="O83" s="298">
        <f t="shared" si="19"/>
        <v>0</v>
      </c>
      <c r="P83" s="302"/>
    </row>
    <row r="84" spans="1:16" ht="15">
      <c r="A84" s="118">
        <v>78</v>
      </c>
      <c r="B84" s="172" t="s">
        <v>26</v>
      </c>
      <c r="C84" s="173">
        <v>46073</v>
      </c>
      <c r="D84" s="174">
        <v>12750</v>
      </c>
      <c r="E84" s="174">
        <v>358</v>
      </c>
      <c r="F84" s="175">
        <v>1.1767000000000001</v>
      </c>
      <c r="G84" s="175">
        <f t="shared" si="15"/>
        <v>11139.627772584345</v>
      </c>
      <c r="H84" s="176">
        <v>0.05</v>
      </c>
      <c r="I84" s="177">
        <f t="shared" si="16"/>
        <v>556.98138862921724</v>
      </c>
      <c r="J84" s="177">
        <f t="shared" si="17"/>
        <v>11696.609161213562</v>
      </c>
      <c r="K84" s="291"/>
      <c r="L84" s="292"/>
      <c r="M84" s="293"/>
      <c r="N84" s="293">
        <f t="shared" si="18"/>
        <v>0</v>
      </c>
      <c r="O84" s="298">
        <f t="shared" si="19"/>
        <v>0</v>
      </c>
      <c r="P84" s="302"/>
    </row>
    <row r="85" spans="1:16" ht="15">
      <c r="A85" s="118">
        <v>79</v>
      </c>
      <c r="B85" s="172" t="s">
        <v>26</v>
      </c>
      <c r="C85" s="173">
        <v>46073</v>
      </c>
      <c r="D85" s="174">
        <v>12750</v>
      </c>
      <c r="E85" s="174">
        <v>358</v>
      </c>
      <c r="F85" s="175">
        <v>1.1767000000000001</v>
      </c>
      <c r="G85" s="175">
        <f t="shared" si="15"/>
        <v>11139.627772584345</v>
      </c>
      <c r="H85" s="176">
        <v>0.05</v>
      </c>
      <c r="I85" s="177">
        <f t="shared" si="16"/>
        <v>556.98138862921724</v>
      </c>
      <c r="J85" s="177">
        <f t="shared" si="17"/>
        <v>11696.609161213562</v>
      </c>
      <c r="K85" s="291"/>
      <c r="L85" s="292"/>
      <c r="M85" s="293"/>
      <c r="N85" s="293">
        <f t="shared" si="18"/>
        <v>0</v>
      </c>
      <c r="O85" s="298">
        <f t="shared" si="19"/>
        <v>0</v>
      </c>
      <c r="P85" s="302"/>
    </row>
    <row r="86" spans="1:16" ht="15">
      <c r="A86" s="118">
        <v>80</v>
      </c>
      <c r="B86" s="172" t="s">
        <v>26</v>
      </c>
      <c r="C86" s="180">
        <v>46077</v>
      </c>
      <c r="D86" s="181">
        <v>13221</v>
      </c>
      <c r="E86" s="174">
        <v>358</v>
      </c>
      <c r="F86" s="175">
        <v>1.1781999999999999</v>
      </c>
      <c r="G86" s="175">
        <f t="shared" si="15"/>
        <v>11525.207944321848</v>
      </c>
      <c r="H86" s="176">
        <v>0.05</v>
      </c>
      <c r="I86" s="177">
        <f t="shared" si="16"/>
        <v>576.26039721609243</v>
      </c>
      <c r="J86" s="177">
        <f t="shared" si="17"/>
        <v>12101.46834153794</v>
      </c>
      <c r="K86" s="291"/>
      <c r="L86" s="292"/>
      <c r="M86" s="293"/>
      <c r="N86" s="293">
        <f t="shared" si="18"/>
        <v>0</v>
      </c>
      <c r="O86" s="298">
        <f t="shared" si="19"/>
        <v>0</v>
      </c>
      <c r="P86" s="302"/>
    </row>
    <row r="87" spans="1:16" ht="15">
      <c r="A87" s="118">
        <v>81</v>
      </c>
      <c r="B87" s="172" t="s">
        <v>26</v>
      </c>
      <c r="C87" s="173">
        <v>46078</v>
      </c>
      <c r="D87" s="174"/>
      <c r="E87" s="174"/>
      <c r="F87" s="175"/>
      <c r="G87" s="175">
        <f t="shared" si="15"/>
        <v>0</v>
      </c>
      <c r="H87" s="176">
        <v>0.05</v>
      </c>
      <c r="I87" s="177">
        <f t="shared" si="16"/>
        <v>0</v>
      </c>
      <c r="J87" s="177">
        <f t="shared" si="17"/>
        <v>0</v>
      </c>
      <c r="K87" s="291"/>
      <c r="L87" s="292"/>
      <c r="M87" s="293"/>
      <c r="N87" s="293">
        <f t="shared" si="18"/>
        <v>0</v>
      </c>
      <c r="O87" s="298">
        <f t="shared" si="19"/>
        <v>0</v>
      </c>
      <c r="P87" s="302"/>
    </row>
    <row r="88" spans="1:16" ht="15">
      <c r="A88" s="118">
        <v>82</v>
      </c>
      <c r="B88" s="172" t="s">
        <v>26</v>
      </c>
      <c r="C88" s="180">
        <v>46079</v>
      </c>
      <c r="D88" s="181">
        <v>13221</v>
      </c>
      <c r="E88" s="174">
        <v>358</v>
      </c>
      <c r="F88" s="175">
        <v>1.1781999999999999</v>
      </c>
      <c r="G88" s="175">
        <f t="shared" si="15"/>
        <v>11525.207944321848</v>
      </c>
      <c r="H88" s="176">
        <v>0.05</v>
      </c>
      <c r="I88" s="177">
        <f t="shared" si="16"/>
        <v>576.26039721609243</v>
      </c>
      <c r="J88" s="177">
        <f t="shared" si="17"/>
        <v>12101.46834153794</v>
      </c>
      <c r="K88" s="291"/>
      <c r="L88" s="292"/>
      <c r="M88" s="293"/>
      <c r="N88" s="293">
        <f t="shared" si="18"/>
        <v>0</v>
      </c>
      <c r="O88" s="298">
        <f t="shared" si="19"/>
        <v>0</v>
      </c>
      <c r="P88" s="302"/>
    </row>
    <row r="89" spans="1:16" ht="15">
      <c r="A89" s="118">
        <v>83</v>
      </c>
      <c r="B89" s="172" t="s">
        <v>26</v>
      </c>
      <c r="C89" s="180">
        <v>46079</v>
      </c>
      <c r="D89" s="181">
        <v>13221</v>
      </c>
      <c r="E89" s="174">
        <v>358</v>
      </c>
      <c r="F89" s="175">
        <v>1.1781999999999999</v>
      </c>
      <c r="G89" s="175">
        <f t="shared" si="15"/>
        <v>11525.207944321848</v>
      </c>
      <c r="H89" s="176">
        <v>0.05</v>
      </c>
      <c r="I89" s="177">
        <f t="shared" si="16"/>
        <v>576.26039721609243</v>
      </c>
      <c r="J89" s="177">
        <f t="shared" si="17"/>
        <v>12101.46834153794</v>
      </c>
      <c r="K89" s="291"/>
      <c r="L89" s="292"/>
      <c r="M89" s="293"/>
      <c r="N89" s="293">
        <f t="shared" si="18"/>
        <v>0</v>
      </c>
      <c r="O89" s="298">
        <f t="shared" si="19"/>
        <v>0</v>
      </c>
      <c r="P89" s="302"/>
    </row>
    <row r="90" spans="1:16" ht="15">
      <c r="A90" s="118">
        <v>84</v>
      </c>
      <c r="B90" s="172" t="s">
        <v>26</v>
      </c>
      <c r="C90" s="180">
        <v>46079</v>
      </c>
      <c r="D90" s="181">
        <v>13221</v>
      </c>
      <c r="E90" s="174">
        <v>358</v>
      </c>
      <c r="F90" s="175">
        <v>1.1781999999999999</v>
      </c>
      <c r="G90" s="175">
        <f t="shared" si="15"/>
        <v>11525.207944321848</v>
      </c>
      <c r="H90" s="176">
        <v>0.05</v>
      </c>
      <c r="I90" s="177">
        <f t="shared" si="16"/>
        <v>576.26039721609243</v>
      </c>
      <c r="J90" s="177">
        <f t="shared" si="17"/>
        <v>12101.46834153794</v>
      </c>
      <c r="K90" s="291"/>
      <c r="L90" s="292"/>
      <c r="M90" s="293"/>
      <c r="N90" s="293">
        <f t="shared" si="18"/>
        <v>0</v>
      </c>
      <c r="O90" s="298">
        <f t="shared" si="19"/>
        <v>0</v>
      </c>
      <c r="P90" s="302"/>
    </row>
    <row r="91" spans="1:16" ht="15">
      <c r="A91" s="118">
        <v>85</v>
      </c>
      <c r="B91" s="172" t="s">
        <v>26</v>
      </c>
      <c r="C91" s="180">
        <v>46079</v>
      </c>
      <c r="D91" s="181">
        <v>13221</v>
      </c>
      <c r="E91" s="174">
        <v>358</v>
      </c>
      <c r="F91" s="175">
        <v>1.1781999999999999</v>
      </c>
      <c r="G91" s="175">
        <f t="shared" si="15"/>
        <v>11525.207944321848</v>
      </c>
      <c r="H91" s="176">
        <v>0.05</v>
      </c>
      <c r="I91" s="177">
        <f t="shared" si="16"/>
        <v>576.26039721609243</v>
      </c>
      <c r="J91" s="177">
        <f t="shared" si="17"/>
        <v>12101.46834153794</v>
      </c>
      <c r="K91" s="291"/>
      <c r="L91" s="292"/>
      <c r="M91" s="293"/>
      <c r="N91" s="293">
        <f t="shared" si="18"/>
        <v>0</v>
      </c>
      <c r="O91" s="298">
        <f t="shared" si="19"/>
        <v>0</v>
      </c>
      <c r="P91" s="302"/>
    </row>
    <row r="92" spans="1:16" ht="15">
      <c r="A92" s="118">
        <v>86</v>
      </c>
      <c r="B92" s="172" t="s">
        <v>26</v>
      </c>
      <c r="C92" s="180">
        <v>46112</v>
      </c>
      <c r="D92" s="181">
        <v>13215</v>
      </c>
      <c r="E92" s="174">
        <v>358</v>
      </c>
      <c r="F92" s="175">
        <v>1.1809000000000001</v>
      </c>
      <c r="G92" s="175">
        <f t="shared" ref="G92:G155" si="20">IF(D92=0,0,(D92+E92)/F92)</f>
        <v>11493.775933609957</v>
      </c>
      <c r="H92" s="176">
        <v>0.05</v>
      </c>
      <c r="I92" s="177">
        <f t="shared" ref="I92:I155" si="21">+G92*H92</f>
        <v>574.68879668049783</v>
      </c>
      <c r="J92" s="177">
        <f t="shared" ref="J92:J155" si="22">+G92+I92</f>
        <v>12068.464730290454</v>
      </c>
      <c r="K92" s="291"/>
      <c r="L92" s="292"/>
      <c r="M92" s="293"/>
      <c r="N92" s="293">
        <f t="shared" ref="N92:N155" si="23">IF(H92&lt;M92,H92/M92,0)</f>
        <v>0</v>
      </c>
      <c r="O92" s="298">
        <f t="shared" ref="O92:O155" si="24">1.5%*N92</f>
        <v>0</v>
      </c>
      <c r="P92" s="302"/>
    </row>
    <row r="93" spans="1:16" ht="15">
      <c r="A93" s="118">
        <v>87</v>
      </c>
      <c r="B93" s="172" t="s">
        <v>26</v>
      </c>
      <c r="C93" s="180">
        <v>46173</v>
      </c>
      <c r="D93" s="181">
        <v>13215</v>
      </c>
      <c r="E93" s="174">
        <v>358</v>
      </c>
      <c r="F93" s="175">
        <v>1.1809000000000001</v>
      </c>
      <c r="G93" s="175">
        <f t="shared" si="20"/>
        <v>11493.775933609957</v>
      </c>
      <c r="H93" s="176">
        <v>0.05</v>
      </c>
      <c r="I93" s="177">
        <f t="shared" si="21"/>
        <v>574.68879668049783</v>
      </c>
      <c r="J93" s="177">
        <f t="shared" si="22"/>
        <v>12068.464730290454</v>
      </c>
      <c r="K93" s="291"/>
      <c r="L93" s="292"/>
      <c r="M93" s="293"/>
      <c r="N93" s="293">
        <f t="shared" si="23"/>
        <v>0</v>
      </c>
      <c r="O93" s="298">
        <f t="shared" si="24"/>
        <v>0</v>
      </c>
      <c r="P93" s="302"/>
    </row>
    <row r="94" spans="1:16" ht="15">
      <c r="A94" s="118">
        <v>88</v>
      </c>
      <c r="B94" s="172" t="s">
        <v>26</v>
      </c>
      <c r="C94" s="180">
        <v>46173</v>
      </c>
      <c r="D94" s="181">
        <v>13215</v>
      </c>
      <c r="E94" s="174">
        <v>358</v>
      </c>
      <c r="F94" s="175">
        <v>1.1809000000000001</v>
      </c>
      <c r="G94" s="175">
        <f t="shared" si="20"/>
        <v>11493.775933609957</v>
      </c>
      <c r="H94" s="176">
        <v>0.05</v>
      </c>
      <c r="I94" s="177">
        <f t="shared" si="21"/>
        <v>574.68879668049783</v>
      </c>
      <c r="J94" s="177">
        <f t="shared" si="22"/>
        <v>12068.464730290454</v>
      </c>
      <c r="K94" s="291"/>
      <c r="L94" s="292"/>
      <c r="M94" s="293"/>
      <c r="N94" s="293">
        <f t="shared" si="23"/>
        <v>0</v>
      </c>
      <c r="O94" s="298">
        <f t="shared" si="24"/>
        <v>0</v>
      </c>
      <c r="P94" s="302"/>
    </row>
    <row r="95" spans="1:16" ht="15">
      <c r="A95" s="118">
        <v>89</v>
      </c>
      <c r="B95" s="172" t="s">
        <v>26</v>
      </c>
      <c r="C95" s="180">
        <v>46265</v>
      </c>
      <c r="D95" s="181">
        <v>13215</v>
      </c>
      <c r="E95" s="174">
        <v>358</v>
      </c>
      <c r="F95" s="175">
        <v>1.1809000000000001</v>
      </c>
      <c r="G95" s="175">
        <f t="shared" si="20"/>
        <v>11493.775933609957</v>
      </c>
      <c r="H95" s="176">
        <v>0.05</v>
      </c>
      <c r="I95" s="177">
        <f t="shared" si="21"/>
        <v>574.68879668049783</v>
      </c>
      <c r="J95" s="177">
        <f t="shared" si="22"/>
        <v>12068.464730290454</v>
      </c>
      <c r="K95" s="291"/>
      <c r="L95" s="292"/>
      <c r="M95" s="293"/>
      <c r="N95" s="293">
        <f t="shared" si="23"/>
        <v>0</v>
      </c>
      <c r="O95" s="298">
        <f t="shared" si="24"/>
        <v>0</v>
      </c>
      <c r="P95" s="302"/>
    </row>
    <row r="96" spans="1:16" ht="15">
      <c r="A96" s="118">
        <v>90</v>
      </c>
      <c r="B96" s="172" t="s">
        <v>26</v>
      </c>
      <c r="C96" s="178">
        <v>46080</v>
      </c>
      <c r="D96" s="179">
        <v>13439.5</v>
      </c>
      <c r="E96" s="174">
        <v>358</v>
      </c>
      <c r="F96" s="175">
        <v>1.1805000000000001</v>
      </c>
      <c r="G96" s="175">
        <f t="shared" si="20"/>
        <v>11687.844133841592</v>
      </c>
      <c r="H96" s="176">
        <v>0.05</v>
      </c>
      <c r="I96" s="177">
        <f t="shared" si="21"/>
        <v>584.39220669207964</v>
      </c>
      <c r="J96" s="177">
        <f t="shared" si="22"/>
        <v>12272.236340533673</v>
      </c>
      <c r="K96" s="291"/>
      <c r="L96" s="292"/>
      <c r="M96" s="293"/>
      <c r="N96" s="293">
        <f t="shared" si="23"/>
        <v>0</v>
      </c>
      <c r="O96" s="298">
        <f t="shared" si="24"/>
        <v>0</v>
      </c>
      <c r="P96" s="302"/>
    </row>
    <row r="97" spans="1:16" ht="15">
      <c r="A97" s="118">
        <v>91</v>
      </c>
      <c r="B97" s="172" t="s">
        <v>26</v>
      </c>
      <c r="C97" s="173">
        <v>46083</v>
      </c>
      <c r="D97" s="174">
        <v>13230</v>
      </c>
      <c r="E97" s="174">
        <v>358</v>
      </c>
      <c r="F97" s="175">
        <v>1.1704000000000001</v>
      </c>
      <c r="G97" s="175">
        <f t="shared" si="20"/>
        <v>11609.706083390292</v>
      </c>
      <c r="H97" s="176">
        <v>0.05</v>
      </c>
      <c r="I97" s="177">
        <f t="shared" si="21"/>
        <v>580.48530416951462</v>
      </c>
      <c r="J97" s="177">
        <f t="shared" si="22"/>
        <v>12190.191387559807</v>
      </c>
      <c r="K97" s="291"/>
      <c r="L97" s="292"/>
      <c r="M97" s="293"/>
      <c r="N97" s="293">
        <f t="shared" si="23"/>
        <v>0</v>
      </c>
      <c r="O97" s="298">
        <f t="shared" si="24"/>
        <v>0</v>
      </c>
      <c r="P97" s="302"/>
    </row>
    <row r="98" spans="1:16" ht="15">
      <c r="A98" s="118">
        <v>92</v>
      </c>
      <c r="B98" s="172" t="s">
        <v>26</v>
      </c>
      <c r="C98" s="180">
        <v>46112</v>
      </c>
      <c r="D98" s="181">
        <v>13230</v>
      </c>
      <c r="E98" s="174">
        <v>325</v>
      </c>
      <c r="F98" s="175">
        <v>1.1704000000000001</v>
      </c>
      <c r="G98" s="175">
        <f t="shared" si="20"/>
        <v>11581.510594668489</v>
      </c>
      <c r="H98" s="176">
        <v>0.05</v>
      </c>
      <c r="I98" s="177">
        <f t="shared" si="21"/>
        <v>579.07552973342445</v>
      </c>
      <c r="J98" s="177">
        <f t="shared" si="22"/>
        <v>12160.586124401914</v>
      </c>
      <c r="K98" s="291"/>
      <c r="L98" s="292"/>
      <c r="M98" s="293"/>
      <c r="N98" s="293">
        <f t="shared" si="23"/>
        <v>0</v>
      </c>
      <c r="O98" s="298">
        <f t="shared" si="24"/>
        <v>0</v>
      </c>
      <c r="P98" s="302"/>
    </row>
    <row r="99" spans="1:16" ht="15">
      <c r="A99" s="118">
        <v>93</v>
      </c>
      <c r="B99" s="172" t="s">
        <v>26</v>
      </c>
      <c r="C99" s="173">
        <v>46079</v>
      </c>
      <c r="D99" s="174">
        <v>12147</v>
      </c>
      <c r="E99" s="174">
        <v>358</v>
      </c>
      <c r="F99" s="175">
        <v>1.1516</v>
      </c>
      <c r="G99" s="175">
        <f t="shared" si="20"/>
        <v>10858.805140673845</v>
      </c>
      <c r="H99" s="176">
        <v>0.05</v>
      </c>
      <c r="I99" s="177">
        <f t="shared" si="21"/>
        <v>542.94025703369232</v>
      </c>
      <c r="J99" s="177">
        <f t="shared" si="22"/>
        <v>11401.745397707537</v>
      </c>
      <c r="K99" s="291"/>
      <c r="L99" s="292"/>
      <c r="M99" s="293"/>
      <c r="N99" s="293">
        <f t="shared" si="23"/>
        <v>0</v>
      </c>
      <c r="O99" s="298">
        <f t="shared" si="24"/>
        <v>0</v>
      </c>
      <c r="P99" s="302"/>
    </row>
    <row r="100" spans="1:16" ht="15">
      <c r="A100" s="118">
        <v>94</v>
      </c>
      <c r="B100" s="172" t="s">
        <v>26</v>
      </c>
      <c r="C100" s="173">
        <v>46079</v>
      </c>
      <c r="D100" s="174">
        <v>12147</v>
      </c>
      <c r="E100" s="174">
        <v>358</v>
      </c>
      <c r="F100" s="175">
        <v>1.1516</v>
      </c>
      <c r="G100" s="175">
        <f t="shared" si="20"/>
        <v>10858.805140673845</v>
      </c>
      <c r="H100" s="176">
        <v>0.05</v>
      </c>
      <c r="I100" s="177">
        <f t="shared" si="21"/>
        <v>542.94025703369232</v>
      </c>
      <c r="J100" s="177">
        <f t="shared" si="22"/>
        <v>11401.745397707537</v>
      </c>
      <c r="K100" s="291"/>
      <c r="L100" s="292"/>
      <c r="M100" s="293"/>
      <c r="N100" s="293">
        <f t="shared" si="23"/>
        <v>0</v>
      </c>
      <c r="O100" s="298">
        <f t="shared" si="24"/>
        <v>0</v>
      </c>
      <c r="P100" s="302"/>
    </row>
    <row r="101" spans="1:16" ht="15">
      <c r="A101" s="118">
        <v>95</v>
      </c>
      <c r="B101" s="172" t="s">
        <v>26</v>
      </c>
      <c r="C101" s="173">
        <v>37313</v>
      </c>
      <c r="D101" s="174">
        <v>12147</v>
      </c>
      <c r="E101" s="174">
        <v>358</v>
      </c>
      <c r="F101" s="175">
        <v>1.1516</v>
      </c>
      <c r="G101" s="175">
        <f t="shared" si="20"/>
        <v>10858.805140673845</v>
      </c>
      <c r="H101" s="176">
        <v>0.05</v>
      </c>
      <c r="I101" s="177">
        <f t="shared" si="21"/>
        <v>542.94025703369232</v>
      </c>
      <c r="J101" s="177">
        <f t="shared" si="22"/>
        <v>11401.745397707537</v>
      </c>
      <c r="K101" s="291"/>
      <c r="L101" s="292"/>
      <c r="M101" s="293"/>
      <c r="N101" s="293">
        <f t="shared" si="23"/>
        <v>0</v>
      </c>
      <c r="O101" s="298">
        <f t="shared" si="24"/>
        <v>0</v>
      </c>
      <c r="P101" s="302"/>
    </row>
    <row r="102" spans="1:16" ht="15">
      <c r="A102" s="118">
        <v>96</v>
      </c>
      <c r="B102" s="172" t="s">
        <v>26</v>
      </c>
      <c r="C102" s="173">
        <v>46079</v>
      </c>
      <c r="D102" s="174">
        <v>12147</v>
      </c>
      <c r="E102" s="174">
        <v>358</v>
      </c>
      <c r="F102" s="175">
        <v>1.1516</v>
      </c>
      <c r="G102" s="175">
        <f t="shared" si="20"/>
        <v>10858.805140673845</v>
      </c>
      <c r="H102" s="176">
        <v>0.05</v>
      </c>
      <c r="I102" s="177">
        <f t="shared" si="21"/>
        <v>542.94025703369232</v>
      </c>
      <c r="J102" s="177">
        <f t="shared" si="22"/>
        <v>11401.745397707537</v>
      </c>
      <c r="K102" s="291"/>
      <c r="L102" s="292"/>
      <c r="M102" s="293"/>
      <c r="N102" s="293">
        <f t="shared" si="23"/>
        <v>0</v>
      </c>
      <c r="O102" s="298">
        <f t="shared" si="24"/>
        <v>0</v>
      </c>
      <c r="P102" s="302"/>
    </row>
    <row r="103" spans="1:16" ht="15">
      <c r="A103" s="118">
        <v>97</v>
      </c>
      <c r="B103" s="172" t="s">
        <v>26</v>
      </c>
      <c r="C103" s="173">
        <v>46079</v>
      </c>
      <c r="D103" s="174">
        <v>12147</v>
      </c>
      <c r="E103" s="174">
        <v>358</v>
      </c>
      <c r="F103" s="175">
        <v>1.1516</v>
      </c>
      <c r="G103" s="175">
        <f t="shared" si="20"/>
        <v>10858.805140673845</v>
      </c>
      <c r="H103" s="176">
        <v>0.05</v>
      </c>
      <c r="I103" s="177">
        <f t="shared" si="21"/>
        <v>542.94025703369232</v>
      </c>
      <c r="J103" s="177">
        <f t="shared" si="22"/>
        <v>11401.745397707537</v>
      </c>
      <c r="K103" s="291"/>
      <c r="L103" s="292"/>
      <c r="M103" s="293"/>
      <c r="N103" s="293">
        <f t="shared" si="23"/>
        <v>0</v>
      </c>
      <c r="O103" s="298">
        <f t="shared" si="24"/>
        <v>0</v>
      </c>
      <c r="P103" s="302"/>
    </row>
    <row r="104" spans="1:16" ht="15">
      <c r="A104" s="118">
        <v>98</v>
      </c>
      <c r="B104" s="172" t="s">
        <v>26</v>
      </c>
      <c r="C104" s="173">
        <v>46084</v>
      </c>
      <c r="D104" s="174">
        <v>12820</v>
      </c>
      <c r="E104" s="174">
        <v>358</v>
      </c>
      <c r="F104" s="175">
        <v>1.1606000000000001</v>
      </c>
      <c r="G104" s="175">
        <f t="shared" si="20"/>
        <v>11354.471824918144</v>
      </c>
      <c r="H104" s="176">
        <v>0.05</v>
      </c>
      <c r="I104" s="177">
        <f t="shared" si="21"/>
        <v>567.72359124590719</v>
      </c>
      <c r="J104" s="177">
        <f t="shared" si="22"/>
        <v>11922.195416164051</v>
      </c>
      <c r="K104" s="291"/>
      <c r="L104" s="292"/>
      <c r="M104" s="293"/>
      <c r="N104" s="293">
        <f t="shared" si="23"/>
        <v>0</v>
      </c>
      <c r="O104" s="298">
        <f t="shared" si="24"/>
        <v>0</v>
      </c>
      <c r="P104" s="302"/>
    </row>
    <row r="105" spans="1:16" ht="15">
      <c r="A105" s="118">
        <v>99</v>
      </c>
      <c r="B105" s="172" t="s">
        <v>26</v>
      </c>
      <c r="C105" s="173">
        <v>46090</v>
      </c>
      <c r="D105" s="174">
        <v>12750.5</v>
      </c>
      <c r="E105" s="174">
        <v>358</v>
      </c>
      <c r="F105" s="175">
        <v>1.1554</v>
      </c>
      <c r="G105" s="175">
        <f t="shared" si="20"/>
        <v>11345.421499047949</v>
      </c>
      <c r="H105" s="176">
        <v>0.05</v>
      </c>
      <c r="I105" s="177">
        <f t="shared" si="21"/>
        <v>567.2710749523975</v>
      </c>
      <c r="J105" s="177">
        <f t="shared" si="22"/>
        <v>11912.692574000346</v>
      </c>
      <c r="K105" s="291"/>
      <c r="L105" s="292"/>
      <c r="M105" s="293"/>
      <c r="N105" s="293">
        <f t="shared" si="23"/>
        <v>0</v>
      </c>
      <c r="O105" s="298">
        <f t="shared" si="24"/>
        <v>0</v>
      </c>
      <c r="P105" s="302"/>
    </row>
    <row r="106" spans="1:16" ht="15">
      <c r="A106" s="118">
        <v>100</v>
      </c>
      <c r="B106" s="172" t="s">
        <v>26</v>
      </c>
      <c r="C106" s="173">
        <v>46090</v>
      </c>
      <c r="D106" s="174">
        <v>12750.5</v>
      </c>
      <c r="E106" s="174">
        <v>358</v>
      </c>
      <c r="F106" s="175">
        <v>1.1554</v>
      </c>
      <c r="G106" s="175">
        <f t="shared" si="20"/>
        <v>11345.421499047949</v>
      </c>
      <c r="H106" s="176">
        <v>0.05</v>
      </c>
      <c r="I106" s="177">
        <f t="shared" si="21"/>
        <v>567.2710749523975</v>
      </c>
      <c r="J106" s="177">
        <f t="shared" si="22"/>
        <v>11912.692574000346</v>
      </c>
      <c r="K106" s="291"/>
      <c r="L106" s="292"/>
      <c r="M106" s="293"/>
      <c r="N106" s="293">
        <f t="shared" si="23"/>
        <v>0</v>
      </c>
      <c r="O106" s="298">
        <f t="shared" si="24"/>
        <v>0</v>
      </c>
      <c r="P106" s="302"/>
    </row>
    <row r="107" spans="1:16" ht="15">
      <c r="A107" s="118">
        <v>101</v>
      </c>
      <c r="B107" s="172" t="s">
        <v>26</v>
      </c>
      <c r="C107" s="173">
        <v>46090</v>
      </c>
      <c r="D107" s="174">
        <v>12750.5</v>
      </c>
      <c r="E107" s="174">
        <v>358</v>
      </c>
      <c r="F107" s="175">
        <v>1.1554</v>
      </c>
      <c r="G107" s="175">
        <f t="shared" si="20"/>
        <v>11345.421499047949</v>
      </c>
      <c r="H107" s="176">
        <v>0.05</v>
      </c>
      <c r="I107" s="177">
        <f t="shared" si="21"/>
        <v>567.2710749523975</v>
      </c>
      <c r="J107" s="177">
        <f t="shared" si="22"/>
        <v>11912.692574000346</v>
      </c>
      <c r="K107" s="291"/>
      <c r="L107" s="292"/>
      <c r="M107" s="293"/>
      <c r="N107" s="293">
        <f t="shared" si="23"/>
        <v>0</v>
      </c>
      <c r="O107" s="298">
        <f t="shared" si="24"/>
        <v>0</v>
      </c>
      <c r="P107" s="302"/>
    </row>
    <row r="108" spans="1:16" ht="15">
      <c r="A108" s="118">
        <v>102</v>
      </c>
      <c r="B108" s="172" t="s">
        <v>26</v>
      </c>
      <c r="C108" s="180">
        <v>46173</v>
      </c>
      <c r="D108" s="181">
        <v>13000</v>
      </c>
      <c r="E108" s="174">
        <v>325</v>
      </c>
      <c r="F108" s="175">
        <v>1.1614</v>
      </c>
      <c r="G108" s="175">
        <f t="shared" si="20"/>
        <v>11473.221973480282</v>
      </c>
      <c r="H108" s="176">
        <v>0.05</v>
      </c>
      <c r="I108" s="177">
        <f t="shared" si="21"/>
        <v>573.66109867401417</v>
      </c>
      <c r="J108" s="177">
        <f t="shared" si="22"/>
        <v>12046.883072154296</v>
      </c>
      <c r="K108" s="291"/>
      <c r="L108" s="292"/>
      <c r="M108" s="293"/>
      <c r="N108" s="293">
        <f t="shared" si="23"/>
        <v>0</v>
      </c>
      <c r="O108" s="298">
        <f t="shared" si="24"/>
        <v>0</v>
      </c>
      <c r="P108" s="302"/>
    </row>
    <row r="109" spans="1:16" ht="15">
      <c r="A109" s="118">
        <v>103</v>
      </c>
      <c r="B109" s="172" t="s">
        <v>26</v>
      </c>
      <c r="C109" s="180">
        <v>46173</v>
      </c>
      <c r="D109" s="181">
        <v>13000</v>
      </c>
      <c r="E109" s="174">
        <v>325</v>
      </c>
      <c r="F109" s="175">
        <v>1.1614</v>
      </c>
      <c r="G109" s="175">
        <f t="shared" si="20"/>
        <v>11473.221973480282</v>
      </c>
      <c r="H109" s="176">
        <v>0.05</v>
      </c>
      <c r="I109" s="177">
        <f t="shared" si="21"/>
        <v>573.66109867401417</v>
      </c>
      <c r="J109" s="177">
        <f t="shared" si="22"/>
        <v>12046.883072154296</v>
      </c>
      <c r="K109" s="291"/>
      <c r="L109" s="292"/>
      <c r="M109" s="293"/>
      <c r="N109" s="293">
        <f t="shared" si="23"/>
        <v>0</v>
      </c>
      <c r="O109" s="298">
        <f t="shared" si="24"/>
        <v>0</v>
      </c>
      <c r="P109" s="302"/>
    </row>
    <row r="110" spans="1:16" ht="15">
      <c r="A110" s="118">
        <v>104</v>
      </c>
      <c r="B110" s="172" t="s">
        <v>26</v>
      </c>
      <c r="C110" s="180">
        <v>46418</v>
      </c>
      <c r="D110" s="181">
        <v>13000</v>
      </c>
      <c r="E110" s="174">
        <v>325</v>
      </c>
      <c r="F110" s="175">
        <v>1.1614</v>
      </c>
      <c r="G110" s="175">
        <f t="shared" si="20"/>
        <v>11473.221973480282</v>
      </c>
      <c r="H110" s="176">
        <v>0.04</v>
      </c>
      <c r="I110" s="177">
        <f t="shared" si="21"/>
        <v>458.9288789392113</v>
      </c>
      <c r="J110" s="177">
        <f t="shared" si="22"/>
        <v>11932.150852419494</v>
      </c>
      <c r="K110" s="291"/>
      <c r="L110" s="292"/>
      <c r="M110" s="293"/>
      <c r="N110" s="293">
        <f t="shared" si="23"/>
        <v>0</v>
      </c>
      <c r="O110" s="298">
        <f t="shared" si="24"/>
        <v>0</v>
      </c>
      <c r="P110" s="302"/>
    </row>
    <row r="111" spans="1:16" ht="15">
      <c r="A111" s="118">
        <v>105</v>
      </c>
      <c r="B111" s="172" t="s">
        <v>26</v>
      </c>
      <c r="C111" s="180">
        <v>46446</v>
      </c>
      <c r="D111" s="181">
        <v>13000</v>
      </c>
      <c r="E111" s="174">
        <v>325</v>
      </c>
      <c r="F111" s="175">
        <v>1.1614</v>
      </c>
      <c r="G111" s="175">
        <f t="shared" si="20"/>
        <v>11473.221973480282</v>
      </c>
      <c r="H111" s="176">
        <v>0.04</v>
      </c>
      <c r="I111" s="177">
        <f t="shared" si="21"/>
        <v>458.9288789392113</v>
      </c>
      <c r="J111" s="177">
        <f t="shared" si="22"/>
        <v>11932.150852419494</v>
      </c>
      <c r="K111" s="291"/>
      <c r="L111" s="292"/>
      <c r="M111" s="293"/>
      <c r="N111" s="293">
        <f t="shared" si="23"/>
        <v>0</v>
      </c>
      <c r="O111" s="298">
        <f t="shared" si="24"/>
        <v>0</v>
      </c>
      <c r="P111" s="302"/>
    </row>
    <row r="112" spans="1:16" ht="15">
      <c r="A112" s="118">
        <v>106</v>
      </c>
      <c r="B112" s="172" t="s">
        <v>26</v>
      </c>
      <c r="C112" s="180">
        <v>46142</v>
      </c>
      <c r="D112" s="181">
        <v>13000</v>
      </c>
      <c r="E112" s="174">
        <v>325</v>
      </c>
      <c r="F112" s="175">
        <v>1.1614</v>
      </c>
      <c r="G112" s="175">
        <f t="shared" si="20"/>
        <v>11473.221973480282</v>
      </c>
      <c r="H112" s="176">
        <v>0.05</v>
      </c>
      <c r="I112" s="177">
        <f t="shared" si="21"/>
        <v>573.66109867401417</v>
      </c>
      <c r="J112" s="177">
        <f t="shared" si="22"/>
        <v>12046.883072154296</v>
      </c>
      <c r="K112" s="291"/>
      <c r="L112" s="292"/>
      <c r="M112" s="293"/>
      <c r="N112" s="293">
        <f t="shared" si="23"/>
        <v>0</v>
      </c>
      <c r="O112" s="298">
        <f t="shared" si="24"/>
        <v>0</v>
      </c>
      <c r="P112" s="302"/>
    </row>
    <row r="113" spans="1:16" ht="15">
      <c r="A113" s="118">
        <v>107</v>
      </c>
      <c r="B113" s="172" t="s">
        <v>26</v>
      </c>
      <c r="C113" s="173">
        <v>46097</v>
      </c>
      <c r="D113" s="174">
        <v>12759.5</v>
      </c>
      <c r="E113" s="174">
        <v>358</v>
      </c>
      <c r="F113" s="175">
        <v>1.1474</v>
      </c>
      <c r="G113" s="175">
        <f t="shared" si="20"/>
        <v>11432.368833885306</v>
      </c>
      <c r="H113" s="176">
        <v>0.05</v>
      </c>
      <c r="I113" s="177">
        <f t="shared" si="21"/>
        <v>571.61844169426536</v>
      </c>
      <c r="J113" s="177">
        <f t="shared" si="22"/>
        <v>12003.987275579571</v>
      </c>
      <c r="K113" s="291"/>
      <c r="L113" s="292"/>
      <c r="M113" s="293"/>
      <c r="N113" s="293">
        <f t="shared" si="23"/>
        <v>0</v>
      </c>
      <c r="O113" s="298">
        <f t="shared" si="24"/>
        <v>0</v>
      </c>
      <c r="P113" s="302"/>
    </row>
    <row r="114" spans="1:16" ht="15">
      <c r="A114" s="118">
        <v>108</v>
      </c>
      <c r="B114" s="172" t="s">
        <v>26</v>
      </c>
      <c r="C114" s="173">
        <v>46097</v>
      </c>
      <c r="D114" s="174">
        <v>12759.5</v>
      </c>
      <c r="E114" s="174">
        <v>358</v>
      </c>
      <c r="F114" s="175">
        <v>1.1474</v>
      </c>
      <c r="G114" s="175">
        <f t="shared" si="20"/>
        <v>11432.368833885306</v>
      </c>
      <c r="H114" s="176">
        <v>0.05</v>
      </c>
      <c r="I114" s="177">
        <f t="shared" si="21"/>
        <v>571.61844169426536</v>
      </c>
      <c r="J114" s="177">
        <f t="shared" si="22"/>
        <v>12003.987275579571</v>
      </c>
      <c r="K114" s="291"/>
      <c r="L114" s="292"/>
      <c r="M114" s="293"/>
      <c r="N114" s="293">
        <f t="shared" si="23"/>
        <v>0</v>
      </c>
      <c r="O114" s="298">
        <f t="shared" si="24"/>
        <v>0</v>
      </c>
      <c r="P114" s="302"/>
    </row>
    <row r="115" spans="1:16" ht="15">
      <c r="A115" s="118">
        <v>109</v>
      </c>
      <c r="B115" s="172" t="s">
        <v>26</v>
      </c>
      <c r="C115" s="180">
        <v>46203</v>
      </c>
      <c r="D115" s="181">
        <v>12759</v>
      </c>
      <c r="E115" s="174">
        <v>325</v>
      </c>
      <c r="F115" s="175">
        <v>1.1474</v>
      </c>
      <c r="G115" s="175">
        <f t="shared" si="20"/>
        <v>11403.172389750742</v>
      </c>
      <c r="H115" s="176">
        <v>0.05</v>
      </c>
      <c r="I115" s="177">
        <f t="shared" si="21"/>
        <v>570.15861948753707</v>
      </c>
      <c r="J115" s="177">
        <f t="shared" si="22"/>
        <v>11973.331009238278</v>
      </c>
      <c r="K115" s="291"/>
      <c r="L115" s="292"/>
      <c r="M115" s="293"/>
      <c r="N115" s="293">
        <f t="shared" si="23"/>
        <v>0</v>
      </c>
      <c r="O115" s="298">
        <f t="shared" si="24"/>
        <v>0</v>
      </c>
      <c r="P115" s="302"/>
    </row>
    <row r="116" spans="1:16" ht="15">
      <c r="A116" s="118">
        <v>110</v>
      </c>
      <c r="B116" s="172" t="s">
        <v>26</v>
      </c>
      <c r="C116" s="173">
        <v>46055</v>
      </c>
      <c r="D116" s="174">
        <v>12987</v>
      </c>
      <c r="E116" s="174">
        <v>358</v>
      </c>
      <c r="F116" s="175">
        <v>1.1850000000000001</v>
      </c>
      <c r="G116" s="175">
        <f t="shared" si="20"/>
        <v>11261.603375527426</v>
      </c>
      <c r="H116" s="176">
        <v>0.05</v>
      </c>
      <c r="I116" s="177">
        <f t="shared" si="21"/>
        <v>563.08016877637135</v>
      </c>
      <c r="J116" s="177">
        <f t="shared" si="22"/>
        <v>11824.683544303796</v>
      </c>
      <c r="K116" s="291"/>
      <c r="L116" s="292"/>
      <c r="M116" s="293"/>
      <c r="N116" s="293">
        <f t="shared" si="23"/>
        <v>0</v>
      </c>
      <c r="O116" s="298">
        <f t="shared" si="24"/>
        <v>0</v>
      </c>
      <c r="P116" s="302"/>
    </row>
    <row r="117" spans="1:16" ht="15">
      <c r="A117" s="118">
        <v>111</v>
      </c>
      <c r="B117" s="172" t="s">
        <v>26</v>
      </c>
      <c r="C117" s="173">
        <v>46055</v>
      </c>
      <c r="D117" s="174">
        <v>12987</v>
      </c>
      <c r="E117" s="174">
        <v>358</v>
      </c>
      <c r="F117" s="175">
        <v>1.1850000000000001</v>
      </c>
      <c r="G117" s="175">
        <f t="shared" si="20"/>
        <v>11261.603375527426</v>
      </c>
      <c r="H117" s="176">
        <v>0.05</v>
      </c>
      <c r="I117" s="177">
        <f t="shared" si="21"/>
        <v>563.08016877637135</v>
      </c>
      <c r="J117" s="177">
        <f t="shared" si="22"/>
        <v>11824.683544303796</v>
      </c>
      <c r="K117" s="291"/>
      <c r="L117" s="292"/>
      <c r="M117" s="293"/>
      <c r="N117" s="293">
        <f t="shared" si="23"/>
        <v>0</v>
      </c>
      <c r="O117" s="298">
        <f t="shared" si="24"/>
        <v>0</v>
      </c>
      <c r="P117" s="302"/>
    </row>
    <row r="118" spans="1:16" ht="15">
      <c r="A118" s="118">
        <v>112</v>
      </c>
      <c r="B118" s="172" t="s">
        <v>26</v>
      </c>
      <c r="C118" s="173">
        <v>46055</v>
      </c>
      <c r="D118" s="174">
        <v>12987</v>
      </c>
      <c r="E118" s="174">
        <v>358</v>
      </c>
      <c r="F118" s="175">
        <v>1.1850000000000001</v>
      </c>
      <c r="G118" s="175">
        <f t="shared" si="20"/>
        <v>11261.603375527426</v>
      </c>
      <c r="H118" s="176">
        <v>0.05</v>
      </c>
      <c r="I118" s="177">
        <f t="shared" si="21"/>
        <v>563.08016877637135</v>
      </c>
      <c r="J118" s="177">
        <f t="shared" si="22"/>
        <v>11824.683544303796</v>
      </c>
      <c r="K118" s="291"/>
      <c r="L118" s="292"/>
      <c r="M118" s="293"/>
      <c r="N118" s="293">
        <f t="shared" si="23"/>
        <v>0</v>
      </c>
      <c r="O118" s="298">
        <f t="shared" si="24"/>
        <v>0</v>
      </c>
      <c r="P118" s="302"/>
    </row>
    <row r="119" spans="1:16" ht="15">
      <c r="A119" s="118">
        <v>113</v>
      </c>
      <c r="B119" s="172" t="s">
        <v>26</v>
      </c>
      <c r="C119" s="173">
        <v>46055</v>
      </c>
      <c r="D119" s="174">
        <v>12987</v>
      </c>
      <c r="E119" s="174">
        <v>358</v>
      </c>
      <c r="F119" s="175">
        <v>1.1850000000000001</v>
      </c>
      <c r="G119" s="175">
        <f t="shared" si="20"/>
        <v>11261.603375527426</v>
      </c>
      <c r="H119" s="176">
        <v>0.05</v>
      </c>
      <c r="I119" s="177">
        <f t="shared" si="21"/>
        <v>563.08016877637135</v>
      </c>
      <c r="J119" s="177">
        <f t="shared" si="22"/>
        <v>11824.683544303796</v>
      </c>
      <c r="K119" s="291"/>
      <c r="L119" s="292"/>
      <c r="M119" s="293"/>
      <c r="N119" s="293">
        <f t="shared" si="23"/>
        <v>0</v>
      </c>
      <c r="O119" s="298">
        <f t="shared" si="24"/>
        <v>0</v>
      </c>
      <c r="P119" s="302"/>
    </row>
    <row r="120" spans="1:16" ht="15">
      <c r="A120" s="118">
        <v>114</v>
      </c>
      <c r="B120" s="172" t="s">
        <v>26</v>
      </c>
      <c r="C120" s="173">
        <v>46055</v>
      </c>
      <c r="D120" s="174">
        <v>12987</v>
      </c>
      <c r="E120" s="174">
        <v>358</v>
      </c>
      <c r="F120" s="175">
        <v>1.1850000000000001</v>
      </c>
      <c r="G120" s="175">
        <f t="shared" si="20"/>
        <v>11261.603375527426</v>
      </c>
      <c r="H120" s="176">
        <v>0.05</v>
      </c>
      <c r="I120" s="177">
        <f t="shared" si="21"/>
        <v>563.08016877637135</v>
      </c>
      <c r="J120" s="177">
        <f t="shared" si="22"/>
        <v>11824.683544303796</v>
      </c>
      <c r="K120" s="291"/>
      <c r="L120" s="292"/>
      <c r="M120" s="293"/>
      <c r="N120" s="293">
        <f t="shared" si="23"/>
        <v>0</v>
      </c>
      <c r="O120" s="298">
        <f t="shared" si="24"/>
        <v>0</v>
      </c>
      <c r="P120" s="302"/>
    </row>
    <row r="121" spans="1:16" ht="15">
      <c r="A121" s="118">
        <v>115</v>
      </c>
      <c r="B121" s="172" t="s">
        <v>26</v>
      </c>
      <c r="C121" s="173">
        <v>46101</v>
      </c>
      <c r="D121" s="174">
        <v>12021.5</v>
      </c>
      <c r="E121" s="174">
        <v>358</v>
      </c>
      <c r="F121" s="175">
        <v>1.1565000000000001</v>
      </c>
      <c r="G121" s="175">
        <f t="shared" si="20"/>
        <v>10704.280155642022</v>
      </c>
      <c r="H121" s="176">
        <v>0.05</v>
      </c>
      <c r="I121" s="177">
        <f t="shared" si="21"/>
        <v>535.21400778210113</v>
      </c>
      <c r="J121" s="177">
        <f t="shared" si="22"/>
        <v>11239.494163424122</v>
      </c>
      <c r="K121" s="291"/>
      <c r="L121" s="292"/>
      <c r="M121" s="293"/>
      <c r="N121" s="293">
        <f t="shared" si="23"/>
        <v>0</v>
      </c>
      <c r="O121" s="298">
        <f t="shared" si="24"/>
        <v>0</v>
      </c>
      <c r="P121" s="302"/>
    </row>
    <row r="122" spans="1:16" ht="15">
      <c r="A122" s="118">
        <v>116</v>
      </c>
      <c r="B122" s="172" t="s">
        <v>26</v>
      </c>
      <c r="C122" s="173">
        <v>46101</v>
      </c>
      <c r="D122" s="174">
        <v>12021.5</v>
      </c>
      <c r="E122" s="174">
        <v>358</v>
      </c>
      <c r="F122" s="175">
        <v>1.1565000000000001</v>
      </c>
      <c r="G122" s="175">
        <f t="shared" si="20"/>
        <v>10704.280155642022</v>
      </c>
      <c r="H122" s="176">
        <v>0.05</v>
      </c>
      <c r="I122" s="177">
        <f t="shared" si="21"/>
        <v>535.21400778210113</v>
      </c>
      <c r="J122" s="177">
        <f t="shared" si="22"/>
        <v>11239.494163424122</v>
      </c>
      <c r="K122" s="291"/>
      <c r="L122" s="292"/>
      <c r="M122" s="293"/>
      <c r="N122" s="293">
        <f t="shared" si="23"/>
        <v>0</v>
      </c>
      <c r="O122" s="298">
        <f t="shared" si="24"/>
        <v>0</v>
      </c>
      <c r="P122" s="302"/>
    </row>
    <row r="123" spans="1:16" ht="15">
      <c r="A123" s="118">
        <v>117</v>
      </c>
      <c r="B123" s="172" t="s">
        <v>26</v>
      </c>
      <c r="C123" s="173">
        <v>46101</v>
      </c>
      <c r="D123" s="174">
        <v>12021.5</v>
      </c>
      <c r="E123" s="174">
        <v>358</v>
      </c>
      <c r="F123" s="175">
        <v>1.1555</v>
      </c>
      <c r="G123" s="175">
        <f t="shared" si="20"/>
        <v>10713.543920380787</v>
      </c>
      <c r="H123" s="176">
        <v>0.05</v>
      </c>
      <c r="I123" s="177">
        <f t="shared" si="21"/>
        <v>535.67719601903934</v>
      </c>
      <c r="J123" s="177">
        <f t="shared" si="22"/>
        <v>11249.221116399827</v>
      </c>
      <c r="K123" s="291"/>
      <c r="L123" s="292"/>
      <c r="M123" s="293"/>
      <c r="N123" s="293">
        <f t="shared" si="23"/>
        <v>0</v>
      </c>
      <c r="O123" s="298">
        <f t="shared" si="24"/>
        <v>0</v>
      </c>
      <c r="P123" s="302"/>
    </row>
    <row r="124" spans="1:16" ht="15">
      <c r="A124" s="118">
        <v>118</v>
      </c>
      <c r="B124" s="172" t="s">
        <v>26</v>
      </c>
      <c r="C124" s="173">
        <v>46104</v>
      </c>
      <c r="D124" s="174">
        <v>11891</v>
      </c>
      <c r="E124" s="174">
        <v>358</v>
      </c>
      <c r="F124" s="175">
        <v>1.161</v>
      </c>
      <c r="G124" s="175">
        <f t="shared" si="20"/>
        <v>10550.387596899225</v>
      </c>
      <c r="H124" s="176">
        <v>0.05</v>
      </c>
      <c r="I124" s="177">
        <f t="shared" si="21"/>
        <v>527.51937984496124</v>
      </c>
      <c r="J124" s="177">
        <f t="shared" si="22"/>
        <v>11077.906976744187</v>
      </c>
      <c r="K124" s="291"/>
      <c r="L124" s="292"/>
      <c r="M124" s="293"/>
      <c r="N124" s="293">
        <f t="shared" si="23"/>
        <v>0</v>
      </c>
      <c r="O124" s="298">
        <f t="shared" si="24"/>
        <v>0</v>
      </c>
      <c r="P124" s="302"/>
    </row>
    <row r="125" spans="1:16" ht="15">
      <c r="A125" s="118">
        <v>119</v>
      </c>
      <c r="B125" s="172" t="s">
        <v>26</v>
      </c>
      <c r="C125" s="180">
        <v>46326</v>
      </c>
      <c r="D125" s="181">
        <v>11891</v>
      </c>
      <c r="E125" s="174">
        <v>358</v>
      </c>
      <c r="F125" s="175">
        <v>1.161</v>
      </c>
      <c r="G125" s="175">
        <f t="shared" si="20"/>
        <v>10550.387596899225</v>
      </c>
      <c r="H125" s="176">
        <v>0.04</v>
      </c>
      <c r="I125" s="177">
        <f t="shared" si="21"/>
        <v>422.01550387596899</v>
      </c>
      <c r="J125" s="177">
        <f t="shared" si="22"/>
        <v>10972.403100775195</v>
      </c>
      <c r="K125" s="291"/>
      <c r="L125" s="292"/>
      <c r="M125" s="293"/>
      <c r="N125" s="293">
        <f t="shared" si="23"/>
        <v>0</v>
      </c>
      <c r="O125" s="298">
        <f t="shared" si="24"/>
        <v>0</v>
      </c>
      <c r="P125" s="302"/>
    </row>
    <row r="126" spans="1:16" ht="15">
      <c r="A126" s="118">
        <v>120</v>
      </c>
      <c r="B126" s="172" t="s">
        <v>26</v>
      </c>
      <c r="C126" s="180">
        <v>46387</v>
      </c>
      <c r="D126" s="181">
        <v>11891</v>
      </c>
      <c r="E126" s="174">
        <v>358</v>
      </c>
      <c r="F126" s="175">
        <v>1.161</v>
      </c>
      <c r="G126" s="175">
        <f t="shared" si="20"/>
        <v>10550.387596899225</v>
      </c>
      <c r="H126" s="176">
        <v>0.04</v>
      </c>
      <c r="I126" s="177">
        <f t="shared" si="21"/>
        <v>422.01550387596899</v>
      </c>
      <c r="J126" s="177">
        <f t="shared" si="22"/>
        <v>10972.403100775195</v>
      </c>
      <c r="K126" s="291"/>
      <c r="L126" s="292"/>
      <c r="M126" s="293"/>
      <c r="N126" s="293">
        <f t="shared" si="23"/>
        <v>0</v>
      </c>
      <c r="O126" s="298">
        <f t="shared" si="24"/>
        <v>0</v>
      </c>
      <c r="P126" s="302"/>
    </row>
    <row r="127" spans="1:16" ht="15">
      <c r="A127" s="118">
        <v>121</v>
      </c>
      <c r="B127" s="172" t="s">
        <v>26</v>
      </c>
      <c r="C127" s="180">
        <v>46112</v>
      </c>
      <c r="D127" s="181">
        <v>11891</v>
      </c>
      <c r="E127" s="174">
        <v>358</v>
      </c>
      <c r="F127" s="175">
        <v>1.161</v>
      </c>
      <c r="G127" s="175">
        <f t="shared" si="20"/>
        <v>10550.387596899225</v>
      </c>
      <c r="H127" s="176">
        <v>0.04</v>
      </c>
      <c r="I127" s="177">
        <f t="shared" si="21"/>
        <v>422.01550387596899</v>
      </c>
      <c r="J127" s="177">
        <f t="shared" si="22"/>
        <v>10972.403100775195</v>
      </c>
      <c r="K127" s="291"/>
      <c r="L127" s="292"/>
      <c r="M127" s="293"/>
      <c r="N127" s="293">
        <f t="shared" si="23"/>
        <v>0</v>
      </c>
      <c r="O127" s="298">
        <f t="shared" si="24"/>
        <v>0</v>
      </c>
      <c r="P127" s="302"/>
    </row>
    <row r="128" spans="1:16" ht="15">
      <c r="A128" s="118">
        <v>122</v>
      </c>
      <c r="B128" s="172" t="s">
        <v>26</v>
      </c>
      <c r="C128" s="173">
        <v>46105</v>
      </c>
      <c r="D128" s="174">
        <v>11875</v>
      </c>
      <c r="E128" s="174">
        <v>358</v>
      </c>
      <c r="F128" s="175">
        <v>1.1585000000000001</v>
      </c>
      <c r="G128" s="175">
        <f t="shared" si="20"/>
        <v>10559.343979283556</v>
      </c>
      <c r="H128" s="176">
        <v>0.05</v>
      </c>
      <c r="I128" s="177">
        <f t="shared" si="21"/>
        <v>527.96719896417778</v>
      </c>
      <c r="J128" s="177">
        <f t="shared" si="22"/>
        <v>11087.311178247734</v>
      </c>
      <c r="K128" s="291"/>
      <c r="L128" s="292"/>
      <c r="M128" s="293"/>
      <c r="N128" s="293">
        <f t="shared" si="23"/>
        <v>0</v>
      </c>
      <c r="O128" s="298">
        <f t="shared" si="24"/>
        <v>0</v>
      </c>
      <c r="P128" s="302"/>
    </row>
    <row r="129" spans="1:16" ht="15">
      <c r="A129" s="118">
        <v>123</v>
      </c>
      <c r="B129" s="172" t="s">
        <v>26</v>
      </c>
      <c r="C129" s="180">
        <v>46142</v>
      </c>
      <c r="D129" s="181">
        <v>12050</v>
      </c>
      <c r="E129" s="174">
        <v>325</v>
      </c>
      <c r="F129" s="175">
        <v>1.1515</v>
      </c>
      <c r="G129" s="175">
        <f t="shared" si="20"/>
        <v>10746.851932262267</v>
      </c>
      <c r="H129" s="176">
        <v>0.05</v>
      </c>
      <c r="I129" s="177">
        <f t="shared" si="21"/>
        <v>537.34259661311341</v>
      </c>
      <c r="J129" s="177">
        <f t="shared" si="22"/>
        <v>11284.19452887538</v>
      </c>
      <c r="K129" s="291"/>
      <c r="L129" s="292"/>
      <c r="M129" s="293"/>
      <c r="N129" s="293">
        <f t="shared" si="23"/>
        <v>0</v>
      </c>
      <c r="O129" s="298">
        <f t="shared" si="24"/>
        <v>0</v>
      </c>
      <c r="P129" s="302"/>
    </row>
    <row r="130" spans="1:16" ht="15">
      <c r="A130" s="118">
        <v>124</v>
      </c>
      <c r="B130" s="172" t="s">
        <v>26</v>
      </c>
      <c r="C130" s="180">
        <v>46114</v>
      </c>
      <c r="D130" s="181">
        <v>12322</v>
      </c>
      <c r="E130" s="174">
        <v>358</v>
      </c>
      <c r="F130" s="175">
        <v>1.1621999999999999</v>
      </c>
      <c r="G130" s="175">
        <f t="shared" si="20"/>
        <v>10910.342453966616</v>
      </c>
      <c r="H130" s="176">
        <v>0.05</v>
      </c>
      <c r="I130" s="177">
        <f t="shared" si="21"/>
        <v>545.51712269833081</v>
      </c>
      <c r="J130" s="177">
        <f t="shared" si="22"/>
        <v>11455.859576664947</v>
      </c>
      <c r="K130" s="291"/>
      <c r="L130" s="292"/>
      <c r="M130" s="293"/>
      <c r="N130" s="293">
        <f t="shared" si="23"/>
        <v>0</v>
      </c>
      <c r="O130" s="298">
        <f t="shared" si="24"/>
        <v>0</v>
      </c>
      <c r="P130" s="302"/>
    </row>
    <row r="131" spans="1:16" ht="15">
      <c r="A131" s="118">
        <v>125</v>
      </c>
      <c r="B131" s="172" t="s">
        <v>26</v>
      </c>
      <c r="C131" s="180">
        <v>46114</v>
      </c>
      <c r="D131" s="181">
        <v>12322</v>
      </c>
      <c r="E131" s="174">
        <v>358</v>
      </c>
      <c r="F131" s="175">
        <v>1.1621999999999999</v>
      </c>
      <c r="G131" s="175">
        <f t="shared" si="20"/>
        <v>10910.342453966616</v>
      </c>
      <c r="H131" s="176">
        <v>0.05</v>
      </c>
      <c r="I131" s="177">
        <f t="shared" si="21"/>
        <v>545.51712269833081</v>
      </c>
      <c r="J131" s="177">
        <f t="shared" si="22"/>
        <v>11455.859576664947</v>
      </c>
      <c r="K131" s="291"/>
      <c r="L131" s="292"/>
      <c r="M131" s="293"/>
      <c r="N131" s="293">
        <f t="shared" si="23"/>
        <v>0</v>
      </c>
      <c r="O131" s="298">
        <f t="shared" si="24"/>
        <v>0</v>
      </c>
      <c r="P131" s="302"/>
    </row>
    <row r="132" spans="1:16" ht="15">
      <c r="A132" s="118">
        <v>126</v>
      </c>
      <c r="B132" s="172" t="s">
        <v>26</v>
      </c>
      <c r="C132" s="180">
        <v>46114</v>
      </c>
      <c r="D132" s="181">
        <v>12322</v>
      </c>
      <c r="E132" s="174">
        <v>358</v>
      </c>
      <c r="F132" s="175">
        <v>1.1621999999999999</v>
      </c>
      <c r="G132" s="175">
        <f t="shared" si="20"/>
        <v>10910.342453966616</v>
      </c>
      <c r="H132" s="176">
        <v>0.05</v>
      </c>
      <c r="I132" s="177">
        <f t="shared" si="21"/>
        <v>545.51712269833081</v>
      </c>
      <c r="J132" s="177">
        <f t="shared" si="22"/>
        <v>11455.859576664947</v>
      </c>
      <c r="K132" s="291"/>
      <c r="L132" s="292"/>
      <c r="M132" s="293"/>
      <c r="N132" s="293">
        <f t="shared" si="23"/>
        <v>0</v>
      </c>
      <c r="O132" s="298">
        <f t="shared" si="24"/>
        <v>0</v>
      </c>
      <c r="P132" s="302"/>
    </row>
    <row r="133" spans="1:16" ht="15">
      <c r="A133" s="118">
        <v>127</v>
      </c>
      <c r="B133" s="172" t="s">
        <v>26</v>
      </c>
      <c r="C133" s="180">
        <v>46203</v>
      </c>
      <c r="D133" s="181">
        <v>12311</v>
      </c>
      <c r="E133" s="174">
        <v>325</v>
      </c>
      <c r="F133" s="175">
        <v>1.1621999999999999</v>
      </c>
      <c r="G133" s="175">
        <f t="shared" si="20"/>
        <v>10872.48322147651</v>
      </c>
      <c r="H133" s="176">
        <v>0.05</v>
      </c>
      <c r="I133" s="177">
        <f t="shared" si="21"/>
        <v>543.62416107382558</v>
      </c>
      <c r="J133" s="177">
        <f t="shared" si="22"/>
        <v>11416.107382550335</v>
      </c>
      <c r="K133" s="291"/>
      <c r="L133" s="292"/>
      <c r="M133" s="293"/>
      <c r="N133" s="293">
        <f t="shared" si="23"/>
        <v>0</v>
      </c>
      <c r="O133" s="298">
        <f t="shared" si="24"/>
        <v>0</v>
      </c>
      <c r="P133" s="302"/>
    </row>
    <row r="134" spans="1:16" ht="15">
      <c r="A134" s="118">
        <v>128</v>
      </c>
      <c r="B134" s="172" t="s">
        <v>26</v>
      </c>
      <c r="C134" s="173">
        <v>46114</v>
      </c>
      <c r="D134" s="174">
        <v>12147</v>
      </c>
      <c r="E134" s="174">
        <v>358</v>
      </c>
      <c r="F134" s="175">
        <v>1.1525000000000001</v>
      </c>
      <c r="G134" s="175">
        <f t="shared" si="20"/>
        <v>10850.325379609543</v>
      </c>
      <c r="H134" s="176">
        <v>0.05</v>
      </c>
      <c r="I134" s="177">
        <f t="shared" si="21"/>
        <v>542.51626898047721</v>
      </c>
      <c r="J134" s="177">
        <f t="shared" si="22"/>
        <v>11392.84164859002</v>
      </c>
      <c r="K134" s="291"/>
      <c r="L134" s="292"/>
      <c r="M134" s="293"/>
      <c r="N134" s="293">
        <f t="shared" si="23"/>
        <v>0</v>
      </c>
      <c r="O134" s="298">
        <f t="shared" si="24"/>
        <v>0</v>
      </c>
      <c r="P134" s="302"/>
    </row>
    <row r="135" spans="1:16" ht="15">
      <c r="A135" s="118">
        <v>129</v>
      </c>
      <c r="B135" s="172" t="s">
        <v>26</v>
      </c>
      <c r="C135" s="173">
        <v>46114</v>
      </c>
      <c r="D135" s="174">
        <v>12147</v>
      </c>
      <c r="E135" s="174">
        <v>358</v>
      </c>
      <c r="F135" s="175">
        <v>1.1525000000000001</v>
      </c>
      <c r="G135" s="175">
        <f t="shared" si="20"/>
        <v>10850.325379609543</v>
      </c>
      <c r="H135" s="176">
        <v>0.05</v>
      </c>
      <c r="I135" s="177">
        <f t="shared" si="21"/>
        <v>542.51626898047721</v>
      </c>
      <c r="J135" s="177">
        <f t="shared" si="22"/>
        <v>11392.84164859002</v>
      </c>
      <c r="K135" s="291"/>
      <c r="L135" s="292"/>
      <c r="M135" s="293"/>
      <c r="N135" s="293">
        <f t="shared" si="23"/>
        <v>0</v>
      </c>
      <c r="O135" s="298">
        <f t="shared" si="24"/>
        <v>0</v>
      </c>
      <c r="P135" s="302"/>
    </row>
    <row r="136" spans="1:16" ht="15">
      <c r="A136" s="118">
        <v>130</v>
      </c>
      <c r="B136" s="172" t="s">
        <v>26</v>
      </c>
      <c r="C136" s="173">
        <v>45993</v>
      </c>
      <c r="D136" s="174">
        <v>11285</v>
      </c>
      <c r="E136" s="174">
        <v>268</v>
      </c>
      <c r="F136" s="175">
        <v>1.1617999999999999</v>
      </c>
      <c r="G136" s="175">
        <f t="shared" si="20"/>
        <v>9944.0523325873655</v>
      </c>
      <c r="H136" s="176">
        <v>0.05</v>
      </c>
      <c r="I136" s="177">
        <f t="shared" si="21"/>
        <v>497.20261662936832</v>
      </c>
      <c r="J136" s="177">
        <f t="shared" si="22"/>
        <v>10441.254949216735</v>
      </c>
      <c r="K136" s="291"/>
      <c r="L136" s="292"/>
      <c r="M136" s="293"/>
      <c r="N136" s="293">
        <f t="shared" si="23"/>
        <v>0</v>
      </c>
      <c r="O136" s="298">
        <f t="shared" si="24"/>
        <v>0</v>
      </c>
      <c r="P136" s="302"/>
    </row>
    <row r="137" spans="1:16" ht="15">
      <c r="A137" s="118">
        <v>131</v>
      </c>
      <c r="B137" s="172" t="s">
        <v>26</v>
      </c>
      <c r="C137" s="173">
        <v>45993</v>
      </c>
      <c r="D137" s="174">
        <v>11285</v>
      </c>
      <c r="E137" s="174">
        <v>268</v>
      </c>
      <c r="F137" s="175">
        <v>1.1617999999999999</v>
      </c>
      <c r="G137" s="175">
        <f t="shared" si="20"/>
        <v>9944.0523325873655</v>
      </c>
      <c r="H137" s="176">
        <v>0.05</v>
      </c>
      <c r="I137" s="177">
        <f t="shared" si="21"/>
        <v>497.20261662936832</v>
      </c>
      <c r="J137" s="177">
        <f t="shared" si="22"/>
        <v>10441.254949216735</v>
      </c>
      <c r="K137" s="291"/>
      <c r="L137" s="292"/>
      <c r="M137" s="293"/>
      <c r="N137" s="293">
        <f t="shared" si="23"/>
        <v>0</v>
      </c>
      <c r="O137" s="298">
        <f t="shared" si="24"/>
        <v>0</v>
      </c>
      <c r="P137" s="302"/>
    </row>
    <row r="138" spans="1:16" ht="15">
      <c r="A138" s="118">
        <v>132</v>
      </c>
      <c r="B138" s="172" t="s">
        <v>26</v>
      </c>
      <c r="C138" s="173">
        <v>46122</v>
      </c>
      <c r="D138" s="174">
        <v>12660.5</v>
      </c>
      <c r="E138" s="174">
        <v>358</v>
      </c>
      <c r="F138" s="175">
        <v>1.1711</v>
      </c>
      <c r="G138" s="175">
        <f t="shared" si="20"/>
        <v>11116.471693279822</v>
      </c>
      <c r="H138" s="176">
        <v>0.05</v>
      </c>
      <c r="I138" s="177">
        <f t="shared" si="21"/>
        <v>555.82358466399114</v>
      </c>
      <c r="J138" s="177">
        <f t="shared" si="22"/>
        <v>11672.295277943813</v>
      </c>
      <c r="K138" s="291"/>
      <c r="L138" s="292"/>
      <c r="M138" s="293"/>
      <c r="N138" s="293">
        <f t="shared" si="23"/>
        <v>0</v>
      </c>
      <c r="O138" s="298">
        <f t="shared" si="24"/>
        <v>0</v>
      </c>
      <c r="P138" s="302"/>
    </row>
    <row r="139" spans="1:16" ht="15">
      <c r="A139" s="118">
        <v>133</v>
      </c>
      <c r="B139" s="172" t="s">
        <v>26</v>
      </c>
      <c r="C139" s="180">
        <v>46265</v>
      </c>
      <c r="D139" s="181">
        <v>12660.5</v>
      </c>
      <c r="E139" s="174">
        <v>325</v>
      </c>
      <c r="F139" s="175">
        <v>1.1711</v>
      </c>
      <c r="G139" s="175">
        <f t="shared" si="20"/>
        <v>11088.293057808898</v>
      </c>
      <c r="H139" s="176">
        <v>0.05</v>
      </c>
      <c r="I139" s="177">
        <f t="shared" si="21"/>
        <v>554.41465289044493</v>
      </c>
      <c r="J139" s="177">
        <f t="shared" si="22"/>
        <v>11642.707710699344</v>
      </c>
      <c r="K139" s="291"/>
      <c r="L139" s="292"/>
      <c r="M139" s="293"/>
      <c r="N139" s="293">
        <f t="shared" si="23"/>
        <v>0</v>
      </c>
      <c r="O139" s="298">
        <f t="shared" si="24"/>
        <v>0</v>
      </c>
      <c r="P139" s="302"/>
    </row>
    <row r="140" spans="1:16" ht="15">
      <c r="A140" s="118">
        <v>134</v>
      </c>
      <c r="B140" s="172" t="s">
        <v>26</v>
      </c>
      <c r="C140" s="173">
        <v>46121</v>
      </c>
      <c r="D140" s="174"/>
      <c r="E140" s="174"/>
      <c r="F140" s="175"/>
      <c r="G140" s="175">
        <f t="shared" si="20"/>
        <v>0</v>
      </c>
      <c r="H140" s="176">
        <v>0.05</v>
      </c>
      <c r="I140" s="177">
        <f t="shared" si="21"/>
        <v>0</v>
      </c>
      <c r="J140" s="177">
        <f t="shared" si="22"/>
        <v>0</v>
      </c>
      <c r="K140" s="291"/>
      <c r="L140" s="292"/>
      <c r="M140" s="293"/>
      <c r="N140" s="293">
        <f t="shared" si="23"/>
        <v>0</v>
      </c>
      <c r="O140" s="298">
        <f t="shared" si="24"/>
        <v>0</v>
      </c>
      <c r="P140" s="302"/>
    </row>
    <row r="141" spans="1:16" ht="15">
      <c r="A141" s="118">
        <v>135</v>
      </c>
      <c r="B141" s="172" t="s">
        <v>26</v>
      </c>
      <c r="C141" s="173">
        <v>46121</v>
      </c>
      <c r="D141" s="174"/>
      <c r="E141" s="174"/>
      <c r="F141" s="175"/>
      <c r="G141" s="175">
        <f t="shared" si="20"/>
        <v>0</v>
      </c>
      <c r="H141" s="176">
        <v>0.05</v>
      </c>
      <c r="I141" s="177">
        <f t="shared" si="21"/>
        <v>0</v>
      </c>
      <c r="J141" s="177">
        <f t="shared" si="22"/>
        <v>0</v>
      </c>
      <c r="K141" s="291"/>
      <c r="L141" s="292"/>
      <c r="M141" s="293"/>
      <c r="N141" s="293">
        <f t="shared" si="23"/>
        <v>0</v>
      </c>
      <c r="O141" s="298">
        <f t="shared" si="24"/>
        <v>0</v>
      </c>
      <c r="P141" s="302"/>
    </row>
    <row r="142" spans="1:16" ht="15">
      <c r="A142" s="118">
        <v>136</v>
      </c>
      <c r="B142" s="172" t="s">
        <v>26</v>
      </c>
      <c r="C142" s="173">
        <v>46121</v>
      </c>
      <c r="D142" s="174"/>
      <c r="E142" s="174"/>
      <c r="F142" s="175"/>
      <c r="G142" s="175">
        <f t="shared" si="20"/>
        <v>0</v>
      </c>
      <c r="H142" s="176">
        <v>0.05</v>
      </c>
      <c r="I142" s="177">
        <f t="shared" si="21"/>
        <v>0</v>
      </c>
      <c r="J142" s="177">
        <f t="shared" si="22"/>
        <v>0</v>
      </c>
      <c r="K142" s="291"/>
      <c r="L142" s="292"/>
      <c r="M142" s="293"/>
      <c r="N142" s="293">
        <f t="shared" si="23"/>
        <v>0</v>
      </c>
      <c r="O142" s="298">
        <f t="shared" si="24"/>
        <v>0</v>
      </c>
      <c r="P142" s="302"/>
    </row>
    <row r="143" spans="1:16" ht="15">
      <c r="A143" s="118">
        <v>137</v>
      </c>
      <c r="B143" s="172" t="s">
        <v>26</v>
      </c>
      <c r="C143" s="173">
        <v>46121</v>
      </c>
      <c r="D143" s="174"/>
      <c r="E143" s="174"/>
      <c r="F143" s="175"/>
      <c r="G143" s="175">
        <f t="shared" si="20"/>
        <v>0</v>
      </c>
      <c r="H143" s="176">
        <v>0.05</v>
      </c>
      <c r="I143" s="177">
        <f t="shared" si="21"/>
        <v>0</v>
      </c>
      <c r="J143" s="177">
        <f t="shared" si="22"/>
        <v>0</v>
      </c>
      <c r="K143" s="291"/>
      <c r="L143" s="292"/>
      <c r="M143" s="293"/>
      <c r="N143" s="293">
        <f t="shared" si="23"/>
        <v>0</v>
      </c>
      <c r="O143" s="298">
        <f t="shared" si="24"/>
        <v>0</v>
      </c>
      <c r="P143" s="302"/>
    </row>
    <row r="144" spans="1:16" ht="15">
      <c r="B144" s="172"/>
      <c r="C144" s="173"/>
      <c r="D144" s="174"/>
      <c r="E144" s="174"/>
      <c r="F144" s="175"/>
      <c r="G144" s="175">
        <f t="shared" si="20"/>
        <v>0</v>
      </c>
      <c r="H144" s="176">
        <v>0.05</v>
      </c>
      <c r="I144" s="177">
        <f t="shared" si="21"/>
        <v>0</v>
      </c>
      <c r="J144" s="177">
        <f t="shared" si="22"/>
        <v>0</v>
      </c>
      <c r="K144" s="291"/>
      <c r="L144" s="292"/>
      <c r="M144" s="293"/>
      <c r="N144" s="293">
        <f t="shared" si="23"/>
        <v>0</v>
      </c>
      <c r="O144" s="298">
        <f t="shared" si="24"/>
        <v>0</v>
      </c>
      <c r="P144" s="302"/>
    </row>
    <row r="145" spans="2:16" ht="15">
      <c r="B145" s="172"/>
      <c r="C145" s="173"/>
      <c r="D145" s="174"/>
      <c r="E145" s="174"/>
      <c r="F145" s="175"/>
      <c r="G145" s="175">
        <f t="shared" si="20"/>
        <v>0</v>
      </c>
      <c r="H145" s="176">
        <v>0.05</v>
      </c>
      <c r="I145" s="177">
        <f t="shared" si="21"/>
        <v>0</v>
      </c>
      <c r="J145" s="177">
        <f t="shared" si="22"/>
        <v>0</v>
      </c>
      <c r="K145" s="291"/>
      <c r="L145" s="292"/>
      <c r="M145" s="293"/>
      <c r="N145" s="293">
        <f t="shared" si="23"/>
        <v>0</v>
      </c>
      <c r="O145" s="298">
        <f t="shared" si="24"/>
        <v>0</v>
      </c>
      <c r="P145" s="302"/>
    </row>
    <row r="146" spans="2:16" ht="15">
      <c r="B146" s="172"/>
      <c r="C146" s="173"/>
      <c r="D146" s="174"/>
      <c r="E146" s="174"/>
      <c r="F146" s="175"/>
      <c r="G146" s="175">
        <f t="shared" si="20"/>
        <v>0</v>
      </c>
      <c r="H146" s="176">
        <v>0.05</v>
      </c>
      <c r="I146" s="177">
        <f t="shared" si="21"/>
        <v>0</v>
      </c>
      <c r="J146" s="177">
        <f t="shared" si="22"/>
        <v>0</v>
      </c>
      <c r="K146" s="291"/>
      <c r="L146" s="292"/>
      <c r="M146" s="293"/>
      <c r="N146" s="293">
        <f t="shared" si="23"/>
        <v>0</v>
      </c>
      <c r="O146" s="298">
        <f t="shared" si="24"/>
        <v>0</v>
      </c>
      <c r="P146" s="302"/>
    </row>
    <row r="147" spans="2:16" ht="15">
      <c r="B147" s="172"/>
      <c r="C147" s="173"/>
      <c r="D147" s="174"/>
      <c r="E147" s="174"/>
      <c r="F147" s="175"/>
      <c r="G147" s="175">
        <f t="shared" si="20"/>
        <v>0</v>
      </c>
      <c r="H147" s="176">
        <v>0.05</v>
      </c>
      <c r="I147" s="177">
        <f t="shared" si="21"/>
        <v>0</v>
      </c>
      <c r="J147" s="177">
        <f t="shared" si="22"/>
        <v>0</v>
      </c>
      <c r="K147" s="291"/>
      <c r="L147" s="292"/>
      <c r="M147" s="293"/>
      <c r="N147" s="293">
        <f t="shared" si="23"/>
        <v>0</v>
      </c>
      <c r="O147" s="298">
        <f t="shared" si="24"/>
        <v>0</v>
      </c>
      <c r="P147" s="302"/>
    </row>
    <row r="148" spans="2:16" ht="15">
      <c r="B148" s="172"/>
      <c r="C148" s="173"/>
      <c r="D148" s="174"/>
      <c r="E148" s="174"/>
      <c r="F148" s="175"/>
      <c r="G148" s="175">
        <f t="shared" si="20"/>
        <v>0</v>
      </c>
      <c r="H148" s="176">
        <v>0.05</v>
      </c>
      <c r="I148" s="177">
        <f t="shared" si="21"/>
        <v>0</v>
      </c>
      <c r="J148" s="177">
        <f t="shared" si="22"/>
        <v>0</v>
      </c>
      <c r="K148" s="291"/>
      <c r="L148" s="292"/>
      <c r="M148" s="293"/>
      <c r="N148" s="293">
        <f t="shared" si="23"/>
        <v>0</v>
      </c>
      <c r="O148" s="298">
        <f t="shared" si="24"/>
        <v>0</v>
      </c>
      <c r="P148" s="302"/>
    </row>
    <row r="149" spans="2:16" ht="15">
      <c r="B149" s="172"/>
      <c r="C149" s="173"/>
      <c r="D149" s="174"/>
      <c r="E149" s="174"/>
      <c r="F149" s="175"/>
      <c r="G149" s="175">
        <f t="shared" si="20"/>
        <v>0</v>
      </c>
      <c r="H149" s="176">
        <v>0.05</v>
      </c>
      <c r="I149" s="177">
        <f t="shared" si="21"/>
        <v>0</v>
      </c>
      <c r="J149" s="177">
        <f t="shared" si="22"/>
        <v>0</v>
      </c>
      <c r="K149" s="291"/>
      <c r="L149" s="292"/>
      <c r="M149" s="293"/>
      <c r="N149" s="293">
        <f t="shared" si="23"/>
        <v>0</v>
      </c>
      <c r="O149" s="298">
        <f t="shared" si="24"/>
        <v>0</v>
      </c>
      <c r="P149" s="302"/>
    </row>
    <row r="150" spans="2:16" ht="15">
      <c r="B150" s="172"/>
      <c r="C150" s="173"/>
      <c r="D150" s="174"/>
      <c r="E150" s="174"/>
      <c r="F150" s="175"/>
      <c r="G150" s="175">
        <f t="shared" si="20"/>
        <v>0</v>
      </c>
      <c r="H150" s="176">
        <v>0.05</v>
      </c>
      <c r="I150" s="177">
        <f t="shared" si="21"/>
        <v>0</v>
      </c>
      <c r="J150" s="177">
        <f t="shared" si="22"/>
        <v>0</v>
      </c>
      <c r="K150" s="291"/>
      <c r="L150" s="292"/>
      <c r="M150" s="293"/>
      <c r="N150" s="293">
        <f t="shared" si="23"/>
        <v>0</v>
      </c>
      <c r="O150" s="298">
        <f t="shared" si="24"/>
        <v>0</v>
      </c>
      <c r="P150" s="302"/>
    </row>
    <row r="151" spans="2:16" ht="15">
      <c r="B151" s="172"/>
      <c r="C151" s="173"/>
      <c r="D151" s="174"/>
      <c r="E151" s="174"/>
      <c r="F151" s="175"/>
      <c r="G151" s="175">
        <f t="shared" si="20"/>
        <v>0</v>
      </c>
      <c r="H151" s="176">
        <v>0.05</v>
      </c>
      <c r="I151" s="177">
        <f t="shared" si="21"/>
        <v>0</v>
      </c>
      <c r="J151" s="177">
        <f t="shared" si="22"/>
        <v>0</v>
      </c>
      <c r="K151" s="291"/>
      <c r="L151" s="292"/>
      <c r="M151" s="293"/>
      <c r="N151" s="293">
        <f t="shared" si="23"/>
        <v>0</v>
      </c>
      <c r="O151" s="298">
        <f t="shared" si="24"/>
        <v>0</v>
      </c>
      <c r="P151" s="302"/>
    </row>
    <row r="152" spans="2:16" ht="15">
      <c r="B152" s="172"/>
      <c r="C152" s="173"/>
      <c r="D152" s="174"/>
      <c r="E152" s="174"/>
      <c r="F152" s="175"/>
      <c r="G152" s="175">
        <f t="shared" si="20"/>
        <v>0</v>
      </c>
      <c r="H152" s="176">
        <v>0.05</v>
      </c>
      <c r="I152" s="177">
        <f t="shared" si="21"/>
        <v>0</v>
      </c>
      <c r="J152" s="177">
        <f t="shared" si="22"/>
        <v>0</v>
      </c>
      <c r="K152" s="291"/>
      <c r="L152" s="292"/>
      <c r="M152" s="293"/>
      <c r="N152" s="293">
        <f t="shared" si="23"/>
        <v>0</v>
      </c>
      <c r="O152" s="298">
        <f t="shared" si="24"/>
        <v>0</v>
      </c>
      <c r="P152" s="302"/>
    </row>
    <row r="153" spans="2:16" ht="15">
      <c r="B153" s="172"/>
      <c r="C153" s="173"/>
      <c r="D153" s="174"/>
      <c r="E153" s="174"/>
      <c r="F153" s="175"/>
      <c r="G153" s="175">
        <f t="shared" si="20"/>
        <v>0</v>
      </c>
      <c r="H153" s="176">
        <v>0.05</v>
      </c>
      <c r="I153" s="177">
        <f t="shared" si="21"/>
        <v>0</v>
      </c>
      <c r="J153" s="177">
        <f t="shared" si="22"/>
        <v>0</v>
      </c>
      <c r="K153" s="291"/>
      <c r="L153" s="292"/>
      <c r="M153" s="293"/>
      <c r="N153" s="293">
        <f t="shared" si="23"/>
        <v>0</v>
      </c>
      <c r="O153" s="298">
        <f t="shared" si="24"/>
        <v>0</v>
      </c>
      <c r="P153" s="302"/>
    </row>
    <row r="154" spans="2:16" ht="15">
      <c r="B154" s="172"/>
      <c r="C154" s="173"/>
      <c r="D154" s="174"/>
      <c r="E154" s="174"/>
      <c r="F154" s="175"/>
      <c r="G154" s="175">
        <f t="shared" si="20"/>
        <v>0</v>
      </c>
      <c r="H154" s="176">
        <v>0.05</v>
      </c>
      <c r="I154" s="177">
        <f t="shared" si="21"/>
        <v>0</v>
      </c>
      <c r="J154" s="177">
        <f t="shared" si="22"/>
        <v>0</v>
      </c>
      <c r="K154" s="291"/>
      <c r="L154" s="292"/>
      <c r="M154" s="293"/>
      <c r="N154" s="293">
        <f t="shared" si="23"/>
        <v>0</v>
      </c>
      <c r="O154" s="298">
        <f t="shared" si="24"/>
        <v>0</v>
      </c>
      <c r="P154" s="302"/>
    </row>
    <row r="155" spans="2:16" ht="15">
      <c r="B155" s="172"/>
      <c r="C155" s="173"/>
      <c r="D155" s="174"/>
      <c r="E155" s="174"/>
      <c r="F155" s="175"/>
      <c r="G155" s="175">
        <f t="shared" si="20"/>
        <v>0</v>
      </c>
      <c r="H155" s="176">
        <v>0.05</v>
      </c>
      <c r="I155" s="177">
        <f t="shared" si="21"/>
        <v>0</v>
      </c>
      <c r="J155" s="177">
        <f t="shared" si="22"/>
        <v>0</v>
      </c>
      <c r="K155" s="291"/>
      <c r="L155" s="292"/>
      <c r="M155" s="293"/>
      <c r="N155" s="293">
        <f t="shared" si="23"/>
        <v>0</v>
      </c>
      <c r="O155" s="298">
        <f t="shared" si="24"/>
        <v>0</v>
      </c>
      <c r="P155" s="302"/>
    </row>
    <row r="156" spans="2:16" ht="15">
      <c r="B156" s="172"/>
      <c r="C156" s="173"/>
      <c r="D156" s="174"/>
      <c r="E156" s="174"/>
      <c r="F156" s="175"/>
      <c r="G156" s="175">
        <f t="shared" ref="G156:G219" si="25">IF(D156=0,0,(D156+E156)/F156)</f>
        <v>0</v>
      </c>
      <c r="H156" s="176">
        <v>0.05</v>
      </c>
      <c r="I156" s="177">
        <f t="shared" ref="I156:I219" si="26">+G156*H156</f>
        <v>0</v>
      </c>
      <c r="J156" s="177">
        <f t="shared" ref="J156:J219" si="27">+G156+I156</f>
        <v>0</v>
      </c>
      <c r="K156" s="291"/>
      <c r="L156" s="292"/>
      <c r="M156" s="293"/>
      <c r="N156" s="293">
        <f t="shared" ref="N156:N219" si="28">IF(H156&lt;M156,H156/M156,0)</f>
        <v>0</v>
      </c>
      <c r="O156" s="298">
        <f t="shared" ref="O156:O219" si="29">1.5%*N156</f>
        <v>0</v>
      </c>
      <c r="P156" s="302"/>
    </row>
    <row r="157" spans="2:16" ht="15">
      <c r="B157" s="172"/>
      <c r="C157" s="173"/>
      <c r="D157" s="174"/>
      <c r="E157" s="174"/>
      <c r="F157" s="175"/>
      <c r="G157" s="175">
        <f t="shared" si="25"/>
        <v>0</v>
      </c>
      <c r="H157" s="176">
        <v>0.05</v>
      </c>
      <c r="I157" s="177">
        <f t="shared" si="26"/>
        <v>0</v>
      </c>
      <c r="J157" s="177">
        <f t="shared" si="27"/>
        <v>0</v>
      </c>
      <c r="K157" s="291"/>
      <c r="L157" s="292"/>
      <c r="M157" s="293"/>
      <c r="N157" s="293">
        <f t="shared" si="28"/>
        <v>0</v>
      </c>
      <c r="O157" s="298">
        <f t="shared" si="29"/>
        <v>0</v>
      </c>
      <c r="P157" s="302"/>
    </row>
    <row r="158" spans="2:16" ht="15">
      <c r="B158" s="172"/>
      <c r="C158" s="173"/>
      <c r="D158" s="174"/>
      <c r="E158" s="174"/>
      <c r="F158" s="175"/>
      <c r="G158" s="175">
        <f t="shared" si="25"/>
        <v>0</v>
      </c>
      <c r="H158" s="176">
        <v>0.05</v>
      </c>
      <c r="I158" s="177">
        <f t="shared" si="26"/>
        <v>0</v>
      </c>
      <c r="J158" s="177">
        <f t="shared" si="27"/>
        <v>0</v>
      </c>
      <c r="K158" s="291"/>
      <c r="L158" s="292"/>
      <c r="M158" s="293"/>
      <c r="N158" s="293">
        <f t="shared" si="28"/>
        <v>0</v>
      </c>
      <c r="O158" s="298">
        <f t="shared" si="29"/>
        <v>0</v>
      </c>
      <c r="P158" s="302"/>
    </row>
    <row r="159" spans="2:16" ht="15">
      <c r="B159" s="172"/>
      <c r="C159" s="173"/>
      <c r="D159" s="174"/>
      <c r="E159" s="174"/>
      <c r="F159" s="175"/>
      <c r="G159" s="175">
        <f t="shared" si="25"/>
        <v>0</v>
      </c>
      <c r="H159" s="176">
        <v>0.05</v>
      </c>
      <c r="I159" s="177">
        <f t="shared" si="26"/>
        <v>0</v>
      </c>
      <c r="J159" s="177">
        <f t="shared" si="27"/>
        <v>0</v>
      </c>
      <c r="K159" s="291"/>
      <c r="L159" s="292"/>
      <c r="M159" s="293"/>
      <c r="N159" s="293">
        <f t="shared" si="28"/>
        <v>0</v>
      </c>
      <c r="O159" s="298">
        <f t="shared" si="29"/>
        <v>0</v>
      </c>
      <c r="P159" s="302"/>
    </row>
    <row r="160" spans="2:16" ht="15">
      <c r="B160" s="172"/>
      <c r="C160" s="173"/>
      <c r="D160" s="174"/>
      <c r="E160" s="174"/>
      <c r="F160" s="175"/>
      <c r="G160" s="175">
        <f t="shared" si="25"/>
        <v>0</v>
      </c>
      <c r="H160" s="176">
        <v>0.05</v>
      </c>
      <c r="I160" s="177">
        <f t="shared" si="26"/>
        <v>0</v>
      </c>
      <c r="J160" s="177">
        <f t="shared" si="27"/>
        <v>0</v>
      </c>
      <c r="K160" s="291"/>
      <c r="L160" s="292"/>
      <c r="M160" s="293"/>
      <c r="N160" s="293">
        <f t="shared" si="28"/>
        <v>0</v>
      </c>
      <c r="O160" s="298">
        <f t="shared" si="29"/>
        <v>0</v>
      </c>
      <c r="P160" s="302"/>
    </row>
    <row r="161" spans="2:16" ht="15">
      <c r="B161" s="172"/>
      <c r="C161" s="173"/>
      <c r="D161" s="174"/>
      <c r="E161" s="174"/>
      <c r="F161" s="175"/>
      <c r="G161" s="175">
        <f t="shared" si="25"/>
        <v>0</v>
      </c>
      <c r="H161" s="176">
        <v>0.05</v>
      </c>
      <c r="I161" s="177">
        <f t="shared" si="26"/>
        <v>0</v>
      </c>
      <c r="J161" s="177">
        <f t="shared" si="27"/>
        <v>0</v>
      </c>
      <c r="K161" s="291"/>
      <c r="L161" s="292"/>
      <c r="M161" s="293"/>
      <c r="N161" s="293">
        <f t="shared" si="28"/>
        <v>0</v>
      </c>
      <c r="O161" s="298">
        <f t="shared" si="29"/>
        <v>0</v>
      </c>
      <c r="P161" s="302"/>
    </row>
    <row r="162" spans="2:16" ht="15">
      <c r="B162" s="172"/>
      <c r="C162" s="173"/>
      <c r="D162" s="174"/>
      <c r="E162" s="174"/>
      <c r="F162" s="175"/>
      <c r="G162" s="175">
        <f t="shared" si="25"/>
        <v>0</v>
      </c>
      <c r="H162" s="176">
        <v>0.05</v>
      </c>
      <c r="I162" s="177">
        <f t="shared" si="26"/>
        <v>0</v>
      </c>
      <c r="J162" s="177">
        <f t="shared" si="27"/>
        <v>0</v>
      </c>
      <c r="K162" s="291"/>
      <c r="L162" s="292"/>
      <c r="M162" s="293"/>
      <c r="N162" s="293">
        <f t="shared" si="28"/>
        <v>0</v>
      </c>
      <c r="O162" s="298">
        <f t="shared" si="29"/>
        <v>0</v>
      </c>
      <c r="P162" s="302"/>
    </row>
    <row r="163" spans="2:16" ht="15">
      <c r="B163" s="172"/>
      <c r="C163" s="173"/>
      <c r="D163" s="174"/>
      <c r="E163" s="174"/>
      <c r="F163" s="175"/>
      <c r="G163" s="175">
        <f t="shared" si="25"/>
        <v>0</v>
      </c>
      <c r="H163" s="176">
        <v>0.05</v>
      </c>
      <c r="I163" s="177">
        <f t="shared" si="26"/>
        <v>0</v>
      </c>
      <c r="J163" s="177">
        <f t="shared" si="27"/>
        <v>0</v>
      </c>
      <c r="K163" s="291"/>
      <c r="L163" s="292"/>
      <c r="M163" s="293"/>
      <c r="N163" s="293">
        <f t="shared" si="28"/>
        <v>0</v>
      </c>
      <c r="O163" s="298">
        <f t="shared" si="29"/>
        <v>0</v>
      </c>
      <c r="P163" s="302"/>
    </row>
    <row r="164" spans="2:16" ht="15">
      <c r="B164" s="172"/>
      <c r="C164" s="173"/>
      <c r="D164" s="174"/>
      <c r="E164" s="174"/>
      <c r="F164" s="175"/>
      <c r="G164" s="175">
        <f t="shared" si="25"/>
        <v>0</v>
      </c>
      <c r="H164" s="176">
        <v>0.05</v>
      </c>
      <c r="I164" s="177">
        <f t="shared" si="26"/>
        <v>0</v>
      </c>
      <c r="J164" s="177">
        <f t="shared" si="27"/>
        <v>0</v>
      </c>
      <c r="K164" s="291"/>
      <c r="L164" s="292"/>
      <c r="M164" s="293"/>
      <c r="N164" s="293">
        <f t="shared" si="28"/>
        <v>0</v>
      </c>
      <c r="O164" s="298">
        <f t="shared" si="29"/>
        <v>0</v>
      </c>
      <c r="P164" s="302"/>
    </row>
    <row r="165" spans="2:16" ht="15">
      <c r="B165" s="172"/>
      <c r="C165" s="173"/>
      <c r="D165" s="174"/>
      <c r="E165" s="174"/>
      <c r="F165" s="175"/>
      <c r="G165" s="175">
        <f t="shared" si="25"/>
        <v>0</v>
      </c>
      <c r="H165" s="176">
        <v>0.05</v>
      </c>
      <c r="I165" s="177">
        <f t="shared" si="26"/>
        <v>0</v>
      </c>
      <c r="J165" s="177">
        <f t="shared" si="27"/>
        <v>0</v>
      </c>
      <c r="K165" s="291"/>
      <c r="L165" s="292"/>
      <c r="M165" s="293"/>
      <c r="N165" s="293">
        <f t="shared" si="28"/>
        <v>0</v>
      </c>
      <c r="O165" s="298">
        <f t="shared" si="29"/>
        <v>0</v>
      </c>
      <c r="P165" s="302"/>
    </row>
    <row r="166" spans="2:16" ht="15">
      <c r="B166" s="172"/>
      <c r="C166" s="173"/>
      <c r="D166" s="174"/>
      <c r="E166" s="174"/>
      <c r="F166" s="175"/>
      <c r="G166" s="175">
        <f t="shared" si="25"/>
        <v>0</v>
      </c>
      <c r="H166" s="176">
        <v>0.05</v>
      </c>
      <c r="I166" s="177">
        <f t="shared" si="26"/>
        <v>0</v>
      </c>
      <c r="J166" s="177">
        <f t="shared" si="27"/>
        <v>0</v>
      </c>
      <c r="K166" s="291"/>
      <c r="L166" s="292"/>
      <c r="M166" s="293"/>
      <c r="N166" s="293">
        <f t="shared" si="28"/>
        <v>0</v>
      </c>
      <c r="O166" s="298">
        <f t="shared" si="29"/>
        <v>0</v>
      </c>
      <c r="P166" s="302"/>
    </row>
    <row r="167" spans="2:16" ht="15">
      <c r="B167" s="172"/>
      <c r="C167" s="173"/>
      <c r="D167" s="174"/>
      <c r="E167" s="174"/>
      <c r="F167" s="175"/>
      <c r="G167" s="175">
        <f t="shared" si="25"/>
        <v>0</v>
      </c>
      <c r="H167" s="176">
        <v>0.05</v>
      </c>
      <c r="I167" s="177">
        <f t="shared" si="26"/>
        <v>0</v>
      </c>
      <c r="J167" s="177">
        <f t="shared" si="27"/>
        <v>0</v>
      </c>
      <c r="K167" s="291"/>
      <c r="L167" s="292"/>
      <c r="M167" s="293"/>
      <c r="N167" s="293">
        <f t="shared" si="28"/>
        <v>0</v>
      </c>
      <c r="O167" s="298">
        <f t="shared" si="29"/>
        <v>0</v>
      </c>
      <c r="P167" s="302"/>
    </row>
    <row r="168" spans="2:16" ht="15">
      <c r="B168" s="172"/>
      <c r="C168" s="173"/>
      <c r="D168" s="174"/>
      <c r="E168" s="174"/>
      <c r="F168" s="175"/>
      <c r="G168" s="175">
        <f t="shared" si="25"/>
        <v>0</v>
      </c>
      <c r="H168" s="176">
        <v>0.05</v>
      </c>
      <c r="I168" s="177">
        <f t="shared" si="26"/>
        <v>0</v>
      </c>
      <c r="J168" s="177">
        <f t="shared" si="27"/>
        <v>0</v>
      </c>
      <c r="K168" s="291"/>
      <c r="L168" s="292"/>
      <c r="M168" s="293"/>
      <c r="N168" s="293">
        <f t="shared" si="28"/>
        <v>0</v>
      </c>
      <c r="O168" s="298">
        <f t="shared" si="29"/>
        <v>0</v>
      </c>
      <c r="P168" s="302"/>
    </row>
    <row r="169" spans="2:16" ht="15">
      <c r="B169" s="172"/>
      <c r="C169" s="173"/>
      <c r="D169" s="174"/>
      <c r="E169" s="174"/>
      <c r="F169" s="175"/>
      <c r="G169" s="175">
        <f t="shared" si="25"/>
        <v>0</v>
      </c>
      <c r="H169" s="176">
        <v>0.05</v>
      </c>
      <c r="I169" s="177">
        <f t="shared" si="26"/>
        <v>0</v>
      </c>
      <c r="J169" s="177">
        <f t="shared" si="27"/>
        <v>0</v>
      </c>
      <c r="K169" s="291"/>
      <c r="L169" s="292"/>
      <c r="M169" s="293"/>
      <c r="N169" s="293">
        <f t="shared" si="28"/>
        <v>0</v>
      </c>
      <c r="O169" s="298">
        <f t="shared" si="29"/>
        <v>0</v>
      </c>
      <c r="P169" s="302"/>
    </row>
    <row r="170" spans="2:16" ht="15">
      <c r="B170" s="172"/>
      <c r="C170" s="173"/>
      <c r="D170" s="174"/>
      <c r="E170" s="174"/>
      <c r="F170" s="175"/>
      <c r="G170" s="175">
        <f t="shared" si="25"/>
        <v>0</v>
      </c>
      <c r="H170" s="176">
        <v>0.05</v>
      </c>
      <c r="I170" s="177">
        <f t="shared" si="26"/>
        <v>0</v>
      </c>
      <c r="J170" s="177">
        <f t="shared" si="27"/>
        <v>0</v>
      </c>
      <c r="K170" s="291"/>
      <c r="L170" s="292"/>
      <c r="M170" s="293"/>
      <c r="N170" s="293">
        <f t="shared" si="28"/>
        <v>0</v>
      </c>
      <c r="O170" s="298">
        <f t="shared" si="29"/>
        <v>0</v>
      </c>
      <c r="P170" s="302"/>
    </row>
    <row r="171" spans="2:16" ht="15">
      <c r="B171" s="172"/>
      <c r="C171" s="173"/>
      <c r="D171" s="174"/>
      <c r="E171" s="174"/>
      <c r="F171" s="175"/>
      <c r="G171" s="175">
        <f t="shared" si="25"/>
        <v>0</v>
      </c>
      <c r="H171" s="176">
        <v>0.05</v>
      </c>
      <c r="I171" s="177">
        <f t="shared" si="26"/>
        <v>0</v>
      </c>
      <c r="J171" s="177">
        <f t="shared" si="27"/>
        <v>0</v>
      </c>
      <c r="K171" s="291"/>
      <c r="L171" s="292"/>
      <c r="M171" s="293"/>
      <c r="N171" s="293">
        <f t="shared" si="28"/>
        <v>0</v>
      </c>
      <c r="O171" s="298">
        <f t="shared" si="29"/>
        <v>0</v>
      </c>
      <c r="P171" s="302"/>
    </row>
    <row r="172" spans="2:16" ht="15">
      <c r="B172" s="172"/>
      <c r="C172" s="173"/>
      <c r="D172" s="174"/>
      <c r="E172" s="174"/>
      <c r="F172" s="175"/>
      <c r="G172" s="175">
        <f t="shared" si="25"/>
        <v>0</v>
      </c>
      <c r="H172" s="176">
        <v>0.05</v>
      </c>
      <c r="I172" s="177">
        <f t="shared" si="26"/>
        <v>0</v>
      </c>
      <c r="J172" s="177">
        <f t="shared" si="27"/>
        <v>0</v>
      </c>
      <c r="K172" s="291"/>
      <c r="L172" s="292"/>
      <c r="M172" s="293"/>
      <c r="N172" s="293">
        <f t="shared" si="28"/>
        <v>0</v>
      </c>
      <c r="O172" s="298">
        <f t="shared" si="29"/>
        <v>0</v>
      </c>
      <c r="P172" s="302"/>
    </row>
    <row r="173" spans="2:16" ht="15">
      <c r="B173" s="172"/>
      <c r="C173" s="173"/>
      <c r="D173" s="174"/>
      <c r="E173" s="174"/>
      <c r="F173" s="175"/>
      <c r="G173" s="175">
        <f t="shared" si="25"/>
        <v>0</v>
      </c>
      <c r="H173" s="176">
        <v>0.05</v>
      </c>
      <c r="I173" s="177">
        <f t="shared" si="26"/>
        <v>0</v>
      </c>
      <c r="J173" s="177">
        <f t="shared" si="27"/>
        <v>0</v>
      </c>
      <c r="K173" s="291"/>
      <c r="L173" s="292"/>
      <c r="M173" s="293"/>
      <c r="N173" s="293">
        <f t="shared" si="28"/>
        <v>0</v>
      </c>
      <c r="O173" s="298">
        <f t="shared" si="29"/>
        <v>0</v>
      </c>
      <c r="P173" s="302"/>
    </row>
    <row r="174" spans="2:16" ht="15">
      <c r="B174" s="172"/>
      <c r="C174" s="173"/>
      <c r="D174" s="174"/>
      <c r="E174" s="174"/>
      <c r="F174" s="175"/>
      <c r="G174" s="175">
        <f t="shared" si="25"/>
        <v>0</v>
      </c>
      <c r="H174" s="176">
        <v>0.05</v>
      </c>
      <c r="I174" s="177">
        <f t="shared" si="26"/>
        <v>0</v>
      </c>
      <c r="J174" s="177">
        <f t="shared" si="27"/>
        <v>0</v>
      </c>
      <c r="K174" s="291"/>
      <c r="L174" s="292"/>
      <c r="M174" s="293"/>
      <c r="N174" s="293">
        <f t="shared" si="28"/>
        <v>0</v>
      </c>
      <c r="O174" s="298">
        <f t="shared" si="29"/>
        <v>0</v>
      </c>
      <c r="P174" s="302"/>
    </row>
    <row r="175" spans="2:16" ht="15">
      <c r="B175" s="172"/>
      <c r="C175" s="173"/>
      <c r="D175" s="174"/>
      <c r="E175" s="174"/>
      <c r="F175" s="175"/>
      <c r="G175" s="175">
        <f t="shared" si="25"/>
        <v>0</v>
      </c>
      <c r="H175" s="176">
        <v>0.05</v>
      </c>
      <c r="I175" s="177">
        <f t="shared" si="26"/>
        <v>0</v>
      </c>
      <c r="J175" s="177">
        <f t="shared" si="27"/>
        <v>0</v>
      </c>
      <c r="K175" s="291"/>
      <c r="L175" s="292"/>
      <c r="M175" s="293"/>
      <c r="N175" s="293">
        <f t="shared" si="28"/>
        <v>0</v>
      </c>
      <c r="O175" s="298">
        <f t="shared" si="29"/>
        <v>0</v>
      </c>
      <c r="P175" s="302"/>
    </row>
    <row r="176" spans="2:16" ht="15">
      <c r="B176" s="172"/>
      <c r="C176" s="173"/>
      <c r="D176" s="174"/>
      <c r="E176" s="174"/>
      <c r="F176" s="175"/>
      <c r="G176" s="175">
        <f t="shared" si="25"/>
        <v>0</v>
      </c>
      <c r="H176" s="176">
        <v>0.05</v>
      </c>
      <c r="I176" s="177">
        <f t="shared" si="26"/>
        <v>0</v>
      </c>
      <c r="J176" s="177">
        <f t="shared" si="27"/>
        <v>0</v>
      </c>
      <c r="K176" s="291"/>
      <c r="L176" s="292"/>
      <c r="M176" s="293"/>
      <c r="N176" s="293">
        <f t="shared" si="28"/>
        <v>0</v>
      </c>
      <c r="O176" s="298">
        <f t="shared" si="29"/>
        <v>0</v>
      </c>
      <c r="P176" s="302"/>
    </row>
    <row r="177" spans="2:16" ht="15">
      <c r="B177" s="172"/>
      <c r="C177" s="173"/>
      <c r="D177" s="174"/>
      <c r="E177" s="174"/>
      <c r="F177" s="175"/>
      <c r="G177" s="175">
        <f t="shared" si="25"/>
        <v>0</v>
      </c>
      <c r="H177" s="176">
        <v>0.05</v>
      </c>
      <c r="I177" s="177">
        <f t="shared" si="26"/>
        <v>0</v>
      </c>
      <c r="J177" s="177">
        <f t="shared" si="27"/>
        <v>0</v>
      </c>
      <c r="K177" s="291"/>
      <c r="L177" s="292"/>
      <c r="M177" s="293"/>
      <c r="N177" s="293">
        <f t="shared" si="28"/>
        <v>0</v>
      </c>
      <c r="O177" s="298">
        <f t="shared" si="29"/>
        <v>0</v>
      </c>
      <c r="P177" s="302"/>
    </row>
    <row r="178" spans="2:16" ht="15">
      <c r="B178" s="172"/>
      <c r="C178" s="173"/>
      <c r="D178" s="174"/>
      <c r="E178" s="174"/>
      <c r="F178" s="175"/>
      <c r="G178" s="175">
        <f t="shared" si="25"/>
        <v>0</v>
      </c>
      <c r="H178" s="176">
        <v>0.05</v>
      </c>
      <c r="I178" s="177">
        <f t="shared" si="26"/>
        <v>0</v>
      </c>
      <c r="J178" s="177">
        <f t="shared" si="27"/>
        <v>0</v>
      </c>
      <c r="K178" s="291"/>
      <c r="L178" s="292"/>
      <c r="M178" s="293"/>
      <c r="N178" s="293">
        <f t="shared" si="28"/>
        <v>0</v>
      </c>
      <c r="O178" s="298">
        <f t="shared" si="29"/>
        <v>0</v>
      </c>
      <c r="P178" s="302"/>
    </row>
    <row r="179" spans="2:16" ht="15">
      <c r="B179" s="172"/>
      <c r="C179" s="173"/>
      <c r="D179" s="174"/>
      <c r="E179" s="174"/>
      <c r="F179" s="175"/>
      <c r="G179" s="175">
        <f t="shared" si="25"/>
        <v>0</v>
      </c>
      <c r="H179" s="176">
        <v>0.05</v>
      </c>
      <c r="I179" s="177">
        <f t="shared" si="26"/>
        <v>0</v>
      </c>
      <c r="J179" s="177">
        <f t="shared" si="27"/>
        <v>0</v>
      </c>
      <c r="K179" s="291"/>
      <c r="L179" s="292"/>
      <c r="M179" s="293"/>
      <c r="N179" s="293">
        <f t="shared" si="28"/>
        <v>0</v>
      </c>
      <c r="O179" s="298">
        <f t="shared" si="29"/>
        <v>0</v>
      </c>
      <c r="P179" s="302"/>
    </row>
    <row r="180" spans="2:16" ht="15">
      <c r="B180" s="172"/>
      <c r="C180" s="173"/>
      <c r="D180" s="174"/>
      <c r="E180" s="174"/>
      <c r="F180" s="175"/>
      <c r="G180" s="175">
        <f t="shared" si="25"/>
        <v>0</v>
      </c>
      <c r="H180" s="176">
        <v>0.05</v>
      </c>
      <c r="I180" s="177">
        <f t="shared" si="26"/>
        <v>0</v>
      </c>
      <c r="J180" s="177">
        <f t="shared" si="27"/>
        <v>0</v>
      </c>
      <c r="K180" s="291"/>
      <c r="L180" s="292"/>
      <c r="M180" s="293"/>
      <c r="N180" s="293">
        <f t="shared" si="28"/>
        <v>0</v>
      </c>
      <c r="O180" s="298">
        <f t="shared" si="29"/>
        <v>0</v>
      </c>
      <c r="P180" s="302"/>
    </row>
    <row r="181" spans="2:16" ht="15">
      <c r="B181" s="172"/>
      <c r="C181" s="173"/>
      <c r="D181" s="174"/>
      <c r="E181" s="174"/>
      <c r="F181" s="175"/>
      <c r="G181" s="175">
        <f t="shared" si="25"/>
        <v>0</v>
      </c>
      <c r="H181" s="176">
        <v>0.05</v>
      </c>
      <c r="I181" s="177">
        <f t="shared" si="26"/>
        <v>0</v>
      </c>
      <c r="J181" s="177">
        <f t="shared" si="27"/>
        <v>0</v>
      </c>
      <c r="K181" s="291"/>
      <c r="L181" s="292"/>
      <c r="M181" s="293"/>
      <c r="N181" s="293">
        <f t="shared" si="28"/>
        <v>0</v>
      </c>
      <c r="O181" s="298">
        <f t="shared" si="29"/>
        <v>0</v>
      </c>
      <c r="P181" s="302"/>
    </row>
    <row r="182" spans="2:16" ht="15">
      <c r="B182" s="172"/>
      <c r="C182" s="173"/>
      <c r="D182" s="174"/>
      <c r="E182" s="174"/>
      <c r="F182" s="175"/>
      <c r="G182" s="175">
        <f t="shared" si="25"/>
        <v>0</v>
      </c>
      <c r="H182" s="176">
        <v>0.05</v>
      </c>
      <c r="I182" s="177">
        <f t="shared" si="26"/>
        <v>0</v>
      </c>
      <c r="J182" s="177">
        <f t="shared" si="27"/>
        <v>0</v>
      </c>
      <c r="K182" s="291"/>
      <c r="L182" s="292"/>
      <c r="M182" s="293"/>
      <c r="N182" s="293">
        <f t="shared" si="28"/>
        <v>0</v>
      </c>
      <c r="O182" s="298">
        <f t="shared" si="29"/>
        <v>0</v>
      </c>
      <c r="P182" s="302"/>
    </row>
    <row r="183" spans="2:16" ht="15">
      <c r="B183" s="172"/>
      <c r="C183" s="173"/>
      <c r="D183" s="174"/>
      <c r="E183" s="174"/>
      <c r="F183" s="175"/>
      <c r="G183" s="175">
        <f t="shared" si="25"/>
        <v>0</v>
      </c>
      <c r="H183" s="176">
        <v>0.05</v>
      </c>
      <c r="I183" s="177">
        <f t="shared" si="26"/>
        <v>0</v>
      </c>
      <c r="J183" s="177">
        <f t="shared" si="27"/>
        <v>0</v>
      </c>
      <c r="K183" s="291"/>
      <c r="L183" s="292"/>
      <c r="M183" s="293"/>
      <c r="N183" s="293">
        <f t="shared" si="28"/>
        <v>0</v>
      </c>
      <c r="O183" s="298">
        <f t="shared" si="29"/>
        <v>0</v>
      </c>
      <c r="P183" s="302"/>
    </row>
    <row r="184" spans="2:16" ht="15">
      <c r="B184" s="172"/>
      <c r="C184" s="173"/>
      <c r="D184" s="174"/>
      <c r="E184" s="174"/>
      <c r="F184" s="175"/>
      <c r="G184" s="175">
        <f t="shared" si="25"/>
        <v>0</v>
      </c>
      <c r="H184" s="176">
        <v>0.05</v>
      </c>
      <c r="I184" s="177">
        <f t="shared" si="26"/>
        <v>0</v>
      </c>
      <c r="J184" s="177">
        <f t="shared" si="27"/>
        <v>0</v>
      </c>
      <c r="K184" s="291"/>
      <c r="L184" s="292"/>
      <c r="M184" s="293"/>
      <c r="N184" s="293">
        <f t="shared" si="28"/>
        <v>0</v>
      </c>
      <c r="O184" s="298">
        <f t="shared" si="29"/>
        <v>0</v>
      </c>
      <c r="P184" s="302"/>
    </row>
    <row r="185" spans="2:16" ht="15">
      <c r="B185" s="172"/>
      <c r="C185" s="173"/>
      <c r="D185" s="174"/>
      <c r="E185" s="174"/>
      <c r="F185" s="175"/>
      <c r="G185" s="175">
        <f t="shared" si="25"/>
        <v>0</v>
      </c>
      <c r="H185" s="176">
        <v>0.05</v>
      </c>
      <c r="I185" s="177">
        <f t="shared" si="26"/>
        <v>0</v>
      </c>
      <c r="J185" s="177">
        <f t="shared" si="27"/>
        <v>0</v>
      </c>
      <c r="K185" s="291"/>
      <c r="L185" s="292"/>
      <c r="M185" s="293"/>
      <c r="N185" s="293">
        <f t="shared" si="28"/>
        <v>0</v>
      </c>
      <c r="O185" s="298">
        <f t="shared" si="29"/>
        <v>0</v>
      </c>
      <c r="P185" s="302"/>
    </row>
    <row r="186" spans="2:16" ht="15">
      <c r="B186" s="172"/>
      <c r="C186" s="173"/>
      <c r="D186" s="174"/>
      <c r="E186" s="174"/>
      <c r="F186" s="175"/>
      <c r="G186" s="175">
        <f t="shared" si="25"/>
        <v>0</v>
      </c>
      <c r="H186" s="176">
        <v>0.05</v>
      </c>
      <c r="I186" s="177">
        <f t="shared" si="26"/>
        <v>0</v>
      </c>
      <c r="J186" s="177">
        <f t="shared" si="27"/>
        <v>0</v>
      </c>
      <c r="K186" s="291"/>
      <c r="L186" s="292"/>
      <c r="M186" s="293"/>
      <c r="N186" s="293">
        <f t="shared" si="28"/>
        <v>0</v>
      </c>
      <c r="O186" s="298">
        <f t="shared" si="29"/>
        <v>0</v>
      </c>
      <c r="P186" s="302"/>
    </row>
    <row r="187" spans="2:16" ht="15">
      <c r="B187" s="172"/>
      <c r="C187" s="173"/>
      <c r="D187" s="174"/>
      <c r="E187" s="174"/>
      <c r="F187" s="175"/>
      <c r="G187" s="175">
        <f t="shared" si="25"/>
        <v>0</v>
      </c>
      <c r="H187" s="176">
        <v>0.05</v>
      </c>
      <c r="I187" s="177">
        <f t="shared" si="26"/>
        <v>0</v>
      </c>
      <c r="J187" s="177">
        <f t="shared" si="27"/>
        <v>0</v>
      </c>
      <c r="K187" s="291"/>
      <c r="L187" s="292"/>
      <c r="M187" s="293"/>
      <c r="N187" s="293">
        <f t="shared" si="28"/>
        <v>0</v>
      </c>
      <c r="O187" s="298">
        <f t="shared" si="29"/>
        <v>0</v>
      </c>
      <c r="P187" s="302"/>
    </row>
    <row r="188" spans="2:16" ht="15">
      <c r="B188" s="172"/>
      <c r="C188" s="173"/>
      <c r="D188" s="174"/>
      <c r="E188" s="174"/>
      <c r="F188" s="175"/>
      <c r="G188" s="175">
        <f t="shared" si="25"/>
        <v>0</v>
      </c>
      <c r="H188" s="176">
        <v>0.05</v>
      </c>
      <c r="I188" s="177">
        <f t="shared" si="26"/>
        <v>0</v>
      </c>
      <c r="J188" s="177">
        <f t="shared" si="27"/>
        <v>0</v>
      </c>
      <c r="K188" s="291"/>
      <c r="L188" s="292"/>
      <c r="M188" s="293"/>
      <c r="N188" s="293">
        <f t="shared" si="28"/>
        <v>0</v>
      </c>
      <c r="O188" s="298">
        <f t="shared" si="29"/>
        <v>0</v>
      </c>
      <c r="P188" s="302"/>
    </row>
    <row r="189" spans="2:16" ht="15">
      <c r="B189" s="172"/>
      <c r="C189" s="173"/>
      <c r="D189" s="174"/>
      <c r="E189" s="174"/>
      <c r="F189" s="175"/>
      <c r="G189" s="175">
        <f t="shared" si="25"/>
        <v>0</v>
      </c>
      <c r="H189" s="176">
        <v>0.05</v>
      </c>
      <c r="I189" s="177">
        <f t="shared" si="26"/>
        <v>0</v>
      </c>
      <c r="J189" s="177">
        <f t="shared" si="27"/>
        <v>0</v>
      </c>
      <c r="K189" s="291"/>
      <c r="L189" s="292"/>
      <c r="M189" s="293"/>
      <c r="N189" s="293">
        <f t="shared" si="28"/>
        <v>0</v>
      </c>
      <c r="O189" s="298">
        <f t="shared" si="29"/>
        <v>0</v>
      </c>
      <c r="P189" s="302"/>
    </row>
    <row r="190" spans="2:16" ht="15">
      <c r="B190" s="172"/>
      <c r="C190" s="173"/>
      <c r="D190" s="174"/>
      <c r="E190" s="174"/>
      <c r="F190" s="175"/>
      <c r="G190" s="175">
        <f t="shared" si="25"/>
        <v>0</v>
      </c>
      <c r="H190" s="176">
        <v>0.05</v>
      </c>
      <c r="I190" s="177">
        <f t="shared" si="26"/>
        <v>0</v>
      </c>
      <c r="J190" s="177">
        <f t="shared" si="27"/>
        <v>0</v>
      </c>
      <c r="K190" s="291"/>
      <c r="L190" s="292"/>
      <c r="M190" s="293"/>
      <c r="N190" s="293">
        <f t="shared" si="28"/>
        <v>0</v>
      </c>
      <c r="O190" s="298">
        <f t="shared" si="29"/>
        <v>0</v>
      </c>
      <c r="P190" s="302"/>
    </row>
    <row r="191" spans="2:16" ht="15">
      <c r="B191" s="172"/>
      <c r="C191" s="173"/>
      <c r="D191" s="174"/>
      <c r="E191" s="174"/>
      <c r="F191" s="175"/>
      <c r="G191" s="175">
        <f t="shared" si="25"/>
        <v>0</v>
      </c>
      <c r="H191" s="176">
        <v>0.05</v>
      </c>
      <c r="I191" s="177">
        <f t="shared" si="26"/>
        <v>0</v>
      </c>
      <c r="J191" s="177">
        <f t="shared" si="27"/>
        <v>0</v>
      </c>
      <c r="K191" s="291"/>
      <c r="L191" s="292"/>
      <c r="M191" s="293"/>
      <c r="N191" s="293">
        <f t="shared" si="28"/>
        <v>0</v>
      </c>
      <c r="O191" s="298">
        <f t="shared" si="29"/>
        <v>0</v>
      </c>
      <c r="P191" s="302"/>
    </row>
    <row r="192" spans="2:16" ht="15">
      <c r="B192" s="172"/>
      <c r="C192" s="173"/>
      <c r="D192" s="174"/>
      <c r="E192" s="174"/>
      <c r="F192" s="175"/>
      <c r="G192" s="175">
        <f t="shared" si="25"/>
        <v>0</v>
      </c>
      <c r="H192" s="176">
        <v>0.05</v>
      </c>
      <c r="I192" s="177">
        <f t="shared" si="26"/>
        <v>0</v>
      </c>
      <c r="J192" s="177">
        <f t="shared" si="27"/>
        <v>0</v>
      </c>
      <c r="K192" s="291"/>
      <c r="L192" s="292"/>
      <c r="M192" s="293"/>
      <c r="N192" s="293">
        <f t="shared" si="28"/>
        <v>0</v>
      </c>
      <c r="O192" s="298">
        <f t="shared" si="29"/>
        <v>0</v>
      </c>
      <c r="P192" s="302"/>
    </row>
    <row r="193" spans="2:16" ht="15">
      <c r="B193" s="172"/>
      <c r="C193" s="173"/>
      <c r="D193" s="174"/>
      <c r="E193" s="174"/>
      <c r="F193" s="175"/>
      <c r="G193" s="175">
        <f t="shared" si="25"/>
        <v>0</v>
      </c>
      <c r="H193" s="176">
        <v>0.05</v>
      </c>
      <c r="I193" s="177">
        <f t="shared" si="26"/>
        <v>0</v>
      </c>
      <c r="J193" s="177">
        <f t="shared" si="27"/>
        <v>0</v>
      </c>
      <c r="K193" s="291"/>
      <c r="L193" s="292"/>
      <c r="M193" s="293"/>
      <c r="N193" s="293">
        <f t="shared" si="28"/>
        <v>0</v>
      </c>
      <c r="O193" s="298">
        <f t="shared" si="29"/>
        <v>0</v>
      </c>
      <c r="P193" s="302"/>
    </row>
    <row r="194" spans="2:16" ht="15">
      <c r="B194" s="172"/>
      <c r="C194" s="173"/>
      <c r="D194" s="174"/>
      <c r="E194" s="174"/>
      <c r="F194" s="175"/>
      <c r="G194" s="175">
        <f t="shared" si="25"/>
        <v>0</v>
      </c>
      <c r="H194" s="176">
        <v>0.05</v>
      </c>
      <c r="I194" s="177">
        <f t="shared" si="26"/>
        <v>0</v>
      </c>
      <c r="J194" s="177">
        <f t="shared" si="27"/>
        <v>0</v>
      </c>
      <c r="K194" s="291"/>
      <c r="L194" s="292"/>
      <c r="M194" s="293"/>
      <c r="N194" s="293">
        <f t="shared" si="28"/>
        <v>0</v>
      </c>
      <c r="O194" s="298">
        <f t="shared" si="29"/>
        <v>0</v>
      </c>
      <c r="P194" s="302"/>
    </row>
    <row r="195" spans="2:16" ht="15">
      <c r="B195" s="172"/>
      <c r="C195" s="173"/>
      <c r="D195" s="174"/>
      <c r="E195" s="174"/>
      <c r="F195" s="175"/>
      <c r="G195" s="175">
        <f t="shared" si="25"/>
        <v>0</v>
      </c>
      <c r="H195" s="176">
        <v>0.05</v>
      </c>
      <c r="I195" s="177">
        <f t="shared" si="26"/>
        <v>0</v>
      </c>
      <c r="J195" s="177">
        <f t="shared" si="27"/>
        <v>0</v>
      </c>
      <c r="K195" s="291"/>
      <c r="L195" s="292"/>
      <c r="M195" s="293"/>
      <c r="N195" s="293">
        <f t="shared" si="28"/>
        <v>0</v>
      </c>
      <c r="O195" s="298">
        <f t="shared" si="29"/>
        <v>0</v>
      </c>
      <c r="P195" s="302"/>
    </row>
    <row r="196" spans="2:16" ht="15">
      <c r="B196" s="172"/>
      <c r="C196" s="173"/>
      <c r="D196" s="174"/>
      <c r="E196" s="174"/>
      <c r="F196" s="175"/>
      <c r="G196" s="175">
        <f t="shared" si="25"/>
        <v>0</v>
      </c>
      <c r="H196" s="176">
        <v>0.05</v>
      </c>
      <c r="I196" s="177">
        <f t="shared" si="26"/>
        <v>0</v>
      </c>
      <c r="J196" s="177">
        <f t="shared" si="27"/>
        <v>0</v>
      </c>
      <c r="K196" s="291"/>
      <c r="L196" s="292"/>
      <c r="M196" s="293"/>
      <c r="N196" s="293">
        <f t="shared" si="28"/>
        <v>0</v>
      </c>
      <c r="O196" s="298">
        <f t="shared" si="29"/>
        <v>0</v>
      </c>
      <c r="P196" s="302"/>
    </row>
    <row r="197" spans="2:16" ht="15">
      <c r="B197" s="172"/>
      <c r="C197" s="173"/>
      <c r="D197" s="174"/>
      <c r="E197" s="174"/>
      <c r="F197" s="175"/>
      <c r="G197" s="175">
        <f t="shared" si="25"/>
        <v>0</v>
      </c>
      <c r="H197" s="176">
        <v>0.05</v>
      </c>
      <c r="I197" s="177">
        <f t="shared" si="26"/>
        <v>0</v>
      </c>
      <c r="J197" s="177">
        <f t="shared" si="27"/>
        <v>0</v>
      </c>
      <c r="K197" s="291"/>
      <c r="L197" s="292"/>
      <c r="M197" s="293"/>
      <c r="N197" s="293">
        <f t="shared" si="28"/>
        <v>0</v>
      </c>
      <c r="O197" s="298">
        <f t="shared" si="29"/>
        <v>0</v>
      </c>
      <c r="P197" s="302"/>
    </row>
    <row r="198" spans="2:16" ht="15">
      <c r="B198" s="172"/>
      <c r="C198" s="173"/>
      <c r="D198" s="174"/>
      <c r="E198" s="174"/>
      <c r="F198" s="175"/>
      <c r="G198" s="175">
        <f t="shared" si="25"/>
        <v>0</v>
      </c>
      <c r="H198" s="176">
        <v>0.05</v>
      </c>
      <c r="I198" s="177">
        <f t="shared" si="26"/>
        <v>0</v>
      </c>
      <c r="J198" s="177">
        <f t="shared" si="27"/>
        <v>0</v>
      </c>
      <c r="K198" s="291"/>
      <c r="L198" s="292"/>
      <c r="M198" s="293"/>
      <c r="N198" s="293">
        <f t="shared" si="28"/>
        <v>0</v>
      </c>
      <c r="O198" s="298">
        <f t="shared" si="29"/>
        <v>0</v>
      </c>
      <c r="P198" s="302"/>
    </row>
    <row r="199" spans="2:16" ht="15">
      <c r="B199" s="172"/>
      <c r="C199" s="173"/>
      <c r="D199" s="174"/>
      <c r="E199" s="174"/>
      <c r="F199" s="175"/>
      <c r="G199" s="175">
        <f t="shared" si="25"/>
        <v>0</v>
      </c>
      <c r="H199" s="176">
        <v>0.05</v>
      </c>
      <c r="I199" s="177">
        <f t="shared" si="26"/>
        <v>0</v>
      </c>
      <c r="J199" s="177">
        <f t="shared" si="27"/>
        <v>0</v>
      </c>
      <c r="K199" s="291"/>
      <c r="L199" s="292"/>
      <c r="M199" s="293"/>
      <c r="N199" s="293">
        <f t="shared" si="28"/>
        <v>0</v>
      </c>
      <c r="O199" s="298">
        <f t="shared" si="29"/>
        <v>0</v>
      </c>
      <c r="P199" s="302"/>
    </row>
    <row r="200" spans="2:16" ht="15">
      <c r="B200" s="172"/>
      <c r="C200" s="173"/>
      <c r="D200" s="174"/>
      <c r="E200" s="174"/>
      <c r="F200" s="175"/>
      <c r="G200" s="175">
        <f t="shared" si="25"/>
        <v>0</v>
      </c>
      <c r="H200" s="176">
        <v>0.05</v>
      </c>
      <c r="I200" s="177">
        <f t="shared" si="26"/>
        <v>0</v>
      </c>
      <c r="J200" s="177">
        <f t="shared" si="27"/>
        <v>0</v>
      </c>
      <c r="K200" s="291"/>
      <c r="L200" s="292"/>
      <c r="M200" s="293"/>
      <c r="N200" s="293">
        <f t="shared" si="28"/>
        <v>0</v>
      </c>
      <c r="O200" s="298">
        <f t="shared" si="29"/>
        <v>0</v>
      </c>
      <c r="P200" s="302"/>
    </row>
    <row r="201" spans="2:16" ht="15">
      <c r="B201" s="172"/>
      <c r="C201" s="173"/>
      <c r="D201" s="174"/>
      <c r="E201" s="174"/>
      <c r="F201" s="175"/>
      <c r="G201" s="175">
        <f t="shared" si="25"/>
        <v>0</v>
      </c>
      <c r="H201" s="176">
        <v>0.05</v>
      </c>
      <c r="I201" s="177">
        <f t="shared" si="26"/>
        <v>0</v>
      </c>
      <c r="J201" s="177">
        <f t="shared" si="27"/>
        <v>0</v>
      </c>
      <c r="K201" s="291"/>
      <c r="L201" s="292"/>
      <c r="M201" s="293"/>
      <c r="N201" s="293">
        <f t="shared" si="28"/>
        <v>0</v>
      </c>
      <c r="O201" s="298">
        <f t="shared" si="29"/>
        <v>0</v>
      </c>
      <c r="P201" s="302"/>
    </row>
    <row r="202" spans="2:16" ht="15">
      <c r="B202" s="172"/>
      <c r="C202" s="173"/>
      <c r="D202" s="174"/>
      <c r="E202" s="174"/>
      <c r="F202" s="175"/>
      <c r="G202" s="175">
        <f t="shared" si="25"/>
        <v>0</v>
      </c>
      <c r="H202" s="176">
        <v>0.05</v>
      </c>
      <c r="I202" s="177">
        <f t="shared" si="26"/>
        <v>0</v>
      </c>
      <c r="J202" s="177">
        <f t="shared" si="27"/>
        <v>0</v>
      </c>
      <c r="K202" s="291"/>
      <c r="L202" s="292"/>
      <c r="M202" s="293"/>
      <c r="N202" s="293">
        <f t="shared" si="28"/>
        <v>0</v>
      </c>
      <c r="O202" s="298">
        <f t="shared" si="29"/>
        <v>0</v>
      </c>
      <c r="P202" s="302"/>
    </row>
    <row r="203" spans="2:16" ht="15">
      <c r="B203" s="172"/>
      <c r="C203" s="173"/>
      <c r="D203" s="174"/>
      <c r="E203" s="174"/>
      <c r="F203" s="175"/>
      <c r="G203" s="175">
        <f t="shared" si="25"/>
        <v>0</v>
      </c>
      <c r="H203" s="176">
        <v>0.05</v>
      </c>
      <c r="I203" s="177">
        <f t="shared" si="26"/>
        <v>0</v>
      </c>
      <c r="J203" s="177">
        <f t="shared" si="27"/>
        <v>0</v>
      </c>
      <c r="K203" s="291"/>
      <c r="L203" s="292"/>
      <c r="M203" s="293"/>
      <c r="N203" s="293">
        <f t="shared" si="28"/>
        <v>0</v>
      </c>
      <c r="O203" s="298">
        <f t="shared" si="29"/>
        <v>0</v>
      </c>
      <c r="P203" s="302"/>
    </row>
    <row r="204" spans="2:16" ht="15">
      <c r="B204" s="172"/>
      <c r="C204" s="173"/>
      <c r="D204" s="174"/>
      <c r="E204" s="174"/>
      <c r="F204" s="175"/>
      <c r="G204" s="175">
        <f t="shared" si="25"/>
        <v>0</v>
      </c>
      <c r="H204" s="176">
        <v>0.05</v>
      </c>
      <c r="I204" s="177">
        <f t="shared" si="26"/>
        <v>0</v>
      </c>
      <c r="J204" s="177">
        <f t="shared" si="27"/>
        <v>0</v>
      </c>
      <c r="K204" s="291"/>
      <c r="L204" s="292"/>
      <c r="M204" s="293"/>
      <c r="N204" s="293">
        <f t="shared" si="28"/>
        <v>0</v>
      </c>
      <c r="O204" s="298">
        <f t="shared" si="29"/>
        <v>0</v>
      </c>
      <c r="P204" s="302"/>
    </row>
    <row r="205" spans="2:16" ht="15">
      <c r="B205" s="172"/>
      <c r="C205" s="173"/>
      <c r="D205" s="174"/>
      <c r="E205" s="174"/>
      <c r="F205" s="175"/>
      <c r="G205" s="175">
        <f t="shared" si="25"/>
        <v>0</v>
      </c>
      <c r="H205" s="176">
        <v>0.05</v>
      </c>
      <c r="I205" s="177">
        <f t="shared" si="26"/>
        <v>0</v>
      </c>
      <c r="J205" s="177">
        <f t="shared" si="27"/>
        <v>0</v>
      </c>
      <c r="K205" s="291"/>
      <c r="L205" s="292"/>
      <c r="M205" s="293"/>
      <c r="N205" s="293">
        <f t="shared" si="28"/>
        <v>0</v>
      </c>
      <c r="O205" s="298">
        <f t="shared" si="29"/>
        <v>0</v>
      </c>
      <c r="P205" s="302"/>
    </row>
    <row r="206" spans="2:16" ht="15">
      <c r="B206" s="172"/>
      <c r="C206" s="173"/>
      <c r="D206" s="174"/>
      <c r="E206" s="174"/>
      <c r="F206" s="175"/>
      <c r="G206" s="175">
        <f t="shared" si="25"/>
        <v>0</v>
      </c>
      <c r="H206" s="176">
        <v>0.05</v>
      </c>
      <c r="I206" s="177">
        <f t="shared" si="26"/>
        <v>0</v>
      </c>
      <c r="J206" s="177">
        <f t="shared" si="27"/>
        <v>0</v>
      </c>
      <c r="K206" s="291"/>
      <c r="L206" s="292"/>
      <c r="M206" s="293"/>
      <c r="N206" s="293">
        <f t="shared" si="28"/>
        <v>0</v>
      </c>
      <c r="O206" s="298">
        <f t="shared" si="29"/>
        <v>0</v>
      </c>
      <c r="P206" s="302"/>
    </row>
    <row r="207" spans="2:16" ht="15">
      <c r="B207" s="172"/>
      <c r="C207" s="173"/>
      <c r="D207" s="174"/>
      <c r="E207" s="174"/>
      <c r="F207" s="175"/>
      <c r="G207" s="175">
        <f t="shared" si="25"/>
        <v>0</v>
      </c>
      <c r="H207" s="176">
        <v>0.05</v>
      </c>
      <c r="I207" s="177">
        <f t="shared" si="26"/>
        <v>0</v>
      </c>
      <c r="J207" s="177">
        <f t="shared" si="27"/>
        <v>0</v>
      </c>
      <c r="K207" s="291"/>
      <c r="L207" s="292"/>
      <c r="M207" s="293"/>
      <c r="N207" s="293">
        <f t="shared" si="28"/>
        <v>0</v>
      </c>
      <c r="O207" s="298">
        <f t="shared" si="29"/>
        <v>0</v>
      </c>
      <c r="P207" s="302"/>
    </row>
    <row r="208" spans="2:16" ht="15">
      <c r="B208" s="172"/>
      <c r="C208" s="173"/>
      <c r="D208" s="174"/>
      <c r="E208" s="174"/>
      <c r="F208" s="175"/>
      <c r="G208" s="175">
        <f t="shared" si="25"/>
        <v>0</v>
      </c>
      <c r="H208" s="176">
        <v>0.05</v>
      </c>
      <c r="I208" s="177">
        <f t="shared" si="26"/>
        <v>0</v>
      </c>
      <c r="J208" s="177">
        <f t="shared" si="27"/>
        <v>0</v>
      </c>
      <c r="K208" s="291"/>
      <c r="L208" s="292"/>
      <c r="M208" s="293"/>
      <c r="N208" s="293">
        <f t="shared" si="28"/>
        <v>0</v>
      </c>
      <c r="O208" s="298">
        <f t="shared" si="29"/>
        <v>0</v>
      </c>
      <c r="P208" s="302"/>
    </row>
    <row r="209" spans="2:16" ht="15">
      <c r="B209" s="172"/>
      <c r="C209" s="173"/>
      <c r="D209" s="174"/>
      <c r="E209" s="174"/>
      <c r="F209" s="175"/>
      <c r="G209" s="175">
        <f t="shared" si="25"/>
        <v>0</v>
      </c>
      <c r="H209" s="176">
        <v>0.05</v>
      </c>
      <c r="I209" s="177">
        <f t="shared" si="26"/>
        <v>0</v>
      </c>
      <c r="J209" s="177">
        <f t="shared" si="27"/>
        <v>0</v>
      </c>
      <c r="K209" s="291"/>
      <c r="L209" s="292"/>
      <c r="M209" s="293"/>
      <c r="N209" s="293">
        <f t="shared" si="28"/>
        <v>0</v>
      </c>
      <c r="O209" s="298">
        <f t="shared" si="29"/>
        <v>0</v>
      </c>
      <c r="P209" s="302"/>
    </row>
    <row r="210" spans="2:16" ht="15">
      <c r="B210" s="172"/>
      <c r="C210" s="173"/>
      <c r="D210" s="174"/>
      <c r="E210" s="174"/>
      <c r="F210" s="175"/>
      <c r="G210" s="175">
        <f t="shared" si="25"/>
        <v>0</v>
      </c>
      <c r="H210" s="176">
        <v>0.05</v>
      </c>
      <c r="I210" s="177">
        <f t="shared" si="26"/>
        <v>0</v>
      </c>
      <c r="J210" s="177">
        <f t="shared" si="27"/>
        <v>0</v>
      </c>
      <c r="K210" s="291"/>
      <c r="L210" s="292"/>
      <c r="M210" s="293"/>
      <c r="N210" s="293">
        <f t="shared" si="28"/>
        <v>0</v>
      </c>
      <c r="O210" s="298">
        <f t="shared" si="29"/>
        <v>0</v>
      </c>
      <c r="P210" s="302"/>
    </row>
    <row r="211" spans="2:16" ht="15">
      <c r="B211" s="172"/>
      <c r="C211" s="173"/>
      <c r="D211" s="174"/>
      <c r="E211" s="174"/>
      <c r="F211" s="175"/>
      <c r="G211" s="175">
        <f t="shared" si="25"/>
        <v>0</v>
      </c>
      <c r="H211" s="176">
        <v>0.05</v>
      </c>
      <c r="I211" s="177">
        <f t="shared" si="26"/>
        <v>0</v>
      </c>
      <c r="J211" s="177">
        <f t="shared" si="27"/>
        <v>0</v>
      </c>
      <c r="K211" s="291"/>
      <c r="L211" s="292"/>
      <c r="M211" s="293"/>
      <c r="N211" s="293">
        <f t="shared" si="28"/>
        <v>0</v>
      </c>
      <c r="O211" s="298">
        <f t="shared" si="29"/>
        <v>0</v>
      </c>
      <c r="P211" s="302"/>
    </row>
    <row r="212" spans="2:16" ht="15">
      <c r="B212" s="172"/>
      <c r="C212" s="173"/>
      <c r="D212" s="174"/>
      <c r="E212" s="174"/>
      <c r="F212" s="175"/>
      <c r="G212" s="175">
        <f t="shared" si="25"/>
        <v>0</v>
      </c>
      <c r="H212" s="176">
        <v>0.05</v>
      </c>
      <c r="I212" s="177">
        <f t="shared" si="26"/>
        <v>0</v>
      </c>
      <c r="J212" s="177">
        <f t="shared" si="27"/>
        <v>0</v>
      </c>
      <c r="K212" s="291"/>
      <c r="L212" s="292"/>
      <c r="M212" s="293"/>
      <c r="N212" s="293">
        <f t="shared" si="28"/>
        <v>0</v>
      </c>
      <c r="O212" s="298">
        <f t="shared" si="29"/>
        <v>0</v>
      </c>
      <c r="P212" s="302"/>
    </row>
    <row r="213" spans="2:16" ht="15">
      <c r="B213" s="172"/>
      <c r="C213" s="173"/>
      <c r="D213" s="174"/>
      <c r="E213" s="174"/>
      <c r="F213" s="175"/>
      <c r="G213" s="175">
        <f t="shared" si="25"/>
        <v>0</v>
      </c>
      <c r="H213" s="176">
        <v>0.05</v>
      </c>
      <c r="I213" s="177">
        <f t="shared" si="26"/>
        <v>0</v>
      </c>
      <c r="J213" s="177">
        <f t="shared" si="27"/>
        <v>0</v>
      </c>
      <c r="K213" s="291"/>
      <c r="L213" s="292"/>
      <c r="M213" s="293"/>
      <c r="N213" s="293">
        <f t="shared" si="28"/>
        <v>0</v>
      </c>
      <c r="O213" s="298">
        <f t="shared" si="29"/>
        <v>0</v>
      </c>
      <c r="P213" s="302"/>
    </row>
    <row r="214" spans="2:16" ht="15">
      <c r="B214" s="172"/>
      <c r="C214" s="173"/>
      <c r="D214" s="174"/>
      <c r="E214" s="174"/>
      <c r="F214" s="175"/>
      <c r="G214" s="175">
        <f t="shared" si="25"/>
        <v>0</v>
      </c>
      <c r="H214" s="176">
        <v>0.05</v>
      </c>
      <c r="I214" s="177">
        <f t="shared" si="26"/>
        <v>0</v>
      </c>
      <c r="J214" s="177">
        <f t="shared" si="27"/>
        <v>0</v>
      </c>
      <c r="K214" s="291"/>
      <c r="L214" s="292"/>
      <c r="M214" s="293"/>
      <c r="N214" s="293">
        <f t="shared" si="28"/>
        <v>0</v>
      </c>
      <c r="O214" s="298">
        <f t="shared" si="29"/>
        <v>0</v>
      </c>
      <c r="P214" s="302"/>
    </row>
    <row r="215" spans="2:16" ht="15">
      <c r="B215" s="172"/>
      <c r="C215" s="173"/>
      <c r="D215" s="174"/>
      <c r="E215" s="174"/>
      <c r="F215" s="175"/>
      <c r="G215" s="175">
        <f t="shared" si="25"/>
        <v>0</v>
      </c>
      <c r="H215" s="176">
        <v>0.05</v>
      </c>
      <c r="I215" s="177">
        <f t="shared" si="26"/>
        <v>0</v>
      </c>
      <c r="J215" s="177">
        <f t="shared" si="27"/>
        <v>0</v>
      </c>
      <c r="K215" s="291"/>
      <c r="L215" s="292"/>
      <c r="M215" s="293"/>
      <c r="N215" s="293">
        <f t="shared" si="28"/>
        <v>0</v>
      </c>
      <c r="O215" s="298">
        <f t="shared" si="29"/>
        <v>0</v>
      </c>
      <c r="P215" s="302"/>
    </row>
    <row r="216" spans="2:16" ht="15">
      <c r="B216" s="172"/>
      <c r="C216" s="173"/>
      <c r="D216" s="174"/>
      <c r="E216" s="174"/>
      <c r="F216" s="175"/>
      <c r="G216" s="175">
        <f t="shared" si="25"/>
        <v>0</v>
      </c>
      <c r="H216" s="176">
        <v>0.05</v>
      </c>
      <c r="I216" s="177">
        <f t="shared" si="26"/>
        <v>0</v>
      </c>
      <c r="J216" s="177">
        <f t="shared" si="27"/>
        <v>0</v>
      </c>
      <c r="K216" s="291"/>
      <c r="L216" s="292"/>
      <c r="M216" s="293"/>
      <c r="N216" s="293">
        <f t="shared" si="28"/>
        <v>0</v>
      </c>
      <c r="O216" s="298">
        <f t="shared" si="29"/>
        <v>0</v>
      </c>
      <c r="P216" s="302"/>
    </row>
    <row r="217" spans="2:16" ht="15">
      <c r="B217" s="172"/>
      <c r="C217" s="173"/>
      <c r="D217" s="174"/>
      <c r="E217" s="174"/>
      <c r="F217" s="175"/>
      <c r="G217" s="175">
        <f t="shared" si="25"/>
        <v>0</v>
      </c>
      <c r="H217" s="176">
        <v>0.05</v>
      </c>
      <c r="I217" s="177">
        <f t="shared" si="26"/>
        <v>0</v>
      </c>
      <c r="J217" s="177">
        <f t="shared" si="27"/>
        <v>0</v>
      </c>
      <c r="K217" s="291"/>
      <c r="L217" s="292"/>
      <c r="M217" s="293"/>
      <c r="N217" s="293">
        <f t="shared" si="28"/>
        <v>0</v>
      </c>
      <c r="O217" s="298">
        <f t="shared" si="29"/>
        <v>0</v>
      </c>
      <c r="P217" s="302"/>
    </row>
    <row r="218" spans="2:16" ht="15">
      <c r="B218" s="172"/>
      <c r="C218" s="173"/>
      <c r="D218" s="174"/>
      <c r="E218" s="174"/>
      <c r="F218" s="175"/>
      <c r="G218" s="175">
        <f t="shared" si="25"/>
        <v>0</v>
      </c>
      <c r="H218" s="176">
        <v>0.05</v>
      </c>
      <c r="I218" s="177">
        <f t="shared" si="26"/>
        <v>0</v>
      </c>
      <c r="J218" s="177">
        <f t="shared" si="27"/>
        <v>0</v>
      </c>
      <c r="K218" s="291"/>
      <c r="L218" s="292"/>
      <c r="M218" s="293"/>
      <c r="N218" s="293">
        <f t="shared" si="28"/>
        <v>0</v>
      </c>
      <c r="O218" s="298">
        <f t="shared" si="29"/>
        <v>0</v>
      </c>
      <c r="P218" s="302"/>
    </row>
    <row r="219" spans="2:16" ht="15">
      <c r="B219" s="172"/>
      <c r="C219" s="173"/>
      <c r="D219" s="174"/>
      <c r="E219" s="174"/>
      <c r="F219" s="175"/>
      <c r="G219" s="175">
        <f t="shared" si="25"/>
        <v>0</v>
      </c>
      <c r="H219" s="176">
        <v>0.05</v>
      </c>
      <c r="I219" s="177">
        <f t="shared" si="26"/>
        <v>0</v>
      </c>
      <c r="J219" s="177">
        <f t="shared" si="27"/>
        <v>0</v>
      </c>
      <c r="K219" s="291"/>
      <c r="L219" s="292"/>
      <c r="M219" s="293"/>
      <c r="N219" s="293">
        <f t="shared" si="28"/>
        <v>0</v>
      </c>
      <c r="O219" s="298">
        <f t="shared" si="29"/>
        <v>0</v>
      </c>
      <c r="P219" s="302"/>
    </row>
    <row r="220" spans="2:16" ht="15">
      <c r="B220" s="172"/>
      <c r="C220" s="173"/>
      <c r="D220" s="174"/>
      <c r="E220" s="174"/>
      <c r="F220" s="175"/>
      <c r="G220" s="175">
        <f t="shared" ref="G220:G283" si="30">IF(D220=0,0,(D220+E220)/F220)</f>
        <v>0</v>
      </c>
      <c r="H220" s="176">
        <v>0.05</v>
      </c>
      <c r="I220" s="177">
        <f t="shared" ref="I220:I283" si="31">+G220*H220</f>
        <v>0</v>
      </c>
      <c r="J220" s="177">
        <f t="shared" ref="J220:J283" si="32">+G220+I220</f>
        <v>0</v>
      </c>
      <c r="K220" s="291"/>
      <c r="L220" s="292"/>
      <c r="M220" s="293"/>
      <c r="N220" s="293">
        <f t="shared" ref="N220:N283" si="33">IF(H220&lt;M220,H220/M220,0)</f>
        <v>0</v>
      </c>
      <c r="O220" s="298">
        <f t="shared" ref="O220:O283" si="34">1.5%*N220</f>
        <v>0</v>
      </c>
      <c r="P220" s="302"/>
    </row>
    <row r="221" spans="2:16" ht="15">
      <c r="B221" s="172"/>
      <c r="C221" s="173"/>
      <c r="D221" s="174"/>
      <c r="E221" s="174"/>
      <c r="F221" s="175"/>
      <c r="G221" s="175">
        <f t="shared" si="30"/>
        <v>0</v>
      </c>
      <c r="H221" s="176">
        <v>0.05</v>
      </c>
      <c r="I221" s="177">
        <f t="shared" si="31"/>
        <v>0</v>
      </c>
      <c r="J221" s="177">
        <f t="shared" si="32"/>
        <v>0</v>
      </c>
      <c r="K221" s="291"/>
      <c r="L221" s="292"/>
      <c r="M221" s="293"/>
      <c r="N221" s="293">
        <f t="shared" si="33"/>
        <v>0</v>
      </c>
      <c r="O221" s="298">
        <f t="shared" si="34"/>
        <v>0</v>
      </c>
      <c r="P221" s="302"/>
    </row>
    <row r="222" spans="2:16" ht="15">
      <c r="B222" s="172"/>
      <c r="C222" s="173"/>
      <c r="D222" s="174"/>
      <c r="E222" s="174"/>
      <c r="F222" s="175"/>
      <c r="G222" s="175">
        <f t="shared" si="30"/>
        <v>0</v>
      </c>
      <c r="H222" s="176">
        <v>0.05</v>
      </c>
      <c r="I222" s="177">
        <f t="shared" si="31"/>
        <v>0</v>
      </c>
      <c r="J222" s="177">
        <f t="shared" si="32"/>
        <v>0</v>
      </c>
      <c r="K222" s="291"/>
      <c r="L222" s="292"/>
      <c r="M222" s="293"/>
      <c r="N222" s="293">
        <f t="shared" si="33"/>
        <v>0</v>
      </c>
      <c r="O222" s="298">
        <f t="shared" si="34"/>
        <v>0</v>
      </c>
      <c r="P222" s="302"/>
    </row>
    <row r="223" spans="2:16" ht="15">
      <c r="B223" s="172"/>
      <c r="C223" s="173"/>
      <c r="D223" s="174"/>
      <c r="E223" s="174"/>
      <c r="F223" s="175"/>
      <c r="G223" s="175">
        <f t="shared" si="30"/>
        <v>0</v>
      </c>
      <c r="H223" s="176">
        <v>0.05</v>
      </c>
      <c r="I223" s="177">
        <f t="shared" si="31"/>
        <v>0</v>
      </c>
      <c r="J223" s="177">
        <f t="shared" si="32"/>
        <v>0</v>
      </c>
      <c r="K223" s="291"/>
      <c r="L223" s="292"/>
      <c r="M223" s="293"/>
      <c r="N223" s="293">
        <f t="shared" si="33"/>
        <v>0</v>
      </c>
      <c r="O223" s="298">
        <f t="shared" si="34"/>
        <v>0</v>
      </c>
      <c r="P223" s="302"/>
    </row>
    <row r="224" spans="2:16" ht="15">
      <c r="B224" s="172"/>
      <c r="C224" s="173"/>
      <c r="D224" s="174"/>
      <c r="E224" s="174"/>
      <c r="F224" s="175"/>
      <c r="G224" s="175">
        <f t="shared" si="30"/>
        <v>0</v>
      </c>
      <c r="H224" s="176">
        <v>0.05</v>
      </c>
      <c r="I224" s="177">
        <f t="shared" si="31"/>
        <v>0</v>
      </c>
      <c r="J224" s="177">
        <f t="shared" si="32"/>
        <v>0</v>
      </c>
      <c r="K224" s="291"/>
      <c r="L224" s="292"/>
      <c r="M224" s="293"/>
      <c r="N224" s="293">
        <f t="shared" si="33"/>
        <v>0</v>
      </c>
      <c r="O224" s="298">
        <f t="shared" si="34"/>
        <v>0</v>
      </c>
      <c r="P224" s="302"/>
    </row>
    <row r="225" spans="2:16" ht="15">
      <c r="B225" s="172"/>
      <c r="C225" s="173"/>
      <c r="D225" s="174"/>
      <c r="E225" s="174"/>
      <c r="F225" s="175"/>
      <c r="G225" s="175">
        <f t="shared" si="30"/>
        <v>0</v>
      </c>
      <c r="H225" s="176">
        <v>0.05</v>
      </c>
      <c r="I225" s="177">
        <f t="shared" si="31"/>
        <v>0</v>
      </c>
      <c r="J225" s="177">
        <f t="shared" si="32"/>
        <v>0</v>
      </c>
      <c r="K225" s="291"/>
      <c r="L225" s="292"/>
      <c r="M225" s="293"/>
      <c r="N225" s="293">
        <f t="shared" si="33"/>
        <v>0</v>
      </c>
      <c r="O225" s="298">
        <f t="shared" si="34"/>
        <v>0</v>
      </c>
      <c r="P225" s="302"/>
    </row>
    <row r="226" spans="2:16" ht="15">
      <c r="B226" s="172"/>
      <c r="C226" s="173"/>
      <c r="D226" s="174"/>
      <c r="E226" s="174"/>
      <c r="F226" s="175"/>
      <c r="G226" s="175">
        <f t="shared" si="30"/>
        <v>0</v>
      </c>
      <c r="H226" s="176">
        <v>0.05</v>
      </c>
      <c r="I226" s="177">
        <f t="shared" si="31"/>
        <v>0</v>
      </c>
      <c r="J226" s="177">
        <f t="shared" si="32"/>
        <v>0</v>
      </c>
      <c r="K226" s="291"/>
      <c r="L226" s="292"/>
      <c r="M226" s="293"/>
      <c r="N226" s="293">
        <f t="shared" si="33"/>
        <v>0</v>
      </c>
      <c r="O226" s="298">
        <f t="shared" si="34"/>
        <v>0</v>
      </c>
      <c r="P226" s="302"/>
    </row>
    <row r="227" spans="2:16" ht="15">
      <c r="B227" s="172"/>
      <c r="C227" s="173"/>
      <c r="D227" s="174"/>
      <c r="E227" s="174"/>
      <c r="F227" s="175"/>
      <c r="G227" s="175">
        <f t="shared" si="30"/>
        <v>0</v>
      </c>
      <c r="H227" s="176">
        <v>0.05</v>
      </c>
      <c r="I227" s="177">
        <f t="shared" si="31"/>
        <v>0</v>
      </c>
      <c r="J227" s="177">
        <f t="shared" si="32"/>
        <v>0</v>
      </c>
      <c r="K227" s="291"/>
      <c r="L227" s="292"/>
      <c r="M227" s="293"/>
      <c r="N227" s="293">
        <f t="shared" si="33"/>
        <v>0</v>
      </c>
      <c r="O227" s="298">
        <f t="shared" si="34"/>
        <v>0</v>
      </c>
      <c r="P227" s="302"/>
    </row>
    <row r="228" spans="2:16" ht="15">
      <c r="B228" s="172"/>
      <c r="C228" s="173"/>
      <c r="D228" s="174"/>
      <c r="E228" s="174"/>
      <c r="F228" s="175"/>
      <c r="G228" s="175">
        <f t="shared" si="30"/>
        <v>0</v>
      </c>
      <c r="H228" s="176">
        <v>0.05</v>
      </c>
      <c r="I228" s="177">
        <f t="shared" si="31"/>
        <v>0</v>
      </c>
      <c r="J228" s="177">
        <f t="shared" si="32"/>
        <v>0</v>
      </c>
      <c r="K228" s="291"/>
      <c r="L228" s="292"/>
      <c r="M228" s="293"/>
      <c r="N228" s="293">
        <f t="shared" si="33"/>
        <v>0</v>
      </c>
      <c r="O228" s="298">
        <f t="shared" si="34"/>
        <v>0</v>
      </c>
      <c r="P228" s="302"/>
    </row>
    <row r="229" spans="2:16" ht="15">
      <c r="B229" s="172"/>
      <c r="C229" s="173"/>
      <c r="D229" s="174"/>
      <c r="E229" s="174"/>
      <c r="F229" s="175"/>
      <c r="G229" s="175">
        <f t="shared" si="30"/>
        <v>0</v>
      </c>
      <c r="H229" s="176">
        <v>0.05</v>
      </c>
      <c r="I229" s="177">
        <f t="shared" si="31"/>
        <v>0</v>
      </c>
      <c r="J229" s="177">
        <f t="shared" si="32"/>
        <v>0</v>
      </c>
      <c r="K229" s="291"/>
      <c r="L229" s="292"/>
      <c r="M229" s="293"/>
      <c r="N229" s="293">
        <f t="shared" si="33"/>
        <v>0</v>
      </c>
      <c r="O229" s="298">
        <f t="shared" si="34"/>
        <v>0</v>
      </c>
      <c r="P229" s="302"/>
    </row>
    <row r="230" spans="2:16" ht="15">
      <c r="B230" s="172"/>
      <c r="C230" s="173"/>
      <c r="D230" s="174"/>
      <c r="E230" s="174"/>
      <c r="F230" s="175"/>
      <c r="G230" s="175">
        <f t="shared" si="30"/>
        <v>0</v>
      </c>
      <c r="H230" s="176">
        <v>0.05</v>
      </c>
      <c r="I230" s="177">
        <f t="shared" si="31"/>
        <v>0</v>
      </c>
      <c r="J230" s="177">
        <f t="shared" si="32"/>
        <v>0</v>
      </c>
      <c r="K230" s="291"/>
      <c r="L230" s="292"/>
      <c r="M230" s="293"/>
      <c r="N230" s="293">
        <f t="shared" si="33"/>
        <v>0</v>
      </c>
      <c r="O230" s="298">
        <f t="shared" si="34"/>
        <v>0</v>
      </c>
      <c r="P230" s="302"/>
    </row>
    <row r="231" spans="2:16" ht="15">
      <c r="B231" s="172"/>
      <c r="C231" s="173"/>
      <c r="D231" s="174"/>
      <c r="E231" s="174"/>
      <c r="F231" s="175"/>
      <c r="G231" s="175">
        <f t="shared" si="30"/>
        <v>0</v>
      </c>
      <c r="H231" s="176">
        <v>0.05</v>
      </c>
      <c r="I231" s="177">
        <f t="shared" si="31"/>
        <v>0</v>
      </c>
      <c r="J231" s="177">
        <f t="shared" si="32"/>
        <v>0</v>
      </c>
      <c r="K231" s="291"/>
      <c r="L231" s="292"/>
      <c r="M231" s="293"/>
      <c r="N231" s="293">
        <f t="shared" si="33"/>
        <v>0</v>
      </c>
      <c r="O231" s="298">
        <f t="shared" si="34"/>
        <v>0</v>
      </c>
      <c r="P231" s="302"/>
    </row>
    <row r="232" spans="2:16" ht="15">
      <c r="B232" s="172"/>
      <c r="C232" s="173"/>
      <c r="D232" s="174"/>
      <c r="E232" s="174"/>
      <c r="F232" s="175"/>
      <c r="G232" s="175">
        <f t="shared" si="30"/>
        <v>0</v>
      </c>
      <c r="H232" s="176">
        <v>0.05</v>
      </c>
      <c r="I232" s="177">
        <f t="shared" si="31"/>
        <v>0</v>
      </c>
      <c r="J232" s="177">
        <f t="shared" si="32"/>
        <v>0</v>
      </c>
      <c r="K232" s="291"/>
      <c r="L232" s="292"/>
      <c r="M232" s="293"/>
      <c r="N232" s="293">
        <f t="shared" si="33"/>
        <v>0</v>
      </c>
      <c r="O232" s="298">
        <f t="shared" si="34"/>
        <v>0</v>
      </c>
      <c r="P232" s="302"/>
    </row>
    <row r="233" spans="2:16" ht="15">
      <c r="B233" s="172"/>
      <c r="C233" s="173"/>
      <c r="D233" s="174"/>
      <c r="E233" s="174"/>
      <c r="F233" s="175"/>
      <c r="G233" s="175">
        <f t="shared" si="30"/>
        <v>0</v>
      </c>
      <c r="H233" s="176">
        <v>0.05</v>
      </c>
      <c r="I233" s="177">
        <f t="shared" si="31"/>
        <v>0</v>
      </c>
      <c r="J233" s="177">
        <f t="shared" si="32"/>
        <v>0</v>
      </c>
      <c r="K233" s="291"/>
      <c r="L233" s="292"/>
      <c r="M233" s="293"/>
      <c r="N233" s="293">
        <f t="shared" si="33"/>
        <v>0</v>
      </c>
      <c r="O233" s="298">
        <f t="shared" si="34"/>
        <v>0</v>
      </c>
      <c r="P233" s="302"/>
    </row>
    <row r="234" spans="2:16" ht="15">
      <c r="B234" s="172"/>
      <c r="C234" s="173"/>
      <c r="D234" s="174"/>
      <c r="E234" s="174"/>
      <c r="F234" s="175"/>
      <c r="G234" s="175">
        <f t="shared" si="30"/>
        <v>0</v>
      </c>
      <c r="H234" s="176">
        <v>0.05</v>
      </c>
      <c r="I234" s="177">
        <f t="shared" si="31"/>
        <v>0</v>
      </c>
      <c r="J234" s="177">
        <f t="shared" si="32"/>
        <v>0</v>
      </c>
      <c r="K234" s="291"/>
      <c r="L234" s="292"/>
      <c r="M234" s="293"/>
      <c r="N234" s="293">
        <f t="shared" si="33"/>
        <v>0</v>
      </c>
      <c r="O234" s="298">
        <f t="shared" si="34"/>
        <v>0</v>
      </c>
      <c r="P234" s="302"/>
    </row>
    <row r="235" spans="2:16" ht="15">
      <c r="B235" s="172"/>
      <c r="C235" s="173"/>
      <c r="D235" s="174"/>
      <c r="E235" s="174"/>
      <c r="F235" s="175"/>
      <c r="G235" s="175">
        <f t="shared" si="30"/>
        <v>0</v>
      </c>
      <c r="H235" s="176">
        <v>0.05</v>
      </c>
      <c r="I235" s="177">
        <f t="shared" si="31"/>
        <v>0</v>
      </c>
      <c r="J235" s="177">
        <f t="shared" si="32"/>
        <v>0</v>
      </c>
      <c r="K235" s="291"/>
      <c r="L235" s="292"/>
      <c r="M235" s="293"/>
      <c r="N235" s="293">
        <f t="shared" si="33"/>
        <v>0</v>
      </c>
      <c r="O235" s="298">
        <f t="shared" si="34"/>
        <v>0</v>
      </c>
      <c r="P235" s="302"/>
    </row>
    <row r="236" spans="2:16" ht="15">
      <c r="B236" s="172"/>
      <c r="C236" s="173"/>
      <c r="D236" s="174"/>
      <c r="E236" s="174"/>
      <c r="F236" s="175"/>
      <c r="G236" s="175">
        <f t="shared" si="30"/>
        <v>0</v>
      </c>
      <c r="H236" s="176">
        <v>0.05</v>
      </c>
      <c r="I236" s="177">
        <f t="shared" si="31"/>
        <v>0</v>
      </c>
      <c r="J236" s="177">
        <f t="shared" si="32"/>
        <v>0</v>
      </c>
      <c r="K236" s="291"/>
      <c r="L236" s="292"/>
      <c r="M236" s="293"/>
      <c r="N236" s="293">
        <f t="shared" si="33"/>
        <v>0</v>
      </c>
      <c r="O236" s="298">
        <f t="shared" si="34"/>
        <v>0</v>
      </c>
      <c r="P236" s="302"/>
    </row>
    <row r="237" spans="2:16" ht="15">
      <c r="B237" s="172"/>
      <c r="C237" s="173"/>
      <c r="D237" s="174"/>
      <c r="E237" s="174"/>
      <c r="F237" s="175"/>
      <c r="G237" s="175">
        <f t="shared" si="30"/>
        <v>0</v>
      </c>
      <c r="H237" s="176">
        <v>0.05</v>
      </c>
      <c r="I237" s="177">
        <f t="shared" si="31"/>
        <v>0</v>
      </c>
      <c r="J237" s="177">
        <f t="shared" si="32"/>
        <v>0</v>
      </c>
      <c r="K237" s="291"/>
      <c r="L237" s="292"/>
      <c r="M237" s="293"/>
      <c r="N237" s="293">
        <f t="shared" si="33"/>
        <v>0</v>
      </c>
      <c r="O237" s="298">
        <f t="shared" si="34"/>
        <v>0</v>
      </c>
      <c r="P237" s="302"/>
    </row>
    <row r="238" spans="2:16" ht="15">
      <c r="B238" s="172"/>
      <c r="C238" s="173"/>
      <c r="D238" s="174"/>
      <c r="E238" s="174"/>
      <c r="F238" s="175"/>
      <c r="G238" s="175">
        <f t="shared" si="30"/>
        <v>0</v>
      </c>
      <c r="H238" s="176">
        <v>0.05</v>
      </c>
      <c r="I238" s="177">
        <f t="shared" si="31"/>
        <v>0</v>
      </c>
      <c r="J238" s="177">
        <f t="shared" si="32"/>
        <v>0</v>
      </c>
      <c r="K238" s="291"/>
      <c r="L238" s="292"/>
      <c r="M238" s="293"/>
      <c r="N238" s="293">
        <f t="shared" si="33"/>
        <v>0</v>
      </c>
      <c r="O238" s="298">
        <f t="shared" si="34"/>
        <v>0</v>
      </c>
      <c r="P238" s="302"/>
    </row>
    <row r="239" spans="2:16" ht="15">
      <c r="B239" s="172"/>
      <c r="C239" s="173"/>
      <c r="D239" s="174"/>
      <c r="E239" s="174"/>
      <c r="F239" s="175"/>
      <c r="G239" s="175">
        <f t="shared" si="30"/>
        <v>0</v>
      </c>
      <c r="H239" s="176">
        <v>0.05</v>
      </c>
      <c r="I239" s="177">
        <f t="shared" si="31"/>
        <v>0</v>
      </c>
      <c r="J239" s="177">
        <f t="shared" si="32"/>
        <v>0</v>
      </c>
      <c r="K239" s="291"/>
      <c r="L239" s="292"/>
      <c r="M239" s="293"/>
      <c r="N239" s="293">
        <f t="shared" si="33"/>
        <v>0</v>
      </c>
      <c r="O239" s="298">
        <f t="shared" si="34"/>
        <v>0</v>
      </c>
      <c r="P239" s="302"/>
    </row>
    <row r="240" spans="2:16" ht="15">
      <c r="B240" s="172"/>
      <c r="C240" s="173"/>
      <c r="D240" s="174"/>
      <c r="E240" s="174"/>
      <c r="F240" s="175"/>
      <c r="G240" s="175">
        <f t="shared" si="30"/>
        <v>0</v>
      </c>
      <c r="H240" s="176">
        <v>0.05</v>
      </c>
      <c r="I240" s="177">
        <f t="shared" si="31"/>
        <v>0</v>
      </c>
      <c r="J240" s="177">
        <f t="shared" si="32"/>
        <v>0</v>
      </c>
      <c r="K240" s="291"/>
      <c r="L240" s="292"/>
      <c r="M240" s="293"/>
      <c r="N240" s="293">
        <f t="shared" si="33"/>
        <v>0</v>
      </c>
      <c r="O240" s="298">
        <f t="shared" si="34"/>
        <v>0</v>
      </c>
      <c r="P240" s="302"/>
    </row>
    <row r="241" spans="2:16" ht="15">
      <c r="B241" s="172"/>
      <c r="C241" s="173"/>
      <c r="D241" s="174"/>
      <c r="E241" s="174"/>
      <c r="F241" s="175"/>
      <c r="G241" s="175">
        <f t="shared" si="30"/>
        <v>0</v>
      </c>
      <c r="H241" s="176">
        <v>0.05</v>
      </c>
      <c r="I241" s="177">
        <f t="shared" si="31"/>
        <v>0</v>
      </c>
      <c r="J241" s="177">
        <f t="shared" si="32"/>
        <v>0</v>
      </c>
      <c r="K241" s="291"/>
      <c r="L241" s="292"/>
      <c r="M241" s="293"/>
      <c r="N241" s="293">
        <f t="shared" si="33"/>
        <v>0</v>
      </c>
      <c r="O241" s="298">
        <f t="shared" si="34"/>
        <v>0</v>
      </c>
      <c r="P241" s="302"/>
    </row>
    <row r="242" spans="2:16" ht="15">
      <c r="B242" s="172"/>
      <c r="C242" s="173"/>
      <c r="D242" s="174"/>
      <c r="E242" s="174"/>
      <c r="F242" s="175"/>
      <c r="G242" s="175">
        <f t="shared" si="30"/>
        <v>0</v>
      </c>
      <c r="H242" s="176">
        <v>0.05</v>
      </c>
      <c r="I242" s="177">
        <f t="shared" si="31"/>
        <v>0</v>
      </c>
      <c r="J242" s="177">
        <f t="shared" si="32"/>
        <v>0</v>
      </c>
      <c r="K242" s="291"/>
      <c r="L242" s="292"/>
      <c r="M242" s="293"/>
      <c r="N242" s="293">
        <f t="shared" si="33"/>
        <v>0</v>
      </c>
      <c r="O242" s="298">
        <f t="shared" si="34"/>
        <v>0</v>
      </c>
      <c r="P242" s="302"/>
    </row>
    <row r="243" spans="2:16" ht="15">
      <c r="B243" s="172"/>
      <c r="C243" s="173"/>
      <c r="D243" s="174"/>
      <c r="E243" s="174"/>
      <c r="F243" s="175"/>
      <c r="G243" s="175">
        <f t="shared" si="30"/>
        <v>0</v>
      </c>
      <c r="H243" s="176">
        <v>0.05</v>
      </c>
      <c r="I243" s="177">
        <f t="shared" si="31"/>
        <v>0</v>
      </c>
      <c r="J243" s="177">
        <f t="shared" si="32"/>
        <v>0</v>
      </c>
      <c r="K243" s="291"/>
      <c r="L243" s="292"/>
      <c r="M243" s="293"/>
      <c r="N243" s="293">
        <f t="shared" si="33"/>
        <v>0</v>
      </c>
      <c r="O243" s="298">
        <f t="shared" si="34"/>
        <v>0</v>
      </c>
      <c r="P243" s="302"/>
    </row>
    <row r="244" spans="2:16" ht="15">
      <c r="B244" s="172"/>
      <c r="C244" s="173"/>
      <c r="D244" s="174"/>
      <c r="E244" s="174"/>
      <c r="F244" s="175"/>
      <c r="G244" s="175">
        <f t="shared" si="30"/>
        <v>0</v>
      </c>
      <c r="H244" s="176">
        <v>0.05</v>
      </c>
      <c r="I244" s="177">
        <f t="shared" si="31"/>
        <v>0</v>
      </c>
      <c r="J244" s="177">
        <f t="shared" si="32"/>
        <v>0</v>
      </c>
      <c r="K244" s="291"/>
      <c r="L244" s="292"/>
      <c r="M244" s="293"/>
      <c r="N244" s="293">
        <f t="shared" si="33"/>
        <v>0</v>
      </c>
      <c r="O244" s="298">
        <f t="shared" si="34"/>
        <v>0</v>
      </c>
      <c r="P244" s="302"/>
    </row>
    <row r="245" spans="2:16" ht="15">
      <c r="B245" s="172"/>
      <c r="C245" s="173"/>
      <c r="D245" s="174"/>
      <c r="E245" s="174"/>
      <c r="F245" s="175"/>
      <c r="G245" s="175">
        <f t="shared" si="30"/>
        <v>0</v>
      </c>
      <c r="H245" s="176">
        <v>0.05</v>
      </c>
      <c r="I245" s="177">
        <f t="shared" si="31"/>
        <v>0</v>
      </c>
      <c r="J245" s="177">
        <f t="shared" si="32"/>
        <v>0</v>
      </c>
      <c r="K245" s="291"/>
      <c r="L245" s="292"/>
      <c r="M245" s="293"/>
      <c r="N245" s="293">
        <f t="shared" si="33"/>
        <v>0</v>
      </c>
      <c r="O245" s="298">
        <f t="shared" si="34"/>
        <v>0</v>
      </c>
      <c r="P245" s="302"/>
    </row>
    <row r="246" spans="2:16" ht="15">
      <c r="B246" s="172"/>
      <c r="C246" s="173"/>
      <c r="D246" s="174"/>
      <c r="E246" s="174"/>
      <c r="F246" s="175"/>
      <c r="G246" s="175">
        <f t="shared" si="30"/>
        <v>0</v>
      </c>
      <c r="H246" s="176">
        <v>0.05</v>
      </c>
      <c r="I246" s="177">
        <f t="shared" si="31"/>
        <v>0</v>
      </c>
      <c r="J246" s="177">
        <f t="shared" si="32"/>
        <v>0</v>
      </c>
      <c r="K246" s="291"/>
      <c r="L246" s="292"/>
      <c r="M246" s="293"/>
      <c r="N246" s="293">
        <f t="shared" si="33"/>
        <v>0</v>
      </c>
      <c r="O246" s="298">
        <f t="shared" si="34"/>
        <v>0</v>
      </c>
      <c r="P246" s="302"/>
    </row>
    <row r="247" spans="2:16" ht="15">
      <c r="B247" s="172"/>
      <c r="C247" s="173"/>
      <c r="D247" s="174"/>
      <c r="E247" s="174"/>
      <c r="F247" s="175"/>
      <c r="G247" s="175">
        <f t="shared" si="30"/>
        <v>0</v>
      </c>
      <c r="H247" s="176">
        <v>0.05</v>
      </c>
      <c r="I247" s="177">
        <f t="shared" si="31"/>
        <v>0</v>
      </c>
      <c r="J247" s="177">
        <f t="shared" si="32"/>
        <v>0</v>
      </c>
      <c r="K247" s="291"/>
      <c r="L247" s="292"/>
      <c r="M247" s="293"/>
      <c r="N247" s="293">
        <f t="shared" si="33"/>
        <v>0</v>
      </c>
      <c r="O247" s="298">
        <f t="shared" si="34"/>
        <v>0</v>
      </c>
      <c r="P247" s="302"/>
    </row>
    <row r="248" spans="2:16" ht="15">
      <c r="B248" s="172"/>
      <c r="C248" s="173"/>
      <c r="D248" s="174"/>
      <c r="E248" s="174"/>
      <c r="F248" s="175"/>
      <c r="G248" s="175">
        <f t="shared" si="30"/>
        <v>0</v>
      </c>
      <c r="H248" s="176">
        <v>0.05</v>
      </c>
      <c r="I248" s="177">
        <f t="shared" si="31"/>
        <v>0</v>
      </c>
      <c r="J248" s="177">
        <f t="shared" si="32"/>
        <v>0</v>
      </c>
      <c r="K248" s="291"/>
      <c r="L248" s="292"/>
      <c r="M248" s="293"/>
      <c r="N248" s="293">
        <f t="shared" si="33"/>
        <v>0</v>
      </c>
      <c r="O248" s="298">
        <f t="shared" si="34"/>
        <v>0</v>
      </c>
      <c r="P248" s="302"/>
    </row>
    <row r="249" spans="2:16" ht="15">
      <c r="B249" s="172"/>
      <c r="C249" s="173"/>
      <c r="D249" s="174"/>
      <c r="E249" s="174"/>
      <c r="F249" s="175"/>
      <c r="G249" s="175">
        <f t="shared" si="30"/>
        <v>0</v>
      </c>
      <c r="H249" s="176">
        <v>0.05</v>
      </c>
      <c r="I249" s="177">
        <f t="shared" si="31"/>
        <v>0</v>
      </c>
      <c r="J249" s="177">
        <f t="shared" si="32"/>
        <v>0</v>
      </c>
      <c r="K249" s="291"/>
      <c r="L249" s="292"/>
      <c r="M249" s="293"/>
      <c r="N249" s="293">
        <f t="shared" si="33"/>
        <v>0</v>
      </c>
      <c r="O249" s="298">
        <f t="shared" si="34"/>
        <v>0</v>
      </c>
      <c r="P249" s="302"/>
    </row>
    <row r="250" spans="2:16" ht="15">
      <c r="B250" s="172"/>
      <c r="C250" s="173"/>
      <c r="D250" s="174"/>
      <c r="E250" s="174"/>
      <c r="F250" s="175"/>
      <c r="G250" s="175">
        <f t="shared" si="30"/>
        <v>0</v>
      </c>
      <c r="H250" s="176">
        <v>0.05</v>
      </c>
      <c r="I250" s="177">
        <f t="shared" si="31"/>
        <v>0</v>
      </c>
      <c r="J250" s="177">
        <f t="shared" si="32"/>
        <v>0</v>
      </c>
      <c r="K250" s="291"/>
      <c r="L250" s="292"/>
      <c r="M250" s="293"/>
      <c r="N250" s="293">
        <f t="shared" si="33"/>
        <v>0</v>
      </c>
      <c r="O250" s="298">
        <f t="shared" si="34"/>
        <v>0</v>
      </c>
      <c r="P250" s="302"/>
    </row>
    <row r="251" spans="2:16" ht="15">
      <c r="B251" s="172"/>
      <c r="C251" s="173"/>
      <c r="D251" s="174"/>
      <c r="E251" s="174"/>
      <c r="F251" s="175"/>
      <c r="G251" s="175">
        <f t="shared" si="30"/>
        <v>0</v>
      </c>
      <c r="H251" s="176">
        <v>0.05</v>
      </c>
      <c r="I251" s="177">
        <f t="shared" si="31"/>
        <v>0</v>
      </c>
      <c r="J251" s="177">
        <f t="shared" si="32"/>
        <v>0</v>
      </c>
      <c r="K251" s="291"/>
      <c r="L251" s="292"/>
      <c r="M251" s="293"/>
      <c r="N251" s="293">
        <f t="shared" si="33"/>
        <v>0</v>
      </c>
      <c r="O251" s="298">
        <f t="shared" si="34"/>
        <v>0</v>
      </c>
      <c r="P251" s="302"/>
    </row>
    <row r="252" spans="2:16" ht="15">
      <c r="B252" s="172"/>
      <c r="C252" s="173"/>
      <c r="D252" s="174"/>
      <c r="E252" s="174"/>
      <c r="F252" s="175"/>
      <c r="G252" s="175">
        <f t="shared" si="30"/>
        <v>0</v>
      </c>
      <c r="H252" s="176">
        <v>0.05</v>
      </c>
      <c r="I252" s="177">
        <f t="shared" si="31"/>
        <v>0</v>
      </c>
      <c r="J252" s="177">
        <f t="shared" si="32"/>
        <v>0</v>
      </c>
      <c r="K252" s="291"/>
      <c r="L252" s="292"/>
      <c r="M252" s="293"/>
      <c r="N252" s="293">
        <f t="shared" si="33"/>
        <v>0</v>
      </c>
      <c r="O252" s="298">
        <f t="shared" si="34"/>
        <v>0</v>
      </c>
      <c r="P252" s="302"/>
    </row>
    <row r="253" spans="2:16" ht="15">
      <c r="B253" s="172"/>
      <c r="C253" s="173"/>
      <c r="D253" s="174"/>
      <c r="E253" s="174"/>
      <c r="F253" s="175"/>
      <c r="G253" s="175">
        <f t="shared" si="30"/>
        <v>0</v>
      </c>
      <c r="H253" s="176">
        <v>0.05</v>
      </c>
      <c r="I253" s="177">
        <f t="shared" si="31"/>
        <v>0</v>
      </c>
      <c r="J253" s="177">
        <f t="shared" si="32"/>
        <v>0</v>
      </c>
      <c r="K253" s="291"/>
      <c r="L253" s="292"/>
      <c r="M253" s="293"/>
      <c r="N253" s="293">
        <f t="shared" si="33"/>
        <v>0</v>
      </c>
      <c r="O253" s="298">
        <f t="shared" si="34"/>
        <v>0</v>
      </c>
      <c r="P253" s="302"/>
    </row>
    <row r="254" spans="2:16" ht="15">
      <c r="B254" s="172"/>
      <c r="C254" s="173"/>
      <c r="D254" s="174"/>
      <c r="E254" s="174"/>
      <c r="F254" s="175"/>
      <c r="G254" s="175">
        <f t="shared" si="30"/>
        <v>0</v>
      </c>
      <c r="H254" s="176">
        <v>0.05</v>
      </c>
      <c r="I254" s="177">
        <f t="shared" si="31"/>
        <v>0</v>
      </c>
      <c r="J254" s="177">
        <f t="shared" si="32"/>
        <v>0</v>
      </c>
      <c r="K254" s="291"/>
      <c r="L254" s="292"/>
      <c r="M254" s="293"/>
      <c r="N254" s="293">
        <f t="shared" si="33"/>
        <v>0</v>
      </c>
      <c r="O254" s="298">
        <f t="shared" si="34"/>
        <v>0</v>
      </c>
      <c r="P254" s="302"/>
    </row>
    <row r="255" spans="2:16" ht="15">
      <c r="B255" s="172"/>
      <c r="C255" s="173"/>
      <c r="D255" s="174"/>
      <c r="E255" s="174"/>
      <c r="F255" s="175"/>
      <c r="G255" s="175">
        <f t="shared" si="30"/>
        <v>0</v>
      </c>
      <c r="H255" s="176">
        <v>0.05</v>
      </c>
      <c r="I255" s="177">
        <f t="shared" si="31"/>
        <v>0</v>
      </c>
      <c r="J255" s="177">
        <f t="shared" si="32"/>
        <v>0</v>
      </c>
      <c r="K255" s="291"/>
      <c r="L255" s="292"/>
      <c r="M255" s="293"/>
      <c r="N255" s="293">
        <f t="shared" si="33"/>
        <v>0</v>
      </c>
      <c r="O255" s="298">
        <f t="shared" si="34"/>
        <v>0</v>
      </c>
      <c r="P255" s="302"/>
    </row>
    <row r="256" spans="2:16" ht="15">
      <c r="B256" s="172"/>
      <c r="C256" s="173"/>
      <c r="D256" s="174"/>
      <c r="E256" s="174"/>
      <c r="F256" s="175"/>
      <c r="G256" s="175">
        <f t="shared" si="30"/>
        <v>0</v>
      </c>
      <c r="H256" s="176">
        <v>0.05</v>
      </c>
      <c r="I256" s="177">
        <f t="shared" si="31"/>
        <v>0</v>
      </c>
      <c r="J256" s="177">
        <f t="shared" si="32"/>
        <v>0</v>
      </c>
      <c r="K256" s="291"/>
      <c r="L256" s="292"/>
      <c r="M256" s="293"/>
      <c r="N256" s="293">
        <f t="shared" si="33"/>
        <v>0</v>
      </c>
      <c r="O256" s="298">
        <f t="shared" si="34"/>
        <v>0</v>
      </c>
      <c r="P256" s="302"/>
    </row>
    <row r="257" spans="2:16" ht="15">
      <c r="B257" s="172"/>
      <c r="C257" s="173"/>
      <c r="D257" s="174"/>
      <c r="E257" s="174"/>
      <c r="F257" s="175"/>
      <c r="G257" s="175">
        <f t="shared" si="30"/>
        <v>0</v>
      </c>
      <c r="H257" s="176">
        <v>0.05</v>
      </c>
      <c r="I257" s="177">
        <f t="shared" si="31"/>
        <v>0</v>
      </c>
      <c r="J257" s="177">
        <f t="shared" si="32"/>
        <v>0</v>
      </c>
      <c r="K257" s="291"/>
      <c r="L257" s="292"/>
      <c r="M257" s="293"/>
      <c r="N257" s="293">
        <f t="shared" si="33"/>
        <v>0</v>
      </c>
      <c r="O257" s="298">
        <f t="shared" si="34"/>
        <v>0</v>
      </c>
      <c r="P257" s="302"/>
    </row>
    <row r="258" spans="2:16" ht="15">
      <c r="B258" s="172"/>
      <c r="C258" s="173"/>
      <c r="D258" s="174"/>
      <c r="E258" s="174"/>
      <c r="F258" s="175"/>
      <c r="G258" s="175">
        <f t="shared" si="30"/>
        <v>0</v>
      </c>
      <c r="H258" s="176">
        <v>0.05</v>
      </c>
      <c r="I258" s="177">
        <f t="shared" si="31"/>
        <v>0</v>
      </c>
      <c r="J258" s="177">
        <f t="shared" si="32"/>
        <v>0</v>
      </c>
      <c r="K258" s="291"/>
      <c r="L258" s="292"/>
      <c r="M258" s="293"/>
      <c r="N258" s="293">
        <f t="shared" si="33"/>
        <v>0</v>
      </c>
      <c r="O258" s="298">
        <f t="shared" si="34"/>
        <v>0</v>
      </c>
      <c r="P258" s="302"/>
    </row>
    <row r="259" spans="2:16" ht="15">
      <c r="B259" s="172"/>
      <c r="C259" s="173"/>
      <c r="D259" s="174"/>
      <c r="E259" s="174"/>
      <c r="F259" s="175"/>
      <c r="G259" s="175">
        <f t="shared" si="30"/>
        <v>0</v>
      </c>
      <c r="H259" s="176">
        <v>0.05</v>
      </c>
      <c r="I259" s="177">
        <f t="shared" si="31"/>
        <v>0</v>
      </c>
      <c r="J259" s="177">
        <f t="shared" si="32"/>
        <v>0</v>
      </c>
      <c r="K259" s="291"/>
      <c r="L259" s="292"/>
      <c r="M259" s="293"/>
      <c r="N259" s="293">
        <f t="shared" si="33"/>
        <v>0</v>
      </c>
      <c r="O259" s="298">
        <f t="shared" si="34"/>
        <v>0</v>
      </c>
      <c r="P259" s="302"/>
    </row>
    <row r="260" spans="2:16" ht="15">
      <c r="B260" s="172"/>
      <c r="C260" s="173"/>
      <c r="D260" s="174"/>
      <c r="E260" s="174"/>
      <c r="F260" s="175"/>
      <c r="G260" s="175">
        <f t="shared" si="30"/>
        <v>0</v>
      </c>
      <c r="H260" s="176">
        <v>0.05</v>
      </c>
      <c r="I260" s="177">
        <f t="shared" si="31"/>
        <v>0</v>
      </c>
      <c r="J260" s="177">
        <f t="shared" si="32"/>
        <v>0</v>
      </c>
      <c r="K260" s="291"/>
      <c r="L260" s="292"/>
      <c r="M260" s="293"/>
      <c r="N260" s="293">
        <f t="shared" si="33"/>
        <v>0</v>
      </c>
      <c r="O260" s="298">
        <f t="shared" si="34"/>
        <v>0</v>
      </c>
      <c r="P260" s="302"/>
    </row>
    <row r="261" spans="2:16" ht="15">
      <c r="B261" s="172"/>
      <c r="C261" s="173"/>
      <c r="D261" s="174"/>
      <c r="E261" s="174"/>
      <c r="F261" s="175"/>
      <c r="G261" s="175">
        <f t="shared" si="30"/>
        <v>0</v>
      </c>
      <c r="H261" s="176">
        <v>0.05</v>
      </c>
      <c r="I261" s="177">
        <f t="shared" si="31"/>
        <v>0</v>
      </c>
      <c r="J261" s="177">
        <f t="shared" si="32"/>
        <v>0</v>
      </c>
      <c r="K261" s="291"/>
      <c r="L261" s="292"/>
      <c r="M261" s="293"/>
      <c r="N261" s="293">
        <f t="shared" si="33"/>
        <v>0</v>
      </c>
      <c r="O261" s="298">
        <f t="shared" si="34"/>
        <v>0</v>
      </c>
      <c r="P261" s="302"/>
    </row>
    <row r="262" spans="2:16" ht="15">
      <c r="B262" s="172"/>
      <c r="C262" s="173"/>
      <c r="D262" s="174"/>
      <c r="E262" s="174"/>
      <c r="F262" s="175"/>
      <c r="G262" s="175">
        <f t="shared" si="30"/>
        <v>0</v>
      </c>
      <c r="H262" s="176">
        <v>0.05</v>
      </c>
      <c r="I262" s="177">
        <f t="shared" si="31"/>
        <v>0</v>
      </c>
      <c r="J262" s="177">
        <f t="shared" si="32"/>
        <v>0</v>
      </c>
      <c r="K262" s="291"/>
      <c r="L262" s="292"/>
      <c r="M262" s="293"/>
      <c r="N262" s="293">
        <f t="shared" si="33"/>
        <v>0</v>
      </c>
      <c r="O262" s="298">
        <f t="shared" si="34"/>
        <v>0</v>
      </c>
      <c r="P262" s="302"/>
    </row>
    <row r="263" spans="2:16" ht="15">
      <c r="B263" s="172"/>
      <c r="C263" s="173"/>
      <c r="D263" s="174"/>
      <c r="E263" s="174"/>
      <c r="F263" s="175"/>
      <c r="G263" s="175">
        <f t="shared" si="30"/>
        <v>0</v>
      </c>
      <c r="H263" s="176">
        <v>0.05</v>
      </c>
      <c r="I263" s="177">
        <f t="shared" si="31"/>
        <v>0</v>
      </c>
      <c r="J263" s="177">
        <f t="shared" si="32"/>
        <v>0</v>
      </c>
      <c r="K263" s="291"/>
      <c r="L263" s="292"/>
      <c r="M263" s="293"/>
      <c r="N263" s="293">
        <f t="shared" si="33"/>
        <v>0</v>
      </c>
      <c r="O263" s="298">
        <f t="shared" si="34"/>
        <v>0</v>
      </c>
      <c r="P263" s="302"/>
    </row>
    <row r="264" spans="2:16" ht="15">
      <c r="B264" s="172"/>
      <c r="C264" s="173"/>
      <c r="D264" s="174"/>
      <c r="E264" s="174"/>
      <c r="F264" s="175"/>
      <c r="G264" s="175">
        <f t="shared" si="30"/>
        <v>0</v>
      </c>
      <c r="H264" s="176">
        <v>0.05</v>
      </c>
      <c r="I264" s="177">
        <f t="shared" si="31"/>
        <v>0</v>
      </c>
      <c r="J264" s="177">
        <f t="shared" si="32"/>
        <v>0</v>
      </c>
      <c r="K264" s="291"/>
      <c r="L264" s="292"/>
      <c r="M264" s="293"/>
      <c r="N264" s="293">
        <f t="shared" si="33"/>
        <v>0</v>
      </c>
      <c r="O264" s="298">
        <f t="shared" si="34"/>
        <v>0</v>
      </c>
      <c r="P264" s="302"/>
    </row>
    <row r="265" spans="2:16" ht="15">
      <c r="B265" s="172"/>
      <c r="C265" s="173"/>
      <c r="D265" s="174"/>
      <c r="E265" s="174"/>
      <c r="F265" s="175"/>
      <c r="G265" s="175">
        <f t="shared" si="30"/>
        <v>0</v>
      </c>
      <c r="H265" s="176">
        <v>0.05</v>
      </c>
      <c r="I265" s="177">
        <f t="shared" si="31"/>
        <v>0</v>
      </c>
      <c r="J265" s="177">
        <f t="shared" si="32"/>
        <v>0</v>
      </c>
      <c r="K265" s="291"/>
      <c r="L265" s="292"/>
      <c r="M265" s="293"/>
      <c r="N265" s="293">
        <f t="shared" si="33"/>
        <v>0</v>
      </c>
      <c r="O265" s="298">
        <f t="shared" si="34"/>
        <v>0</v>
      </c>
      <c r="P265" s="302"/>
    </row>
    <row r="266" spans="2:16" ht="15">
      <c r="B266" s="172"/>
      <c r="C266" s="173"/>
      <c r="D266" s="174"/>
      <c r="E266" s="174"/>
      <c r="F266" s="175"/>
      <c r="G266" s="175">
        <f t="shared" si="30"/>
        <v>0</v>
      </c>
      <c r="H266" s="176">
        <v>0.05</v>
      </c>
      <c r="I266" s="177">
        <f t="shared" si="31"/>
        <v>0</v>
      </c>
      <c r="J266" s="177">
        <f t="shared" si="32"/>
        <v>0</v>
      </c>
      <c r="K266" s="291"/>
      <c r="L266" s="292"/>
      <c r="M266" s="293"/>
      <c r="N266" s="293">
        <f t="shared" si="33"/>
        <v>0</v>
      </c>
      <c r="O266" s="298">
        <f t="shared" si="34"/>
        <v>0</v>
      </c>
      <c r="P266" s="302"/>
    </row>
    <row r="267" spans="2:16" ht="15">
      <c r="B267" s="172"/>
      <c r="C267" s="173"/>
      <c r="D267" s="174"/>
      <c r="E267" s="174"/>
      <c r="F267" s="175"/>
      <c r="G267" s="175">
        <f t="shared" si="30"/>
        <v>0</v>
      </c>
      <c r="H267" s="176">
        <v>0.05</v>
      </c>
      <c r="I267" s="177">
        <f t="shared" si="31"/>
        <v>0</v>
      </c>
      <c r="J267" s="177">
        <f t="shared" si="32"/>
        <v>0</v>
      </c>
      <c r="K267" s="291"/>
      <c r="L267" s="292"/>
      <c r="M267" s="293"/>
      <c r="N267" s="293">
        <f t="shared" si="33"/>
        <v>0</v>
      </c>
      <c r="O267" s="298">
        <f t="shared" si="34"/>
        <v>0</v>
      </c>
      <c r="P267" s="302"/>
    </row>
    <row r="268" spans="2:16" ht="15">
      <c r="B268" s="172"/>
      <c r="C268" s="173"/>
      <c r="D268" s="174"/>
      <c r="E268" s="174"/>
      <c r="F268" s="175"/>
      <c r="G268" s="175">
        <f t="shared" si="30"/>
        <v>0</v>
      </c>
      <c r="H268" s="176">
        <v>0.05</v>
      </c>
      <c r="I268" s="177">
        <f t="shared" si="31"/>
        <v>0</v>
      </c>
      <c r="J268" s="177">
        <f t="shared" si="32"/>
        <v>0</v>
      </c>
      <c r="K268" s="291"/>
      <c r="L268" s="292"/>
      <c r="M268" s="293"/>
      <c r="N268" s="293">
        <f t="shared" si="33"/>
        <v>0</v>
      </c>
      <c r="O268" s="298">
        <f t="shared" si="34"/>
        <v>0</v>
      </c>
      <c r="P268" s="302"/>
    </row>
    <row r="269" spans="2:16" ht="15">
      <c r="B269" s="172"/>
      <c r="C269" s="173"/>
      <c r="D269" s="174"/>
      <c r="E269" s="174"/>
      <c r="F269" s="175"/>
      <c r="G269" s="175">
        <f t="shared" si="30"/>
        <v>0</v>
      </c>
      <c r="H269" s="176">
        <v>0.05</v>
      </c>
      <c r="I269" s="177">
        <f t="shared" si="31"/>
        <v>0</v>
      </c>
      <c r="J269" s="177">
        <f t="shared" si="32"/>
        <v>0</v>
      </c>
      <c r="K269" s="291"/>
      <c r="L269" s="292"/>
      <c r="M269" s="293"/>
      <c r="N269" s="293">
        <f t="shared" si="33"/>
        <v>0</v>
      </c>
      <c r="O269" s="298">
        <f t="shared" si="34"/>
        <v>0</v>
      </c>
      <c r="P269" s="302"/>
    </row>
    <row r="270" spans="2:16" ht="15">
      <c r="B270" s="172"/>
      <c r="C270" s="173"/>
      <c r="D270" s="174"/>
      <c r="E270" s="174"/>
      <c r="F270" s="175"/>
      <c r="G270" s="175">
        <f t="shared" si="30"/>
        <v>0</v>
      </c>
      <c r="H270" s="176">
        <v>0.05</v>
      </c>
      <c r="I270" s="177">
        <f t="shared" si="31"/>
        <v>0</v>
      </c>
      <c r="J270" s="177">
        <f t="shared" si="32"/>
        <v>0</v>
      </c>
      <c r="K270" s="291"/>
      <c r="L270" s="292"/>
      <c r="M270" s="293"/>
      <c r="N270" s="293">
        <f t="shared" si="33"/>
        <v>0</v>
      </c>
      <c r="O270" s="298">
        <f t="shared" si="34"/>
        <v>0</v>
      </c>
      <c r="P270" s="302"/>
    </row>
    <row r="271" spans="2:16" ht="15">
      <c r="B271" s="172"/>
      <c r="C271" s="173"/>
      <c r="D271" s="174"/>
      <c r="E271" s="174"/>
      <c r="F271" s="175"/>
      <c r="G271" s="175">
        <f t="shared" si="30"/>
        <v>0</v>
      </c>
      <c r="H271" s="176">
        <v>0.05</v>
      </c>
      <c r="I271" s="177">
        <f t="shared" si="31"/>
        <v>0</v>
      </c>
      <c r="J271" s="177">
        <f t="shared" si="32"/>
        <v>0</v>
      </c>
      <c r="K271" s="291"/>
      <c r="L271" s="292"/>
      <c r="M271" s="293"/>
      <c r="N271" s="293">
        <f t="shared" si="33"/>
        <v>0</v>
      </c>
      <c r="O271" s="298">
        <f t="shared" si="34"/>
        <v>0</v>
      </c>
      <c r="P271" s="302"/>
    </row>
    <row r="272" spans="2:16" ht="15">
      <c r="B272" s="172"/>
      <c r="C272" s="173"/>
      <c r="D272" s="174"/>
      <c r="E272" s="174"/>
      <c r="F272" s="175"/>
      <c r="G272" s="175">
        <f t="shared" si="30"/>
        <v>0</v>
      </c>
      <c r="H272" s="176">
        <v>0.05</v>
      </c>
      <c r="I272" s="177">
        <f t="shared" si="31"/>
        <v>0</v>
      </c>
      <c r="J272" s="177">
        <f t="shared" si="32"/>
        <v>0</v>
      </c>
      <c r="K272" s="291"/>
      <c r="L272" s="292"/>
      <c r="M272" s="293"/>
      <c r="N272" s="293">
        <f t="shared" si="33"/>
        <v>0</v>
      </c>
      <c r="O272" s="298">
        <f t="shared" si="34"/>
        <v>0</v>
      </c>
      <c r="P272" s="302"/>
    </row>
    <row r="273" spans="2:16" ht="15">
      <c r="B273" s="172"/>
      <c r="C273" s="173"/>
      <c r="D273" s="174"/>
      <c r="E273" s="174"/>
      <c r="F273" s="175"/>
      <c r="G273" s="175">
        <f t="shared" si="30"/>
        <v>0</v>
      </c>
      <c r="H273" s="176">
        <v>0.05</v>
      </c>
      <c r="I273" s="177">
        <f t="shared" si="31"/>
        <v>0</v>
      </c>
      <c r="J273" s="177">
        <f t="shared" si="32"/>
        <v>0</v>
      </c>
      <c r="K273" s="291"/>
      <c r="L273" s="292"/>
      <c r="M273" s="293"/>
      <c r="N273" s="293">
        <f t="shared" si="33"/>
        <v>0</v>
      </c>
      <c r="O273" s="298">
        <f t="shared" si="34"/>
        <v>0</v>
      </c>
      <c r="P273" s="302"/>
    </row>
    <row r="274" spans="2:16" ht="15">
      <c r="B274" s="172"/>
      <c r="C274" s="173"/>
      <c r="D274" s="174"/>
      <c r="E274" s="174"/>
      <c r="F274" s="175"/>
      <c r="G274" s="175">
        <f t="shared" si="30"/>
        <v>0</v>
      </c>
      <c r="H274" s="176">
        <v>0.05</v>
      </c>
      <c r="I274" s="177">
        <f t="shared" si="31"/>
        <v>0</v>
      </c>
      <c r="J274" s="177">
        <f t="shared" si="32"/>
        <v>0</v>
      </c>
      <c r="K274" s="291"/>
      <c r="L274" s="292"/>
      <c r="M274" s="293"/>
      <c r="N274" s="293">
        <f t="shared" si="33"/>
        <v>0</v>
      </c>
      <c r="O274" s="298">
        <f t="shared" si="34"/>
        <v>0</v>
      </c>
      <c r="P274" s="302"/>
    </row>
    <row r="275" spans="2:16" ht="15">
      <c r="B275" s="172"/>
      <c r="C275" s="173"/>
      <c r="D275" s="174"/>
      <c r="E275" s="174"/>
      <c r="F275" s="175"/>
      <c r="G275" s="175">
        <f t="shared" si="30"/>
        <v>0</v>
      </c>
      <c r="H275" s="176">
        <v>0.05</v>
      </c>
      <c r="I275" s="177">
        <f t="shared" si="31"/>
        <v>0</v>
      </c>
      <c r="J275" s="177">
        <f t="shared" si="32"/>
        <v>0</v>
      </c>
      <c r="K275" s="291"/>
      <c r="L275" s="292"/>
      <c r="M275" s="293"/>
      <c r="N275" s="293">
        <f t="shared" si="33"/>
        <v>0</v>
      </c>
      <c r="O275" s="298">
        <f t="shared" si="34"/>
        <v>0</v>
      </c>
      <c r="P275" s="302"/>
    </row>
    <row r="276" spans="2:16" ht="15">
      <c r="B276" s="172"/>
      <c r="C276" s="173"/>
      <c r="D276" s="174"/>
      <c r="E276" s="174"/>
      <c r="F276" s="175"/>
      <c r="G276" s="175">
        <f t="shared" si="30"/>
        <v>0</v>
      </c>
      <c r="H276" s="176">
        <v>0.05</v>
      </c>
      <c r="I276" s="177">
        <f t="shared" si="31"/>
        <v>0</v>
      </c>
      <c r="J276" s="177">
        <f t="shared" si="32"/>
        <v>0</v>
      </c>
      <c r="K276" s="291"/>
      <c r="L276" s="292"/>
      <c r="M276" s="293"/>
      <c r="N276" s="293">
        <f t="shared" si="33"/>
        <v>0</v>
      </c>
      <c r="O276" s="298">
        <f t="shared" si="34"/>
        <v>0</v>
      </c>
      <c r="P276" s="302"/>
    </row>
    <row r="277" spans="2:16" ht="15">
      <c r="B277" s="172"/>
      <c r="C277" s="173"/>
      <c r="D277" s="174"/>
      <c r="E277" s="174"/>
      <c r="F277" s="175"/>
      <c r="G277" s="175">
        <f t="shared" si="30"/>
        <v>0</v>
      </c>
      <c r="H277" s="176">
        <v>0.05</v>
      </c>
      <c r="I277" s="177">
        <f t="shared" si="31"/>
        <v>0</v>
      </c>
      <c r="J277" s="177">
        <f t="shared" si="32"/>
        <v>0</v>
      </c>
      <c r="K277" s="291"/>
      <c r="L277" s="292"/>
      <c r="M277" s="293"/>
      <c r="N277" s="293">
        <f t="shared" si="33"/>
        <v>0</v>
      </c>
      <c r="O277" s="298">
        <f t="shared" si="34"/>
        <v>0</v>
      </c>
      <c r="P277" s="302"/>
    </row>
    <row r="278" spans="2:16" ht="15">
      <c r="B278" s="172"/>
      <c r="C278" s="173"/>
      <c r="D278" s="174"/>
      <c r="E278" s="174"/>
      <c r="F278" s="175"/>
      <c r="G278" s="175">
        <f t="shared" si="30"/>
        <v>0</v>
      </c>
      <c r="H278" s="176">
        <v>0.05</v>
      </c>
      <c r="I278" s="177">
        <f t="shared" si="31"/>
        <v>0</v>
      </c>
      <c r="J278" s="177">
        <f t="shared" si="32"/>
        <v>0</v>
      </c>
      <c r="K278" s="291"/>
      <c r="L278" s="292"/>
      <c r="M278" s="293"/>
      <c r="N278" s="293">
        <f t="shared" si="33"/>
        <v>0</v>
      </c>
      <c r="O278" s="298">
        <f t="shared" si="34"/>
        <v>0</v>
      </c>
      <c r="P278" s="302"/>
    </row>
    <row r="279" spans="2:16" ht="15">
      <c r="B279" s="172"/>
      <c r="C279" s="173"/>
      <c r="D279" s="174"/>
      <c r="E279" s="174"/>
      <c r="F279" s="175"/>
      <c r="G279" s="175">
        <f t="shared" si="30"/>
        <v>0</v>
      </c>
      <c r="H279" s="176">
        <v>0.05</v>
      </c>
      <c r="I279" s="177">
        <f t="shared" si="31"/>
        <v>0</v>
      </c>
      <c r="J279" s="177">
        <f t="shared" si="32"/>
        <v>0</v>
      </c>
      <c r="K279" s="291"/>
      <c r="L279" s="292"/>
      <c r="M279" s="293"/>
      <c r="N279" s="293">
        <f t="shared" si="33"/>
        <v>0</v>
      </c>
      <c r="O279" s="298">
        <f t="shared" si="34"/>
        <v>0</v>
      </c>
      <c r="P279" s="302"/>
    </row>
    <row r="280" spans="2:16" ht="15">
      <c r="B280" s="172"/>
      <c r="C280" s="173"/>
      <c r="D280" s="174"/>
      <c r="E280" s="174"/>
      <c r="F280" s="175"/>
      <c r="G280" s="175">
        <f t="shared" si="30"/>
        <v>0</v>
      </c>
      <c r="H280" s="176">
        <v>0.05</v>
      </c>
      <c r="I280" s="177">
        <f t="shared" si="31"/>
        <v>0</v>
      </c>
      <c r="J280" s="177">
        <f t="shared" si="32"/>
        <v>0</v>
      </c>
      <c r="K280" s="291"/>
      <c r="L280" s="292"/>
      <c r="M280" s="293"/>
      <c r="N280" s="293">
        <f t="shared" si="33"/>
        <v>0</v>
      </c>
      <c r="O280" s="298">
        <f t="shared" si="34"/>
        <v>0</v>
      </c>
      <c r="P280" s="302"/>
    </row>
    <row r="281" spans="2:16" ht="15">
      <c r="B281" s="172"/>
      <c r="C281" s="173"/>
      <c r="D281" s="174"/>
      <c r="E281" s="174"/>
      <c r="F281" s="175"/>
      <c r="G281" s="175">
        <f t="shared" si="30"/>
        <v>0</v>
      </c>
      <c r="H281" s="176">
        <v>0.05</v>
      </c>
      <c r="I281" s="177">
        <f t="shared" si="31"/>
        <v>0</v>
      </c>
      <c r="J281" s="177">
        <f t="shared" si="32"/>
        <v>0</v>
      </c>
      <c r="K281" s="291"/>
      <c r="L281" s="292"/>
      <c r="M281" s="293"/>
      <c r="N281" s="293">
        <f t="shared" si="33"/>
        <v>0</v>
      </c>
      <c r="O281" s="298">
        <f t="shared" si="34"/>
        <v>0</v>
      </c>
      <c r="P281" s="302"/>
    </row>
    <row r="282" spans="2:16" ht="15">
      <c r="B282" s="172"/>
      <c r="C282" s="173"/>
      <c r="D282" s="174"/>
      <c r="E282" s="174"/>
      <c r="F282" s="175"/>
      <c r="G282" s="175">
        <f t="shared" si="30"/>
        <v>0</v>
      </c>
      <c r="H282" s="176">
        <v>0.05</v>
      </c>
      <c r="I282" s="177">
        <f t="shared" si="31"/>
        <v>0</v>
      </c>
      <c r="J282" s="177">
        <f t="shared" si="32"/>
        <v>0</v>
      </c>
      <c r="K282" s="291"/>
      <c r="L282" s="292"/>
      <c r="M282" s="293"/>
      <c r="N282" s="293">
        <f t="shared" si="33"/>
        <v>0</v>
      </c>
      <c r="O282" s="298">
        <f t="shared" si="34"/>
        <v>0</v>
      </c>
      <c r="P282" s="302"/>
    </row>
    <row r="283" spans="2:16" ht="15">
      <c r="B283" s="172"/>
      <c r="C283" s="173"/>
      <c r="D283" s="174"/>
      <c r="E283" s="174"/>
      <c r="F283" s="175"/>
      <c r="G283" s="175">
        <f t="shared" si="30"/>
        <v>0</v>
      </c>
      <c r="H283" s="176">
        <v>0.05</v>
      </c>
      <c r="I283" s="177">
        <f t="shared" si="31"/>
        <v>0</v>
      </c>
      <c r="J283" s="177">
        <f t="shared" si="32"/>
        <v>0</v>
      </c>
      <c r="K283" s="291"/>
      <c r="L283" s="292"/>
      <c r="M283" s="293"/>
      <c r="N283" s="293">
        <f t="shared" si="33"/>
        <v>0</v>
      </c>
      <c r="O283" s="298">
        <f t="shared" si="34"/>
        <v>0</v>
      </c>
      <c r="P283" s="302"/>
    </row>
    <row r="284" spans="2:16" ht="15">
      <c r="B284" s="172"/>
      <c r="C284" s="173"/>
      <c r="D284" s="174"/>
      <c r="E284" s="174"/>
      <c r="F284" s="175"/>
      <c r="G284" s="175">
        <f t="shared" ref="G284:G347" si="35">IF(D284=0,0,(D284+E284)/F284)</f>
        <v>0</v>
      </c>
      <c r="H284" s="176">
        <v>0.05</v>
      </c>
      <c r="I284" s="177">
        <f t="shared" ref="I284:I347" si="36">+G284*H284</f>
        <v>0</v>
      </c>
      <c r="J284" s="177">
        <f t="shared" ref="J284:J347" si="37">+G284+I284</f>
        <v>0</v>
      </c>
      <c r="K284" s="291"/>
      <c r="L284" s="292"/>
      <c r="M284" s="293"/>
      <c r="N284" s="293">
        <f t="shared" ref="N284:N347" si="38">IF(H284&lt;M284,H284/M284,0)</f>
        <v>0</v>
      </c>
      <c r="O284" s="298">
        <f t="shared" ref="O284:O347" si="39">1.5%*N284</f>
        <v>0</v>
      </c>
      <c r="P284" s="302"/>
    </row>
    <row r="285" spans="2:16" ht="15">
      <c r="B285" s="172"/>
      <c r="C285" s="173"/>
      <c r="D285" s="174"/>
      <c r="E285" s="174"/>
      <c r="F285" s="175"/>
      <c r="G285" s="175">
        <f t="shared" si="35"/>
        <v>0</v>
      </c>
      <c r="H285" s="176">
        <v>0.05</v>
      </c>
      <c r="I285" s="177">
        <f t="shared" si="36"/>
        <v>0</v>
      </c>
      <c r="J285" s="177">
        <f t="shared" si="37"/>
        <v>0</v>
      </c>
      <c r="K285" s="291"/>
      <c r="L285" s="292"/>
      <c r="M285" s="293"/>
      <c r="N285" s="293">
        <f t="shared" si="38"/>
        <v>0</v>
      </c>
      <c r="O285" s="298">
        <f t="shared" si="39"/>
        <v>0</v>
      </c>
      <c r="P285" s="302"/>
    </row>
    <row r="286" spans="2:16" ht="15">
      <c r="B286" s="172"/>
      <c r="C286" s="173"/>
      <c r="D286" s="174"/>
      <c r="E286" s="174"/>
      <c r="F286" s="175"/>
      <c r="G286" s="175">
        <f t="shared" si="35"/>
        <v>0</v>
      </c>
      <c r="H286" s="176">
        <v>0.05</v>
      </c>
      <c r="I286" s="177">
        <f t="shared" si="36"/>
        <v>0</v>
      </c>
      <c r="J286" s="177">
        <f t="shared" si="37"/>
        <v>0</v>
      </c>
      <c r="K286" s="291"/>
      <c r="L286" s="292"/>
      <c r="M286" s="293"/>
      <c r="N286" s="293">
        <f t="shared" si="38"/>
        <v>0</v>
      </c>
      <c r="O286" s="298">
        <f t="shared" si="39"/>
        <v>0</v>
      </c>
      <c r="P286" s="302"/>
    </row>
    <row r="287" spans="2:16" ht="15">
      <c r="B287" s="172"/>
      <c r="C287" s="173"/>
      <c r="D287" s="174"/>
      <c r="E287" s="174"/>
      <c r="F287" s="175"/>
      <c r="G287" s="175">
        <f t="shared" si="35"/>
        <v>0</v>
      </c>
      <c r="H287" s="176">
        <v>0.05</v>
      </c>
      <c r="I287" s="177">
        <f t="shared" si="36"/>
        <v>0</v>
      </c>
      <c r="J287" s="177">
        <f t="shared" si="37"/>
        <v>0</v>
      </c>
      <c r="K287" s="291"/>
      <c r="L287" s="292"/>
      <c r="M287" s="293"/>
      <c r="N287" s="293">
        <f t="shared" si="38"/>
        <v>0</v>
      </c>
      <c r="O287" s="298">
        <f t="shared" si="39"/>
        <v>0</v>
      </c>
      <c r="P287" s="302"/>
    </row>
    <row r="288" spans="2:16" ht="15">
      <c r="B288" s="172"/>
      <c r="C288" s="173"/>
      <c r="D288" s="174"/>
      <c r="E288" s="174"/>
      <c r="F288" s="175"/>
      <c r="G288" s="175">
        <f t="shared" si="35"/>
        <v>0</v>
      </c>
      <c r="H288" s="176">
        <v>0.05</v>
      </c>
      <c r="I288" s="177">
        <f t="shared" si="36"/>
        <v>0</v>
      </c>
      <c r="J288" s="177">
        <f t="shared" si="37"/>
        <v>0</v>
      </c>
      <c r="K288" s="291"/>
      <c r="L288" s="292"/>
      <c r="M288" s="293"/>
      <c r="N288" s="293">
        <f t="shared" si="38"/>
        <v>0</v>
      </c>
      <c r="O288" s="298">
        <f t="shared" si="39"/>
        <v>0</v>
      </c>
      <c r="P288" s="302"/>
    </row>
    <row r="289" spans="2:16" ht="15">
      <c r="B289" s="172"/>
      <c r="C289" s="173"/>
      <c r="D289" s="174"/>
      <c r="E289" s="174"/>
      <c r="F289" s="175"/>
      <c r="G289" s="175">
        <f t="shared" si="35"/>
        <v>0</v>
      </c>
      <c r="H289" s="176">
        <v>0.05</v>
      </c>
      <c r="I289" s="177">
        <f t="shared" si="36"/>
        <v>0</v>
      </c>
      <c r="J289" s="177">
        <f t="shared" si="37"/>
        <v>0</v>
      </c>
      <c r="K289" s="291"/>
      <c r="L289" s="292"/>
      <c r="M289" s="293"/>
      <c r="N289" s="293">
        <f t="shared" si="38"/>
        <v>0</v>
      </c>
      <c r="O289" s="298">
        <f t="shared" si="39"/>
        <v>0</v>
      </c>
      <c r="P289" s="302"/>
    </row>
    <row r="290" spans="2:16" ht="15">
      <c r="B290" s="172"/>
      <c r="C290" s="173"/>
      <c r="D290" s="174"/>
      <c r="E290" s="174"/>
      <c r="F290" s="175"/>
      <c r="G290" s="175">
        <f t="shared" si="35"/>
        <v>0</v>
      </c>
      <c r="H290" s="176">
        <v>0.05</v>
      </c>
      <c r="I290" s="177">
        <f t="shared" si="36"/>
        <v>0</v>
      </c>
      <c r="J290" s="177">
        <f t="shared" si="37"/>
        <v>0</v>
      </c>
      <c r="K290" s="291"/>
      <c r="L290" s="292"/>
      <c r="M290" s="293"/>
      <c r="N290" s="293">
        <f t="shared" si="38"/>
        <v>0</v>
      </c>
      <c r="O290" s="298">
        <f t="shared" si="39"/>
        <v>0</v>
      </c>
      <c r="P290" s="302"/>
    </row>
    <row r="291" spans="2:16" ht="15">
      <c r="B291" s="172"/>
      <c r="C291" s="173"/>
      <c r="D291" s="174"/>
      <c r="E291" s="174"/>
      <c r="F291" s="175"/>
      <c r="G291" s="175">
        <f t="shared" si="35"/>
        <v>0</v>
      </c>
      <c r="H291" s="176">
        <v>0.05</v>
      </c>
      <c r="I291" s="177">
        <f t="shared" si="36"/>
        <v>0</v>
      </c>
      <c r="J291" s="177">
        <f t="shared" si="37"/>
        <v>0</v>
      </c>
      <c r="K291" s="291"/>
      <c r="L291" s="292"/>
      <c r="M291" s="293"/>
      <c r="N291" s="293">
        <f t="shared" si="38"/>
        <v>0</v>
      </c>
      <c r="O291" s="298">
        <f t="shared" si="39"/>
        <v>0</v>
      </c>
      <c r="P291" s="302"/>
    </row>
    <row r="292" spans="2:16" ht="15">
      <c r="B292" s="172"/>
      <c r="C292" s="173"/>
      <c r="D292" s="174"/>
      <c r="E292" s="174"/>
      <c r="F292" s="175"/>
      <c r="G292" s="175">
        <f t="shared" si="35"/>
        <v>0</v>
      </c>
      <c r="H292" s="176">
        <v>0.05</v>
      </c>
      <c r="I292" s="177">
        <f t="shared" si="36"/>
        <v>0</v>
      </c>
      <c r="J292" s="177">
        <f t="shared" si="37"/>
        <v>0</v>
      </c>
      <c r="K292" s="291"/>
      <c r="L292" s="292"/>
      <c r="M292" s="293"/>
      <c r="N292" s="293">
        <f t="shared" si="38"/>
        <v>0</v>
      </c>
      <c r="O292" s="298">
        <f t="shared" si="39"/>
        <v>0</v>
      </c>
      <c r="P292" s="302"/>
    </row>
    <row r="293" spans="2:16" ht="15">
      <c r="B293" s="172"/>
      <c r="C293" s="173"/>
      <c r="D293" s="174"/>
      <c r="E293" s="174"/>
      <c r="F293" s="175"/>
      <c r="G293" s="175">
        <f t="shared" si="35"/>
        <v>0</v>
      </c>
      <c r="H293" s="176">
        <v>0.05</v>
      </c>
      <c r="I293" s="177">
        <f t="shared" si="36"/>
        <v>0</v>
      </c>
      <c r="J293" s="177">
        <f t="shared" si="37"/>
        <v>0</v>
      </c>
      <c r="K293" s="291"/>
      <c r="L293" s="292"/>
      <c r="M293" s="293"/>
      <c r="N293" s="293">
        <f t="shared" si="38"/>
        <v>0</v>
      </c>
      <c r="O293" s="298">
        <f t="shared" si="39"/>
        <v>0</v>
      </c>
      <c r="P293" s="302"/>
    </row>
    <row r="294" spans="2:16" ht="15">
      <c r="B294" s="172"/>
      <c r="C294" s="173"/>
      <c r="D294" s="174"/>
      <c r="E294" s="174"/>
      <c r="F294" s="175"/>
      <c r="G294" s="175">
        <f t="shared" si="35"/>
        <v>0</v>
      </c>
      <c r="H294" s="176">
        <v>0.05</v>
      </c>
      <c r="I294" s="177">
        <f t="shared" si="36"/>
        <v>0</v>
      </c>
      <c r="J294" s="177">
        <f t="shared" si="37"/>
        <v>0</v>
      </c>
      <c r="K294" s="291"/>
      <c r="L294" s="292"/>
      <c r="M294" s="293"/>
      <c r="N294" s="293">
        <f t="shared" si="38"/>
        <v>0</v>
      </c>
      <c r="O294" s="298">
        <f t="shared" si="39"/>
        <v>0</v>
      </c>
      <c r="P294" s="302"/>
    </row>
    <row r="295" spans="2:16" ht="15">
      <c r="B295" s="172"/>
      <c r="C295" s="173"/>
      <c r="D295" s="174"/>
      <c r="E295" s="174"/>
      <c r="F295" s="175"/>
      <c r="G295" s="175">
        <f t="shared" si="35"/>
        <v>0</v>
      </c>
      <c r="H295" s="176">
        <v>0.05</v>
      </c>
      <c r="I295" s="177">
        <f t="shared" si="36"/>
        <v>0</v>
      </c>
      <c r="J295" s="177">
        <f t="shared" si="37"/>
        <v>0</v>
      </c>
      <c r="K295" s="291"/>
      <c r="L295" s="292"/>
      <c r="M295" s="293"/>
      <c r="N295" s="293">
        <f t="shared" si="38"/>
        <v>0</v>
      </c>
      <c r="O295" s="298">
        <f t="shared" si="39"/>
        <v>0</v>
      </c>
      <c r="P295" s="302"/>
    </row>
    <row r="296" spans="2:16" ht="15">
      <c r="B296" s="172"/>
      <c r="C296" s="173"/>
      <c r="D296" s="174"/>
      <c r="E296" s="174"/>
      <c r="F296" s="175"/>
      <c r="G296" s="175">
        <f t="shared" si="35"/>
        <v>0</v>
      </c>
      <c r="H296" s="176">
        <v>0.05</v>
      </c>
      <c r="I296" s="177">
        <f t="shared" si="36"/>
        <v>0</v>
      </c>
      <c r="J296" s="177">
        <f t="shared" si="37"/>
        <v>0</v>
      </c>
      <c r="K296" s="291"/>
      <c r="L296" s="292"/>
      <c r="M296" s="293"/>
      <c r="N296" s="293">
        <f t="shared" si="38"/>
        <v>0</v>
      </c>
      <c r="O296" s="298">
        <f t="shared" si="39"/>
        <v>0</v>
      </c>
      <c r="P296" s="302"/>
    </row>
    <row r="297" spans="2:16" ht="15">
      <c r="B297" s="172"/>
      <c r="C297" s="173"/>
      <c r="D297" s="174"/>
      <c r="E297" s="174"/>
      <c r="F297" s="175"/>
      <c r="G297" s="175">
        <f t="shared" si="35"/>
        <v>0</v>
      </c>
      <c r="H297" s="176">
        <v>0.05</v>
      </c>
      <c r="I297" s="177">
        <f t="shared" si="36"/>
        <v>0</v>
      </c>
      <c r="J297" s="177">
        <f t="shared" si="37"/>
        <v>0</v>
      </c>
      <c r="K297" s="291"/>
      <c r="L297" s="292"/>
      <c r="M297" s="293"/>
      <c r="N297" s="293">
        <f t="shared" si="38"/>
        <v>0</v>
      </c>
      <c r="O297" s="298">
        <f t="shared" si="39"/>
        <v>0</v>
      </c>
      <c r="P297" s="302"/>
    </row>
    <row r="298" spans="2:16" ht="15">
      <c r="B298" s="172"/>
      <c r="C298" s="173"/>
      <c r="D298" s="174"/>
      <c r="E298" s="174"/>
      <c r="F298" s="175"/>
      <c r="G298" s="175">
        <f t="shared" si="35"/>
        <v>0</v>
      </c>
      <c r="H298" s="176">
        <v>0.05</v>
      </c>
      <c r="I298" s="177">
        <f t="shared" si="36"/>
        <v>0</v>
      </c>
      <c r="J298" s="177">
        <f t="shared" si="37"/>
        <v>0</v>
      </c>
      <c r="K298" s="291"/>
      <c r="L298" s="292"/>
      <c r="M298" s="293"/>
      <c r="N298" s="293">
        <f t="shared" si="38"/>
        <v>0</v>
      </c>
      <c r="O298" s="298">
        <f t="shared" si="39"/>
        <v>0</v>
      </c>
      <c r="P298" s="302"/>
    </row>
    <row r="299" spans="2:16" ht="15">
      <c r="B299" s="172"/>
      <c r="C299" s="173"/>
      <c r="D299" s="174"/>
      <c r="E299" s="174"/>
      <c r="F299" s="175"/>
      <c r="G299" s="175">
        <f t="shared" si="35"/>
        <v>0</v>
      </c>
      <c r="H299" s="176">
        <v>0.05</v>
      </c>
      <c r="I299" s="177">
        <f t="shared" si="36"/>
        <v>0</v>
      </c>
      <c r="J299" s="177">
        <f t="shared" si="37"/>
        <v>0</v>
      </c>
      <c r="K299" s="291"/>
      <c r="L299" s="292"/>
      <c r="M299" s="293"/>
      <c r="N299" s="293">
        <f t="shared" si="38"/>
        <v>0</v>
      </c>
      <c r="O299" s="298">
        <f t="shared" si="39"/>
        <v>0</v>
      </c>
      <c r="P299" s="302"/>
    </row>
    <row r="300" spans="2:16" ht="15">
      <c r="B300" s="172"/>
      <c r="C300" s="173"/>
      <c r="D300" s="174"/>
      <c r="E300" s="174"/>
      <c r="F300" s="175"/>
      <c r="G300" s="175">
        <f t="shared" si="35"/>
        <v>0</v>
      </c>
      <c r="H300" s="176">
        <v>0.05</v>
      </c>
      <c r="I300" s="177">
        <f t="shared" si="36"/>
        <v>0</v>
      </c>
      <c r="J300" s="177">
        <f t="shared" si="37"/>
        <v>0</v>
      </c>
      <c r="K300" s="291"/>
      <c r="L300" s="292"/>
      <c r="M300" s="293"/>
      <c r="N300" s="293">
        <f t="shared" si="38"/>
        <v>0</v>
      </c>
      <c r="O300" s="298">
        <f t="shared" si="39"/>
        <v>0</v>
      </c>
      <c r="P300" s="302"/>
    </row>
    <row r="301" spans="2:16" ht="15">
      <c r="B301" s="172"/>
      <c r="C301" s="173"/>
      <c r="D301" s="174"/>
      <c r="E301" s="174"/>
      <c r="F301" s="175"/>
      <c r="G301" s="175">
        <f t="shared" si="35"/>
        <v>0</v>
      </c>
      <c r="H301" s="176">
        <v>0.05</v>
      </c>
      <c r="I301" s="177">
        <f t="shared" si="36"/>
        <v>0</v>
      </c>
      <c r="J301" s="177">
        <f t="shared" si="37"/>
        <v>0</v>
      </c>
      <c r="K301" s="291"/>
      <c r="L301" s="292"/>
      <c r="M301" s="293"/>
      <c r="N301" s="293">
        <f t="shared" si="38"/>
        <v>0</v>
      </c>
      <c r="O301" s="298">
        <f t="shared" si="39"/>
        <v>0</v>
      </c>
      <c r="P301" s="302"/>
    </row>
    <row r="302" spans="2:16" ht="15">
      <c r="B302" s="172"/>
      <c r="C302" s="173"/>
      <c r="D302" s="174"/>
      <c r="E302" s="174"/>
      <c r="F302" s="175"/>
      <c r="G302" s="175">
        <f t="shared" si="35"/>
        <v>0</v>
      </c>
      <c r="H302" s="176">
        <v>0.05</v>
      </c>
      <c r="I302" s="177">
        <f t="shared" si="36"/>
        <v>0</v>
      </c>
      <c r="J302" s="177">
        <f t="shared" si="37"/>
        <v>0</v>
      </c>
      <c r="K302" s="291"/>
      <c r="L302" s="292"/>
      <c r="M302" s="293"/>
      <c r="N302" s="293">
        <f t="shared" si="38"/>
        <v>0</v>
      </c>
      <c r="O302" s="298">
        <f t="shared" si="39"/>
        <v>0</v>
      </c>
      <c r="P302" s="302"/>
    </row>
    <row r="303" spans="2:16" ht="15">
      <c r="B303" s="172"/>
      <c r="C303" s="173"/>
      <c r="D303" s="174"/>
      <c r="E303" s="174"/>
      <c r="F303" s="175"/>
      <c r="G303" s="175">
        <f t="shared" si="35"/>
        <v>0</v>
      </c>
      <c r="H303" s="176">
        <v>0.05</v>
      </c>
      <c r="I303" s="177">
        <f t="shared" si="36"/>
        <v>0</v>
      </c>
      <c r="J303" s="177">
        <f t="shared" si="37"/>
        <v>0</v>
      </c>
      <c r="K303" s="291"/>
      <c r="L303" s="292"/>
      <c r="M303" s="293"/>
      <c r="N303" s="293">
        <f t="shared" si="38"/>
        <v>0</v>
      </c>
      <c r="O303" s="298">
        <f t="shared" si="39"/>
        <v>0</v>
      </c>
      <c r="P303" s="302"/>
    </row>
    <row r="304" spans="2:16" ht="15">
      <c r="B304" s="172"/>
      <c r="C304" s="173"/>
      <c r="D304" s="174"/>
      <c r="E304" s="174"/>
      <c r="F304" s="175"/>
      <c r="G304" s="175">
        <f t="shared" si="35"/>
        <v>0</v>
      </c>
      <c r="H304" s="176">
        <v>0.05</v>
      </c>
      <c r="I304" s="177">
        <f t="shared" si="36"/>
        <v>0</v>
      </c>
      <c r="J304" s="177">
        <f t="shared" si="37"/>
        <v>0</v>
      </c>
      <c r="K304" s="291"/>
      <c r="L304" s="292"/>
      <c r="M304" s="293"/>
      <c r="N304" s="293">
        <f t="shared" si="38"/>
        <v>0</v>
      </c>
      <c r="O304" s="298">
        <f t="shared" si="39"/>
        <v>0</v>
      </c>
      <c r="P304" s="302"/>
    </row>
    <row r="305" spans="2:16" ht="15">
      <c r="B305" s="172"/>
      <c r="C305" s="173"/>
      <c r="D305" s="174"/>
      <c r="E305" s="174"/>
      <c r="F305" s="175"/>
      <c r="G305" s="175">
        <f t="shared" si="35"/>
        <v>0</v>
      </c>
      <c r="H305" s="176">
        <v>0.05</v>
      </c>
      <c r="I305" s="177">
        <f t="shared" si="36"/>
        <v>0</v>
      </c>
      <c r="J305" s="177">
        <f t="shared" si="37"/>
        <v>0</v>
      </c>
      <c r="K305" s="291"/>
      <c r="L305" s="292"/>
      <c r="M305" s="293"/>
      <c r="N305" s="293">
        <f t="shared" si="38"/>
        <v>0</v>
      </c>
      <c r="O305" s="298">
        <f t="shared" si="39"/>
        <v>0</v>
      </c>
      <c r="P305" s="302"/>
    </row>
    <row r="306" spans="2:16" ht="15">
      <c r="B306" s="172"/>
      <c r="C306" s="173"/>
      <c r="D306" s="174"/>
      <c r="E306" s="174"/>
      <c r="F306" s="175"/>
      <c r="G306" s="175">
        <f t="shared" si="35"/>
        <v>0</v>
      </c>
      <c r="H306" s="176">
        <v>0.05</v>
      </c>
      <c r="I306" s="177">
        <f t="shared" si="36"/>
        <v>0</v>
      </c>
      <c r="J306" s="177">
        <f t="shared" si="37"/>
        <v>0</v>
      </c>
      <c r="K306" s="291"/>
      <c r="L306" s="292"/>
      <c r="M306" s="293"/>
      <c r="N306" s="293">
        <f t="shared" si="38"/>
        <v>0</v>
      </c>
      <c r="O306" s="298">
        <f t="shared" si="39"/>
        <v>0</v>
      </c>
      <c r="P306" s="302"/>
    </row>
    <row r="307" spans="2:16" ht="15">
      <c r="B307" s="172"/>
      <c r="C307" s="173"/>
      <c r="D307" s="174"/>
      <c r="E307" s="174"/>
      <c r="F307" s="175"/>
      <c r="G307" s="175">
        <f t="shared" si="35"/>
        <v>0</v>
      </c>
      <c r="H307" s="176">
        <v>0.05</v>
      </c>
      <c r="I307" s="177">
        <f t="shared" si="36"/>
        <v>0</v>
      </c>
      <c r="J307" s="177">
        <f t="shared" si="37"/>
        <v>0</v>
      </c>
      <c r="K307" s="291"/>
      <c r="L307" s="292"/>
      <c r="M307" s="293"/>
      <c r="N307" s="293">
        <f t="shared" si="38"/>
        <v>0</v>
      </c>
      <c r="O307" s="298">
        <f t="shared" si="39"/>
        <v>0</v>
      </c>
      <c r="P307" s="302"/>
    </row>
    <row r="308" spans="2:16" ht="15">
      <c r="B308" s="172"/>
      <c r="C308" s="173"/>
      <c r="D308" s="174"/>
      <c r="E308" s="174"/>
      <c r="F308" s="175"/>
      <c r="G308" s="175">
        <f t="shared" si="35"/>
        <v>0</v>
      </c>
      <c r="H308" s="176">
        <v>0.05</v>
      </c>
      <c r="I308" s="177">
        <f t="shared" si="36"/>
        <v>0</v>
      </c>
      <c r="J308" s="177">
        <f t="shared" si="37"/>
        <v>0</v>
      </c>
      <c r="K308" s="291"/>
      <c r="L308" s="292"/>
      <c r="M308" s="293"/>
      <c r="N308" s="293">
        <f t="shared" si="38"/>
        <v>0</v>
      </c>
      <c r="O308" s="298">
        <f t="shared" si="39"/>
        <v>0</v>
      </c>
      <c r="P308" s="302"/>
    </row>
    <row r="309" spans="2:16" ht="15">
      <c r="B309" s="172"/>
      <c r="C309" s="173"/>
      <c r="D309" s="174"/>
      <c r="E309" s="174"/>
      <c r="F309" s="175"/>
      <c r="G309" s="175">
        <f t="shared" si="35"/>
        <v>0</v>
      </c>
      <c r="H309" s="176">
        <v>0.05</v>
      </c>
      <c r="I309" s="177">
        <f t="shared" si="36"/>
        <v>0</v>
      </c>
      <c r="J309" s="177">
        <f t="shared" si="37"/>
        <v>0</v>
      </c>
      <c r="K309" s="291"/>
      <c r="L309" s="292"/>
      <c r="M309" s="293"/>
      <c r="N309" s="293">
        <f t="shared" si="38"/>
        <v>0</v>
      </c>
      <c r="O309" s="298">
        <f t="shared" si="39"/>
        <v>0</v>
      </c>
      <c r="P309" s="302"/>
    </row>
    <row r="310" spans="2:16" ht="15">
      <c r="B310" s="172"/>
      <c r="C310" s="173"/>
      <c r="D310" s="174"/>
      <c r="E310" s="174"/>
      <c r="F310" s="175"/>
      <c r="G310" s="175">
        <f t="shared" si="35"/>
        <v>0</v>
      </c>
      <c r="H310" s="176">
        <v>0.05</v>
      </c>
      <c r="I310" s="177">
        <f t="shared" si="36"/>
        <v>0</v>
      </c>
      <c r="J310" s="177">
        <f t="shared" si="37"/>
        <v>0</v>
      </c>
      <c r="K310" s="291"/>
      <c r="L310" s="292"/>
      <c r="M310" s="293"/>
      <c r="N310" s="293">
        <f t="shared" si="38"/>
        <v>0</v>
      </c>
      <c r="O310" s="298">
        <f t="shared" si="39"/>
        <v>0</v>
      </c>
      <c r="P310" s="302"/>
    </row>
    <row r="311" spans="2:16" ht="15">
      <c r="B311" s="172"/>
      <c r="C311" s="173"/>
      <c r="D311" s="174"/>
      <c r="E311" s="174"/>
      <c r="F311" s="175"/>
      <c r="G311" s="175">
        <f t="shared" si="35"/>
        <v>0</v>
      </c>
      <c r="H311" s="176">
        <v>0.05</v>
      </c>
      <c r="I311" s="177">
        <f t="shared" si="36"/>
        <v>0</v>
      </c>
      <c r="J311" s="177">
        <f t="shared" si="37"/>
        <v>0</v>
      </c>
      <c r="K311" s="291"/>
      <c r="L311" s="292"/>
      <c r="M311" s="293"/>
      <c r="N311" s="293">
        <f t="shared" si="38"/>
        <v>0</v>
      </c>
      <c r="O311" s="298">
        <f t="shared" si="39"/>
        <v>0</v>
      </c>
      <c r="P311" s="302"/>
    </row>
    <row r="312" spans="2:16" ht="15">
      <c r="B312" s="172"/>
      <c r="C312" s="173"/>
      <c r="D312" s="174"/>
      <c r="E312" s="174"/>
      <c r="F312" s="175"/>
      <c r="G312" s="175">
        <f t="shared" si="35"/>
        <v>0</v>
      </c>
      <c r="H312" s="176">
        <v>0.05</v>
      </c>
      <c r="I312" s="177">
        <f t="shared" si="36"/>
        <v>0</v>
      </c>
      <c r="J312" s="177">
        <f t="shared" si="37"/>
        <v>0</v>
      </c>
      <c r="K312" s="291"/>
      <c r="L312" s="292"/>
      <c r="M312" s="293"/>
      <c r="N312" s="293">
        <f t="shared" si="38"/>
        <v>0</v>
      </c>
      <c r="O312" s="298">
        <f t="shared" si="39"/>
        <v>0</v>
      </c>
      <c r="P312" s="302"/>
    </row>
    <row r="313" spans="2:16" ht="15">
      <c r="B313" s="172"/>
      <c r="C313" s="173"/>
      <c r="D313" s="174"/>
      <c r="E313" s="174"/>
      <c r="F313" s="175"/>
      <c r="G313" s="175">
        <f t="shared" si="35"/>
        <v>0</v>
      </c>
      <c r="H313" s="176">
        <v>0.05</v>
      </c>
      <c r="I313" s="177">
        <f t="shared" si="36"/>
        <v>0</v>
      </c>
      <c r="J313" s="177">
        <f t="shared" si="37"/>
        <v>0</v>
      </c>
      <c r="K313" s="291"/>
      <c r="L313" s="292"/>
      <c r="M313" s="293"/>
      <c r="N313" s="293">
        <f t="shared" si="38"/>
        <v>0</v>
      </c>
      <c r="O313" s="298">
        <f t="shared" si="39"/>
        <v>0</v>
      </c>
      <c r="P313" s="302"/>
    </row>
    <row r="314" spans="2:16" ht="15">
      <c r="B314" s="172"/>
      <c r="C314" s="173"/>
      <c r="D314" s="174"/>
      <c r="E314" s="174"/>
      <c r="F314" s="175"/>
      <c r="G314" s="175">
        <f t="shared" si="35"/>
        <v>0</v>
      </c>
      <c r="H314" s="176">
        <v>0.05</v>
      </c>
      <c r="I314" s="177">
        <f t="shared" si="36"/>
        <v>0</v>
      </c>
      <c r="J314" s="177">
        <f t="shared" si="37"/>
        <v>0</v>
      </c>
      <c r="K314" s="291"/>
      <c r="L314" s="292"/>
      <c r="M314" s="293"/>
      <c r="N314" s="293">
        <f t="shared" si="38"/>
        <v>0</v>
      </c>
      <c r="O314" s="298">
        <f t="shared" si="39"/>
        <v>0</v>
      </c>
      <c r="P314" s="302"/>
    </row>
    <row r="315" spans="2:16" ht="15">
      <c r="B315" s="172"/>
      <c r="C315" s="173"/>
      <c r="D315" s="174"/>
      <c r="E315" s="174"/>
      <c r="F315" s="175"/>
      <c r="G315" s="175">
        <f t="shared" si="35"/>
        <v>0</v>
      </c>
      <c r="H315" s="176">
        <v>0.05</v>
      </c>
      <c r="I315" s="177">
        <f t="shared" si="36"/>
        <v>0</v>
      </c>
      <c r="J315" s="177">
        <f t="shared" si="37"/>
        <v>0</v>
      </c>
      <c r="K315" s="291"/>
      <c r="L315" s="292"/>
      <c r="M315" s="293"/>
      <c r="N315" s="293">
        <f t="shared" si="38"/>
        <v>0</v>
      </c>
      <c r="O315" s="298">
        <f t="shared" si="39"/>
        <v>0</v>
      </c>
      <c r="P315" s="302"/>
    </row>
    <row r="316" spans="2:16" ht="15">
      <c r="B316" s="172"/>
      <c r="C316" s="173"/>
      <c r="D316" s="174"/>
      <c r="E316" s="174"/>
      <c r="F316" s="175"/>
      <c r="G316" s="175">
        <f t="shared" si="35"/>
        <v>0</v>
      </c>
      <c r="H316" s="176">
        <v>0.05</v>
      </c>
      <c r="I316" s="177">
        <f t="shared" si="36"/>
        <v>0</v>
      </c>
      <c r="J316" s="177">
        <f t="shared" si="37"/>
        <v>0</v>
      </c>
      <c r="K316" s="291"/>
      <c r="L316" s="292"/>
      <c r="M316" s="293"/>
      <c r="N316" s="293">
        <f t="shared" si="38"/>
        <v>0</v>
      </c>
      <c r="O316" s="298">
        <f t="shared" si="39"/>
        <v>0</v>
      </c>
      <c r="P316" s="302"/>
    </row>
    <row r="317" spans="2:16" ht="15">
      <c r="B317" s="172"/>
      <c r="C317" s="173"/>
      <c r="D317" s="174"/>
      <c r="E317" s="174"/>
      <c r="F317" s="175"/>
      <c r="G317" s="175">
        <f t="shared" si="35"/>
        <v>0</v>
      </c>
      <c r="H317" s="176">
        <v>0.05</v>
      </c>
      <c r="I317" s="177">
        <f t="shared" si="36"/>
        <v>0</v>
      </c>
      <c r="J317" s="177">
        <f t="shared" si="37"/>
        <v>0</v>
      </c>
      <c r="K317" s="291"/>
      <c r="L317" s="292"/>
      <c r="M317" s="293"/>
      <c r="N317" s="293">
        <f t="shared" si="38"/>
        <v>0</v>
      </c>
      <c r="O317" s="298">
        <f t="shared" si="39"/>
        <v>0</v>
      </c>
      <c r="P317" s="302"/>
    </row>
    <row r="318" spans="2:16" ht="15">
      <c r="B318" s="172"/>
      <c r="C318" s="173"/>
      <c r="D318" s="174"/>
      <c r="E318" s="174"/>
      <c r="F318" s="175"/>
      <c r="G318" s="175">
        <f t="shared" si="35"/>
        <v>0</v>
      </c>
      <c r="H318" s="176">
        <v>0.05</v>
      </c>
      <c r="I318" s="177">
        <f t="shared" si="36"/>
        <v>0</v>
      </c>
      <c r="J318" s="177">
        <f t="shared" si="37"/>
        <v>0</v>
      </c>
      <c r="K318" s="291"/>
      <c r="L318" s="292"/>
      <c r="M318" s="293"/>
      <c r="N318" s="293">
        <f t="shared" si="38"/>
        <v>0</v>
      </c>
      <c r="O318" s="298">
        <f t="shared" si="39"/>
        <v>0</v>
      </c>
      <c r="P318" s="302"/>
    </row>
    <row r="319" spans="2:16" ht="15">
      <c r="B319" s="172"/>
      <c r="C319" s="173"/>
      <c r="D319" s="174"/>
      <c r="E319" s="174"/>
      <c r="F319" s="175"/>
      <c r="G319" s="175">
        <f t="shared" si="35"/>
        <v>0</v>
      </c>
      <c r="H319" s="176">
        <v>0.05</v>
      </c>
      <c r="I319" s="177">
        <f t="shared" si="36"/>
        <v>0</v>
      </c>
      <c r="J319" s="177">
        <f t="shared" si="37"/>
        <v>0</v>
      </c>
      <c r="K319" s="291"/>
      <c r="L319" s="292"/>
      <c r="M319" s="293"/>
      <c r="N319" s="293">
        <f t="shared" si="38"/>
        <v>0</v>
      </c>
      <c r="O319" s="298">
        <f t="shared" si="39"/>
        <v>0</v>
      </c>
      <c r="P319" s="302"/>
    </row>
    <row r="320" spans="2:16" ht="15">
      <c r="B320" s="172"/>
      <c r="C320" s="173"/>
      <c r="D320" s="174"/>
      <c r="E320" s="174"/>
      <c r="F320" s="175"/>
      <c r="G320" s="175">
        <f t="shared" si="35"/>
        <v>0</v>
      </c>
      <c r="H320" s="176">
        <v>0.05</v>
      </c>
      <c r="I320" s="177">
        <f t="shared" si="36"/>
        <v>0</v>
      </c>
      <c r="J320" s="177">
        <f t="shared" si="37"/>
        <v>0</v>
      </c>
      <c r="K320" s="291"/>
      <c r="L320" s="292"/>
      <c r="M320" s="293"/>
      <c r="N320" s="293">
        <f t="shared" si="38"/>
        <v>0</v>
      </c>
      <c r="O320" s="298">
        <f t="shared" si="39"/>
        <v>0</v>
      </c>
      <c r="P320" s="302"/>
    </row>
    <row r="321" spans="2:16" ht="15">
      <c r="B321" s="172"/>
      <c r="C321" s="173"/>
      <c r="D321" s="174"/>
      <c r="E321" s="174"/>
      <c r="F321" s="175"/>
      <c r="G321" s="175">
        <f t="shared" si="35"/>
        <v>0</v>
      </c>
      <c r="H321" s="176">
        <v>0.05</v>
      </c>
      <c r="I321" s="177">
        <f t="shared" si="36"/>
        <v>0</v>
      </c>
      <c r="J321" s="177">
        <f t="shared" si="37"/>
        <v>0</v>
      </c>
      <c r="K321" s="291"/>
      <c r="L321" s="292"/>
      <c r="M321" s="293"/>
      <c r="N321" s="293">
        <f t="shared" si="38"/>
        <v>0</v>
      </c>
      <c r="O321" s="298">
        <f t="shared" si="39"/>
        <v>0</v>
      </c>
      <c r="P321" s="302"/>
    </row>
    <row r="322" spans="2:16" ht="15">
      <c r="B322" s="172"/>
      <c r="C322" s="173"/>
      <c r="D322" s="174"/>
      <c r="E322" s="174"/>
      <c r="F322" s="175"/>
      <c r="G322" s="175">
        <f t="shared" si="35"/>
        <v>0</v>
      </c>
      <c r="H322" s="176">
        <v>0.05</v>
      </c>
      <c r="I322" s="177">
        <f t="shared" si="36"/>
        <v>0</v>
      </c>
      <c r="J322" s="177">
        <f t="shared" si="37"/>
        <v>0</v>
      </c>
      <c r="K322" s="291"/>
      <c r="L322" s="292"/>
      <c r="M322" s="293"/>
      <c r="N322" s="293">
        <f t="shared" si="38"/>
        <v>0</v>
      </c>
      <c r="O322" s="298">
        <f t="shared" si="39"/>
        <v>0</v>
      </c>
      <c r="P322" s="302"/>
    </row>
    <row r="323" spans="2:16" ht="15">
      <c r="B323" s="172"/>
      <c r="C323" s="173"/>
      <c r="D323" s="174"/>
      <c r="E323" s="174"/>
      <c r="F323" s="175"/>
      <c r="G323" s="175">
        <f t="shared" si="35"/>
        <v>0</v>
      </c>
      <c r="H323" s="176">
        <v>0.05</v>
      </c>
      <c r="I323" s="177">
        <f t="shared" si="36"/>
        <v>0</v>
      </c>
      <c r="J323" s="177">
        <f t="shared" si="37"/>
        <v>0</v>
      </c>
      <c r="K323" s="291"/>
      <c r="L323" s="292"/>
      <c r="M323" s="293"/>
      <c r="N323" s="293">
        <f t="shared" si="38"/>
        <v>0</v>
      </c>
      <c r="O323" s="298">
        <f t="shared" si="39"/>
        <v>0</v>
      </c>
      <c r="P323" s="302"/>
    </row>
    <row r="324" spans="2:16" ht="15">
      <c r="B324" s="172"/>
      <c r="C324" s="173"/>
      <c r="D324" s="174"/>
      <c r="E324" s="174"/>
      <c r="F324" s="175"/>
      <c r="G324" s="175">
        <f t="shared" si="35"/>
        <v>0</v>
      </c>
      <c r="H324" s="176">
        <v>0.05</v>
      </c>
      <c r="I324" s="177">
        <f t="shared" si="36"/>
        <v>0</v>
      </c>
      <c r="J324" s="177">
        <f t="shared" si="37"/>
        <v>0</v>
      </c>
      <c r="K324" s="291"/>
      <c r="L324" s="292"/>
      <c r="M324" s="293"/>
      <c r="N324" s="293">
        <f t="shared" si="38"/>
        <v>0</v>
      </c>
      <c r="O324" s="298">
        <f t="shared" si="39"/>
        <v>0</v>
      </c>
      <c r="P324" s="302"/>
    </row>
    <row r="325" spans="2:16" ht="15">
      <c r="B325" s="172"/>
      <c r="C325" s="173"/>
      <c r="D325" s="174"/>
      <c r="E325" s="174"/>
      <c r="F325" s="175"/>
      <c r="G325" s="175">
        <f t="shared" si="35"/>
        <v>0</v>
      </c>
      <c r="H325" s="176">
        <v>0.05</v>
      </c>
      <c r="I325" s="177">
        <f t="shared" si="36"/>
        <v>0</v>
      </c>
      <c r="J325" s="177">
        <f t="shared" si="37"/>
        <v>0</v>
      </c>
      <c r="K325" s="291"/>
      <c r="L325" s="292"/>
      <c r="M325" s="293"/>
      <c r="N325" s="293">
        <f t="shared" si="38"/>
        <v>0</v>
      </c>
      <c r="O325" s="298">
        <f t="shared" si="39"/>
        <v>0</v>
      </c>
      <c r="P325" s="302"/>
    </row>
    <row r="326" spans="2:16" ht="15">
      <c r="B326" s="172"/>
      <c r="C326" s="173"/>
      <c r="D326" s="174"/>
      <c r="E326" s="174"/>
      <c r="F326" s="175"/>
      <c r="G326" s="175">
        <f t="shared" si="35"/>
        <v>0</v>
      </c>
      <c r="H326" s="176">
        <v>0.05</v>
      </c>
      <c r="I326" s="177">
        <f t="shared" si="36"/>
        <v>0</v>
      </c>
      <c r="J326" s="177">
        <f t="shared" si="37"/>
        <v>0</v>
      </c>
      <c r="K326" s="291"/>
      <c r="L326" s="292"/>
      <c r="M326" s="293"/>
      <c r="N326" s="293">
        <f t="shared" si="38"/>
        <v>0</v>
      </c>
      <c r="O326" s="298">
        <f t="shared" si="39"/>
        <v>0</v>
      </c>
      <c r="P326" s="302"/>
    </row>
    <row r="327" spans="2:16" ht="15">
      <c r="B327" s="172"/>
      <c r="C327" s="173"/>
      <c r="D327" s="174"/>
      <c r="E327" s="174"/>
      <c r="F327" s="175"/>
      <c r="G327" s="175">
        <f t="shared" si="35"/>
        <v>0</v>
      </c>
      <c r="H327" s="176">
        <v>0.05</v>
      </c>
      <c r="I327" s="177">
        <f t="shared" si="36"/>
        <v>0</v>
      </c>
      <c r="J327" s="177">
        <f t="shared" si="37"/>
        <v>0</v>
      </c>
      <c r="K327" s="291"/>
      <c r="L327" s="292"/>
      <c r="M327" s="293"/>
      <c r="N327" s="293">
        <f t="shared" si="38"/>
        <v>0</v>
      </c>
      <c r="O327" s="298">
        <f t="shared" si="39"/>
        <v>0</v>
      </c>
      <c r="P327" s="302"/>
    </row>
    <row r="328" spans="2:16" ht="15">
      <c r="B328" s="172"/>
      <c r="C328" s="173"/>
      <c r="D328" s="174"/>
      <c r="E328" s="174"/>
      <c r="F328" s="175"/>
      <c r="G328" s="175">
        <f t="shared" si="35"/>
        <v>0</v>
      </c>
      <c r="H328" s="176">
        <v>0.05</v>
      </c>
      <c r="I328" s="177">
        <f t="shared" si="36"/>
        <v>0</v>
      </c>
      <c r="J328" s="177">
        <f t="shared" si="37"/>
        <v>0</v>
      </c>
      <c r="K328" s="291"/>
      <c r="L328" s="292"/>
      <c r="M328" s="293"/>
      <c r="N328" s="293">
        <f t="shared" si="38"/>
        <v>0</v>
      </c>
      <c r="O328" s="298">
        <f t="shared" si="39"/>
        <v>0</v>
      </c>
      <c r="P328" s="302"/>
    </row>
    <row r="329" spans="2:16" ht="15">
      <c r="B329" s="172"/>
      <c r="C329" s="173"/>
      <c r="D329" s="174"/>
      <c r="E329" s="174"/>
      <c r="F329" s="175"/>
      <c r="G329" s="175">
        <f t="shared" si="35"/>
        <v>0</v>
      </c>
      <c r="H329" s="176">
        <v>0.05</v>
      </c>
      <c r="I329" s="177">
        <f t="shared" si="36"/>
        <v>0</v>
      </c>
      <c r="J329" s="177">
        <f t="shared" si="37"/>
        <v>0</v>
      </c>
      <c r="K329" s="291"/>
      <c r="L329" s="292"/>
      <c r="M329" s="293"/>
      <c r="N329" s="293">
        <f t="shared" si="38"/>
        <v>0</v>
      </c>
      <c r="O329" s="298">
        <f t="shared" si="39"/>
        <v>0</v>
      </c>
      <c r="P329" s="302"/>
    </row>
    <row r="330" spans="2:16" ht="15">
      <c r="B330" s="172"/>
      <c r="C330" s="173"/>
      <c r="D330" s="174"/>
      <c r="E330" s="174"/>
      <c r="F330" s="175"/>
      <c r="G330" s="175">
        <f t="shared" si="35"/>
        <v>0</v>
      </c>
      <c r="H330" s="176">
        <v>0.05</v>
      </c>
      <c r="I330" s="177">
        <f t="shared" si="36"/>
        <v>0</v>
      </c>
      <c r="J330" s="177">
        <f t="shared" si="37"/>
        <v>0</v>
      </c>
      <c r="K330" s="291"/>
      <c r="L330" s="292"/>
      <c r="M330" s="293"/>
      <c r="N330" s="293">
        <f t="shared" si="38"/>
        <v>0</v>
      </c>
      <c r="O330" s="298">
        <f t="shared" si="39"/>
        <v>0</v>
      </c>
      <c r="P330" s="302"/>
    </row>
    <row r="331" spans="2:16" ht="15">
      <c r="B331" s="172"/>
      <c r="C331" s="173"/>
      <c r="D331" s="174"/>
      <c r="E331" s="174"/>
      <c r="F331" s="175"/>
      <c r="G331" s="175">
        <f t="shared" si="35"/>
        <v>0</v>
      </c>
      <c r="H331" s="176">
        <v>0.05</v>
      </c>
      <c r="I331" s="177">
        <f t="shared" si="36"/>
        <v>0</v>
      </c>
      <c r="J331" s="177">
        <f t="shared" si="37"/>
        <v>0</v>
      </c>
      <c r="K331" s="291"/>
      <c r="L331" s="292"/>
      <c r="M331" s="293"/>
      <c r="N331" s="293">
        <f t="shared" si="38"/>
        <v>0</v>
      </c>
      <c r="O331" s="298">
        <f t="shared" si="39"/>
        <v>0</v>
      </c>
      <c r="P331" s="302"/>
    </row>
    <row r="332" spans="2:16" ht="15">
      <c r="B332" s="172"/>
      <c r="C332" s="173"/>
      <c r="D332" s="174"/>
      <c r="E332" s="174"/>
      <c r="F332" s="175"/>
      <c r="G332" s="175">
        <f t="shared" si="35"/>
        <v>0</v>
      </c>
      <c r="H332" s="176">
        <v>0.05</v>
      </c>
      <c r="I332" s="177">
        <f t="shared" si="36"/>
        <v>0</v>
      </c>
      <c r="J332" s="177">
        <f t="shared" si="37"/>
        <v>0</v>
      </c>
      <c r="K332" s="291"/>
      <c r="L332" s="292"/>
      <c r="M332" s="293"/>
      <c r="N332" s="293">
        <f t="shared" si="38"/>
        <v>0</v>
      </c>
      <c r="O332" s="298">
        <f t="shared" si="39"/>
        <v>0</v>
      </c>
      <c r="P332" s="302"/>
    </row>
    <row r="333" spans="2:16" ht="15">
      <c r="B333" s="172"/>
      <c r="C333" s="173"/>
      <c r="D333" s="174"/>
      <c r="E333" s="174"/>
      <c r="F333" s="175"/>
      <c r="G333" s="175">
        <f t="shared" si="35"/>
        <v>0</v>
      </c>
      <c r="H333" s="176">
        <v>0.05</v>
      </c>
      <c r="I333" s="177">
        <f t="shared" si="36"/>
        <v>0</v>
      </c>
      <c r="J333" s="177">
        <f t="shared" si="37"/>
        <v>0</v>
      </c>
      <c r="K333" s="291"/>
      <c r="L333" s="292"/>
      <c r="M333" s="293"/>
      <c r="N333" s="293">
        <f t="shared" si="38"/>
        <v>0</v>
      </c>
      <c r="O333" s="298">
        <f t="shared" si="39"/>
        <v>0</v>
      </c>
      <c r="P333" s="302"/>
    </row>
    <row r="334" spans="2:16" ht="15">
      <c r="B334" s="172"/>
      <c r="C334" s="173"/>
      <c r="D334" s="174"/>
      <c r="E334" s="174"/>
      <c r="F334" s="175"/>
      <c r="G334" s="175">
        <f t="shared" si="35"/>
        <v>0</v>
      </c>
      <c r="H334" s="176">
        <v>0.05</v>
      </c>
      <c r="I334" s="177">
        <f t="shared" si="36"/>
        <v>0</v>
      </c>
      <c r="J334" s="177">
        <f t="shared" si="37"/>
        <v>0</v>
      </c>
      <c r="K334" s="291"/>
      <c r="L334" s="292"/>
      <c r="M334" s="293"/>
      <c r="N334" s="293">
        <f t="shared" si="38"/>
        <v>0</v>
      </c>
      <c r="O334" s="298">
        <f t="shared" si="39"/>
        <v>0</v>
      </c>
      <c r="P334" s="302"/>
    </row>
    <row r="335" spans="2:16" ht="15">
      <c r="B335" s="172"/>
      <c r="C335" s="173"/>
      <c r="D335" s="174"/>
      <c r="E335" s="174"/>
      <c r="F335" s="175"/>
      <c r="G335" s="175">
        <f t="shared" si="35"/>
        <v>0</v>
      </c>
      <c r="H335" s="176">
        <v>0.05</v>
      </c>
      <c r="I335" s="177">
        <f t="shared" si="36"/>
        <v>0</v>
      </c>
      <c r="J335" s="177">
        <f t="shared" si="37"/>
        <v>0</v>
      </c>
      <c r="K335" s="291"/>
      <c r="L335" s="292"/>
      <c r="M335" s="293"/>
      <c r="N335" s="293">
        <f t="shared" si="38"/>
        <v>0</v>
      </c>
      <c r="O335" s="298">
        <f t="shared" si="39"/>
        <v>0</v>
      </c>
      <c r="P335" s="302"/>
    </row>
    <row r="336" spans="2:16" ht="15">
      <c r="B336" s="172"/>
      <c r="C336" s="173"/>
      <c r="D336" s="174"/>
      <c r="E336" s="174"/>
      <c r="F336" s="175"/>
      <c r="G336" s="175">
        <f t="shared" si="35"/>
        <v>0</v>
      </c>
      <c r="H336" s="176">
        <v>0.05</v>
      </c>
      <c r="I336" s="177">
        <f t="shared" si="36"/>
        <v>0</v>
      </c>
      <c r="J336" s="177">
        <f t="shared" si="37"/>
        <v>0</v>
      </c>
      <c r="K336" s="291"/>
      <c r="L336" s="292"/>
      <c r="M336" s="293"/>
      <c r="N336" s="293">
        <f t="shared" si="38"/>
        <v>0</v>
      </c>
      <c r="O336" s="298">
        <f t="shared" si="39"/>
        <v>0</v>
      </c>
      <c r="P336" s="302"/>
    </row>
    <row r="337" spans="2:16" ht="15">
      <c r="B337" s="172"/>
      <c r="C337" s="173"/>
      <c r="D337" s="174"/>
      <c r="E337" s="174"/>
      <c r="F337" s="175"/>
      <c r="G337" s="175">
        <f t="shared" si="35"/>
        <v>0</v>
      </c>
      <c r="H337" s="176">
        <v>0.05</v>
      </c>
      <c r="I337" s="177">
        <f t="shared" si="36"/>
        <v>0</v>
      </c>
      <c r="J337" s="177">
        <f t="shared" si="37"/>
        <v>0</v>
      </c>
      <c r="K337" s="291"/>
      <c r="L337" s="292"/>
      <c r="M337" s="293"/>
      <c r="N337" s="293">
        <f t="shared" si="38"/>
        <v>0</v>
      </c>
      <c r="O337" s="298">
        <f t="shared" si="39"/>
        <v>0</v>
      </c>
      <c r="P337" s="302"/>
    </row>
    <row r="338" spans="2:16" ht="15">
      <c r="B338" s="172"/>
      <c r="C338" s="173"/>
      <c r="D338" s="174"/>
      <c r="E338" s="174"/>
      <c r="F338" s="175"/>
      <c r="G338" s="175">
        <f t="shared" si="35"/>
        <v>0</v>
      </c>
      <c r="H338" s="176">
        <v>0.05</v>
      </c>
      <c r="I338" s="177">
        <f t="shared" si="36"/>
        <v>0</v>
      </c>
      <c r="J338" s="177">
        <f t="shared" si="37"/>
        <v>0</v>
      </c>
      <c r="K338" s="291"/>
      <c r="L338" s="292"/>
      <c r="M338" s="293"/>
      <c r="N338" s="293">
        <f t="shared" si="38"/>
        <v>0</v>
      </c>
      <c r="O338" s="298">
        <f t="shared" si="39"/>
        <v>0</v>
      </c>
      <c r="P338" s="302"/>
    </row>
    <row r="339" spans="2:16" ht="15">
      <c r="B339" s="172"/>
      <c r="C339" s="173"/>
      <c r="D339" s="174"/>
      <c r="E339" s="174"/>
      <c r="F339" s="175"/>
      <c r="G339" s="175">
        <f t="shared" si="35"/>
        <v>0</v>
      </c>
      <c r="H339" s="176">
        <v>0.05</v>
      </c>
      <c r="I339" s="177">
        <f t="shared" si="36"/>
        <v>0</v>
      </c>
      <c r="J339" s="177">
        <f t="shared" si="37"/>
        <v>0</v>
      </c>
      <c r="K339" s="291"/>
      <c r="L339" s="292"/>
      <c r="M339" s="293"/>
      <c r="N339" s="293">
        <f t="shared" si="38"/>
        <v>0</v>
      </c>
      <c r="O339" s="298">
        <f t="shared" si="39"/>
        <v>0</v>
      </c>
      <c r="P339" s="302"/>
    </row>
    <row r="340" spans="2:16" ht="15">
      <c r="B340" s="172"/>
      <c r="C340" s="173"/>
      <c r="D340" s="174"/>
      <c r="E340" s="174"/>
      <c r="F340" s="175"/>
      <c r="G340" s="175">
        <f t="shared" si="35"/>
        <v>0</v>
      </c>
      <c r="H340" s="176">
        <v>0.05</v>
      </c>
      <c r="I340" s="177">
        <f t="shared" si="36"/>
        <v>0</v>
      </c>
      <c r="J340" s="177">
        <f t="shared" si="37"/>
        <v>0</v>
      </c>
      <c r="K340" s="291"/>
      <c r="L340" s="292"/>
      <c r="M340" s="293"/>
      <c r="N340" s="293">
        <f t="shared" si="38"/>
        <v>0</v>
      </c>
      <c r="O340" s="298">
        <f t="shared" si="39"/>
        <v>0</v>
      </c>
      <c r="P340" s="302"/>
    </row>
    <row r="341" spans="2:16" ht="15">
      <c r="B341" s="172"/>
      <c r="C341" s="173"/>
      <c r="D341" s="174"/>
      <c r="E341" s="174"/>
      <c r="F341" s="175"/>
      <c r="G341" s="175">
        <f t="shared" si="35"/>
        <v>0</v>
      </c>
      <c r="H341" s="176">
        <v>0.05</v>
      </c>
      <c r="I341" s="177">
        <f t="shared" si="36"/>
        <v>0</v>
      </c>
      <c r="J341" s="177">
        <f t="shared" si="37"/>
        <v>0</v>
      </c>
      <c r="K341" s="291"/>
      <c r="L341" s="292"/>
      <c r="M341" s="293"/>
      <c r="N341" s="293">
        <f t="shared" si="38"/>
        <v>0</v>
      </c>
      <c r="O341" s="298">
        <f t="shared" si="39"/>
        <v>0</v>
      </c>
      <c r="P341" s="302"/>
    </row>
    <row r="342" spans="2:16" ht="15">
      <c r="B342" s="172"/>
      <c r="C342" s="173"/>
      <c r="D342" s="174"/>
      <c r="E342" s="174"/>
      <c r="F342" s="175"/>
      <c r="G342" s="175">
        <f t="shared" si="35"/>
        <v>0</v>
      </c>
      <c r="H342" s="176">
        <v>0.05</v>
      </c>
      <c r="I342" s="177">
        <f t="shared" si="36"/>
        <v>0</v>
      </c>
      <c r="J342" s="177">
        <f t="shared" si="37"/>
        <v>0</v>
      </c>
      <c r="K342" s="291"/>
      <c r="L342" s="292"/>
      <c r="M342" s="293"/>
      <c r="N342" s="293">
        <f t="shared" si="38"/>
        <v>0</v>
      </c>
      <c r="O342" s="298">
        <f t="shared" si="39"/>
        <v>0</v>
      </c>
      <c r="P342" s="302"/>
    </row>
    <row r="343" spans="2:16" ht="15">
      <c r="B343" s="172"/>
      <c r="C343" s="173"/>
      <c r="D343" s="174"/>
      <c r="E343" s="174"/>
      <c r="F343" s="175"/>
      <c r="G343" s="175">
        <f t="shared" si="35"/>
        <v>0</v>
      </c>
      <c r="H343" s="176">
        <v>0.05</v>
      </c>
      <c r="I343" s="177">
        <f t="shared" si="36"/>
        <v>0</v>
      </c>
      <c r="J343" s="177">
        <f t="shared" si="37"/>
        <v>0</v>
      </c>
      <c r="K343" s="291"/>
      <c r="L343" s="292"/>
      <c r="M343" s="293"/>
      <c r="N343" s="293">
        <f t="shared" si="38"/>
        <v>0</v>
      </c>
      <c r="O343" s="298">
        <f t="shared" si="39"/>
        <v>0</v>
      </c>
      <c r="P343" s="302"/>
    </row>
    <row r="344" spans="2:16" ht="15">
      <c r="B344" s="172"/>
      <c r="C344" s="173"/>
      <c r="D344" s="174"/>
      <c r="E344" s="174"/>
      <c r="F344" s="175"/>
      <c r="G344" s="175">
        <f t="shared" si="35"/>
        <v>0</v>
      </c>
      <c r="H344" s="176">
        <v>0.05</v>
      </c>
      <c r="I344" s="177">
        <f t="shared" si="36"/>
        <v>0</v>
      </c>
      <c r="J344" s="177">
        <f t="shared" si="37"/>
        <v>0</v>
      </c>
      <c r="K344" s="291"/>
      <c r="L344" s="292"/>
      <c r="M344" s="293"/>
      <c r="N344" s="293">
        <f t="shared" si="38"/>
        <v>0</v>
      </c>
      <c r="O344" s="298">
        <f t="shared" si="39"/>
        <v>0</v>
      </c>
      <c r="P344" s="302"/>
    </row>
    <row r="345" spans="2:16" ht="15">
      <c r="B345" s="172"/>
      <c r="C345" s="173"/>
      <c r="D345" s="174"/>
      <c r="E345" s="174"/>
      <c r="F345" s="175"/>
      <c r="G345" s="175">
        <f t="shared" si="35"/>
        <v>0</v>
      </c>
      <c r="H345" s="176">
        <v>0.05</v>
      </c>
      <c r="I345" s="177">
        <f t="shared" si="36"/>
        <v>0</v>
      </c>
      <c r="J345" s="177">
        <f t="shared" si="37"/>
        <v>0</v>
      </c>
      <c r="K345" s="291"/>
      <c r="L345" s="292"/>
      <c r="M345" s="293"/>
      <c r="N345" s="293">
        <f t="shared" si="38"/>
        <v>0</v>
      </c>
      <c r="O345" s="298">
        <f t="shared" si="39"/>
        <v>0</v>
      </c>
      <c r="P345" s="302"/>
    </row>
    <row r="346" spans="2:16" ht="15">
      <c r="B346" s="172"/>
      <c r="C346" s="173"/>
      <c r="D346" s="174"/>
      <c r="E346" s="174"/>
      <c r="F346" s="175"/>
      <c r="G346" s="175">
        <f t="shared" si="35"/>
        <v>0</v>
      </c>
      <c r="H346" s="176">
        <v>0.05</v>
      </c>
      <c r="I346" s="177">
        <f t="shared" si="36"/>
        <v>0</v>
      </c>
      <c r="J346" s="177">
        <f t="shared" si="37"/>
        <v>0</v>
      </c>
      <c r="K346" s="291"/>
      <c r="L346" s="292"/>
      <c r="M346" s="293"/>
      <c r="N346" s="293">
        <f t="shared" si="38"/>
        <v>0</v>
      </c>
      <c r="O346" s="298">
        <f t="shared" si="39"/>
        <v>0</v>
      </c>
      <c r="P346" s="302"/>
    </row>
    <row r="347" spans="2:16" ht="15">
      <c r="B347" s="172"/>
      <c r="C347" s="173"/>
      <c r="D347" s="174"/>
      <c r="E347" s="174"/>
      <c r="F347" s="175"/>
      <c r="G347" s="175">
        <f t="shared" si="35"/>
        <v>0</v>
      </c>
      <c r="H347" s="176">
        <v>0.05</v>
      </c>
      <c r="I347" s="177">
        <f t="shared" si="36"/>
        <v>0</v>
      </c>
      <c r="J347" s="177">
        <f t="shared" si="37"/>
        <v>0</v>
      </c>
      <c r="K347" s="291"/>
      <c r="L347" s="292"/>
      <c r="M347" s="293"/>
      <c r="N347" s="293">
        <f t="shared" si="38"/>
        <v>0</v>
      </c>
      <c r="O347" s="298">
        <f t="shared" si="39"/>
        <v>0</v>
      </c>
      <c r="P347" s="302"/>
    </row>
    <row r="348" spans="2:16" ht="15">
      <c r="B348" s="172"/>
      <c r="C348" s="173"/>
      <c r="D348" s="174"/>
      <c r="E348" s="174"/>
      <c r="F348" s="175"/>
      <c r="G348" s="175">
        <f t="shared" ref="G348:G411" si="40">IF(D348=0,0,(D348+E348)/F348)</f>
        <v>0</v>
      </c>
      <c r="H348" s="176">
        <v>0.05</v>
      </c>
      <c r="I348" s="177">
        <f t="shared" ref="I348:I411" si="41">+G348*H348</f>
        <v>0</v>
      </c>
      <c r="J348" s="177">
        <f t="shared" ref="J348:J411" si="42">+G348+I348</f>
        <v>0</v>
      </c>
      <c r="K348" s="291"/>
      <c r="L348" s="292"/>
      <c r="M348" s="293"/>
      <c r="N348" s="293">
        <f t="shared" ref="N348:N411" si="43">IF(H348&lt;M348,H348/M348,0)</f>
        <v>0</v>
      </c>
      <c r="O348" s="298">
        <f t="shared" ref="O348:O411" si="44">1.5%*N348</f>
        <v>0</v>
      </c>
      <c r="P348" s="302"/>
    </row>
    <row r="349" spans="2:16" ht="15">
      <c r="B349" s="172"/>
      <c r="C349" s="173"/>
      <c r="D349" s="174"/>
      <c r="E349" s="174"/>
      <c r="F349" s="175"/>
      <c r="G349" s="175">
        <f t="shared" si="40"/>
        <v>0</v>
      </c>
      <c r="H349" s="176">
        <v>0.05</v>
      </c>
      <c r="I349" s="177">
        <f t="shared" si="41"/>
        <v>0</v>
      </c>
      <c r="J349" s="177">
        <f t="shared" si="42"/>
        <v>0</v>
      </c>
      <c r="K349" s="291"/>
      <c r="L349" s="292"/>
      <c r="M349" s="293"/>
      <c r="N349" s="293">
        <f t="shared" si="43"/>
        <v>0</v>
      </c>
      <c r="O349" s="298">
        <f t="shared" si="44"/>
        <v>0</v>
      </c>
      <c r="P349" s="302"/>
    </row>
    <row r="350" spans="2:16" ht="15">
      <c r="B350" s="172"/>
      <c r="C350" s="173"/>
      <c r="D350" s="174"/>
      <c r="E350" s="174"/>
      <c r="F350" s="175"/>
      <c r="G350" s="175">
        <f t="shared" si="40"/>
        <v>0</v>
      </c>
      <c r="H350" s="176">
        <v>0.05</v>
      </c>
      <c r="I350" s="177">
        <f t="shared" si="41"/>
        <v>0</v>
      </c>
      <c r="J350" s="177">
        <f t="shared" si="42"/>
        <v>0</v>
      </c>
      <c r="K350" s="291"/>
      <c r="L350" s="292"/>
      <c r="M350" s="293"/>
      <c r="N350" s="293">
        <f t="shared" si="43"/>
        <v>0</v>
      </c>
      <c r="O350" s="298">
        <f t="shared" si="44"/>
        <v>0</v>
      </c>
      <c r="P350" s="302"/>
    </row>
    <row r="351" spans="2:16" ht="15">
      <c r="B351" s="172"/>
      <c r="C351" s="173"/>
      <c r="D351" s="174"/>
      <c r="E351" s="174"/>
      <c r="F351" s="175"/>
      <c r="G351" s="175">
        <f t="shared" si="40"/>
        <v>0</v>
      </c>
      <c r="H351" s="176">
        <v>0.05</v>
      </c>
      <c r="I351" s="177">
        <f t="shared" si="41"/>
        <v>0</v>
      </c>
      <c r="J351" s="177">
        <f t="shared" si="42"/>
        <v>0</v>
      </c>
      <c r="K351" s="291"/>
      <c r="L351" s="292"/>
      <c r="M351" s="293"/>
      <c r="N351" s="293">
        <f t="shared" si="43"/>
        <v>0</v>
      </c>
      <c r="O351" s="298">
        <f t="shared" si="44"/>
        <v>0</v>
      </c>
      <c r="P351" s="302"/>
    </row>
    <row r="352" spans="2:16" ht="15">
      <c r="B352" s="172"/>
      <c r="C352" s="173"/>
      <c r="D352" s="174"/>
      <c r="E352" s="174"/>
      <c r="F352" s="175"/>
      <c r="G352" s="175">
        <f t="shared" si="40"/>
        <v>0</v>
      </c>
      <c r="H352" s="176">
        <v>0.05</v>
      </c>
      <c r="I352" s="177">
        <f t="shared" si="41"/>
        <v>0</v>
      </c>
      <c r="J352" s="177">
        <f t="shared" si="42"/>
        <v>0</v>
      </c>
      <c r="K352" s="291"/>
      <c r="L352" s="292"/>
      <c r="M352" s="293"/>
      <c r="N352" s="293">
        <f t="shared" si="43"/>
        <v>0</v>
      </c>
      <c r="O352" s="298">
        <f t="shared" si="44"/>
        <v>0</v>
      </c>
      <c r="P352" s="302"/>
    </row>
    <row r="353" spans="2:16" ht="15">
      <c r="B353" s="172"/>
      <c r="C353" s="173"/>
      <c r="D353" s="174"/>
      <c r="E353" s="174"/>
      <c r="F353" s="175"/>
      <c r="G353" s="175">
        <f t="shared" si="40"/>
        <v>0</v>
      </c>
      <c r="H353" s="176">
        <v>0.05</v>
      </c>
      <c r="I353" s="177">
        <f t="shared" si="41"/>
        <v>0</v>
      </c>
      <c r="J353" s="177">
        <f t="shared" si="42"/>
        <v>0</v>
      </c>
      <c r="K353" s="291"/>
      <c r="L353" s="292"/>
      <c r="M353" s="293"/>
      <c r="N353" s="293">
        <f t="shared" si="43"/>
        <v>0</v>
      </c>
      <c r="O353" s="298">
        <f t="shared" si="44"/>
        <v>0</v>
      </c>
      <c r="P353" s="302"/>
    </row>
    <row r="354" spans="2:16" ht="15">
      <c r="B354" s="172"/>
      <c r="C354" s="173"/>
      <c r="D354" s="174"/>
      <c r="E354" s="174"/>
      <c r="F354" s="175"/>
      <c r="G354" s="175">
        <f t="shared" si="40"/>
        <v>0</v>
      </c>
      <c r="H354" s="176">
        <v>0.05</v>
      </c>
      <c r="I354" s="177">
        <f t="shared" si="41"/>
        <v>0</v>
      </c>
      <c r="J354" s="177">
        <f t="shared" si="42"/>
        <v>0</v>
      </c>
      <c r="K354" s="291"/>
      <c r="L354" s="292"/>
      <c r="M354" s="293"/>
      <c r="N354" s="293">
        <f t="shared" si="43"/>
        <v>0</v>
      </c>
      <c r="O354" s="298">
        <f t="shared" si="44"/>
        <v>0</v>
      </c>
      <c r="P354" s="302"/>
    </row>
    <row r="355" spans="2:16" ht="15">
      <c r="B355" s="172"/>
      <c r="C355" s="173"/>
      <c r="D355" s="174"/>
      <c r="E355" s="174"/>
      <c r="F355" s="175"/>
      <c r="G355" s="175">
        <f t="shared" si="40"/>
        <v>0</v>
      </c>
      <c r="H355" s="176">
        <v>0.05</v>
      </c>
      <c r="I355" s="177">
        <f t="shared" si="41"/>
        <v>0</v>
      </c>
      <c r="J355" s="177">
        <f t="shared" si="42"/>
        <v>0</v>
      </c>
      <c r="K355" s="291"/>
      <c r="L355" s="292"/>
      <c r="M355" s="293"/>
      <c r="N355" s="293">
        <f t="shared" si="43"/>
        <v>0</v>
      </c>
      <c r="O355" s="298">
        <f t="shared" si="44"/>
        <v>0</v>
      </c>
      <c r="P355" s="302"/>
    </row>
    <row r="356" spans="2:16" ht="15">
      <c r="B356" s="172"/>
      <c r="C356" s="173"/>
      <c r="D356" s="174"/>
      <c r="E356" s="174"/>
      <c r="F356" s="175"/>
      <c r="G356" s="175">
        <f t="shared" si="40"/>
        <v>0</v>
      </c>
      <c r="H356" s="176">
        <v>0.05</v>
      </c>
      <c r="I356" s="177">
        <f t="shared" si="41"/>
        <v>0</v>
      </c>
      <c r="J356" s="177">
        <f t="shared" si="42"/>
        <v>0</v>
      </c>
      <c r="K356" s="291"/>
      <c r="L356" s="292"/>
      <c r="M356" s="293"/>
      <c r="N356" s="293">
        <f t="shared" si="43"/>
        <v>0</v>
      </c>
      <c r="O356" s="298">
        <f t="shared" si="44"/>
        <v>0</v>
      </c>
      <c r="P356" s="302"/>
    </row>
    <row r="357" spans="2:16" ht="15">
      <c r="B357" s="172"/>
      <c r="C357" s="173"/>
      <c r="D357" s="174"/>
      <c r="E357" s="174"/>
      <c r="F357" s="175"/>
      <c r="G357" s="175">
        <f t="shared" si="40"/>
        <v>0</v>
      </c>
      <c r="H357" s="176">
        <v>0.05</v>
      </c>
      <c r="I357" s="177">
        <f t="shared" si="41"/>
        <v>0</v>
      </c>
      <c r="J357" s="177">
        <f t="shared" si="42"/>
        <v>0</v>
      </c>
      <c r="K357" s="291"/>
      <c r="L357" s="292"/>
      <c r="M357" s="293"/>
      <c r="N357" s="293">
        <f t="shared" si="43"/>
        <v>0</v>
      </c>
      <c r="O357" s="298">
        <f t="shared" si="44"/>
        <v>0</v>
      </c>
      <c r="P357" s="302"/>
    </row>
    <row r="358" spans="2:16" ht="15">
      <c r="B358" s="172"/>
      <c r="C358" s="173"/>
      <c r="D358" s="174"/>
      <c r="E358" s="174"/>
      <c r="F358" s="175"/>
      <c r="G358" s="175">
        <f t="shared" si="40"/>
        <v>0</v>
      </c>
      <c r="H358" s="176">
        <v>0.05</v>
      </c>
      <c r="I358" s="177">
        <f t="shared" si="41"/>
        <v>0</v>
      </c>
      <c r="J358" s="177">
        <f t="shared" si="42"/>
        <v>0</v>
      </c>
      <c r="K358" s="291"/>
      <c r="L358" s="292"/>
      <c r="M358" s="293"/>
      <c r="N358" s="293">
        <f t="shared" si="43"/>
        <v>0</v>
      </c>
      <c r="O358" s="298">
        <f t="shared" si="44"/>
        <v>0</v>
      </c>
      <c r="P358" s="302"/>
    </row>
    <row r="359" spans="2:16" ht="15">
      <c r="B359" s="172"/>
      <c r="C359" s="173"/>
      <c r="D359" s="174"/>
      <c r="E359" s="174"/>
      <c r="F359" s="175"/>
      <c r="G359" s="175">
        <f t="shared" si="40"/>
        <v>0</v>
      </c>
      <c r="H359" s="176">
        <v>0.05</v>
      </c>
      <c r="I359" s="177">
        <f t="shared" si="41"/>
        <v>0</v>
      </c>
      <c r="J359" s="177">
        <f t="shared" si="42"/>
        <v>0</v>
      </c>
      <c r="K359" s="291"/>
      <c r="L359" s="292"/>
      <c r="M359" s="293"/>
      <c r="N359" s="293">
        <f t="shared" si="43"/>
        <v>0</v>
      </c>
      <c r="O359" s="298">
        <f t="shared" si="44"/>
        <v>0</v>
      </c>
      <c r="P359" s="302"/>
    </row>
    <row r="360" spans="2:16" ht="15">
      <c r="B360" s="172"/>
      <c r="C360" s="173"/>
      <c r="D360" s="174"/>
      <c r="E360" s="174"/>
      <c r="F360" s="175"/>
      <c r="G360" s="175">
        <f t="shared" si="40"/>
        <v>0</v>
      </c>
      <c r="H360" s="176">
        <v>0.05</v>
      </c>
      <c r="I360" s="177">
        <f t="shared" si="41"/>
        <v>0</v>
      </c>
      <c r="J360" s="177">
        <f t="shared" si="42"/>
        <v>0</v>
      </c>
      <c r="K360" s="291"/>
      <c r="L360" s="292"/>
      <c r="M360" s="293"/>
      <c r="N360" s="293">
        <f t="shared" si="43"/>
        <v>0</v>
      </c>
      <c r="O360" s="298">
        <f t="shared" si="44"/>
        <v>0</v>
      </c>
      <c r="P360" s="302"/>
    </row>
    <row r="361" spans="2:16" ht="15">
      <c r="B361" s="172"/>
      <c r="C361" s="173"/>
      <c r="D361" s="174"/>
      <c r="E361" s="174"/>
      <c r="F361" s="175"/>
      <c r="G361" s="175">
        <f t="shared" si="40"/>
        <v>0</v>
      </c>
      <c r="H361" s="176">
        <v>0.05</v>
      </c>
      <c r="I361" s="177">
        <f t="shared" si="41"/>
        <v>0</v>
      </c>
      <c r="J361" s="177">
        <f t="shared" si="42"/>
        <v>0</v>
      </c>
      <c r="K361" s="291"/>
      <c r="L361" s="292"/>
      <c r="M361" s="293"/>
      <c r="N361" s="293">
        <f t="shared" si="43"/>
        <v>0</v>
      </c>
      <c r="O361" s="298">
        <f t="shared" si="44"/>
        <v>0</v>
      </c>
      <c r="P361" s="302"/>
    </row>
    <row r="362" spans="2:16" ht="15">
      <c r="B362" s="172"/>
      <c r="C362" s="173"/>
      <c r="D362" s="174"/>
      <c r="E362" s="174"/>
      <c r="F362" s="175"/>
      <c r="G362" s="175">
        <f t="shared" si="40"/>
        <v>0</v>
      </c>
      <c r="H362" s="176">
        <v>0.05</v>
      </c>
      <c r="I362" s="177">
        <f t="shared" si="41"/>
        <v>0</v>
      </c>
      <c r="J362" s="177">
        <f t="shared" si="42"/>
        <v>0</v>
      </c>
      <c r="K362" s="291"/>
      <c r="L362" s="292"/>
      <c r="M362" s="293"/>
      <c r="N362" s="293">
        <f t="shared" si="43"/>
        <v>0</v>
      </c>
      <c r="O362" s="298">
        <f t="shared" si="44"/>
        <v>0</v>
      </c>
      <c r="P362" s="302"/>
    </row>
    <row r="363" spans="2:16" ht="15">
      <c r="B363" s="172"/>
      <c r="C363" s="173"/>
      <c r="D363" s="174"/>
      <c r="E363" s="174"/>
      <c r="F363" s="175"/>
      <c r="G363" s="175">
        <f t="shared" si="40"/>
        <v>0</v>
      </c>
      <c r="H363" s="176">
        <v>0.05</v>
      </c>
      <c r="I363" s="177">
        <f t="shared" si="41"/>
        <v>0</v>
      </c>
      <c r="J363" s="177">
        <f t="shared" si="42"/>
        <v>0</v>
      </c>
      <c r="K363" s="291"/>
      <c r="L363" s="292"/>
      <c r="M363" s="293"/>
      <c r="N363" s="293">
        <f t="shared" si="43"/>
        <v>0</v>
      </c>
      <c r="O363" s="298">
        <f t="shared" si="44"/>
        <v>0</v>
      </c>
      <c r="P363" s="302"/>
    </row>
    <row r="364" spans="2:16" ht="15">
      <c r="B364" s="172"/>
      <c r="C364" s="173"/>
      <c r="D364" s="174"/>
      <c r="E364" s="174"/>
      <c r="F364" s="175"/>
      <c r="G364" s="175">
        <f t="shared" si="40"/>
        <v>0</v>
      </c>
      <c r="H364" s="176">
        <v>0.05</v>
      </c>
      <c r="I364" s="177">
        <f t="shared" si="41"/>
        <v>0</v>
      </c>
      <c r="J364" s="177">
        <f t="shared" si="42"/>
        <v>0</v>
      </c>
      <c r="K364" s="291"/>
      <c r="L364" s="292"/>
      <c r="M364" s="293"/>
      <c r="N364" s="293">
        <f t="shared" si="43"/>
        <v>0</v>
      </c>
      <c r="O364" s="298">
        <f t="shared" si="44"/>
        <v>0</v>
      </c>
      <c r="P364" s="302"/>
    </row>
    <row r="365" spans="2:16" ht="15">
      <c r="B365" s="172"/>
      <c r="C365" s="173"/>
      <c r="D365" s="174"/>
      <c r="E365" s="174"/>
      <c r="F365" s="175"/>
      <c r="G365" s="175">
        <f t="shared" si="40"/>
        <v>0</v>
      </c>
      <c r="H365" s="176">
        <v>0.05</v>
      </c>
      <c r="I365" s="177">
        <f t="shared" si="41"/>
        <v>0</v>
      </c>
      <c r="J365" s="177">
        <f t="shared" si="42"/>
        <v>0</v>
      </c>
      <c r="K365" s="291"/>
      <c r="L365" s="292"/>
      <c r="M365" s="293"/>
      <c r="N365" s="293">
        <f t="shared" si="43"/>
        <v>0</v>
      </c>
      <c r="O365" s="298">
        <f t="shared" si="44"/>
        <v>0</v>
      </c>
      <c r="P365" s="302"/>
    </row>
    <row r="366" spans="2:16" ht="15">
      <c r="B366" s="172"/>
      <c r="C366" s="173"/>
      <c r="D366" s="174"/>
      <c r="E366" s="174"/>
      <c r="F366" s="175"/>
      <c r="G366" s="175">
        <f t="shared" si="40"/>
        <v>0</v>
      </c>
      <c r="H366" s="176">
        <v>0.05</v>
      </c>
      <c r="I366" s="177">
        <f t="shared" si="41"/>
        <v>0</v>
      </c>
      <c r="J366" s="177">
        <f t="shared" si="42"/>
        <v>0</v>
      </c>
      <c r="K366" s="291"/>
      <c r="L366" s="292"/>
      <c r="M366" s="293"/>
      <c r="N366" s="293">
        <f t="shared" si="43"/>
        <v>0</v>
      </c>
      <c r="O366" s="298">
        <f t="shared" si="44"/>
        <v>0</v>
      </c>
      <c r="P366" s="302"/>
    </row>
    <row r="367" spans="2:16" ht="15">
      <c r="B367" s="172"/>
      <c r="C367" s="173"/>
      <c r="D367" s="174"/>
      <c r="E367" s="174"/>
      <c r="F367" s="175"/>
      <c r="G367" s="175">
        <f t="shared" si="40"/>
        <v>0</v>
      </c>
      <c r="H367" s="176">
        <v>0.05</v>
      </c>
      <c r="I367" s="177">
        <f t="shared" si="41"/>
        <v>0</v>
      </c>
      <c r="J367" s="177">
        <f t="shared" si="42"/>
        <v>0</v>
      </c>
      <c r="K367" s="291"/>
      <c r="L367" s="292"/>
      <c r="M367" s="293"/>
      <c r="N367" s="293">
        <f t="shared" si="43"/>
        <v>0</v>
      </c>
      <c r="O367" s="298">
        <f t="shared" si="44"/>
        <v>0</v>
      </c>
      <c r="P367" s="302"/>
    </row>
    <row r="368" spans="2:16" ht="15">
      <c r="B368" s="172"/>
      <c r="C368" s="173"/>
      <c r="D368" s="174"/>
      <c r="E368" s="174"/>
      <c r="F368" s="175"/>
      <c r="G368" s="175">
        <f t="shared" si="40"/>
        <v>0</v>
      </c>
      <c r="H368" s="176">
        <v>0.05</v>
      </c>
      <c r="I368" s="177">
        <f t="shared" si="41"/>
        <v>0</v>
      </c>
      <c r="J368" s="177">
        <f t="shared" si="42"/>
        <v>0</v>
      </c>
      <c r="K368" s="291"/>
      <c r="L368" s="292"/>
      <c r="M368" s="293"/>
      <c r="N368" s="293">
        <f t="shared" si="43"/>
        <v>0</v>
      </c>
      <c r="O368" s="298">
        <f t="shared" si="44"/>
        <v>0</v>
      </c>
      <c r="P368" s="302"/>
    </row>
    <row r="369" spans="2:16" ht="15">
      <c r="B369" s="172"/>
      <c r="C369" s="173"/>
      <c r="D369" s="174"/>
      <c r="E369" s="174"/>
      <c r="F369" s="175"/>
      <c r="G369" s="175">
        <f t="shared" si="40"/>
        <v>0</v>
      </c>
      <c r="H369" s="176">
        <v>0.05</v>
      </c>
      <c r="I369" s="177">
        <f t="shared" si="41"/>
        <v>0</v>
      </c>
      <c r="J369" s="177">
        <f t="shared" si="42"/>
        <v>0</v>
      </c>
      <c r="K369" s="291"/>
      <c r="L369" s="292"/>
      <c r="M369" s="293"/>
      <c r="N369" s="293">
        <f t="shared" si="43"/>
        <v>0</v>
      </c>
      <c r="O369" s="298">
        <f t="shared" si="44"/>
        <v>0</v>
      </c>
      <c r="P369" s="302"/>
    </row>
    <row r="370" spans="2:16" ht="15">
      <c r="B370" s="172"/>
      <c r="C370" s="173"/>
      <c r="D370" s="174"/>
      <c r="E370" s="174"/>
      <c r="F370" s="175"/>
      <c r="G370" s="175">
        <f t="shared" si="40"/>
        <v>0</v>
      </c>
      <c r="H370" s="176">
        <v>0.05</v>
      </c>
      <c r="I370" s="177">
        <f t="shared" si="41"/>
        <v>0</v>
      </c>
      <c r="J370" s="177">
        <f t="shared" si="42"/>
        <v>0</v>
      </c>
      <c r="K370" s="291"/>
      <c r="L370" s="292"/>
      <c r="M370" s="293"/>
      <c r="N370" s="293">
        <f t="shared" si="43"/>
        <v>0</v>
      </c>
      <c r="O370" s="298">
        <f t="shared" si="44"/>
        <v>0</v>
      </c>
      <c r="P370" s="302"/>
    </row>
    <row r="371" spans="2:16" ht="15">
      <c r="B371" s="172"/>
      <c r="C371" s="173"/>
      <c r="D371" s="174"/>
      <c r="E371" s="174"/>
      <c r="F371" s="175"/>
      <c r="G371" s="175">
        <f t="shared" si="40"/>
        <v>0</v>
      </c>
      <c r="H371" s="176">
        <v>0.05</v>
      </c>
      <c r="I371" s="177">
        <f t="shared" si="41"/>
        <v>0</v>
      </c>
      <c r="J371" s="177">
        <f t="shared" si="42"/>
        <v>0</v>
      </c>
      <c r="K371" s="291"/>
      <c r="L371" s="292"/>
      <c r="M371" s="293"/>
      <c r="N371" s="293">
        <f t="shared" si="43"/>
        <v>0</v>
      </c>
      <c r="O371" s="298">
        <f t="shared" si="44"/>
        <v>0</v>
      </c>
      <c r="P371" s="302"/>
    </row>
    <row r="372" spans="2:16" ht="15">
      <c r="B372" s="172"/>
      <c r="C372" s="173"/>
      <c r="D372" s="174"/>
      <c r="E372" s="174"/>
      <c r="F372" s="175"/>
      <c r="G372" s="175">
        <f t="shared" si="40"/>
        <v>0</v>
      </c>
      <c r="H372" s="176">
        <v>0.05</v>
      </c>
      <c r="I372" s="177">
        <f t="shared" si="41"/>
        <v>0</v>
      </c>
      <c r="J372" s="177">
        <f t="shared" si="42"/>
        <v>0</v>
      </c>
      <c r="K372" s="291"/>
      <c r="L372" s="292"/>
      <c r="M372" s="293"/>
      <c r="N372" s="293">
        <f t="shared" si="43"/>
        <v>0</v>
      </c>
      <c r="O372" s="298">
        <f t="shared" si="44"/>
        <v>0</v>
      </c>
      <c r="P372" s="302"/>
    </row>
    <row r="373" spans="2:16" ht="15">
      <c r="B373" s="172"/>
      <c r="C373" s="173"/>
      <c r="D373" s="174"/>
      <c r="E373" s="174"/>
      <c r="F373" s="175"/>
      <c r="G373" s="175">
        <f t="shared" si="40"/>
        <v>0</v>
      </c>
      <c r="H373" s="176">
        <v>0.05</v>
      </c>
      <c r="I373" s="177">
        <f t="shared" si="41"/>
        <v>0</v>
      </c>
      <c r="J373" s="177">
        <f t="shared" si="42"/>
        <v>0</v>
      </c>
      <c r="K373" s="291"/>
      <c r="L373" s="292"/>
      <c r="M373" s="293"/>
      <c r="N373" s="293">
        <f t="shared" si="43"/>
        <v>0</v>
      </c>
      <c r="O373" s="298">
        <f t="shared" si="44"/>
        <v>0</v>
      </c>
      <c r="P373" s="302"/>
    </row>
    <row r="374" spans="2:16" ht="15">
      <c r="B374" s="172"/>
      <c r="C374" s="173"/>
      <c r="D374" s="174"/>
      <c r="E374" s="174"/>
      <c r="F374" s="175"/>
      <c r="G374" s="175">
        <f t="shared" si="40"/>
        <v>0</v>
      </c>
      <c r="H374" s="176">
        <v>0.05</v>
      </c>
      <c r="I374" s="177">
        <f t="shared" si="41"/>
        <v>0</v>
      </c>
      <c r="J374" s="177">
        <f t="shared" si="42"/>
        <v>0</v>
      </c>
      <c r="K374" s="291"/>
      <c r="L374" s="292"/>
      <c r="M374" s="293"/>
      <c r="N374" s="293">
        <f t="shared" si="43"/>
        <v>0</v>
      </c>
      <c r="O374" s="298">
        <f t="shared" si="44"/>
        <v>0</v>
      </c>
      <c r="P374" s="302"/>
    </row>
    <row r="375" spans="2:16" ht="15">
      <c r="B375" s="172"/>
      <c r="C375" s="173"/>
      <c r="D375" s="174"/>
      <c r="E375" s="174"/>
      <c r="F375" s="175"/>
      <c r="G375" s="175">
        <f t="shared" si="40"/>
        <v>0</v>
      </c>
      <c r="H375" s="176">
        <v>0.05</v>
      </c>
      <c r="I375" s="177">
        <f t="shared" si="41"/>
        <v>0</v>
      </c>
      <c r="J375" s="177">
        <f t="shared" si="42"/>
        <v>0</v>
      </c>
      <c r="K375" s="291"/>
      <c r="L375" s="292"/>
      <c r="M375" s="293"/>
      <c r="N375" s="293">
        <f t="shared" si="43"/>
        <v>0</v>
      </c>
      <c r="O375" s="298">
        <f t="shared" si="44"/>
        <v>0</v>
      </c>
      <c r="P375" s="302"/>
    </row>
    <row r="376" spans="2:16" ht="15">
      <c r="B376" s="172"/>
      <c r="C376" s="173"/>
      <c r="D376" s="174"/>
      <c r="E376" s="174"/>
      <c r="F376" s="175"/>
      <c r="G376" s="175">
        <f t="shared" si="40"/>
        <v>0</v>
      </c>
      <c r="H376" s="176">
        <v>0.05</v>
      </c>
      <c r="I376" s="177">
        <f t="shared" si="41"/>
        <v>0</v>
      </c>
      <c r="J376" s="177">
        <f t="shared" si="42"/>
        <v>0</v>
      </c>
      <c r="K376" s="291"/>
      <c r="L376" s="292"/>
      <c r="M376" s="293"/>
      <c r="N376" s="293">
        <f t="shared" si="43"/>
        <v>0</v>
      </c>
      <c r="O376" s="298">
        <f t="shared" si="44"/>
        <v>0</v>
      </c>
      <c r="P376" s="302"/>
    </row>
    <row r="377" spans="2:16" ht="15">
      <c r="B377" s="172"/>
      <c r="C377" s="173"/>
      <c r="D377" s="174"/>
      <c r="E377" s="174"/>
      <c r="F377" s="175"/>
      <c r="G377" s="175">
        <f t="shared" si="40"/>
        <v>0</v>
      </c>
      <c r="H377" s="176">
        <v>0.05</v>
      </c>
      <c r="I377" s="177">
        <f t="shared" si="41"/>
        <v>0</v>
      </c>
      <c r="J377" s="177">
        <f t="shared" si="42"/>
        <v>0</v>
      </c>
      <c r="K377" s="291"/>
      <c r="L377" s="292"/>
      <c r="M377" s="293"/>
      <c r="N377" s="293">
        <f t="shared" si="43"/>
        <v>0</v>
      </c>
      <c r="O377" s="298">
        <f t="shared" si="44"/>
        <v>0</v>
      </c>
      <c r="P377" s="302"/>
    </row>
    <row r="378" spans="2:16" ht="15">
      <c r="B378" s="172"/>
      <c r="C378" s="173"/>
      <c r="D378" s="174"/>
      <c r="E378" s="174"/>
      <c r="F378" s="175"/>
      <c r="G378" s="175">
        <f t="shared" si="40"/>
        <v>0</v>
      </c>
      <c r="H378" s="176">
        <v>0.05</v>
      </c>
      <c r="I378" s="177">
        <f t="shared" si="41"/>
        <v>0</v>
      </c>
      <c r="J378" s="177">
        <f t="shared" si="42"/>
        <v>0</v>
      </c>
      <c r="K378" s="291"/>
      <c r="L378" s="292"/>
      <c r="M378" s="293"/>
      <c r="N378" s="293">
        <f t="shared" si="43"/>
        <v>0</v>
      </c>
      <c r="O378" s="298">
        <f t="shared" si="44"/>
        <v>0</v>
      </c>
      <c r="P378" s="302"/>
    </row>
    <row r="379" spans="2:16" ht="15">
      <c r="B379" s="172"/>
      <c r="C379" s="173"/>
      <c r="D379" s="174"/>
      <c r="E379" s="174"/>
      <c r="F379" s="175"/>
      <c r="G379" s="175">
        <f t="shared" si="40"/>
        <v>0</v>
      </c>
      <c r="H379" s="176">
        <v>0.05</v>
      </c>
      <c r="I379" s="177">
        <f t="shared" si="41"/>
        <v>0</v>
      </c>
      <c r="J379" s="177">
        <f t="shared" si="42"/>
        <v>0</v>
      </c>
      <c r="K379" s="291"/>
      <c r="L379" s="292"/>
      <c r="M379" s="293"/>
      <c r="N379" s="293">
        <f t="shared" si="43"/>
        <v>0</v>
      </c>
      <c r="O379" s="298">
        <f t="shared" si="44"/>
        <v>0</v>
      </c>
      <c r="P379" s="302"/>
    </row>
    <row r="380" spans="2:16" ht="15">
      <c r="B380" s="172"/>
      <c r="C380" s="173"/>
      <c r="D380" s="174"/>
      <c r="E380" s="174"/>
      <c r="F380" s="175"/>
      <c r="G380" s="175">
        <f t="shared" si="40"/>
        <v>0</v>
      </c>
      <c r="H380" s="176">
        <v>0.05</v>
      </c>
      <c r="I380" s="177">
        <f t="shared" si="41"/>
        <v>0</v>
      </c>
      <c r="J380" s="177">
        <f t="shared" si="42"/>
        <v>0</v>
      </c>
      <c r="K380" s="291"/>
      <c r="L380" s="292"/>
      <c r="M380" s="293"/>
      <c r="N380" s="293">
        <f t="shared" si="43"/>
        <v>0</v>
      </c>
      <c r="O380" s="298">
        <f t="shared" si="44"/>
        <v>0</v>
      </c>
      <c r="P380" s="302"/>
    </row>
    <row r="381" spans="2:16" ht="15">
      <c r="B381" s="172"/>
      <c r="C381" s="173"/>
      <c r="D381" s="174"/>
      <c r="E381" s="174"/>
      <c r="F381" s="175"/>
      <c r="G381" s="175">
        <f t="shared" si="40"/>
        <v>0</v>
      </c>
      <c r="H381" s="176">
        <v>0.05</v>
      </c>
      <c r="I381" s="177">
        <f t="shared" si="41"/>
        <v>0</v>
      </c>
      <c r="J381" s="177">
        <f t="shared" si="42"/>
        <v>0</v>
      </c>
      <c r="K381" s="291"/>
      <c r="L381" s="292"/>
      <c r="M381" s="293"/>
      <c r="N381" s="293">
        <f t="shared" si="43"/>
        <v>0</v>
      </c>
      <c r="O381" s="298">
        <f t="shared" si="44"/>
        <v>0</v>
      </c>
      <c r="P381" s="302"/>
    </row>
    <row r="382" spans="2:16" ht="15">
      <c r="B382" s="172"/>
      <c r="C382" s="173"/>
      <c r="D382" s="174"/>
      <c r="E382" s="174"/>
      <c r="F382" s="175"/>
      <c r="G382" s="175">
        <f t="shared" si="40"/>
        <v>0</v>
      </c>
      <c r="H382" s="176">
        <v>0.05</v>
      </c>
      <c r="I382" s="177">
        <f t="shared" si="41"/>
        <v>0</v>
      </c>
      <c r="J382" s="177">
        <f t="shared" si="42"/>
        <v>0</v>
      </c>
      <c r="K382" s="291"/>
      <c r="L382" s="292"/>
      <c r="M382" s="293"/>
      <c r="N382" s="293">
        <f t="shared" si="43"/>
        <v>0</v>
      </c>
      <c r="O382" s="298">
        <f t="shared" si="44"/>
        <v>0</v>
      </c>
      <c r="P382" s="302"/>
    </row>
    <row r="383" spans="2:16" ht="15">
      <c r="B383" s="172"/>
      <c r="C383" s="173"/>
      <c r="D383" s="174"/>
      <c r="E383" s="174"/>
      <c r="F383" s="175"/>
      <c r="G383" s="175">
        <f t="shared" si="40"/>
        <v>0</v>
      </c>
      <c r="H383" s="176">
        <v>0.05</v>
      </c>
      <c r="I383" s="177">
        <f t="shared" si="41"/>
        <v>0</v>
      </c>
      <c r="J383" s="177">
        <f t="shared" si="42"/>
        <v>0</v>
      </c>
      <c r="K383" s="291"/>
      <c r="L383" s="292"/>
      <c r="M383" s="293"/>
      <c r="N383" s="293">
        <f t="shared" si="43"/>
        <v>0</v>
      </c>
      <c r="O383" s="298">
        <f t="shared" si="44"/>
        <v>0</v>
      </c>
      <c r="P383" s="302"/>
    </row>
    <row r="384" spans="2:16" ht="15">
      <c r="B384" s="172"/>
      <c r="C384" s="173"/>
      <c r="D384" s="174"/>
      <c r="E384" s="174"/>
      <c r="F384" s="175"/>
      <c r="G384" s="175">
        <f t="shared" si="40"/>
        <v>0</v>
      </c>
      <c r="H384" s="176">
        <v>0.05</v>
      </c>
      <c r="I384" s="177">
        <f t="shared" si="41"/>
        <v>0</v>
      </c>
      <c r="J384" s="177">
        <f t="shared" si="42"/>
        <v>0</v>
      </c>
      <c r="K384" s="291"/>
      <c r="L384" s="292"/>
      <c r="M384" s="293"/>
      <c r="N384" s="293">
        <f t="shared" si="43"/>
        <v>0</v>
      </c>
      <c r="O384" s="298">
        <f t="shared" si="44"/>
        <v>0</v>
      </c>
      <c r="P384" s="302"/>
    </row>
    <row r="385" spans="2:16" ht="15">
      <c r="B385" s="172"/>
      <c r="C385" s="173"/>
      <c r="D385" s="174"/>
      <c r="E385" s="174"/>
      <c r="F385" s="175"/>
      <c r="G385" s="175">
        <f t="shared" si="40"/>
        <v>0</v>
      </c>
      <c r="H385" s="176">
        <v>0.05</v>
      </c>
      <c r="I385" s="177">
        <f t="shared" si="41"/>
        <v>0</v>
      </c>
      <c r="J385" s="177">
        <f t="shared" si="42"/>
        <v>0</v>
      </c>
      <c r="K385" s="291"/>
      <c r="L385" s="292"/>
      <c r="M385" s="293"/>
      <c r="N385" s="293">
        <f t="shared" si="43"/>
        <v>0</v>
      </c>
      <c r="O385" s="298">
        <f t="shared" si="44"/>
        <v>0</v>
      </c>
      <c r="P385" s="302"/>
    </row>
    <row r="386" spans="2:16" ht="15">
      <c r="B386" s="172"/>
      <c r="C386" s="173"/>
      <c r="D386" s="174"/>
      <c r="E386" s="174"/>
      <c r="F386" s="175"/>
      <c r="G386" s="175">
        <f t="shared" si="40"/>
        <v>0</v>
      </c>
      <c r="H386" s="176">
        <v>0.05</v>
      </c>
      <c r="I386" s="177">
        <f t="shared" si="41"/>
        <v>0</v>
      </c>
      <c r="J386" s="177">
        <f t="shared" si="42"/>
        <v>0</v>
      </c>
      <c r="K386" s="291"/>
      <c r="L386" s="292"/>
      <c r="M386" s="293"/>
      <c r="N386" s="293">
        <f t="shared" si="43"/>
        <v>0</v>
      </c>
      <c r="O386" s="298">
        <f t="shared" si="44"/>
        <v>0</v>
      </c>
      <c r="P386" s="302"/>
    </row>
    <row r="387" spans="2:16" ht="15">
      <c r="B387" s="172"/>
      <c r="C387" s="173"/>
      <c r="D387" s="174"/>
      <c r="E387" s="174"/>
      <c r="F387" s="175"/>
      <c r="G387" s="175">
        <f t="shared" si="40"/>
        <v>0</v>
      </c>
      <c r="H387" s="176">
        <v>0.05</v>
      </c>
      <c r="I387" s="177">
        <f t="shared" si="41"/>
        <v>0</v>
      </c>
      <c r="J387" s="177">
        <f t="shared" si="42"/>
        <v>0</v>
      </c>
      <c r="K387" s="291"/>
      <c r="L387" s="292"/>
      <c r="M387" s="293"/>
      <c r="N387" s="293">
        <f t="shared" si="43"/>
        <v>0</v>
      </c>
      <c r="O387" s="298">
        <f t="shared" si="44"/>
        <v>0</v>
      </c>
      <c r="P387" s="302"/>
    </row>
    <row r="388" spans="2:16" ht="15">
      <c r="B388" s="172"/>
      <c r="C388" s="173"/>
      <c r="D388" s="174"/>
      <c r="E388" s="174"/>
      <c r="F388" s="175"/>
      <c r="G388" s="175">
        <f t="shared" si="40"/>
        <v>0</v>
      </c>
      <c r="H388" s="176">
        <v>0.05</v>
      </c>
      <c r="I388" s="177">
        <f t="shared" si="41"/>
        <v>0</v>
      </c>
      <c r="J388" s="177">
        <f t="shared" si="42"/>
        <v>0</v>
      </c>
      <c r="K388" s="291"/>
      <c r="L388" s="292"/>
      <c r="M388" s="293"/>
      <c r="N388" s="293">
        <f t="shared" si="43"/>
        <v>0</v>
      </c>
      <c r="O388" s="298">
        <f t="shared" si="44"/>
        <v>0</v>
      </c>
      <c r="P388" s="302"/>
    </row>
    <row r="389" spans="2:16" ht="15">
      <c r="B389" s="172"/>
      <c r="C389" s="173"/>
      <c r="D389" s="174"/>
      <c r="E389" s="174"/>
      <c r="F389" s="175"/>
      <c r="G389" s="175">
        <f t="shared" si="40"/>
        <v>0</v>
      </c>
      <c r="H389" s="176">
        <v>0.05</v>
      </c>
      <c r="I389" s="177">
        <f t="shared" si="41"/>
        <v>0</v>
      </c>
      <c r="J389" s="177">
        <f t="shared" si="42"/>
        <v>0</v>
      </c>
      <c r="K389" s="291"/>
      <c r="L389" s="292"/>
      <c r="M389" s="293"/>
      <c r="N389" s="293">
        <f t="shared" si="43"/>
        <v>0</v>
      </c>
      <c r="O389" s="298">
        <f t="shared" si="44"/>
        <v>0</v>
      </c>
      <c r="P389" s="302"/>
    </row>
    <row r="390" spans="2:16" ht="15">
      <c r="B390" s="172"/>
      <c r="C390" s="173"/>
      <c r="D390" s="174"/>
      <c r="E390" s="174"/>
      <c r="F390" s="175"/>
      <c r="G390" s="175">
        <f t="shared" si="40"/>
        <v>0</v>
      </c>
      <c r="H390" s="176">
        <v>0.05</v>
      </c>
      <c r="I390" s="177">
        <f t="shared" si="41"/>
        <v>0</v>
      </c>
      <c r="J390" s="177">
        <f t="shared" si="42"/>
        <v>0</v>
      </c>
      <c r="K390" s="291"/>
      <c r="L390" s="292"/>
      <c r="M390" s="293"/>
      <c r="N390" s="293">
        <f t="shared" si="43"/>
        <v>0</v>
      </c>
      <c r="O390" s="298">
        <f t="shared" si="44"/>
        <v>0</v>
      </c>
      <c r="P390" s="302"/>
    </row>
    <row r="391" spans="2:16" ht="15">
      <c r="B391" s="172"/>
      <c r="C391" s="173"/>
      <c r="D391" s="174"/>
      <c r="E391" s="174"/>
      <c r="F391" s="175"/>
      <c r="G391" s="175">
        <f t="shared" si="40"/>
        <v>0</v>
      </c>
      <c r="H391" s="176">
        <v>0.05</v>
      </c>
      <c r="I391" s="177">
        <f t="shared" si="41"/>
        <v>0</v>
      </c>
      <c r="J391" s="177">
        <f t="shared" si="42"/>
        <v>0</v>
      </c>
      <c r="K391" s="291"/>
      <c r="L391" s="292"/>
      <c r="M391" s="293"/>
      <c r="N391" s="293">
        <f t="shared" si="43"/>
        <v>0</v>
      </c>
      <c r="O391" s="298">
        <f t="shared" si="44"/>
        <v>0</v>
      </c>
      <c r="P391" s="302"/>
    </row>
    <row r="392" spans="2:16" ht="15">
      <c r="B392" s="172"/>
      <c r="C392" s="173"/>
      <c r="D392" s="174"/>
      <c r="E392" s="174"/>
      <c r="F392" s="175"/>
      <c r="G392" s="175">
        <f t="shared" si="40"/>
        <v>0</v>
      </c>
      <c r="H392" s="176">
        <v>0.05</v>
      </c>
      <c r="I392" s="177">
        <f t="shared" si="41"/>
        <v>0</v>
      </c>
      <c r="J392" s="177">
        <f t="shared" si="42"/>
        <v>0</v>
      </c>
      <c r="K392" s="291"/>
      <c r="L392" s="292"/>
      <c r="M392" s="293"/>
      <c r="N392" s="293">
        <f t="shared" si="43"/>
        <v>0</v>
      </c>
      <c r="O392" s="298">
        <f t="shared" si="44"/>
        <v>0</v>
      </c>
      <c r="P392" s="302"/>
    </row>
    <row r="393" spans="2:16" ht="15">
      <c r="B393" s="172"/>
      <c r="C393" s="173"/>
      <c r="D393" s="174"/>
      <c r="E393" s="174"/>
      <c r="F393" s="175"/>
      <c r="G393" s="175">
        <f t="shared" si="40"/>
        <v>0</v>
      </c>
      <c r="H393" s="176">
        <v>0.05</v>
      </c>
      <c r="I393" s="177">
        <f t="shared" si="41"/>
        <v>0</v>
      </c>
      <c r="J393" s="177">
        <f t="shared" si="42"/>
        <v>0</v>
      </c>
      <c r="K393" s="291"/>
      <c r="L393" s="292"/>
      <c r="M393" s="293"/>
      <c r="N393" s="293">
        <f t="shared" si="43"/>
        <v>0</v>
      </c>
      <c r="O393" s="298">
        <f t="shared" si="44"/>
        <v>0</v>
      </c>
      <c r="P393" s="302"/>
    </row>
    <row r="394" spans="2:16" ht="15">
      <c r="B394" s="172"/>
      <c r="C394" s="173"/>
      <c r="D394" s="174"/>
      <c r="E394" s="174"/>
      <c r="F394" s="175"/>
      <c r="G394" s="175">
        <f t="shared" si="40"/>
        <v>0</v>
      </c>
      <c r="H394" s="176">
        <v>0.05</v>
      </c>
      <c r="I394" s="177">
        <f t="shared" si="41"/>
        <v>0</v>
      </c>
      <c r="J394" s="177">
        <f t="shared" si="42"/>
        <v>0</v>
      </c>
      <c r="K394" s="291"/>
      <c r="L394" s="292"/>
      <c r="M394" s="293"/>
      <c r="N394" s="293">
        <f t="shared" si="43"/>
        <v>0</v>
      </c>
      <c r="O394" s="298">
        <f t="shared" si="44"/>
        <v>0</v>
      </c>
      <c r="P394" s="302"/>
    </row>
    <row r="395" spans="2:16" ht="15">
      <c r="B395" s="172"/>
      <c r="C395" s="173"/>
      <c r="D395" s="174"/>
      <c r="E395" s="174"/>
      <c r="F395" s="175"/>
      <c r="G395" s="175">
        <f t="shared" si="40"/>
        <v>0</v>
      </c>
      <c r="H395" s="176">
        <v>0.05</v>
      </c>
      <c r="I395" s="177">
        <f t="shared" si="41"/>
        <v>0</v>
      </c>
      <c r="J395" s="177">
        <f t="shared" si="42"/>
        <v>0</v>
      </c>
      <c r="K395" s="291"/>
      <c r="L395" s="292"/>
      <c r="M395" s="293"/>
      <c r="N395" s="293">
        <f t="shared" si="43"/>
        <v>0</v>
      </c>
      <c r="O395" s="298">
        <f t="shared" si="44"/>
        <v>0</v>
      </c>
      <c r="P395" s="302"/>
    </row>
    <row r="396" spans="2:16" ht="15">
      <c r="B396" s="172"/>
      <c r="C396" s="173"/>
      <c r="D396" s="174"/>
      <c r="E396" s="174"/>
      <c r="F396" s="175"/>
      <c r="G396" s="175">
        <f t="shared" si="40"/>
        <v>0</v>
      </c>
      <c r="H396" s="176">
        <v>0.05</v>
      </c>
      <c r="I396" s="177">
        <f t="shared" si="41"/>
        <v>0</v>
      </c>
      <c r="J396" s="177">
        <f t="shared" si="42"/>
        <v>0</v>
      </c>
      <c r="K396" s="291"/>
      <c r="L396" s="292"/>
      <c r="M396" s="293"/>
      <c r="N396" s="293">
        <f t="shared" si="43"/>
        <v>0</v>
      </c>
      <c r="O396" s="298">
        <f t="shared" si="44"/>
        <v>0</v>
      </c>
      <c r="P396" s="302"/>
    </row>
    <row r="397" spans="2:16" ht="15">
      <c r="B397" s="172"/>
      <c r="C397" s="173"/>
      <c r="D397" s="174"/>
      <c r="E397" s="174"/>
      <c r="F397" s="175"/>
      <c r="G397" s="175">
        <f t="shared" si="40"/>
        <v>0</v>
      </c>
      <c r="H397" s="176">
        <v>0.05</v>
      </c>
      <c r="I397" s="177">
        <f t="shared" si="41"/>
        <v>0</v>
      </c>
      <c r="J397" s="177">
        <f t="shared" si="42"/>
        <v>0</v>
      </c>
      <c r="K397" s="291"/>
      <c r="L397" s="292"/>
      <c r="M397" s="293"/>
      <c r="N397" s="293">
        <f t="shared" si="43"/>
        <v>0</v>
      </c>
      <c r="O397" s="298">
        <f t="shared" si="44"/>
        <v>0</v>
      </c>
      <c r="P397" s="302"/>
    </row>
    <row r="398" spans="2:16" ht="15">
      <c r="B398" s="172"/>
      <c r="C398" s="173"/>
      <c r="D398" s="174"/>
      <c r="E398" s="174"/>
      <c r="F398" s="175"/>
      <c r="G398" s="175">
        <f t="shared" si="40"/>
        <v>0</v>
      </c>
      <c r="H398" s="176">
        <v>0.05</v>
      </c>
      <c r="I398" s="177">
        <f t="shared" si="41"/>
        <v>0</v>
      </c>
      <c r="J398" s="177">
        <f t="shared" si="42"/>
        <v>0</v>
      </c>
      <c r="K398" s="291"/>
      <c r="L398" s="292"/>
      <c r="M398" s="293"/>
      <c r="N398" s="293">
        <f t="shared" si="43"/>
        <v>0</v>
      </c>
      <c r="O398" s="298">
        <f t="shared" si="44"/>
        <v>0</v>
      </c>
      <c r="P398" s="302"/>
    </row>
    <row r="399" spans="2:16" ht="15">
      <c r="B399" s="172"/>
      <c r="C399" s="173"/>
      <c r="D399" s="174"/>
      <c r="E399" s="174"/>
      <c r="F399" s="175"/>
      <c r="G399" s="175">
        <f t="shared" si="40"/>
        <v>0</v>
      </c>
      <c r="H399" s="176">
        <v>0.05</v>
      </c>
      <c r="I399" s="177">
        <f t="shared" si="41"/>
        <v>0</v>
      </c>
      <c r="J399" s="177">
        <f t="shared" si="42"/>
        <v>0</v>
      </c>
      <c r="K399" s="291"/>
      <c r="L399" s="292"/>
      <c r="M399" s="293"/>
      <c r="N399" s="293">
        <f t="shared" si="43"/>
        <v>0</v>
      </c>
      <c r="O399" s="298">
        <f t="shared" si="44"/>
        <v>0</v>
      </c>
      <c r="P399" s="302"/>
    </row>
    <row r="400" spans="2:16" ht="15">
      <c r="B400" s="172"/>
      <c r="C400" s="173"/>
      <c r="D400" s="174"/>
      <c r="E400" s="174"/>
      <c r="F400" s="175"/>
      <c r="G400" s="175">
        <f t="shared" si="40"/>
        <v>0</v>
      </c>
      <c r="H400" s="176">
        <v>0.05</v>
      </c>
      <c r="I400" s="177">
        <f t="shared" si="41"/>
        <v>0</v>
      </c>
      <c r="J400" s="177">
        <f t="shared" si="42"/>
        <v>0</v>
      </c>
      <c r="K400" s="291"/>
      <c r="L400" s="292"/>
      <c r="M400" s="293"/>
      <c r="N400" s="293">
        <f t="shared" si="43"/>
        <v>0</v>
      </c>
      <c r="O400" s="298">
        <f t="shared" si="44"/>
        <v>0</v>
      </c>
      <c r="P400" s="302"/>
    </row>
    <row r="401" spans="2:16" ht="15">
      <c r="B401" s="172"/>
      <c r="C401" s="173"/>
      <c r="D401" s="174"/>
      <c r="E401" s="174"/>
      <c r="F401" s="175"/>
      <c r="G401" s="175">
        <f t="shared" si="40"/>
        <v>0</v>
      </c>
      <c r="H401" s="176">
        <v>0.05</v>
      </c>
      <c r="I401" s="177">
        <f t="shared" si="41"/>
        <v>0</v>
      </c>
      <c r="J401" s="177">
        <f t="shared" si="42"/>
        <v>0</v>
      </c>
      <c r="K401" s="291"/>
      <c r="L401" s="292"/>
      <c r="M401" s="293"/>
      <c r="N401" s="293">
        <f t="shared" si="43"/>
        <v>0</v>
      </c>
      <c r="O401" s="298">
        <f t="shared" si="44"/>
        <v>0</v>
      </c>
      <c r="P401" s="302"/>
    </row>
    <row r="402" spans="2:16" ht="15">
      <c r="B402" s="172"/>
      <c r="C402" s="173"/>
      <c r="D402" s="174"/>
      <c r="E402" s="174"/>
      <c r="F402" s="175"/>
      <c r="G402" s="175">
        <f t="shared" si="40"/>
        <v>0</v>
      </c>
      <c r="H402" s="176">
        <v>0.05</v>
      </c>
      <c r="I402" s="177">
        <f t="shared" si="41"/>
        <v>0</v>
      </c>
      <c r="J402" s="177">
        <f t="shared" si="42"/>
        <v>0</v>
      </c>
      <c r="K402" s="291"/>
      <c r="L402" s="292"/>
      <c r="M402" s="293"/>
      <c r="N402" s="293">
        <f t="shared" si="43"/>
        <v>0</v>
      </c>
      <c r="O402" s="298">
        <f t="shared" si="44"/>
        <v>0</v>
      </c>
      <c r="P402" s="302"/>
    </row>
    <row r="403" spans="2:16" ht="15">
      <c r="B403" s="172"/>
      <c r="C403" s="173"/>
      <c r="D403" s="174"/>
      <c r="E403" s="174"/>
      <c r="F403" s="175"/>
      <c r="G403" s="175">
        <f t="shared" si="40"/>
        <v>0</v>
      </c>
      <c r="H403" s="176">
        <v>0.05</v>
      </c>
      <c r="I403" s="177">
        <f t="shared" si="41"/>
        <v>0</v>
      </c>
      <c r="J403" s="177">
        <f t="shared" si="42"/>
        <v>0</v>
      </c>
      <c r="K403" s="291"/>
      <c r="L403" s="292"/>
      <c r="M403" s="293"/>
      <c r="N403" s="293">
        <f t="shared" si="43"/>
        <v>0</v>
      </c>
      <c r="O403" s="298">
        <f t="shared" si="44"/>
        <v>0</v>
      </c>
      <c r="P403" s="302"/>
    </row>
    <row r="404" spans="2:16" ht="15">
      <c r="B404" s="172"/>
      <c r="C404" s="173"/>
      <c r="D404" s="174"/>
      <c r="E404" s="174"/>
      <c r="F404" s="175"/>
      <c r="G404" s="175">
        <f t="shared" si="40"/>
        <v>0</v>
      </c>
      <c r="H404" s="176">
        <v>0.05</v>
      </c>
      <c r="I404" s="177">
        <f t="shared" si="41"/>
        <v>0</v>
      </c>
      <c r="J404" s="177">
        <f t="shared" si="42"/>
        <v>0</v>
      </c>
      <c r="K404" s="291"/>
      <c r="L404" s="292"/>
      <c r="M404" s="293"/>
      <c r="N404" s="293">
        <f t="shared" si="43"/>
        <v>0</v>
      </c>
      <c r="O404" s="298">
        <f t="shared" si="44"/>
        <v>0</v>
      </c>
      <c r="P404" s="302"/>
    </row>
    <row r="405" spans="2:16" ht="15">
      <c r="B405" s="172"/>
      <c r="C405" s="173"/>
      <c r="D405" s="174"/>
      <c r="E405" s="174"/>
      <c r="F405" s="175"/>
      <c r="G405" s="175">
        <f t="shared" si="40"/>
        <v>0</v>
      </c>
      <c r="H405" s="176">
        <v>0.05</v>
      </c>
      <c r="I405" s="177">
        <f t="shared" si="41"/>
        <v>0</v>
      </c>
      <c r="J405" s="177">
        <f t="shared" si="42"/>
        <v>0</v>
      </c>
      <c r="K405" s="291"/>
      <c r="L405" s="292"/>
      <c r="M405" s="293"/>
      <c r="N405" s="293">
        <f t="shared" si="43"/>
        <v>0</v>
      </c>
      <c r="O405" s="298">
        <f t="shared" si="44"/>
        <v>0</v>
      </c>
      <c r="P405" s="302"/>
    </row>
    <row r="406" spans="2:16" ht="15">
      <c r="B406" s="172"/>
      <c r="C406" s="173"/>
      <c r="D406" s="174"/>
      <c r="E406" s="174"/>
      <c r="F406" s="175"/>
      <c r="G406" s="175">
        <f t="shared" si="40"/>
        <v>0</v>
      </c>
      <c r="H406" s="176">
        <v>0.05</v>
      </c>
      <c r="I406" s="177">
        <f t="shared" si="41"/>
        <v>0</v>
      </c>
      <c r="J406" s="177">
        <f t="shared" si="42"/>
        <v>0</v>
      </c>
      <c r="K406" s="291"/>
      <c r="L406" s="292"/>
      <c r="M406" s="293"/>
      <c r="N406" s="293">
        <f t="shared" si="43"/>
        <v>0</v>
      </c>
      <c r="O406" s="298">
        <f t="shared" si="44"/>
        <v>0</v>
      </c>
      <c r="P406" s="302"/>
    </row>
    <row r="407" spans="2:16" ht="15">
      <c r="B407" s="172"/>
      <c r="C407" s="173"/>
      <c r="D407" s="174"/>
      <c r="E407" s="174"/>
      <c r="F407" s="175"/>
      <c r="G407" s="175">
        <f t="shared" si="40"/>
        <v>0</v>
      </c>
      <c r="H407" s="176">
        <v>0.05</v>
      </c>
      <c r="I407" s="177">
        <f t="shared" si="41"/>
        <v>0</v>
      </c>
      <c r="J407" s="177">
        <f t="shared" si="42"/>
        <v>0</v>
      </c>
      <c r="K407" s="291"/>
      <c r="L407" s="292"/>
      <c r="M407" s="293"/>
      <c r="N407" s="293">
        <f t="shared" si="43"/>
        <v>0</v>
      </c>
      <c r="O407" s="298">
        <f t="shared" si="44"/>
        <v>0</v>
      </c>
      <c r="P407" s="302"/>
    </row>
    <row r="408" spans="2:16" ht="15">
      <c r="B408" s="172"/>
      <c r="C408" s="173"/>
      <c r="D408" s="174"/>
      <c r="E408" s="174"/>
      <c r="F408" s="175"/>
      <c r="G408" s="175">
        <f t="shared" si="40"/>
        <v>0</v>
      </c>
      <c r="H408" s="176">
        <v>0.05</v>
      </c>
      <c r="I408" s="177">
        <f t="shared" si="41"/>
        <v>0</v>
      </c>
      <c r="J408" s="177">
        <f t="shared" si="42"/>
        <v>0</v>
      </c>
      <c r="K408" s="291"/>
      <c r="L408" s="292"/>
      <c r="M408" s="293"/>
      <c r="N408" s="293">
        <f t="shared" si="43"/>
        <v>0</v>
      </c>
      <c r="O408" s="298">
        <f t="shared" si="44"/>
        <v>0</v>
      </c>
      <c r="P408" s="302"/>
    </row>
    <row r="409" spans="2:16" ht="15">
      <c r="B409" s="172"/>
      <c r="C409" s="173"/>
      <c r="D409" s="174"/>
      <c r="E409" s="174"/>
      <c r="F409" s="175"/>
      <c r="G409" s="175">
        <f t="shared" si="40"/>
        <v>0</v>
      </c>
      <c r="H409" s="176">
        <v>0.05</v>
      </c>
      <c r="I409" s="177">
        <f t="shared" si="41"/>
        <v>0</v>
      </c>
      <c r="J409" s="177">
        <f t="shared" si="42"/>
        <v>0</v>
      </c>
      <c r="K409" s="291"/>
      <c r="L409" s="292"/>
      <c r="M409" s="293"/>
      <c r="N409" s="293">
        <f t="shared" si="43"/>
        <v>0</v>
      </c>
      <c r="O409" s="298">
        <f t="shared" si="44"/>
        <v>0</v>
      </c>
      <c r="P409" s="302"/>
    </row>
    <row r="410" spans="2:16" ht="15">
      <c r="B410" s="172"/>
      <c r="C410" s="173"/>
      <c r="D410" s="174"/>
      <c r="E410" s="174"/>
      <c r="F410" s="175"/>
      <c r="G410" s="175">
        <f t="shared" si="40"/>
        <v>0</v>
      </c>
      <c r="H410" s="176">
        <v>0.05</v>
      </c>
      <c r="I410" s="177">
        <f t="shared" si="41"/>
        <v>0</v>
      </c>
      <c r="J410" s="177">
        <f t="shared" si="42"/>
        <v>0</v>
      </c>
      <c r="K410" s="291"/>
      <c r="L410" s="292"/>
      <c r="M410" s="293"/>
      <c r="N410" s="293">
        <f t="shared" si="43"/>
        <v>0</v>
      </c>
      <c r="O410" s="298">
        <f t="shared" si="44"/>
        <v>0</v>
      </c>
      <c r="P410" s="302"/>
    </row>
    <row r="411" spans="2:16" ht="15">
      <c r="B411" s="172"/>
      <c r="C411" s="173"/>
      <c r="D411" s="174"/>
      <c r="E411" s="174"/>
      <c r="F411" s="175"/>
      <c r="G411" s="175">
        <f t="shared" si="40"/>
        <v>0</v>
      </c>
      <c r="H411" s="176">
        <v>0.05</v>
      </c>
      <c r="I411" s="177">
        <f t="shared" si="41"/>
        <v>0</v>
      </c>
      <c r="J411" s="177">
        <f t="shared" si="42"/>
        <v>0</v>
      </c>
      <c r="K411" s="291"/>
      <c r="L411" s="292"/>
      <c r="M411" s="293"/>
      <c r="N411" s="293">
        <f t="shared" si="43"/>
        <v>0</v>
      </c>
      <c r="O411" s="298">
        <f t="shared" si="44"/>
        <v>0</v>
      </c>
      <c r="P411" s="302"/>
    </row>
    <row r="412" spans="2:16" ht="15">
      <c r="B412" s="172"/>
      <c r="C412" s="173"/>
      <c r="D412" s="174"/>
      <c r="E412" s="174"/>
      <c r="F412" s="175"/>
      <c r="G412" s="175">
        <f t="shared" ref="G412:G475" si="45">IF(D412=0,0,(D412+E412)/F412)</f>
        <v>0</v>
      </c>
      <c r="H412" s="176">
        <v>0.05</v>
      </c>
      <c r="I412" s="177">
        <f t="shared" ref="I412:I475" si="46">+G412*H412</f>
        <v>0</v>
      </c>
      <c r="J412" s="177">
        <f t="shared" ref="J412:J475" si="47">+G412+I412</f>
        <v>0</v>
      </c>
      <c r="K412" s="291"/>
      <c r="L412" s="292"/>
      <c r="M412" s="293"/>
      <c r="N412" s="293">
        <f t="shared" ref="N412:N475" si="48">IF(H412&lt;M412,H412/M412,0)</f>
        <v>0</v>
      </c>
      <c r="O412" s="298">
        <f t="shared" ref="O412:O475" si="49">1.5%*N412</f>
        <v>0</v>
      </c>
      <c r="P412" s="302"/>
    </row>
    <row r="413" spans="2:16" ht="15">
      <c r="B413" s="172"/>
      <c r="C413" s="173"/>
      <c r="D413" s="174"/>
      <c r="E413" s="174"/>
      <c r="F413" s="175"/>
      <c r="G413" s="175">
        <f t="shared" si="45"/>
        <v>0</v>
      </c>
      <c r="H413" s="176">
        <v>0.05</v>
      </c>
      <c r="I413" s="177">
        <f t="shared" si="46"/>
        <v>0</v>
      </c>
      <c r="J413" s="177">
        <f t="shared" si="47"/>
        <v>0</v>
      </c>
      <c r="K413" s="291"/>
      <c r="L413" s="292"/>
      <c r="M413" s="293"/>
      <c r="N413" s="293">
        <f t="shared" si="48"/>
        <v>0</v>
      </c>
      <c r="O413" s="298">
        <f t="shared" si="49"/>
        <v>0</v>
      </c>
      <c r="P413" s="302"/>
    </row>
    <row r="414" spans="2:16" ht="15">
      <c r="B414" s="172"/>
      <c r="C414" s="173"/>
      <c r="D414" s="174"/>
      <c r="E414" s="174"/>
      <c r="F414" s="175"/>
      <c r="G414" s="175">
        <f t="shared" si="45"/>
        <v>0</v>
      </c>
      <c r="H414" s="176">
        <v>0.05</v>
      </c>
      <c r="I414" s="177">
        <f t="shared" si="46"/>
        <v>0</v>
      </c>
      <c r="J414" s="177">
        <f t="shared" si="47"/>
        <v>0</v>
      </c>
      <c r="K414" s="291"/>
      <c r="L414" s="292"/>
      <c r="M414" s="293"/>
      <c r="N414" s="293">
        <f t="shared" si="48"/>
        <v>0</v>
      </c>
      <c r="O414" s="298">
        <f t="shared" si="49"/>
        <v>0</v>
      </c>
      <c r="P414" s="302"/>
    </row>
    <row r="415" spans="2:16" ht="15">
      <c r="B415" s="172"/>
      <c r="C415" s="173"/>
      <c r="D415" s="174"/>
      <c r="E415" s="174"/>
      <c r="F415" s="175"/>
      <c r="G415" s="175">
        <f t="shared" si="45"/>
        <v>0</v>
      </c>
      <c r="H415" s="176">
        <v>0.05</v>
      </c>
      <c r="I415" s="177">
        <f t="shared" si="46"/>
        <v>0</v>
      </c>
      <c r="J415" s="177">
        <f t="shared" si="47"/>
        <v>0</v>
      </c>
      <c r="K415" s="291"/>
      <c r="L415" s="292"/>
      <c r="M415" s="293"/>
      <c r="N415" s="293">
        <f t="shared" si="48"/>
        <v>0</v>
      </c>
      <c r="O415" s="298">
        <f t="shared" si="49"/>
        <v>0</v>
      </c>
      <c r="P415" s="302"/>
    </row>
    <row r="416" spans="2:16" ht="15">
      <c r="B416" s="172"/>
      <c r="C416" s="173"/>
      <c r="D416" s="174"/>
      <c r="E416" s="174"/>
      <c r="F416" s="175"/>
      <c r="G416" s="175">
        <f t="shared" si="45"/>
        <v>0</v>
      </c>
      <c r="H416" s="176">
        <v>0.05</v>
      </c>
      <c r="I416" s="177">
        <f t="shared" si="46"/>
        <v>0</v>
      </c>
      <c r="J416" s="177">
        <f t="shared" si="47"/>
        <v>0</v>
      </c>
      <c r="K416" s="291"/>
      <c r="L416" s="292"/>
      <c r="M416" s="293"/>
      <c r="N416" s="293">
        <f t="shared" si="48"/>
        <v>0</v>
      </c>
      <c r="O416" s="298">
        <f t="shared" si="49"/>
        <v>0</v>
      </c>
      <c r="P416" s="302"/>
    </row>
    <row r="417" spans="2:16" ht="15">
      <c r="B417" s="172"/>
      <c r="C417" s="173"/>
      <c r="D417" s="174"/>
      <c r="E417" s="174"/>
      <c r="F417" s="175"/>
      <c r="G417" s="175">
        <f t="shared" si="45"/>
        <v>0</v>
      </c>
      <c r="H417" s="176">
        <v>0.05</v>
      </c>
      <c r="I417" s="177">
        <f t="shared" si="46"/>
        <v>0</v>
      </c>
      <c r="J417" s="177">
        <f t="shared" si="47"/>
        <v>0</v>
      </c>
      <c r="K417" s="291"/>
      <c r="L417" s="292"/>
      <c r="M417" s="293"/>
      <c r="N417" s="293">
        <f t="shared" si="48"/>
        <v>0</v>
      </c>
      <c r="O417" s="298">
        <f t="shared" si="49"/>
        <v>0</v>
      </c>
      <c r="P417" s="302"/>
    </row>
    <row r="418" spans="2:16" ht="15">
      <c r="B418" s="172"/>
      <c r="C418" s="173"/>
      <c r="D418" s="174"/>
      <c r="E418" s="174"/>
      <c r="F418" s="175"/>
      <c r="G418" s="175">
        <f t="shared" si="45"/>
        <v>0</v>
      </c>
      <c r="H418" s="176">
        <v>0.05</v>
      </c>
      <c r="I418" s="177">
        <f t="shared" si="46"/>
        <v>0</v>
      </c>
      <c r="J418" s="177">
        <f t="shared" si="47"/>
        <v>0</v>
      </c>
      <c r="K418" s="291"/>
      <c r="L418" s="292"/>
      <c r="M418" s="293"/>
      <c r="N418" s="293">
        <f t="shared" si="48"/>
        <v>0</v>
      </c>
      <c r="O418" s="298">
        <f t="shared" si="49"/>
        <v>0</v>
      </c>
      <c r="P418" s="302"/>
    </row>
    <row r="419" spans="2:16" ht="15">
      <c r="B419" s="172"/>
      <c r="C419" s="173"/>
      <c r="D419" s="174"/>
      <c r="E419" s="174"/>
      <c r="F419" s="175"/>
      <c r="G419" s="175">
        <f t="shared" si="45"/>
        <v>0</v>
      </c>
      <c r="H419" s="176">
        <v>0.05</v>
      </c>
      <c r="I419" s="177">
        <f t="shared" si="46"/>
        <v>0</v>
      </c>
      <c r="J419" s="177">
        <f t="shared" si="47"/>
        <v>0</v>
      </c>
      <c r="K419" s="291"/>
      <c r="L419" s="292"/>
      <c r="M419" s="293"/>
      <c r="N419" s="293">
        <f t="shared" si="48"/>
        <v>0</v>
      </c>
      <c r="O419" s="298">
        <f t="shared" si="49"/>
        <v>0</v>
      </c>
      <c r="P419" s="302"/>
    </row>
    <row r="420" spans="2:16" ht="15">
      <c r="B420" s="172"/>
      <c r="C420" s="173"/>
      <c r="D420" s="174"/>
      <c r="E420" s="174"/>
      <c r="F420" s="175"/>
      <c r="G420" s="175">
        <f t="shared" si="45"/>
        <v>0</v>
      </c>
      <c r="H420" s="176">
        <v>0.05</v>
      </c>
      <c r="I420" s="177">
        <f t="shared" si="46"/>
        <v>0</v>
      </c>
      <c r="J420" s="177">
        <f t="shared" si="47"/>
        <v>0</v>
      </c>
      <c r="K420" s="291"/>
      <c r="L420" s="292"/>
      <c r="M420" s="293"/>
      <c r="N420" s="293">
        <f t="shared" si="48"/>
        <v>0</v>
      </c>
      <c r="O420" s="298">
        <f t="shared" si="49"/>
        <v>0</v>
      </c>
      <c r="P420" s="302"/>
    </row>
    <row r="421" spans="2:16" ht="15">
      <c r="B421" s="172"/>
      <c r="C421" s="173"/>
      <c r="D421" s="174"/>
      <c r="E421" s="174"/>
      <c r="F421" s="175"/>
      <c r="G421" s="175">
        <f t="shared" si="45"/>
        <v>0</v>
      </c>
      <c r="H421" s="176">
        <v>0.05</v>
      </c>
      <c r="I421" s="177">
        <f t="shared" si="46"/>
        <v>0</v>
      </c>
      <c r="J421" s="177">
        <f t="shared" si="47"/>
        <v>0</v>
      </c>
      <c r="K421" s="291"/>
      <c r="L421" s="292"/>
      <c r="M421" s="293"/>
      <c r="N421" s="293">
        <f t="shared" si="48"/>
        <v>0</v>
      </c>
      <c r="O421" s="298">
        <f t="shared" si="49"/>
        <v>0</v>
      </c>
      <c r="P421" s="302"/>
    </row>
    <row r="422" spans="2:16" ht="15">
      <c r="B422" s="172"/>
      <c r="C422" s="173"/>
      <c r="D422" s="174"/>
      <c r="E422" s="174"/>
      <c r="F422" s="175"/>
      <c r="G422" s="175">
        <f t="shared" si="45"/>
        <v>0</v>
      </c>
      <c r="H422" s="176">
        <v>0.05</v>
      </c>
      <c r="I422" s="177">
        <f t="shared" si="46"/>
        <v>0</v>
      </c>
      <c r="J422" s="177">
        <f t="shared" si="47"/>
        <v>0</v>
      </c>
      <c r="K422" s="291"/>
      <c r="L422" s="292"/>
      <c r="M422" s="293"/>
      <c r="N422" s="293">
        <f t="shared" si="48"/>
        <v>0</v>
      </c>
      <c r="O422" s="298">
        <f t="shared" si="49"/>
        <v>0</v>
      </c>
      <c r="P422" s="302"/>
    </row>
    <row r="423" spans="2:16" ht="15">
      <c r="B423" s="172"/>
      <c r="C423" s="173"/>
      <c r="D423" s="174"/>
      <c r="E423" s="174"/>
      <c r="F423" s="175"/>
      <c r="G423" s="175">
        <f t="shared" si="45"/>
        <v>0</v>
      </c>
      <c r="H423" s="176">
        <v>0.05</v>
      </c>
      <c r="I423" s="177">
        <f t="shared" si="46"/>
        <v>0</v>
      </c>
      <c r="J423" s="177">
        <f t="shared" si="47"/>
        <v>0</v>
      </c>
      <c r="K423" s="291"/>
      <c r="L423" s="292"/>
      <c r="M423" s="293"/>
      <c r="N423" s="293">
        <f t="shared" si="48"/>
        <v>0</v>
      </c>
      <c r="O423" s="298">
        <f t="shared" si="49"/>
        <v>0</v>
      </c>
      <c r="P423" s="302"/>
    </row>
    <row r="424" spans="2:16" ht="15">
      <c r="B424" s="172"/>
      <c r="C424" s="173"/>
      <c r="D424" s="174"/>
      <c r="E424" s="174"/>
      <c r="F424" s="175"/>
      <c r="G424" s="175">
        <f t="shared" si="45"/>
        <v>0</v>
      </c>
      <c r="H424" s="176">
        <v>0.05</v>
      </c>
      <c r="I424" s="177">
        <f t="shared" si="46"/>
        <v>0</v>
      </c>
      <c r="J424" s="177">
        <f t="shared" si="47"/>
        <v>0</v>
      </c>
      <c r="K424" s="291"/>
      <c r="L424" s="292"/>
      <c r="M424" s="293"/>
      <c r="N424" s="293">
        <f t="shared" si="48"/>
        <v>0</v>
      </c>
      <c r="O424" s="298">
        <f t="shared" si="49"/>
        <v>0</v>
      </c>
      <c r="P424" s="302"/>
    </row>
    <row r="425" spans="2:16" ht="15">
      <c r="B425" s="172"/>
      <c r="C425" s="173"/>
      <c r="D425" s="174"/>
      <c r="E425" s="174"/>
      <c r="F425" s="175"/>
      <c r="G425" s="175">
        <f t="shared" si="45"/>
        <v>0</v>
      </c>
      <c r="H425" s="176">
        <v>0.05</v>
      </c>
      <c r="I425" s="177">
        <f t="shared" si="46"/>
        <v>0</v>
      </c>
      <c r="J425" s="177">
        <f t="shared" si="47"/>
        <v>0</v>
      </c>
      <c r="K425" s="291"/>
      <c r="L425" s="292"/>
      <c r="M425" s="293"/>
      <c r="N425" s="293">
        <f t="shared" si="48"/>
        <v>0</v>
      </c>
      <c r="O425" s="298">
        <f t="shared" si="49"/>
        <v>0</v>
      </c>
      <c r="P425" s="302"/>
    </row>
    <row r="426" spans="2:16" ht="15">
      <c r="B426" s="172"/>
      <c r="C426" s="173"/>
      <c r="D426" s="174"/>
      <c r="E426" s="174"/>
      <c r="F426" s="175"/>
      <c r="G426" s="175">
        <f t="shared" si="45"/>
        <v>0</v>
      </c>
      <c r="H426" s="176">
        <v>0.05</v>
      </c>
      <c r="I426" s="177">
        <f t="shared" si="46"/>
        <v>0</v>
      </c>
      <c r="J426" s="177">
        <f t="shared" si="47"/>
        <v>0</v>
      </c>
      <c r="K426" s="291"/>
      <c r="L426" s="292"/>
      <c r="M426" s="293"/>
      <c r="N426" s="293">
        <f t="shared" si="48"/>
        <v>0</v>
      </c>
      <c r="O426" s="298">
        <f t="shared" si="49"/>
        <v>0</v>
      </c>
      <c r="P426" s="302"/>
    </row>
    <row r="427" spans="2:16" ht="15">
      <c r="B427" s="172"/>
      <c r="C427" s="173"/>
      <c r="D427" s="174"/>
      <c r="E427" s="174"/>
      <c r="F427" s="175"/>
      <c r="G427" s="175">
        <f t="shared" si="45"/>
        <v>0</v>
      </c>
      <c r="H427" s="176">
        <v>0.05</v>
      </c>
      <c r="I427" s="177">
        <f t="shared" si="46"/>
        <v>0</v>
      </c>
      <c r="J427" s="177">
        <f t="shared" si="47"/>
        <v>0</v>
      </c>
      <c r="K427" s="291"/>
      <c r="L427" s="292"/>
      <c r="M427" s="293"/>
      <c r="N427" s="293">
        <f t="shared" si="48"/>
        <v>0</v>
      </c>
      <c r="O427" s="298">
        <f t="shared" si="49"/>
        <v>0</v>
      </c>
      <c r="P427" s="302"/>
    </row>
    <row r="428" spans="2:16" ht="15">
      <c r="B428" s="172"/>
      <c r="C428" s="173"/>
      <c r="D428" s="174"/>
      <c r="E428" s="174"/>
      <c r="F428" s="175"/>
      <c r="G428" s="175">
        <f t="shared" si="45"/>
        <v>0</v>
      </c>
      <c r="H428" s="176">
        <v>0.05</v>
      </c>
      <c r="I428" s="177">
        <f t="shared" si="46"/>
        <v>0</v>
      </c>
      <c r="J428" s="177">
        <f t="shared" si="47"/>
        <v>0</v>
      </c>
      <c r="K428" s="291"/>
      <c r="L428" s="292"/>
      <c r="M428" s="293"/>
      <c r="N428" s="293">
        <f t="shared" si="48"/>
        <v>0</v>
      </c>
      <c r="O428" s="298">
        <f t="shared" si="49"/>
        <v>0</v>
      </c>
      <c r="P428" s="302"/>
    </row>
    <row r="429" spans="2:16" ht="15">
      <c r="B429" s="172"/>
      <c r="C429" s="173"/>
      <c r="D429" s="174"/>
      <c r="E429" s="174"/>
      <c r="F429" s="175"/>
      <c r="G429" s="175">
        <f t="shared" si="45"/>
        <v>0</v>
      </c>
      <c r="H429" s="176">
        <v>0.05</v>
      </c>
      <c r="I429" s="177">
        <f t="shared" si="46"/>
        <v>0</v>
      </c>
      <c r="J429" s="177">
        <f t="shared" si="47"/>
        <v>0</v>
      </c>
      <c r="K429" s="291"/>
      <c r="L429" s="292"/>
      <c r="M429" s="293"/>
      <c r="N429" s="293">
        <f t="shared" si="48"/>
        <v>0</v>
      </c>
      <c r="O429" s="298">
        <f t="shared" si="49"/>
        <v>0</v>
      </c>
      <c r="P429" s="302"/>
    </row>
    <row r="430" spans="2:16" ht="15">
      <c r="B430" s="172"/>
      <c r="C430" s="173"/>
      <c r="D430" s="174"/>
      <c r="E430" s="174"/>
      <c r="F430" s="175"/>
      <c r="G430" s="175">
        <f t="shared" si="45"/>
        <v>0</v>
      </c>
      <c r="H430" s="176">
        <v>0.05</v>
      </c>
      <c r="I430" s="177">
        <f t="shared" si="46"/>
        <v>0</v>
      </c>
      <c r="J430" s="177">
        <f t="shared" si="47"/>
        <v>0</v>
      </c>
      <c r="K430" s="291"/>
      <c r="L430" s="292"/>
      <c r="M430" s="293"/>
      <c r="N430" s="293">
        <f t="shared" si="48"/>
        <v>0</v>
      </c>
      <c r="O430" s="298">
        <f t="shared" si="49"/>
        <v>0</v>
      </c>
      <c r="P430" s="302"/>
    </row>
    <row r="431" spans="2:16" ht="15">
      <c r="B431" s="172"/>
      <c r="C431" s="173"/>
      <c r="D431" s="174"/>
      <c r="E431" s="174"/>
      <c r="F431" s="175"/>
      <c r="G431" s="175">
        <f t="shared" si="45"/>
        <v>0</v>
      </c>
      <c r="H431" s="176">
        <v>0.05</v>
      </c>
      <c r="I431" s="177">
        <f t="shared" si="46"/>
        <v>0</v>
      </c>
      <c r="J431" s="177">
        <f t="shared" si="47"/>
        <v>0</v>
      </c>
      <c r="K431" s="291"/>
      <c r="L431" s="292"/>
      <c r="M431" s="293"/>
      <c r="N431" s="293">
        <f t="shared" si="48"/>
        <v>0</v>
      </c>
      <c r="O431" s="298">
        <f t="shared" si="49"/>
        <v>0</v>
      </c>
      <c r="P431" s="302"/>
    </row>
    <row r="432" spans="2:16" ht="15">
      <c r="B432" s="172"/>
      <c r="C432" s="173"/>
      <c r="D432" s="174"/>
      <c r="E432" s="174"/>
      <c r="F432" s="175"/>
      <c r="G432" s="175">
        <f t="shared" si="45"/>
        <v>0</v>
      </c>
      <c r="H432" s="176">
        <v>0.05</v>
      </c>
      <c r="I432" s="177">
        <f t="shared" si="46"/>
        <v>0</v>
      </c>
      <c r="J432" s="177">
        <f t="shared" si="47"/>
        <v>0</v>
      </c>
      <c r="K432" s="291"/>
      <c r="L432" s="292"/>
      <c r="M432" s="293"/>
      <c r="N432" s="293">
        <f t="shared" si="48"/>
        <v>0</v>
      </c>
      <c r="O432" s="298">
        <f t="shared" si="49"/>
        <v>0</v>
      </c>
      <c r="P432" s="302"/>
    </row>
    <row r="433" spans="2:16" ht="15">
      <c r="B433" s="172"/>
      <c r="C433" s="173"/>
      <c r="D433" s="174"/>
      <c r="E433" s="174"/>
      <c r="F433" s="175"/>
      <c r="G433" s="175">
        <f t="shared" si="45"/>
        <v>0</v>
      </c>
      <c r="H433" s="176">
        <v>0.05</v>
      </c>
      <c r="I433" s="177">
        <f t="shared" si="46"/>
        <v>0</v>
      </c>
      <c r="J433" s="177">
        <f t="shared" si="47"/>
        <v>0</v>
      </c>
      <c r="K433" s="291"/>
      <c r="L433" s="292"/>
      <c r="M433" s="293"/>
      <c r="N433" s="293">
        <f t="shared" si="48"/>
        <v>0</v>
      </c>
      <c r="O433" s="298">
        <f t="shared" si="49"/>
        <v>0</v>
      </c>
      <c r="P433" s="302"/>
    </row>
    <row r="434" spans="2:16" ht="15">
      <c r="B434" s="172"/>
      <c r="C434" s="173"/>
      <c r="D434" s="174"/>
      <c r="E434" s="174"/>
      <c r="F434" s="175"/>
      <c r="G434" s="175">
        <f t="shared" si="45"/>
        <v>0</v>
      </c>
      <c r="H434" s="176">
        <v>0.05</v>
      </c>
      <c r="I434" s="177">
        <f t="shared" si="46"/>
        <v>0</v>
      </c>
      <c r="J434" s="177">
        <f t="shared" si="47"/>
        <v>0</v>
      </c>
      <c r="K434" s="291"/>
      <c r="L434" s="292"/>
      <c r="M434" s="293"/>
      <c r="N434" s="293">
        <f t="shared" si="48"/>
        <v>0</v>
      </c>
      <c r="O434" s="298">
        <f t="shared" si="49"/>
        <v>0</v>
      </c>
      <c r="P434" s="302"/>
    </row>
    <row r="435" spans="2:16" ht="15">
      <c r="B435" s="172"/>
      <c r="C435" s="173"/>
      <c r="D435" s="174"/>
      <c r="E435" s="174"/>
      <c r="F435" s="175"/>
      <c r="G435" s="175">
        <f t="shared" si="45"/>
        <v>0</v>
      </c>
      <c r="H435" s="176">
        <v>0.05</v>
      </c>
      <c r="I435" s="177">
        <f t="shared" si="46"/>
        <v>0</v>
      </c>
      <c r="J435" s="177">
        <f t="shared" si="47"/>
        <v>0</v>
      </c>
      <c r="K435" s="291"/>
      <c r="L435" s="292"/>
      <c r="M435" s="293"/>
      <c r="N435" s="293">
        <f t="shared" si="48"/>
        <v>0</v>
      </c>
      <c r="O435" s="298">
        <f t="shared" si="49"/>
        <v>0</v>
      </c>
      <c r="P435" s="302"/>
    </row>
    <row r="436" spans="2:16" ht="15">
      <c r="B436" s="172"/>
      <c r="C436" s="173"/>
      <c r="D436" s="174"/>
      <c r="E436" s="174"/>
      <c r="F436" s="175"/>
      <c r="G436" s="175">
        <f t="shared" si="45"/>
        <v>0</v>
      </c>
      <c r="H436" s="176">
        <v>0.05</v>
      </c>
      <c r="I436" s="177">
        <f t="shared" si="46"/>
        <v>0</v>
      </c>
      <c r="J436" s="177">
        <f t="shared" si="47"/>
        <v>0</v>
      </c>
      <c r="K436" s="291"/>
      <c r="L436" s="292"/>
      <c r="M436" s="293"/>
      <c r="N436" s="293">
        <f t="shared" si="48"/>
        <v>0</v>
      </c>
      <c r="O436" s="298">
        <f t="shared" si="49"/>
        <v>0</v>
      </c>
      <c r="P436" s="302"/>
    </row>
    <row r="437" spans="2:16" ht="15">
      <c r="B437" s="172"/>
      <c r="C437" s="173"/>
      <c r="D437" s="174"/>
      <c r="E437" s="174"/>
      <c r="F437" s="175"/>
      <c r="G437" s="175">
        <f t="shared" si="45"/>
        <v>0</v>
      </c>
      <c r="H437" s="176">
        <v>0.05</v>
      </c>
      <c r="I437" s="177">
        <f t="shared" si="46"/>
        <v>0</v>
      </c>
      <c r="J437" s="177">
        <f t="shared" si="47"/>
        <v>0</v>
      </c>
      <c r="K437" s="291"/>
      <c r="L437" s="292"/>
      <c r="M437" s="293"/>
      <c r="N437" s="293">
        <f t="shared" si="48"/>
        <v>0</v>
      </c>
      <c r="O437" s="298">
        <f t="shared" si="49"/>
        <v>0</v>
      </c>
      <c r="P437" s="302"/>
    </row>
    <row r="438" spans="2:16" ht="15">
      <c r="B438" s="172"/>
      <c r="C438" s="173"/>
      <c r="D438" s="174"/>
      <c r="E438" s="174"/>
      <c r="F438" s="175"/>
      <c r="G438" s="175">
        <f t="shared" si="45"/>
        <v>0</v>
      </c>
      <c r="H438" s="176">
        <v>0.05</v>
      </c>
      <c r="I438" s="177">
        <f t="shared" si="46"/>
        <v>0</v>
      </c>
      <c r="J438" s="177">
        <f t="shared" si="47"/>
        <v>0</v>
      </c>
      <c r="K438" s="291"/>
      <c r="L438" s="292"/>
      <c r="M438" s="293"/>
      <c r="N438" s="293">
        <f t="shared" si="48"/>
        <v>0</v>
      </c>
      <c r="O438" s="298">
        <f t="shared" si="49"/>
        <v>0</v>
      </c>
      <c r="P438" s="302"/>
    </row>
    <row r="439" spans="2:16" ht="15">
      <c r="B439" s="172"/>
      <c r="C439" s="173"/>
      <c r="D439" s="174"/>
      <c r="E439" s="174"/>
      <c r="F439" s="175"/>
      <c r="G439" s="175">
        <f t="shared" si="45"/>
        <v>0</v>
      </c>
      <c r="H439" s="176">
        <v>0.05</v>
      </c>
      <c r="I439" s="177">
        <f t="shared" si="46"/>
        <v>0</v>
      </c>
      <c r="J439" s="177">
        <f t="shared" si="47"/>
        <v>0</v>
      </c>
      <c r="K439" s="291"/>
      <c r="L439" s="292"/>
      <c r="M439" s="293"/>
      <c r="N439" s="293">
        <f t="shared" si="48"/>
        <v>0</v>
      </c>
      <c r="O439" s="298">
        <f t="shared" si="49"/>
        <v>0</v>
      </c>
      <c r="P439" s="302"/>
    </row>
    <row r="440" spans="2:16" ht="15">
      <c r="B440" s="172"/>
      <c r="C440" s="173"/>
      <c r="D440" s="174"/>
      <c r="E440" s="174"/>
      <c r="F440" s="175"/>
      <c r="G440" s="175">
        <f t="shared" si="45"/>
        <v>0</v>
      </c>
      <c r="H440" s="176">
        <v>0.05</v>
      </c>
      <c r="I440" s="177">
        <f t="shared" si="46"/>
        <v>0</v>
      </c>
      <c r="J440" s="177">
        <f t="shared" si="47"/>
        <v>0</v>
      </c>
      <c r="K440" s="291"/>
      <c r="L440" s="292"/>
      <c r="M440" s="293"/>
      <c r="N440" s="293">
        <f t="shared" si="48"/>
        <v>0</v>
      </c>
      <c r="O440" s="298">
        <f t="shared" si="49"/>
        <v>0</v>
      </c>
      <c r="P440" s="302"/>
    </row>
    <row r="441" spans="2:16" ht="15">
      <c r="B441" s="172"/>
      <c r="C441" s="173"/>
      <c r="D441" s="174"/>
      <c r="E441" s="174"/>
      <c r="F441" s="175"/>
      <c r="G441" s="175">
        <f t="shared" si="45"/>
        <v>0</v>
      </c>
      <c r="H441" s="176">
        <v>0.05</v>
      </c>
      <c r="I441" s="177">
        <f t="shared" si="46"/>
        <v>0</v>
      </c>
      <c r="J441" s="177">
        <f t="shared" si="47"/>
        <v>0</v>
      </c>
      <c r="K441" s="291"/>
      <c r="L441" s="292"/>
      <c r="M441" s="293"/>
      <c r="N441" s="293">
        <f t="shared" si="48"/>
        <v>0</v>
      </c>
      <c r="O441" s="298">
        <f t="shared" si="49"/>
        <v>0</v>
      </c>
      <c r="P441" s="302"/>
    </row>
    <row r="442" spans="2:16" ht="15">
      <c r="B442" s="172"/>
      <c r="C442" s="173"/>
      <c r="D442" s="174"/>
      <c r="E442" s="174"/>
      <c r="F442" s="175"/>
      <c r="G442" s="175">
        <f t="shared" si="45"/>
        <v>0</v>
      </c>
      <c r="H442" s="176">
        <v>0.05</v>
      </c>
      <c r="I442" s="177">
        <f t="shared" si="46"/>
        <v>0</v>
      </c>
      <c r="J442" s="177">
        <f t="shared" si="47"/>
        <v>0</v>
      </c>
      <c r="K442" s="291"/>
      <c r="L442" s="292"/>
      <c r="M442" s="293"/>
      <c r="N442" s="293">
        <f t="shared" si="48"/>
        <v>0</v>
      </c>
      <c r="O442" s="298">
        <f t="shared" si="49"/>
        <v>0</v>
      </c>
      <c r="P442" s="302"/>
    </row>
    <row r="443" spans="2:16" ht="15">
      <c r="B443" s="172"/>
      <c r="C443" s="173"/>
      <c r="D443" s="174"/>
      <c r="E443" s="174"/>
      <c r="F443" s="175"/>
      <c r="G443" s="175">
        <f t="shared" si="45"/>
        <v>0</v>
      </c>
      <c r="H443" s="176">
        <v>0.05</v>
      </c>
      <c r="I443" s="177">
        <f t="shared" si="46"/>
        <v>0</v>
      </c>
      <c r="J443" s="177">
        <f t="shared" si="47"/>
        <v>0</v>
      </c>
      <c r="K443" s="291"/>
      <c r="L443" s="292"/>
      <c r="M443" s="293"/>
      <c r="N443" s="293">
        <f t="shared" si="48"/>
        <v>0</v>
      </c>
      <c r="O443" s="298">
        <f t="shared" si="49"/>
        <v>0</v>
      </c>
      <c r="P443" s="302"/>
    </row>
    <row r="444" spans="2:16" ht="15">
      <c r="B444" s="172"/>
      <c r="C444" s="173"/>
      <c r="D444" s="174"/>
      <c r="E444" s="174"/>
      <c r="F444" s="175"/>
      <c r="G444" s="175">
        <f t="shared" si="45"/>
        <v>0</v>
      </c>
      <c r="H444" s="176">
        <v>0.05</v>
      </c>
      <c r="I444" s="177">
        <f t="shared" si="46"/>
        <v>0</v>
      </c>
      <c r="J444" s="177">
        <f t="shared" si="47"/>
        <v>0</v>
      </c>
      <c r="K444" s="291"/>
      <c r="L444" s="292"/>
      <c r="M444" s="293"/>
      <c r="N444" s="293">
        <f t="shared" si="48"/>
        <v>0</v>
      </c>
      <c r="O444" s="298">
        <f t="shared" si="49"/>
        <v>0</v>
      </c>
      <c r="P444" s="302"/>
    </row>
    <row r="445" spans="2:16" ht="15">
      <c r="B445" s="172"/>
      <c r="C445" s="173"/>
      <c r="D445" s="174"/>
      <c r="E445" s="174"/>
      <c r="F445" s="175"/>
      <c r="G445" s="175">
        <f t="shared" si="45"/>
        <v>0</v>
      </c>
      <c r="H445" s="176">
        <v>0.05</v>
      </c>
      <c r="I445" s="177">
        <f t="shared" si="46"/>
        <v>0</v>
      </c>
      <c r="J445" s="177">
        <f t="shared" si="47"/>
        <v>0</v>
      </c>
      <c r="K445" s="291"/>
      <c r="L445" s="292"/>
      <c r="M445" s="293"/>
      <c r="N445" s="293">
        <f t="shared" si="48"/>
        <v>0</v>
      </c>
      <c r="O445" s="298">
        <f t="shared" si="49"/>
        <v>0</v>
      </c>
      <c r="P445" s="302"/>
    </row>
    <row r="446" spans="2:16" ht="15">
      <c r="B446" s="172"/>
      <c r="C446" s="173"/>
      <c r="D446" s="174"/>
      <c r="E446" s="174"/>
      <c r="F446" s="175"/>
      <c r="G446" s="175">
        <f t="shared" si="45"/>
        <v>0</v>
      </c>
      <c r="H446" s="176">
        <v>0.05</v>
      </c>
      <c r="I446" s="177">
        <f t="shared" si="46"/>
        <v>0</v>
      </c>
      <c r="J446" s="177">
        <f t="shared" si="47"/>
        <v>0</v>
      </c>
      <c r="K446" s="291"/>
      <c r="L446" s="292"/>
      <c r="M446" s="293"/>
      <c r="N446" s="293">
        <f t="shared" si="48"/>
        <v>0</v>
      </c>
      <c r="O446" s="298">
        <f t="shared" si="49"/>
        <v>0</v>
      </c>
      <c r="P446" s="302"/>
    </row>
    <row r="447" spans="2:16" ht="15">
      <c r="B447" s="172"/>
      <c r="C447" s="173"/>
      <c r="D447" s="174"/>
      <c r="E447" s="174"/>
      <c r="F447" s="175"/>
      <c r="G447" s="175">
        <f t="shared" si="45"/>
        <v>0</v>
      </c>
      <c r="H447" s="176">
        <v>0.05</v>
      </c>
      <c r="I447" s="177">
        <f t="shared" si="46"/>
        <v>0</v>
      </c>
      <c r="J447" s="177">
        <f t="shared" si="47"/>
        <v>0</v>
      </c>
      <c r="K447" s="291"/>
      <c r="L447" s="292"/>
      <c r="M447" s="293"/>
      <c r="N447" s="293">
        <f t="shared" si="48"/>
        <v>0</v>
      </c>
      <c r="O447" s="298">
        <f t="shared" si="49"/>
        <v>0</v>
      </c>
      <c r="P447" s="302"/>
    </row>
    <row r="448" spans="2:16" ht="15">
      <c r="B448" s="172"/>
      <c r="C448" s="173"/>
      <c r="D448" s="174"/>
      <c r="E448" s="174"/>
      <c r="F448" s="175"/>
      <c r="G448" s="175">
        <f t="shared" si="45"/>
        <v>0</v>
      </c>
      <c r="H448" s="176">
        <v>0.05</v>
      </c>
      <c r="I448" s="177">
        <f t="shared" si="46"/>
        <v>0</v>
      </c>
      <c r="J448" s="177">
        <f t="shared" si="47"/>
        <v>0</v>
      </c>
      <c r="K448" s="291"/>
      <c r="L448" s="292"/>
      <c r="M448" s="293"/>
      <c r="N448" s="293">
        <f t="shared" si="48"/>
        <v>0</v>
      </c>
      <c r="O448" s="298">
        <f t="shared" si="49"/>
        <v>0</v>
      </c>
      <c r="P448" s="302"/>
    </row>
    <row r="449" spans="2:16" ht="15">
      <c r="B449" s="172"/>
      <c r="C449" s="173"/>
      <c r="D449" s="174"/>
      <c r="E449" s="174"/>
      <c r="F449" s="175"/>
      <c r="G449" s="175">
        <f t="shared" si="45"/>
        <v>0</v>
      </c>
      <c r="H449" s="176">
        <v>0.05</v>
      </c>
      <c r="I449" s="177">
        <f t="shared" si="46"/>
        <v>0</v>
      </c>
      <c r="J449" s="177">
        <f t="shared" si="47"/>
        <v>0</v>
      </c>
      <c r="K449" s="291"/>
      <c r="L449" s="292"/>
      <c r="M449" s="293"/>
      <c r="N449" s="293">
        <f t="shared" si="48"/>
        <v>0</v>
      </c>
      <c r="O449" s="298">
        <f t="shared" si="49"/>
        <v>0</v>
      </c>
      <c r="P449" s="302"/>
    </row>
    <row r="450" spans="2:16" ht="15">
      <c r="B450" s="172"/>
      <c r="C450" s="173"/>
      <c r="D450" s="174"/>
      <c r="E450" s="174"/>
      <c r="F450" s="175"/>
      <c r="G450" s="175">
        <f t="shared" si="45"/>
        <v>0</v>
      </c>
      <c r="H450" s="176">
        <v>0.05</v>
      </c>
      <c r="I450" s="177">
        <f t="shared" si="46"/>
        <v>0</v>
      </c>
      <c r="J450" s="177">
        <f t="shared" si="47"/>
        <v>0</v>
      </c>
      <c r="K450" s="291"/>
      <c r="L450" s="292"/>
      <c r="M450" s="293"/>
      <c r="N450" s="293">
        <f t="shared" si="48"/>
        <v>0</v>
      </c>
      <c r="O450" s="298">
        <f t="shared" si="49"/>
        <v>0</v>
      </c>
      <c r="P450" s="302"/>
    </row>
    <row r="451" spans="2:16" ht="15">
      <c r="B451" s="172"/>
      <c r="C451" s="173"/>
      <c r="D451" s="174"/>
      <c r="E451" s="174"/>
      <c r="F451" s="175"/>
      <c r="G451" s="175">
        <f t="shared" si="45"/>
        <v>0</v>
      </c>
      <c r="H451" s="176">
        <v>0.05</v>
      </c>
      <c r="I451" s="177">
        <f t="shared" si="46"/>
        <v>0</v>
      </c>
      <c r="J451" s="177">
        <f t="shared" si="47"/>
        <v>0</v>
      </c>
      <c r="K451" s="291"/>
      <c r="L451" s="292"/>
      <c r="M451" s="293"/>
      <c r="N451" s="293">
        <f t="shared" si="48"/>
        <v>0</v>
      </c>
      <c r="O451" s="298">
        <f t="shared" si="49"/>
        <v>0</v>
      </c>
      <c r="P451" s="302"/>
    </row>
    <row r="452" spans="2:16" ht="15">
      <c r="B452" s="172"/>
      <c r="C452" s="173"/>
      <c r="D452" s="174"/>
      <c r="E452" s="174"/>
      <c r="F452" s="175"/>
      <c r="G452" s="175">
        <f t="shared" si="45"/>
        <v>0</v>
      </c>
      <c r="H452" s="176">
        <v>0.05</v>
      </c>
      <c r="I452" s="177">
        <f t="shared" si="46"/>
        <v>0</v>
      </c>
      <c r="J452" s="177">
        <f t="shared" si="47"/>
        <v>0</v>
      </c>
      <c r="K452" s="291"/>
      <c r="L452" s="292"/>
      <c r="M452" s="293"/>
      <c r="N452" s="293">
        <f t="shared" si="48"/>
        <v>0</v>
      </c>
      <c r="O452" s="298">
        <f t="shared" si="49"/>
        <v>0</v>
      </c>
      <c r="P452" s="302"/>
    </row>
    <row r="453" spans="2:16" ht="15">
      <c r="B453" s="172"/>
      <c r="C453" s="173"/>
      <c r="D453" s="174"/>
      <c r="E453" s="174"/>
      <c r="F453" s="175"/>
      <c r="G453" s="175">
        <f t="shared" si="45"/>
        <v>0</v>
      </c>
      <c r="H453" s="176">
        <v>0.05</v>
      </c>
      <c r="I453" s="177">
        <f t="shared" si="46"/>
        <v>0</v>
      </c>
      <c r="J453" s="177">
        <f t="shared" si="47"/>
        <v>0</v>
      </c>
      <c r="K453" s="291"/>
      <c r="L453" s="292"/>
      <c r="M453" s="293"/>
      <c r="N453" s="293">
        <f t="shared" si="48"/>
        <v>0</v>
      </c>
      <c r="O453" s="298">
        <f t="shared" si="49"/>
        <v>0</v>
      </c>
      <c r="P453" s="302"/>
    </row>
    <row r="454" spans="2:16" ht="15">
      <c r="B454" s="172"/>
      <c r="C454" s="173"/>
      <c r="D454" s="174"/>
      <c r="E454" s="174"/>
      <c r="F454" s="175"/>
      <c r="G454" s="175">
        <f t="shared" si="45"/>
        <v>0</v>
      </c>
      <c r="H454" s="176">
        <v>0.05</v>
      </c>
      <c r="I454" s="177">
        <f t="shared" si="46"/>
        <v>0</v>
      </c>
      <c r="J454" s="177">
        <f t="shared" si="47"/>
        <v>0</v>
      </c>
      <c r="K454" s="291"/>
      <c r="L454" s="292"/>
      <c r="M454" s="293"/>
      <c r="N454" s="293">
        <f t="shared" si="48"/>
        <v>0</v>
      </c>
      <c r="O454" s="298">
        <f t="shared" si="49"/>
        <v>0</v>
      </c>
      <c r="P454" s="302"/>
    </row>
    <row r="455" spans="2:16" ht="15">
      <c r="B455" s="172"/>
      <c r="C455" s="173"/>
      <c r="D455" s="174"/>
      <c r="E455" s="174"/>
      <c r="F455" s="175"/>
      <c r="G455" s="175">
        <f t="shared" si="45"/>
        <v>0</v>
      </c>
      <c r="H455" s="176">
        <v>0.05</v>
      </c>
      <c r="I455" s="177">
        <f t="shared" si="46"/>
        <v>0</v>
      </c>
      <c r="J455" s="177">
        <f t="shared" si="47"/>
        <v>0</v>
      </c>
      <c r="K455" s="291"/>
      <c r="L455" s="292"/>
      <c r="M455" s="293"/>
      <c r="N455" s="293">
        <f t="shared" si="48"/>
        <v>0</v>
      </c>
      <c r="O455" s="298">
        <f t="shared" si="49"/>
        <v>0</v>
      </c>
      <c r="P455" s="302"/>
    </row>
    <row r="456" spans="2:16" ht="15">
      <c r="B456" s="172"/>
      <c r="C456" s="173"/>
      <c r="D456" s="174"/>
      <c r="E456" s="174"/>
      <c r="F456" s="175"/>
      <c r="G456" s="175">
        <f t="shared" si="45"/>
        <v>0</v>
      </c>
      <c r="H456" s="176">
        <v>0.05</v>
      </c>
      <c r="I456" s="177">
        <f t="shared" si="46"/>
        <v>0</v>
      </c>
      <c r="J456" s="177">
        <f t="shared" si="47"/>
        <v>0</v>
      </c>
      <c r="K456" s="291"/>
      <c r="L456" s="292"/>
      <c r="M456" s="293"/>
      <c r="N456" s="293">
        <f t="shared" si="48"/>
        <v>0</v>
      </c>
      <c r="O456" s="298">
        <f t="shared" si="49"/>
        <v>0</v>
      </c>
      <c r="P456" s="302"/>
    </row>
    <row r="457" spans="2:16" ht="15">
      <c r="B457" s="172"/>
      <c r="C457" s="173"/>
      <c r="D457" s="174"/>
      <c r="E457" s="174"/>
      <c r="F457" s="175"/>
      <c r="G457" s="175">
        <f t="shared" si="45"/>
        <v>0</v>
      </c>
      <c r="H457" s="176">
        <v>0.05</v>
      </c>
      <c r="I457" s="177">
        <f t="shared" si="46"/>
        <v>0</v>
      </c>
      <c r="J457" s="177">
        <f t="shared" si="47"/>
        <v>0</v>
      </c>
      <c r="K457" s="291"/>
      <c r="L457" s="292"/>
      <c r="M457" s="293"/>
      <c r="N457" s="293">
        <f t="shared" si="48"/>
        <v>0</v>
      </c>
      <c r="O457" s="298">
        <f t="shared" si="49"/>
        <v>0</v>
      </c>
      <c r="P457" s="302"/>
    </row>
    <row r="458" spans="2:16" ht="15">
      <c r="B458" s="172"/>
      <c r="C458" s="173"/>
      <c r="D458" s="174"/>
      <c r="E458" s="174"/>
      <c r="F458" s="175"/>
      <c r="G458" s="175">
        <f t="shared" si="45"/>
        <v>0</v>
      </c>
      <c r="H458" s="176">
        <v>0.05</v>
      </c>
      <c r="I458" s="177">
        <f t="shared" si="46"/>
        <v>0</v>
      </c>
      <c r="J458" s="177">
        <f t="shared" si="47"/>
        <v>0</v>
      </c>
      <c r="K458" s="291"/>
      <c r="L458" s="292"/>
      <c r="M458" s="293"/>
      <c r="N458" s="293">
        <f t="shared" si="48"/>
        <v>0</v>
      </c>
      <c r="O458" s="298">
        <f t="shared" si="49"/>
        <v>0</v>
      </c>
      <c r="P458" s="302"/>
    </row>
    <row r="459" spans="2:16" ht="15">
      <c r="B459" s="172"/>
      <c r="C459" s="173"/>
      <c r="D459" s="174"/>
      <c r="E459" s="174"/>
      <c r="F459" s="175"/>
      <c r="G459" s="175">
        <f t="shared" si="45"/>
        <v>0</v>
      </c>
      <c r="H459" s="176">
        <v>0.05</v>
      </c>
      <c r="I459" s="177">
        <f t="shared" si="46"/>
        <v>0</v>
      </c>
      <c r="J459" s="177">
        <f t="shared" si="47"/>
        <v>0</v>
      </c>
      <c r="K459" s="291"/>
      <c r="L459" s="292"/>
      <c r="M459" s="293"/>
      <c r="N459" s="293">
        <f t="shared" si="48"/>
        <v>0</v>
      </c>
      <c r="O459" s="298">
        <f t="shared" si="49"/>
        <v>0</v>
      </c>
      <c r="P459" s="302"/>
    </row>
    <row r="460" spans="2:16" ht="15">
      <c r="B460" s="172"/>
      <c r="C460" s="173"/>
      <c r="D460" s="174"/>
      <c r="E460" s="174"/>
      <c r="F460" s="175"/>
      <c r="G460" s="175">
        <f t="shared" si="45"/>
        <v>0</v>
      </c>
      <c r="H460" s="176">
        <v>0.05</v>
      </c>
      <c r="I460" s="177">
        <f t="shared" si="46"/>
        <v>0</v>
      </c>
      <c r="J460" s="177">
        <f t="shared" si="47"/>
        <v>0</v>
      </c>
      <c r="K460" s="291"/>
      <c r="L460" s="292"/>
      <c r="M460" s="293"/>
      <c r="N460" s="293">
        <f t="shared" si="48"/>
        <v>0</v>
      </c>
      <c r="O460" s="298">
        <f t="shared" si="49"/>
        <v>0</v>
      </c>
      <c r="P460" s="302"/>
    </row>
    <row r="461" spans="2:16" ht="15">
      <c r="B461" s="172"/>
      <c r="C461" s="173"/>
      <c r="D461" s="174"/>
      <c r="E461" s="174"/>
      <c r="F461" s="175"/>
      <c r="G461" s="175">
        <f t="shared" si="45"/>
        <v>0</v>
      </c>
      <c r="H461" s="176">
        <v>0.05</v>
      </c>
      <c r="I461" s="177">
        <f t="shared" si="46"/>
        <v>0</v>
      </c>
      <c r="J461" s="177">
        <f t="shared" si="47"/>
        <v>0</v>
      </c>
      <c r="K461" s="291"/>
      <c r="L461" s="292"/>
      <c r="M461" s="293"/>
      <c r="N461" s="293">
        <f t="shared" si="48"/>
        <v>0</v>
      </c>
      <c r="O461" s="298">
        <f t="shared" si="49"/>
        <v>0</v>
      </c>
      <c r="P461" s="302"/>
    </row>
    <row r="462" spans="2:16" ht="15">
      <c r="B462" s="172"/>
      <c r="C462" s="173"/>
      <c r="D462" s="174"/>
      <c r="E462" s="174"/>
      <c r="F462" s="175"/>
      <c r="G462" s="175">
        <f t="shared" si="45"/>
        <v>0</v>
      </c>
      <c r="H462" s="176">
        <v>0.05</v>
      </c>
      <c r="I462" s="177">
        <f t="shared" si="46"/>
        <v>0</v>
      </c>
      <c r="J462" s="177">
        <f t="shared" si="47"/>
        <v>0</v>
      </c>
      <c r="K462" s="291"/>
      <c r="L462" s="292"/>
      <c r="M462" s="293"/>
      <c r="N462" s="293">
        <f t="shared" si="48"/>
        <v>0</v>
      </c>
      <c r="O462" s="298">
        <f t="shared" si="49"/>
        <v>0</v>
      </c>
      <c r="P462" s="302"/>
    </row>
    <row r="463" spans="2:16" ht="15">
      <c r="B463" s="172"/>
      <c r="C463" s="173"/>
      <c r="D463" s="174"/>
      <c r="E463" s="174"/>
      <c r="F463" s="175"/>
      <c r="G463" s="175">
        <f t="shared" si="45"/>
        <v>0</v>
      </c>
      <c r="H463" s="176">
        <v>0.05</v>
      </c>
      <c r="I463" s="177">
        <f t="shared" si="46"/>
        <v>0</v>
      </c>
      <c r="J463" s="177">
        <f t="shared" si="47"/>
        <v>0</v>
      </c>
      <c r="K463" s="291"/>
      <c r="L463" s="292"/>
      <c r="M463" s="293"/>
      <c r="N463" s="293">
        <f t="shared" si="48"/>
        <v>0</v>
      </c>
      <c r="O463" s="298">
        <f t="shared" si="49"/>
        <v>0</v>
      </c>
      <c r="P463" s="302"/>
    </row>
    <row r="464" spans="2:16" ht="15">
      <c r="B464" s="172"/>
      <c r="C464" s="173"/>
      <c r="D464" s="174"/>
      <c r="E464" s="174"/>
      <c r="F464" s="175"/>
      <c r="G464" s="175">
        <f t="shared" si="45"/>
        <v>0</v>
      </c>
      <c r="H464" s="176">
        <v>0.05</v>
      </c>
      <c r="I464" s="177">
        <f t="shared" si="46"/>
        <v>0</v>
      </c>
      <c r="J464" s="177">
        <f t="shared" si="47"/>
        <v>0</v>
      </c>
      <c r="K464" s="291"/>
      <c r="L464" s="292"/>
      <c r="M464" s="293"/>
      <c r="N464" s="293">
        <f t="shared" si="48"/>
        <v>0</v>
      </c>
      <c r="O464" s="298">
        <f t="shared" si="49"/>
        <v>0</v>
      </c>
      <c r="P464" s="302"/>
    </row>
    <row r="465" spans="2:16" ht="15">
      <c r="B465" s="172"/>
      <c r="C465" s="173"/>
      <c r="D465" s="174"/>
      <c r="E465" s="174"/>
      <c r="F465" s="175"/>
      <c r="G465" s="175">
        <f t="shared" si="45"/>
        <v>0</v>
      </c>
      <c r="H465" s="176">
        <v>0.05</v>
      </c>
      <c r="I465" s="177">
        <f t="shared" si="46"/>
        <v>0</v>
      </c>
      <c r="J465" s="177">
        <f t="shared" si="47"/>
        <v>0</v>
      </c>
      <c r="K465" s="291"/>
      <c r="L465" s="292"/>
      <c r="M465" s="293"/>
      <c r="N465" s="293">
        <f t="shared" si="48"/>
        <v>0</v>
      </c>
      <c r="O465" s="298">
        <f t="shared" si="49"/>
        <v>0</v>
      </c>
      <c r="P465" s="302"/>
    </row>
    <row r="466" spans="2:16" ht="15">
      <c r="B466" s="172"/>
      <c r="C466" s="173"/>
      <c r="D466" s="174"/>
      <c r="E466" s="174"/>
      <c r="F466" s="175"/>
      <c r="G466" s="175">
        <f t="shared" si="45"/>
        <v>0</v>
      </c>
      <c r="H466" s="176">
        <v>0.05</v>
      </c>
      <c r="I466" s="177">
        <f t="shared" si="46"/>
        <v>0</v>
      </c>
      <c r="J466" s="177">
        <f t="shared" si="47"/>
        <v>0</v>
      </c>
      <c r="K466" s="291"/>
      <c r="L466" s="292"/>
      <c r="M466" s="293"/>
      <c r="N466" s="293">
        <f t="shared" si="48"/>
        <v>0</v>
      </c>
      <c r="O466" s="298">
        <f t="shared" si="49"/>
        <v>0</v>
      </c>
      <c r="P466" s="302"/>
    </row>
    <row r="467" spans="2:16" ht="15">
      <c r="B467" s="172"/>
      <c r="C467" s="173"/>
      <c r="D467" s="174"/>
      <c r="E467" s="174"/>
      <c r="F467" s="175"/>
      <c r="G467" s="175">
        <f t="shared" si="45"/>
        <v>0</v>
      </c>
      <c r="H467" s="176">
        <v>0.05</v>
      </c>
      <c r="I467" s="177">
        <f t="shared" si="46"/>
        <v>0</v>
      </c>
      <c r="J467" s="177">
        <f t="shared" si="47"/>
        <v>0</v>
      </c>
      <c r="K467" s="291"/>
      <c r="L467" s="292"/>
      <c r="M467" s="293"/>
      <c r="N467" s="293">
        <f t="shared" si="48"/>
        <v>0</v>
      </c>
      <c r="O467" s="298">
        <f t="shared" si="49"/>
        <v>0</v>
      </c>
      <c r="P467" s="302"/>
    </row>
    <row r="468" spans="2:16" ht="15">
      <c r="B468" s="172"/>
      <c r="C468" s="173"/>
      <c r="D468" s="174"/>
      <c r="E468" s="174"/>
      <c r="F468" s="175"/>
      <c r="G468" s="175">
        <f t="shared" si="45"/>
        <v>0</v>
      </c>
      <c r="H468" s="176">
        <v>0.05</v>
      </c>
      <c r="I468" s="177">
        <f t="shared" si="46"/>
        <v>0</v>
      </c>
      <c r="J468" s="177">
        <f t="shared" si="47"/>
        <v>0</v>
      </c>
      <c r="K468" s="291"/>
      <c r="L468" s="292"/>
      <c r="M468" s="293"/>
      <c r="N468" s="293">
        <f t="shared" si="48"/>
        <v>0</v>
      </c>
      <c r="O468" s="298">
        <f t="shared" si="49"/>
        <v>0</v>
      </c>
      <c r="P468" s="302"/>
    </row>
    <row r="469" spans="2:16" ht="15">
      <c r="B469" s="172"/>
      <c r="C469" s="173"/>
      <c r="D469" s="174"/>
      <c r="E469" s="174"/>
      <c r="F469" s="175"/>
      <c r="G469" s="175">
        <f t="shared" si="45"/>
        <v>0</v>
      </c>
      <c r="H469" s="176">
        <v>0.05</v>
      </c>
      <c r="I469" s="177">
        <f t="shared" si="46"/>
        <v>0</v>
      </c>
      <c r="J469" s="177">
        <f t="shared" si="47"/>
        <v>0</v>
      </c>
      <c r="K469" s="291"/>
      <c r="L469" s="292"/>
      <c r="M469" s="293"/>
      <c r="N469" s="293">
        <f t="shared" si="48"/>
        <v>0</v>
      </c>
      <c r="O469" s="298">
        <f t="shared" si="49"/>
        <v>0</v>
      </c>
      <c r="P469" s="302"/>
    </row>
    <row r="470" spans="2:16" ht="15">
      <c r="B470" s="172"/>
      <c r="C470" s="173"/>
      <c r="D470" s="174"/>
      <c r="E470" s="174"/>
      <c r="F470" s="175"/>
      <c r="G470" s="175">
        <f t="shared" si="45"/>
        <v>0</v>
      </c>
      <c r="H470" s="176">
        <v>0.05</v>
      </c>
      <c r="I470" s="177">
        <f t="shared" si="46"/>
        <v>0</v>
      </c>
      <c r="J470" s="177">
        <f t="shared" si="47"/>
        <v>0</v>
      </c>
      <c r="K470" s="291"/>
      <c r="L470" s="292"/>
      <c r="M470" s="293"/>
      <c r="N470" s="293">
        <f t="shared" si="48"/>
        <v>0</v>
      </c>
      <c r="O470" s="298">
        <f t="shared" si="49"/>
        <v>0</v>
      </c>
      <c r="P470" s="302"/>
    </row>
    <row r="471" spans="2:16" ht="15">
      <c r="B471" s="172"/>
      <c r="C471" s="173"/>
      <c r="D471" s="174"/>
      <c r="E471" s="174"/>
      <c r="F471" s="175"/>
      <c r="G471" s="175">
        <f t="shared" si="45"/>
        <v>0</v>
      </c>
      <c r="H471" s="176">
        <v>0.05</v>
      </c>
      <c r="I471" s="177">
        <f t="shared" si="46"/>
        <v>0</v>
      </c>
      <c r="J471" s="177">
        <f t="shared" si="47"/>
        <v>0</v>
      </c>
      <c r="K471" s="291"/>
      <c r="L471" s="292"/>
      <c r="M471" s="293"/>
      <c r="N471" s="293">
        <f t="shared" si="48"/>
        <v>0</v>
      </c>
      <c r="O471" s="298">
        <f t="shared" si="49"/>
        <v>0</v>
      </c>
      <c r="P471" s="302"/>
    </row>
    <row r="472" spans="2:16" ht="15">
      <c r="B472" s="172"/>
      <c r="C472" s="173"/>
      <c r="D472" s="174"/>
      <c r="E472" s="174"/>
      <c r="F472" s="175"/>
      <c r="G472" s="175">
        <f t="shared" si="45"/>
        <v>0</v>
      </c>
      <c r="H472" s="176">
        <v>0.05</v>
      </c>
      <c r="I472" s="177">
        <f t="shared" si="46"/>
        <v>0</v>
      </c>
      <c r="J472" s="177">
        <f t="shared" si="47"/>
        <v>0</v>
      </c>
      <c r="K472" s="291"/>
      <c r="L472" s="292"/>
      <c r="M472" s="293"/>
      <c r="N472" s="293">
        <f t="shared" si="48"/>
        <v>0</v>
      </c>
      <c r="O472" s="298">
        <f t="shared" si="49"/>
        <v>0</v>
      </c>
      <c r="P472" s="302"/>
    </row>
    <row r="473" spans="2:16" ht="15">
      <c r="B473" s="172"/>
      <c r="C473" s="173"/>
      <c r="D473" s="174"/>
      <c r="E473" s="174"/>
      <c r="F473" s="175"/>
      <c r="G473" s="175">
        <f t="shared" si="45"/>
        <v>0</v>
      </c>
      <c r="H473" s="176">
        <v>0.05</v>
      </c>
      <c r="I473" s="177">
        <f t="shared" si="46"/>
        <v>0</v>
      </c>
      <c r="J473" s="177">
        <f t="shared" si="47"/>
        <v>0</v>
      </c>
      <c r="K473" s="291"/>
      <c r="L473" s="292"/>
      <c r="M473" s="293"/>
      <c r="N473" s="293">
        <f t="shared" si="48"/>
        <v>0</v>
      </c>
      <c r="O473" s="298">
        <f t="shared" si="49"/>
        <v>0</v>
      </c>
      <c r="P473" s="302"/>
    </row>
    <row r="474" spans="2:16" ht="15">
      <c r="B474" s="172"/>
      <c r="C474" s="173"/>
      <c r="D474" s="174"/>
      <c r="E474" s="174"/>
      <c r="F474" s="175"/>
      <c r="G474" s="175">
        <f t="shared" si="45"/>
        <v>0</v>
      </c>
      <c r="H474" s="176">
        <v>0.05</v>
      </c>
      <c r="I474" s="177">
        <f t="shared" si="46"/>
        <v>0</v>
      </c>
      <c r="J474" s="177">
        <f t="shared" si="47"/>
        <v>0</v>
      </c>
      <c r="K474" s="291"/>
      <c r="L474" s="292"/>
      <c r="M474" s="293"/>
      <c r="N474" s="293">
        <f t="shared" si="48"/>
        <v>0</v>
      </c>
      <c r="O474" s="298">
        <f t="shared" si="49"/>
        <v>0</v>
      </c>
      <c r="P474" s="302"/>
    </row>
    <row r="475" spans="2:16" ht="15">
      <c r="B475" s="172"/>
      <c r="C475" s="173"/>
      <c r="D475" s="174"/>
      <c r="E475" s="174"/>
      <c r="F475" s="175"/>
      <c r="G475" s="175">
        <f t="shared" si="45"/>
        <v>0</v>
      </c>
      <c r="H475" s="176">
        <v>0.05</v>
      </c>
      <c r="I475" s="177">
        <f t="shared" si="46"/>
        <v>0</v>
      </c>
      <c r="J475" s="177">
        <f t="shared" si="47"/>
        <v>0</v>
      </c>
      <c r="K475" s="291"/>
      <c r="L475" s="292"/>
      <c r="M475" s="293"/>
      <c r="N475" s="293">
        <f t="shared" si="48"/>
        <v>0</v>
      </c>
      <c r="O475" s="298">
        <f t="shared" si="49"/>
        <v>0</v>
      </c>
      <c r="P475" s="302"/>
    </row>
    <row r="476" spans="2:16" ht="15">
      <c r="B476" s="172"/>
      <c r="C476" s="173"/>
      <c r="D476" s="174"/>
      <c r="E476" s="174"/>
      <c r="F476" s="175"/>
      <c r="G476" s="175">
        <f t="shared" ref="G476:G539" si="50">IF(D476=0,0,(D476+E476)/F476)</f>
        <v>0</v>
      </c>
      <c r="H476" s="176">
        <v>0.05</v>
      </c>
      <c r="I476" s="177">
        <f t="shared" ref="I476:I539" si="51">+G476*H476</f>
        <v>0</v>
      </c>
      <c r="J476" s="177">
        <f t="shared" ref="J476:J539" si="52">+G476+I476</f>
        <v>0</v>
      </c>
      <c r="K476" s="291"/>
      <c r="L476" s="292"/>
      <c r="M476" s="293"/>
      <c r="N476" s="293">
        <f t="shared" ref="N476:N539" si="53">IF(H476&lt;M476,H476/M476,0)</f>
        <v>0</v>
      </c>
      <c r="O476" s="298">
        <f t="shared" ref="O476:O539" si="54">1.5%*N476</f>
        <v>0</v>
      </c>
      <c r="P476" s="302"/>
    </row>
    <row r="477" spans="2:16" ht="15">
      <c r="B477" s="172"/>
      <c r="C477" s="173"/>
      <c r="D477" s="174"/>
      <c r="E477" s="174"/>
      <c r="F477" s="175"/>
      <c r="G477" s="175">
        <f t="shared" si="50"/>
        <v>0</v>
      </c>
      <c r="H477" s="176">
        <v>0.05</v>
      </c>
      <c r="I477" s="177">
        <f t="shared" si="51"/>
        <v>0</v>
      </c>
      <c r="J477" s="177">
        <f t="shared" si="52"/>
        <v>0</v>
      </c>
      <c r="K477" s="291"/>
      <c r="L477" s="292"/>
      <c r="M477" s="293"/>
      <c r="N477" s="293">
        <f t="shared" si="53"/>
        <v>0</v>
      </c>
      <c r="O477" s="298">
        <f t="shared" si="54"/>
        <v>0</v>
      </c>
      <c r="P477" s="302"/>
    </row>
    <row r="478" spans="2:16" ht="15">
      <c r="B478" s="172"/>
      <c r="C478" s="173"/>
      <c r="D478" s="174"/>
      <c r="E478" s="174"/>
      <c r="F478" s="175"/>
      <c r="G478" s="175">
        <f t="shared" si="50"/>
        <v>0</v>
      </c>
      <c r="H478" s="176">
        <v>0.05</v>
      </c>
      <c r="I478" s="177">
        <f t="shared" si="51"/>
        <v>0</v>
      </c>
      <c r="J478" s="177">
        <f t="shared" si="52"/>
        <v>0</v>
      </c>
      <c r="K478" s="291"/>
      <c r="L478" s="292"/>
      <c r="M478" s="293"/>
      <c r="N478" s="293">
        <f t="shared" si="53"/>
        <v>0</v>
      </c>
      <c r="O478" s="298">
        <f t="shared" si="54"/>
        <v>0</v>
      </c>
      <c r="P478" s="302"/>
    </row>
    <row r="479" spans="2:16" ht="15">
      <c r="B479" s="172"/>
      <c r="C479" s="173"/>
      <c r="D479" s="174"/>
      <c r="E479" s="174"/>
      <c r="F479" s="175"/>
      <c r="G479" s="175">
        <f t="shared" si="50"/>
        <v>0</v>
      </c>
      <c r="H479" s="176">
        <v>0.05</v>
      </c>
      <c r="I479" s="177">
        <f t="shared" si="51"/>
        <v>0</v>
      </c>
      <c r="J479" s="177">
        <f t="shared" si="52"/>
        <v>0</v>
      </c>
      <c r="K479" s="291"/>
      <c r="L479" s="292"/>
      <c r="M479" s="293"/>
      <c r="N479" s="293">
        <f t="shared" si="53"/>
        <v>0</v>
      </c>
      <c r="O479" s="298">
        <f t="shared" si="54"/>
        <v>0</v>
      </c>
      <c r="P479" s="302"/>
    </row>
    <row r="480" spans="2:16" ht="15">
      <c r="B480" s="172"/>
      <c r="C480" s="173"/>
      <c r="D480" s="174"/>
      <c r="E480" s="174"/>
      <c r="F480" s="175"/>
      <c r="G480" s="175">
        <f t="shared" si="50"/>
        <v>0</v>
      </c>
      <c r="H480" s="176">
        <v>0.05</v>
      </c>
      <c r="I480" s="177">
        <f t="shared" si="51"/>
        <v>0</v>
      </c>
      <c r="J480" s="177">
        <f t="shared" si="52"/>
        <v>0</v>
      </c>
      <c r="K480" s="291"/>
      <c r="L480" s="292"/>
      <c r="M480" s="293"/>
      <c r="N480" s="293">
        <f t="shared" si="53"/>
        <v>0</v>
      </c>
      <c r="O480" s="298">
        <f t="shared" si="54"/>
        <v>0</v>
      </c>
      <c r="P480" s="302"/>
    </row>
    <row r="481" spans="2:16" ht="15">
      <c r="B481" s="172"/>
      <c r="C481" s="173"/>
      <c r="D481" s="174"/>
      <c r="E481" s="174"/>
      <c r="F481" s="175"/>
      <c r="G481" s="175">
        <f t="shared" si="50"/>
        <v>0</v>
      </c>
      <c r="H481" s="176">
        <v>0.05</v>
      </c>
      <c r="I481" s="177">
        <f t="shared" si="51"/>
        <v>0</v>
      </c>
      <c r="J481" s="177">
        <f t="shared" si="52"/>
        <v>0</v>
      </c>
      <c r="K481" s="291"/>
      <c r="L481" s="292"/>
      <c r="M481" s="293"/>
      <c r="N481" s="293">
        <f t="shared" si="53"/>
        <v>0</v>
      </c>
      <c r="O481" s="298">
        <f t="shared" si="54"/>
        <v>0</v>
      </c>
      <c r="P481" s="302"/>
    </row>
    <row r="482" spans="2:16" ht="15">
      <c r="B482" s="172"/>
      <c r="C482" s="173"/>
      <c r="D482" s="174"/>
      <c r="E482" s="174"/>
      <c r="F482" s="175"/>
      <c r="G482" s="175">
        <f t="shared" si="50"/>
        <v>0</v>
      </c>
      <c r="H482" s="176">
        <v>0.05</v>
      </c>
      <c r="I482" s="177">
        <f t="shared" si="51"/>
        <v>0</v>
      </c>
      <c r="J482" s="177">
        <f t="shared" si="52"/>
        <v>0</v>
      </c>
      <c r="K482" s="291"/>
      <c r="L482" s="292"/>
      <c r="M482" s="293"/>
      <c r="N482" s="293">
        <f t="shared" si="53"/>
        <v>0</v>
      </c>
      <c r="O482" s="298">
        <f t="shared" si="54"/>
        <v>0</v>
      </c>
      <c r="P482" s="302"/>
    </row>
    <row r="483" spans="2:16" ht="15">
      <c r="B483" s="172"/>
      <c r="C483" s="173"/>
      <c r="D483" s="174"/>
      <c r="E483" s="174"/>
      <c r="F483" s="175"/>
      <c r="G483" s="175">
        <f t="shared" si="50"/>
        <v>0</v>
      </c>
      <c r="H483" s="176">
        <v>0.05</v>
      </c>
      <c r="I483" s="177">
        <f t="shared" si="51"/>
        <v>0</v>
      </c>
      <c r="J483" s="177">
        <f t="shared" si="52"/>
        <v>0</v>
      </c>
      <c r="K483" s="291"/>
      <c r="L483" s="292"/>
      <c r="M483" s="293"/>
      <c r="N483" s="293">
        <f t="shared" si="53"/>
        <v>0</v>
      </c>
      <c r="O483" s="298">
        <f t="shared" si="54"/>
        <v>0</v>
      </c>
      <c r="P483" s="302"/>
    </row>
    <row r="484" spans="2:16" ht="15">
      <c r="B484" s="172"/>
      <c r="C484" s="173"/>
      <c r="D484" s="174"/>
      <c r="E484" s="174"/>
      <c r="F484" s="175"/>
      <c r="G484" s="175">
        <f t="shared" si="50"/>
        <v>0</v>
      </c>
      <c r="H484" s="176">
        <v>0.05</v>
      </c>
      <c r="I484" s="177">
        <f t="shared" si="51"/>
        <v>0</v>
      </c>
      <c r="J484" s="177">
        <f t="shared" si="52"/>
        <v>0</v>
      </c>
      <c r="K484" s="291"/>
      <c r="L484" s="292"/>
      <c r="M484" s="293"/>
      <c r="N484" s="293">
        <f t="shared" si="53"/>
        <v>0</v>
      </c>
      <c r="O484" s="298">
        <f t="shared" si="54"/>
        <v>0</v>
      </c>
      <c r="P484" s="302"/>
    </row>
    <row r="485" spans="2:16" ht="15">
      <c r="B485" s="172"/>
      <c r="C485" s="173"/>
      <c r="D485" s="174"/>
      <c r="E485" s="174"/>
      <c r="F485" s="175"/>
      <c r="G485" s="175">
        <f t="shared" si="50"/>
        <v>0</v>
      </c>
      <c r="H485" s="176">
        <v>0.05</v>
      </c>
      <c r="I485" s="177">
        <f t="shared" si="51"/>
        <v>0</v>
      </c>
      <c r="J485" s="177">
        <f t="shared" si="52"/>
        <v>0</v>
      </c>
      <c r="K485" s="291"/>
      <c r="L485" s="292"/>
      <c r="M485" s="293"/>
      <c r="N485" s="293">
        <f t="shared" si="53"/>
        <v>0</v>
      </c>
      <c r="O485" s="298">
        <f t="shared" si="54"/>
        <v>0</v>
      </c>
      <c r="P485" s="302"/>
    </row>
    <row r="486" spans="2:16" ht="15">
      <c r="B486" s="172"/>
      <c r="C486" s="173"/>
      <c r="D486" s="174"/>
      <c r="E486" s="174"/>
      <c r="F486" s="175"/>
      <c r="G486" s="175">
        <f t="shared" si="50"/>
        <v>0</v>
      </c>
      <c r="H486" s="176">
        <v>0.05</v>
      </c>
      <c r="I486" s="177">
        <f t="shared" si="51"/>
        <v>0</v>
      </c>
      <c r="J486" s="177">
        <f t="shared" si="52"/>
        <v>0</v>
      </c>
      <c r="K486" s="291"/>
      <c r="L486" s="292"/>
      <c r="M486" s="293"/>
      <c r="N486" s="293">
        <f t="shared" si="53"/>
        <v>0</v>
      </c>
      <c r="O486" s="298">
        <f t="shared" si="54"/>
        <v>0</v>
      </c>
      <c r="P486" s="302"/>
    </row>
    <row r="487" spans="2:16" ht="15">
      <c r="B487" s="172"/>
      <c r="C487" s="173"/>
      <c r="D487" s="174"/>
      <c r="E487" s="174"/>
      <c r="F487" s="175"/>
      <c r="G487" s="175">
        <f t="shared" si="50"/>
        <v>0</v>
      </c>
      <c r="H487" s="176">
        <v>0.05</v>
      </c>
      <c r="I487" s="177">
        <f t="shared" si="51"/>
        <v>0</v>
      </c>
      <c r="J487" s="177">
        <f t="shared" si="52"/>
        <v>0</v>
      </c>
      <c r="K487" s="291"/>
      <c r="L487" s="292"/>
      <c r="M487" s="293"/>
      <c r="N487" s="293">
        <f t="shared" si="53"/>
        <v>0</v>
      </c>
      <c r="O487" s="298">
        <f t="shared" si="54"/>
        <v>0</v>
      </c>
      <c r="P487" s="302"/>
    </row>
    <row r="488" spans="2:16" ht="15">
      <c r="B488" s="172"/>
      <c r="C488" s="173"/>
      <c r="D488" s="174"/>
      <c r="E488" s="174"/>
      <c r="F488" s="175"/>
      <c r="G488" s="175">
        <f t="shared" si="50"/>
        <v>0</v>
      </c>
      <c r="H488" s="176">
        <v>0.05</v>
      </c>
      <c r="I488" s="177">
        <f t="shared" si="51"/>
        <v>0</v>
      </c>
      <c r="J488" s="177">
        <f t="shared" si="52"/>
        <v>0</v>
      </c>
      <c r="K488" s="291"/>
      <c r="L488" s="292"/>
      <c r="M488" s="293"/>
      <c r="N488" s="293">
        <f t="shared" si="53"/>
        <v>0</v>
      </c>
      <c r="O488" s="298">
        <f t="shared" si="54"/>
        <v>0</v>
      </c>
      <c r="P488" s="302"/>
    </row>
    <row r="489" spans="2:16" ht="15">
      <c r="B489" s="172"/>
      <c r="C489" s="173"/>
      <c r="D489" s="174"/>
      <c r="E489" s="174"/>
      <c r="F489" s="175"/>
      <c r="G489" s="175">
        <f t="shared" si="50"/>
        <v>0</v>
      </c>
      <c r="H489" s="176">
        <v>0.05</v>
      </c>
      <c r="I489" s="177">
        <f t="shared" si="51"/>
        <v>0</v>
      </c>
      <c r="J489" s="177">
        <f t="shared" si="52"/>
        <v>0</v>
      </c>
      <c r="K489" s="291"/>
      <c r="L489" s="292"/>
      <c r="M489" s="293"/>
      <c r="N489" s="293">
        <f t="shared" si="53"/>
        <v>0</v>
      </c>
      <c r="O489" s="298">
        <f t="shared" si="54"/>
        <v>0</v>
      </c>
      <c r="P489" s="302"/>
    </row>
    <row r="490" spans="2:16" ht="15">
      <c r="B490" s="172"/>
      <c r="C490" s="173"/>
      <c r="D490" s="174"/>
      <c r="E490" s="174"/>
      <c r="F490" s="175"/>
      <c r="G490" s="175">
        <f t="shared" si="50"/>
        <v>0</v>
      </c>
      <c r="H490" s="176">
        <v>0.05</v>
      </c>
      <c r="I490" s="177">
        <f t="shared" si="51"/>
        <v>0</v>
      </c>
      <c r="J490" s="177">
        <f t="shared" si="52"/>
        <v>0</v>
      </c>
      <c r="K490" s="291"/>
      <c r="L490" s="292"/>
      <c r="M490" s="293"/>
      <c r="N490" s="293">
        <f t="shared" si="53"/>
        <v>0</v>
      </c>
      <c r="O490" s="298">
        <f t="shared" si="54"/>
        <v>0</v>
      </c>
      <c r="P490" s="302"/>
    </row>
    <row r="491" spans="2:16" ht="15">
      <c r="B491" s="172"/>
      <c r="C491" s="173"/>
      <c r="D491" s="174"/>
      <c r="E491" s="174"/>
      <c r="F491" s="175"/>
      <c r="G491" s="175">
        <f t="shared" si="50"/>
        <v>0</v>
      </c>
      <c r="H491" s="176">
        <v>0.05</v>
      </c>
      <c r="I491" s="177">
        <f t="shared" si="51"/>
        <v>0</v>
      </c>
      <c r="J491" s="177">
        <f t="shared" si="52"/>
        <v>0</v>
      </c>
      <c r="K491" s="291"/>
      <c r="L491" s="292"/>
      <c r="M491" s="293"/>
      <c r="N491" s="293">
        <f t="shared" si="53"/>
        <v>0</v>
      </c>
      <c r="O491" s="298">
        <f t="shared" si="54"/>
        <v>0</v>
      </c>
      <c r="P491" s="302"/>
    </row>
    <row r="492" spans="2:16" ht="15">
      <c r="B492" s="172"/>
      <c r="C492" s="173"/>
      <c r="D492" s="174"/>
      <c r="E492" s="174"/>
      <c r="F492" s="175"/>
      <c r="G492" s="175">
        <f t="shared" si="50"/>
        <v>0</v>
      </c>
      <c r="H492" s="176">
        <v>0.05</v>
      </c>
      <c r="I492" s="177">
        <f t="shared" si="51"/>
        <v>0</v>
      </c>
      <c r="J492" s="177">
        <f t="shared" si="52"/>
        <v>0</v>
      </c>
      <c r="K492" s="291"/>
      <c r="L492" s="292"/>
      <c r="M492" s="293"/>
      <c r="N492" s="293">
        <f t="shared" si="53"/>
        <v>0</v>
      </c>
      <c r="O492" s="298">
        <f t="shared" si="54"/>
        <v>0</v>
      </c>
      <c r="P492" s="302"/>
    </row>
    <row r="493" spans="2:16" ht="15">
      <c r="B493" s="172"/>
      <c r="C493" s="173"/>
      <c r="D493" s="174"/>
      <c r="E493" s="174"/>
      <c r="F493" s="175"/>
      <c r="G493" s="175">
        <f t="shared" si="50"/>
        <v>0</v>
      </c>
      <c r="H493" s="176">
        <v>0.05</v>
      </c>
      <c r="I493" s="177">
        <f t="shared" si="51"/>
        <v>0</v>
      </c>
      <c r="J493" s="177">
        <f t="shared" si="52"/>
        <v>0</v>
      </c>
      <c r="K493" s="291"/>
      <c r="L493" s="292"/>
      <c r="M493" s="293"/>
      <c r="N493" s="293">
        <f t="shared" si="53"/>
        <v>0</v>
      </c>
      <c r="O493" s="298">
        <f t="shared" si="54"/>
        <v>0</v>
      </c>
      <c r="P493" s="302"/>
    </row>
    <row r="494" spans="2:16" ht="15">
      <c r="B494" s="172"/>
      <c r="C494" s="173"/>
      <c r="D494" s="174"/>
      <c r="E494" s="174"/>
      <c r="F494" s="175"/>
      <c r="G494" s="175">
        <f t="shared" si="50"/>
        <v>0</v>
      </c>
      <c r="H494" s="176">
        <v>0.05</v>
      </c>
      <c r="I494" s="177">
        <f t="shared" si="51"/>
        <v>0</v>
      </c>
      <c r="J494" s="177">
        <f t="shared" si="52"/>
        <v>0</v>
      </c>
      <c r="K494" s="291"/>
      <c r="L494" s="292"/>
      <c r="M494" s="293"/>
      <c r="N494" s="293">
        <f t="shared" si="53"/>
        <v>0</v>
      </c>
      <c r="O494" s="298">
        <f t="shared" si="54"/>
        <v>0</v>
      </c>
      <c r="P494" s="302"/>
    </row>
    <row r="495" spans="2:16" ht="15">
      <c r="B495" s="172"/>
      <c r="C495" s="173"/>
      <c r="D495" s="174"/>
      <c r="E495" s="174"/>
      <c r="F495" s="175"/>
      <c r="G495" s="175">
        <f t="shared" si="50"/>
        <v>0</v>
      </c>
      <c r="H495" s="176">
        <v>0.05</v>
      </c>
      <c r="I495" s="177">
        <f t="shared" si="51"/>
        <v>0</v>
      </c>
      <c r="J495" s="177">
        <f t="shared" si="52"/>
        <v>0</v>
      </c>
      <c r="K495" s="291"/>
      <c r="L495" s="292"/>
      <c r="M495" s="293"/>
      <c r="N495" s="293">
        <f t="shared" si="53"/>
        <v>0</v>
      </c>
      <c r="O495" s="298">
        <f t="shared" si="54"/>
        <v>0</v>
      </c>
      <c r="P495" s="302"/>
    </row>
    <row r="496" spans="2:16" ht="15">
      <c r="B496" s="172"/>
      <c r="C496" s="173"/>
      <c r="D496" s="174"/>
      <c r="E496" s="174"/>
      <c r="F496" s="175"/>
      <c r="G496" s="175">
        <f t="shared" si="50"/>
        <v>0</v>
      </c>
      <c r="H496" s="176">
        <v>0.05</v>
      </c>
      <c r="I496" s="177">
        <f t="shared" si="51"/>
        <v>0</v>
      </c>
      <c r="J496" s="177">
        <f t="shared" si="52"/>
        <v>0</v>
      </c>
      <c r="K496" s="291"/>
      <c r="L496" s="292"/>
      <c r="M496" s="293"/>
      <c r="N496" s="293">
        <f t="shared" si="53"/>
        <v>0</v>
      </c>
      <c r="O496" s="298">
        <f t="shared" si="54"/>
        <v>0</v>
      </c>
      <c r="P496" s="302"/>
    </row>
    <row r="497" spans="2:16" ht="15">
      <c r="B497" s="172"/>
      <c r="C497" s="173"/>
      <c r="D497" s="174"/>
      <c r="E497" s="174"/>
      <c r="F497" s="175"/>
      <c r="G497" s="175">
        <f t="shared" si="50"/>
        <v>0</v>
      </c>
      <c r="H497" s="176">
        <v>0.05</v>
      </c>
      <c r="I497" s="177">
        <f t="shared" si="51"/>
        <v>0</v>
      </c>
      <c r="J497" s="177">
        <f t="shared" si="52"/>
        <v>0</v>
      </c>
      <c r="K497" s="291"/>
      <c r="L497" s="292"/>
      <c r="M497" s="293"/>
      <c r="N497" s="293">
        <f t="shared" si="53"/>
        <v>0</v>
      </c>
      <c r="O497" s="298">
        <f t="shared" si="54"/>
        <v>0</v>
      </c>
      <c r="P497" s="302"/>
    </row>
    <row r="498" spans="2:16" ht="15">
      <c r="B498" s="172"/>
      <c r="C498" s="173"/>
      <c r="D498" s="174"/>
      <c r="E498" s="174"/>
      <c r="F498" s="175"/>
      <c r="G498" s="175">
        <f t="shared" si="50"/>
        <v>0</v>
      </c>
      <c r="H498" s="176">
        <v>0.05</v>
      </c>
      <c r="I498" s="177">
        <f t="shared" si="51"/>
        <v>0</v>
      </c>
      <c r="J498" s="177">
        <f t="shared" si="52"/>
        <v>0</v>
      </c>
      <c r="K498" s="291"/>
      <c r="L498" s="292"/>
      <c r="M498" s="293"/>
      <c r="N498" s="293">
        <f t="shared" si="53"/>
        <v>0</v>
      </c>
      <c r="O498" s="298">
        <f t="shared" si="54"/>
        <v>0</v>
      </c>
      <c r="P498" s="302"/>
    </row>
    <row r="499" spans="2:16" ht="15">
      <c r="B499" s="172"/>
      <c r="C499" s="173"/>
      <c r="D499" s="174"/>
      <c r="E499" s="174"/>
      <c r="F499" s="175"/>
      <c r="G499" s="175">
        <f t="shared" si="50"/>
        <v>0</v>
      </c>
      <c r="H499" s="176">
        <v>0.05</v>
      </c>
      <c r="I499" s="177">
        <f t="shared" si="51"/>
        <v>0</v>
      </c>
      <c r="J499" s="177">
        <f t="shared" si="52"/>
        <v>0</v>
      </c>
      <c r="K499" s="291"/>
      <c r="L499" s="292"/>
      <c r="M499" s="293"/>
      <c r="N499" s="293">
        <f t="shared" si="53"/>
        <v>0</v>
      </c>
      <c r="O499" s="298">
        <f t="shared" si="54"/>
        <v>0</v>
      </c>
      <c r="P499" s="302"/>
    </row>
    <row r="500" spans="2:16" ht="15">
      <c r="B500" s="172"/>
      <c r="C500" s="173"/>
      <c r="D500" s="174"/>
      <c r="E500" s="174"/>
      <c r="F500" s="175"/>
      <c r="G500" s="175">
        <f t="shared" si="50"/>
        <v>0</v>
      </c>
      <c r="H500" s="176">
        <v>0.05</v>
      </c>
      <c r="I500" s="177">
        <f t="shared" si="51"/>
        <v>0</v>
      </c>
      <c r="J500" s="177">
        <f t="shared" si="52"/>
        <v>0</v>
      </c>
      <c r="K500" s="291"/>
      <c r="L500" s="292"/>
      <c r="M500" s="293"/>
      <c r="N500" s="293">
        <f t="shared" si="53"/>
        <v>0</v>
      </c>
      <c r="O500" s="298">
        <f t="shared" si="54"/>
        <v>0</v>
      </c>
      <c r="P500" s="302"/>
    </row>
    <row r="501" spans="2:16" ht="15">
      <c r="B501" s="172"/>
      <c r="C501" s="173"/>
      <c r="D501" s="174"/>
      <c r="E501" s="174"/>
      <c r="F501" s="175"/>
      <c r="G501" s="175">
        <f t="shared" si="50"/>
        <v>0</v>
      </c>
      <c r="H501" s="176">
        <v>0.05</v>
      </c>
      <c r="I501" s="177">
        <f t="shared" si="51"/>
        <v>0</v>
      </c>
      <c r="J501" s="177">
        <f t="shared" si="52"/>
        <v>0</v>
      </c>
      <c r="K501" s="291"/>
      <c r="L501" s="292"/>
      <c r="M501" s="293"/>
      <c r="N501" s="293">
        <f t="shared" si="53"/>
        <v>0</v>
      </c>
      <c r="O501" s="298">
        <f t="shared" si="54"/>
        <v>0</v>
      </c>
      <c r="P501" s="302"/>
    </row>
    <row r="502" spans="2:16" ht="15">
      <c r="B502" s="172"/>
      <c r="C502" s="173"/>
      <c r="D502" s="174"/>
      <c r="E502" s="174"/>
      <c r="F502" s="175"/>
      <c r="G502" s="175">
        <f t="shared" si="50"/>
        <v>0</v>
      </c>
      <c r="H502" s="176">
        <v>0.05</v>
      </c>
      <c r="I502" s="177">
        <f t="shared" si="51"/>
        <v>0</v>
      </c>
      <c r="J502" s="177">
        <f t="shared" si="52"/>
        <v>0</v>
      </c>
      <c r="K502" s="291"/>
      <c r="L502" s="292"/>
      <c r="M502" s="293"/>
      <c r="N502" s="293">
        <f t="shared" si="53"/>
        <v>0</v>
      </c>
      <c r="O502" s="298">
        <f t="shared" si="54"/>
        <v>0</v>
      </c>
      <c r="P502" s="302"/>
    </row>
    <row r="503" spans="2:16" ht="15">
      <c r="B503" s="172"/>
      <c r="C503" s="173"/>
      <c r="D503" s="174"/>
      <c r="E503" s="174"/>
      <c r="F503" s="175"/>
      <c r="G503" s="175">
        <f t="shared" si="50"/>
        <v>0</v>
      </c>
      <c r="H503" s="176">
        <v>0.05</v>
      </c>
      <c r="I503" s="177">
        <f t="shared" si="51"/>
        <v>0</v>
      </c>
      <c r="J503" s="177">
        <f t="shared" si="52"/>
        <v>0</v>
      </c>
      <c r="K503" s="291"/>
      <c r="L503" s="292"/>
      <c r="M503" s="293"/>
      <c r="N503" s="293">
        <f t="shared" si="53"/>
        <v>0</v>
      </c>
      <c r="O503" s="298">
        <f t="shared" si="54"/>
        <v>0</v>
      </c>
      <c r="P503" s="302"/>
    </row>
    <row r="504" spans="2:16" ht="15">
      <c r="B504" s="172"/>
      <c r="C504" s="173"/>
      <c r="D504" s="174"/>
      <c r="E504" s="174"/>
      <c r="F504" s="175"/>
      <c r="G504" s="175">
        <f t="shared" si="50"/>
        <v>0</v>
      </c>
      <c r="H504" s="176">
        <v>0.05</v>
      </c>
      <c r="I504" s="177">
        <f t="shared" si="51"/>
        <v>0</v>
      </c>
      <c r="J504" s="177">
        <f t="shared" si="52"/>
        <v>0</v>
      </c>
      <c r="K504" s="291"/>
      <c r="L504" s="292"/>
      <c r="M504" s="293"/>
      <c r="N504" s="293">
        <f t="shared" si="53"/>
        <v>0</v>
      </c>
      <c r="O504" s="298">
        <f t="shared" si="54"/>
        <v>0</v>
      </c>
      <c r="P504" s="302"/>
    </row>
    <row r="505" spans="2:16" ht="15">
      <c r="B505" s="172"/>
      <c r="C505" s="173"/>
      <c r="D505" s="174"/>
      <c r="E505" s="174"/>
      <c r="F505" s="175"/>
      <c r="G505" s="175">
        <f t="shared" si="50"/>
        <v>0</v>
      </c>
      <c r="H505" s="176">
        <v>0.05</v>
      </c>
      <c r="I505" s="177">
        <f t="shared" si="51"/>
        <v>0</v>
      </c>
      <c r="J505" s="177">
        <f t="shared" si="52"/>
        <v>0</v>
      </c>
      <c r="K505" s="291"/>
      <c r="L505" s="292"/>
      <c r="M505" s="293"/>
      <c r="N505" s="293">
        <f t="shared" si="53"/>
        <v>0</v>
      </c>
      <c r="O505" s="298">
        <f t="shared" si="54"/>
        <v>0</v>
      </c>
      <c r="P505" s="302"/>
    </row>
    <row r="506" spans="2:16" ht="15">
      <c r="B506" s="172"/>
      <c r="C506" s="173"/>
      <c r="D506" s="174"/>
      <c r="E506" s="174"/>
      <c r="F506" s="175"/>
      <c r="G506" s="175">
        <f t="shared" si="50"/>
        <v>0</v>
      </c>
      <c r="H506" s="176">
        <v>0.05</v>
      </c>
      <c r="I506" s="177">
        <f t="shared" si="51"/>
        <v>0</v>
      </c>
      <c r="J506" s="177">
        <f t="shared" si="52"/>
        <v>0</v>
      </c>
      <c r="K506" s="291"/>
      <c r="L506" s="292"/>
      <c r="M506" s="293"/>
      <c r="N506" s="293">
        <f t="shared" si="53"/>
        <v>0</v>
      </c>
      <c r="O506" s="298">
        <f t="shared" si="54"/>
        <v>0</v>
      </c>
      <c r="P506" s="302"/>
    </row>
    <row r="507" spans="2:16" ht="15">
      <c r="B507" s="172"/>
      <c r="C507" s="173"/>
      <c r="D507" s="174"/>
      <c r="E507" s="174"/>
      <c r="F507" s="175"/>
      <c r="G507" s="175">
        <f t="shared" si="50"/>
        <v>0</v>
      </c>
      <c r="H507" s="176">
        <v>0.05</v>
      </c>
      <c r="I507" s="177">
        <f t="shared" si="51"/>
        <v>0</v>
      </c>
      <c r="J507" s="177">
        <f t="shared" si="52"/>
        <v>0</v>
      </c>
      <c r="K507" s="291"/>
      <c r="L507" s="292"/>
      <c r="M507" s="293"/>
      <c r="N507" s="293">
        <f t="shared" si="53"/>
        <v>0</v>
      </c>
      <c r="O507" s="298">
        <f t="shared" si="54"/>
        <v>0</v>
      </c>
      <c r="P507" s="302"/>
    </row>
    <row r="508" spans="2:16" ht="15">
      <c r="B508" s="172"/>
      <c r="C508" s="173"/>
      <c r="D508" s="174"/>
      <c r="E508" s="174"/>
      <c r="F508" s="175"/>
      <c r="G508" s="175">
        <f t="shared" si="50"/>
        <v>0</v>
      </c>
      <c r="H508" s="176">
        <v>0.05</v>
      </c>
      <c r="I508" s="177">
        <f t="shared" si="51"/>
        <v>0</v>
      </c>
      <c r="J508" s="177">
        <f t="shared" si="52"/>
        <v>0</v>
      </c>
      <c r="K508" s="291"/>
      <c r="L508" s="292"/>
      <c r="M508" s="293"/>
      <c r="N508" s="293">
        <f t="shared" si="53"/>
        <v>0</v>
      </c>
      <c r="O508" s="298">
        <f t="shared" si="54"/>
        <v>0</v>
      </c>
      <c r="P508" s="302"/>
    </row>
    <row r="509" spans="2:16" ht="15">
      <c r="B509" s="172"/>
      <c r="C509" s="173"/>
      <c r="D509" s="174"/>
      <c r="E509" s="174"/>
      <c r="F509" s="175"/>
      <c r="G509" s="175">
        <f t="shared" si="50"/>
        <v>0</v>
      </c>
      <c r="H509" s="176">
        <v>0.05</v>
      </c>
      <c r="I509" s="177">
        <f t="shared" si="51"/>
        <v>0</v>
      </c>
      <c r="J509" s="177">
        <f t="shared" si="52"/>
        <v>0</v>
      </c>
      <c r="K509" s="291"/>
      <c r="L509" s="292"/>
      <c r="M509" s="293"/>
      <c r="N509" s="293">
        <f t="shared" si="53"/>
        <v>0</v>
      </c>
      <c r="O509" s="298">
        <f t="shared" si="54"/>
        <v>0</v>
      </c>
      <c r="P509" s="302"/>
    </row>
    <row r="510" spans="2:16" ht="15">
      <c r="B510" s="172"/>
      <c r="C510" s="173"/>
      <c r="D510" s="174"/>
      <c r="E510" s="174"/>
      <c r="F510" s="175"/>
      <c r="G510" s="175">
        <f t="shared" si="50"/>
        <v>0</v>
      </c>
      <c r="H510" s="176">
        <v>0.05</v>
      </c>
      <c r="I510" s="177">
        <f t="shared" si="51"/>
        <v>0</v>
      </c>
      <c r="J510" s="177">
        <f t="shared" si="52"/>
        <v>0</v>
      </c>
      <c r="K510" s="291"/>
      <c r="L510" s="292"/>
      <c r="M510" s="293"/>
      <c r="N510" s="293">
        <f t="shared" si="53"/>
        <v>0</v>
      </c>
      <c r="O510" s="298">
        <f t="shared" si="54"/>
        <v>0</v>
      </c>
      <c r="P510" s="302"/>
    </row>
    <row r="511" spans="2:16" ht="15">
      <c r="B511" s="172"/>
      <c r="C511" s="173"/>
      <c r="D511" s="174"/>
      <c r="E511" s="174"/>
      <c r="F511" s="175"/>
      <c r="G511" s="175">
        <f t="shared" si="50"/>
        <v>0</v>
      </c>
      <c r="H511" s="176">
        <v>0.05</v>
      </c>
      <c r="I511" s="177">
        <f t="shared" si="51"/>
        <v>0</v>
      </c>
      <c r="J511" s="177">
        <f t="shared" si="52"/>
        <v>0</v>
      </c>
      <c r="K511" s="291"/>
      <c r="L511" s="292"/>
      <c r="M511" s="293"/>
      <c r="N511" s="293">
        <f t="shared" si="53"/>
        <v>0</v>
      </c>
      <c r="O511" s="298">
        <f t="shared" si="54"/>
        <v>0</v>
      </c>
      <c r="P511" s="302"/>
    </row>
    <row r="512" spans="2:16" ht="15">
      <c r="B512" s="172"/>
      <c r="C512" s="173"/>
      <c r="D512" s="174"/>
      <c r="E512" s="174"/>
      <c r="F512" s="175"/>
      <c r="G512" s="175">
        <f t="shared" si="50"/>
        <v>0</v>
      </c>
      <c r="H512" s="176">
        <v>0.05</v>
      </c>
      <c r="I512" s="177">
        <f t="shared" si="51"/>
        <v>0</v>
      </c>
      <c r="J512" s="177">
        <f t="shared" si="52"/>
        <v>0</v>
      </c>
      <c r="K512" s="291"/>
      <c r="L512" s="292"/>
      <c r="M512" s="293"/>
      <c r="N512" s="293">
        <f t="shared" si="53"/>
        <v>0</v>
      </c>
      <c r="O512" s="298">
        <f t="shared" si="54"/>
        <v>0</v>
      </c>
      <c r="P512" s="302"/>
    </row>
    <row r="513" spans="2:16" ht="15">
      <c r="B513" s="172"/>
      <c r="C513" s="173"/>
      <c r="D513" s="174"/>
      <c r="E513" s="174"/>
      <c r="F513" s="175"/>
      <c r="G513" s="175">
        <f t="shared" si="50"/>
        <v>0</v>
      </c>
      <c r="H513" s="176">
        <v>0.05</v>
      </c>
      <c r="I513" s="177">
        <f t="shared" si="51"/>
        <v>0</v>
      </c>
      <c r="J513" s="177">
        <f t="shared" si="52"/>
        <v>0</v>
      </c>
      <c r="K513" s="291"/>
      <c r="L513" s="292"/>
      <c r="M513" s="293"/>
      <c r="N513" s="293">
        <f t="shared" si="53"/>
        <v>0</v>
      </c>
      <c r="O513" s="298">
        <f t="shared" si="54"/>
        <v>0</v>
      </c>
      <c r="P513" s="302"/>
    </row>
    <row r="514" spans="2:16" ht="15">
      <c r="B514" s="172"/>
      <c r="C514" s="173"/>
      <c r="D514" s="174"/>
      <c r="E514" s="174"/>
      <c r="F514" s="175"/>
      <c r="G514" s="175">
        <f t="shared" si="50"/>
        <v>0</v>
      </c>
      <c r="H514" s="176">
        <v>0.05</v>
      </c>
      <c r="I514" s="177">
        <f t="shared" si="51"/>
        <v>0</v>
      </c>
      <c r="J514" s="177">
        <f t="shared" si="52"/>
        <v>0</v>
      </c>
      <c r="K514" s="291"/>
      <c r="L514" s="292"/>
      <c r="M514" s="293"/>
      <c r="N514" s="293">
        <f t="shared" si="53"/>
        <v>0</v>
      </c>
      <c r="O514" s="298">
        <f t="shared" si="54"/>
        <v>0</v>
      </c>
      <c r="P514" s="302"/>
    </row>
    <row r="515" spans="2:16" ht="15">
      <c r="B515" s="172"/>
      <c r="C515" s="173"/>
      <c r="D515" s="174"/>
      <c r="E515" s="174"/>
      <c r="F515" s="175"/>
      <c r="G515" s="175">
        <f t="shared" si="50"/>
        <v>0</v>
      </c>
      <c r="H515" s="176">
        <v>0.05</v>
      </c>
      <c r="I515" s="177">
        <f t="shared" si="51"/>
        <v>0</v>
      </c>
      <c r="J515" s="177">
        <f t="shared" si="52"/>
        <v>0</v>
      </c>
      <c r="K515" s="291"/>
      <c r="L515" s="292"/>
      <c r="M515" s="293"/>
      <c r="N515" s="293">
        <f t="shared" si="53"/>
        <v>0</v>
      </c>
      <c r="O515" s="298">
        <f t="shared" si="54"/>
        <v>0</v>
      </c>
      <c r="P515" s="302"/>
    </row>
    <row r="516" spans="2:16" ht="15">
      <c r="B516" s="172"/>
      <c r="C516" s="173"/>
      <c r="D516" s="174"/>
      <c r="E516" s="174"/>
      <c r="F516" s="175"/>
      <c r="G516" s="175">
        <f t="shared" si="50"/>
        <v>0</v>
      </c>
      <c r="H516" s="176">
        <v>0.05</v>
      </c>
      <c r="I516" s="177">
        <f t="shared" si="51"/>
        <v>0</v>
      </c>
      <c r="J516" s="177">
        <f t="shared" si="52"/>
        <v>0</v>
      </c>
      <c r="K516" s="291"/>
      <c r="L516" s="292"/>
      <c r="M516" s="293"/>
      <c r="N516" s="293">
        <f t="shared" si="53"/>
        <v>0</v>
      </c>
      <c r="O516" s="298">
        <f t="shared" si="54"/>
        <v>0</v>
      </c>
      <c r="P516" s="302"/>
    </row>
    <row r="517" spans="2:16" ht="15">
      <c r="B517" s="172"/>
      <c r="C517" s="173"/>
      <c r="D517" s="174"/>
      <c r="E517" s="174"/>
      <c r="F517" s="175"/>
      <c r="G517" s="175">
        <f t="shared" si="50"/>
        <v>0</v>
      </c>
      <c r="H517" s="176">
        <v>0.05</v>
      </c>
      <c r="I517" s="177">
        <f t="shared" si="51"/>
        <v>0</v>
      </c>
      <c r="J517" s="177">
        <f t="shared" si="52"/>
        <v>0</v>
      </c>
      <c r="K517" s="291"/>
      <c r="L517" s="292"/>
      <c r="M517" s="293"/>
      <c r="N517" s="293">
        <f t="shared" si="53"/>
        <v>0</v>
      </c>
      <c r="O517" s="298">
        <f t="shared" si="54"/>
        <v>0</v>
      </c>
      <c r="P517" s="302"/>
    </row>
    <row r="518" spans="2:16" ht="15">
      <c r="B518" s="172"/>
      <c r="C518" s="173"/>
      <c r="D518" s="174"/>
      <c r="E518" s="174"/>
      <c r="F518" s="175"/>
      <c r="G518" s="175">
        <f t="shared" si="50"/>
        <v>0</v>
      </c>
      <c r="H518" s="176">
        <v>0.05</v>
      </c>
      <c r="I518" s="177">
        <f t="shared" si="51"/>
        <v>0</v>
      </c>
      <c r="J518" s="177">
        <f t="shared" si="52"/>
        <v>0</v>
      </c>
      <c r="K518" s="291"/>
      <c r="L518" s="292"/>
      <c r="M518" s="293"/>
      <c r="N518" s="293">
        <f t="shared" si="53"/>
        <v>0</v>
      </c>
      <c r="O518" s="298">
        <f t="shared" si="54"/>
        <v>0</v>
      </c>
      <c r="P518" s="302"/>
    </row>
    <row r="519" spans="2:16" ht="15">
      <c r="B519" s="172"/>
      <c r="C519" s="173"/>
      <c r="D519" s="174"/>
      <c r="E519" s="174"/>
      <c r="F519" s="175"/>
      <c r="G519" s="175">
        <f t="shared" si="50"/>
        <v>0</v>
      </c>
      <c r="H519" s="176">
        <v>0.05</v>
      </c>
      <c r="I519" s="177">
        <f t="shared" si="51"/>
        <v>0</v>
      </c>
      <c r="J519" s="177">
        <f t="shared" si="52"/>
        <v>0</v>
      </c>
      <c r="K519" s="291"/>
      <c r="L519" s="292"/>
      <c r="M519" s="293"/>
      <c r="N519" s="293">
        <f t="shared" si="53"/>
        <v>0</v>
      </c>
      <c r="O519" s="298">
        <f t="shared" si="54"/>
        <v>0</v>
      </c>
      <c r="P519" s="302"/>
    </row>
    <row r="520" spans="2:16" ht="15">
      <c r="B520" s="172"/>
      <c r="C520" s="173"/>
      <c r="D520" s="174"/>
      <c r="E520" s="174"/>
      <c r="F520" s="175"/>
      <c r="G520" s="175">
        <f t="shared" si="50"/>
        <v>0</v>
      </c>
      <c r="H520" s="176">
        <v>0.05</v>
      </c>
      <c r="I520" s="177">
        <f t="shared" si="51"/>
        <v>0</v>
      </c>
      <c r="J520" s="177">
        <f t="shared" si="52"/>
        <v>0</v>
      </c>
      <c r="K520" s="291"/>
      <c r="L520" s="292"/>
      <c r="M520" s="293"/>
      <c r="N520" s="293">
        <f t="shared" si="53"/>
        <v>0</v>
      </c>
      <c r="O520" s="298">
        <f t="shared" si="54"/>
        <v>0</v>
      </c>
      <c r="P520" s="302"/>
    </row>
    <row r="521" spans="2:16" ht="15">
      <c r="B521" s="172"/>
      <c r="C521" s="173"/>
      <c r="D521" s="174"/>
      <c r="E521" s="174"/>
      <c r="F521" s="175"/>
      <c r="G521" s="175">
        <f t="shared" si="50"/>
        <v>0</v>
      </c>
      <c r="H521" s="176">
        <v>0.05</v>
      </c>
      <c r="I521" s="177">
        <f t="shared" si="51"/>
        <v>0</v>
      </c>
      <c r="J521" s="177">
        <f t="shared" si="52"/>
        <v>0</v>
      </c>
      <c r="K521" s="291"/>
      <c r="L521" s="292"/>
      <c r="M521" s="293"/>
      <c r="N521" s="293">
        <f t="shared" si="53"/>
        <v>0</v>
      </c>
      <c r="O521" s="298">
        <f t="shared" si="54"/>
        <v>0</v>
      </c>
      <c r="P521" s="302"/>
    </row>
    <row r="522" spans="2:16" ht="15">
      <c r="B522" s="172"/>
      <c r="C522" s="173"/>
      <c r="D522" s="174"/>
      <c r="E522" s="174"/>
      <c r="F522" s="175"/>
      <c r="G522" s="175">
        <f t="shared" si="50"/>
        <v>0</v>
      </c>
      <c r="H522" s="176">
        <v>0.05</v>
      </c>
      <c r="I522" s="177">
        <f t="shared" si="51"/>
        <v>0</v>
      </c>
      <c r="J522" s="177">
        <f t="shared" si="52"/>
        <v>0</v>
      </c>
      <c r="K522" s="291"/>
      <c r="L522" s="292"/>
      <c r="M522" s="293"/>
      <c r="N522" s="293">
        <f t="shared" si="53"/>
        <v>0</v>
      </c>
      <c r="O522" s="298">
        <f t="shared" si="54"/>
        <v>0</v>
      </c>
      <c r="P522" s="302"/>
    </row>
    <row r="523" spans="2:16" ht="15">
      <c r="B523" s="172"/>
      <c r="C523" s="173"/>
      <c r="D523" s="174"/>
      <c r="E523" s="174"/>
      <c r="F523" s="175"/>
      <c r="G523" s="175">
        <f t="shared" si="50"/>
        <v>0</v>
      </c>
      <c r="H523" s="176">
        <v>0.05</v>
      </c>
      <c r="I523" s="177">
        <f t="shared" si="51"/>
        <v>0</v>
      </c>
      <c r="J523" s="177">
        <f t="shared" si="52"/>
        <v>0</v>
      </c>
      <c r="K523" s="291"/>
      <c r="L523" s="292"/>
      <c r="M523" s="293"/>
      <c r="N523" s="293">
        <f t="shared" si="53"/>
        <v>0</v>
      </c>
      <c r="O523" s="298">
        <f t="shared" si="54"/>
        <v>0</v>
      </c>
      <c r="P523" s="302"/>
    </row>
    <row r="524" spans="2:16" ht="15">
      <c r="B524" s="172"/>
      <c r="C524" s="173"/>
      <c r="D524" s="174"/>
      <c r="E524" s="174"/>
      <c r="F524" s="175"/>
      <c r="G524" s="175">
        <f t="shared" si="50"/>
        <v>0</v>
      </c>
      <c r="H524" s="176">
        <v>0.05</v>
      </c>
      <c r="I524" s="177">
        <f t="shared" si="51"/>
        <v>0</v>
      </c>
      <c r="J524" s="177">
        <f t="shared" si="52"/>
        <v>0</v>
      </c>
      <c r="K524" s="291"/>
      <c r="L524" s="292"/>
      <c r="M524" s="293"/>
      <c r="N524" s="293">
        <f t="shared" si="53"/>
        <v>0</v>
      </c>
      <c r="O524" s="298">
        <f t="shared" si="54"/>
        <v>0</v>
      </c>
      <c r="P524" s="302"/>
    </row>
    <row r="525" spans="2:16" ht="15">
      <c r="B525" s="172"/>
      <c r="C525" s="173"/>
      <c r="D525" s="174"/>
      <c r="E525" s="174"/>
      <c r="F525" s="175"/>
      <c r="G525" s="175">
        <f t="shared" si="50"/>
        <v>0</v>
      </c>
      <c r="H525" s="176">
        <v>0.05</v>
      </c>
      <c r="I525" s="177">
        <f t="shared" si="51"/>
        <v>0</v>
      </c>
      <c r="J525" s="177">
        <f t="shared" si="52"/>
        <v>0</v>
      </c>
      <c r="K525" s="291"/>
      <c r="L525" s="292"/>
      <c r="M525" s="293"/>
      <c r="N525" s="293">
        <f t="shared" si="53"/>
        <v>0</v>
      </c>
      <c r="O525" s="298">
        <f t="shared" si="54"/>
        <v>0</v>
      </c>
      <c r="P525" s="302"/>
    </row>
    <row r="526" spans="2:16" ht="15">
      <c r="B526" s="172"/>
      <c r="C526" s="173"/>
      <c r="D526" s="174"/>
      <c r="E526" s="174"/>
      <c r="F526" s="175"/>
      <c r="G526" s="175">
        <f t="shared" si="50"/>
        <v>0</v>
      </c>
      <c r="H526" s="176">
        <v>0.05</v>
      </c>
      <c r="I526" s="177">
        <f t="shared" si="51"/>
        <v>0</v>
      </c>
      <c r="J526" s="177">
        <f t="shared" si="52"/>
        <v>0</v>
      </c>
      <c r="K526" s="291"/>
      <c r="L526" s="292"/>
      <c r="M526" s="293"/>
      <c r="N526" s="293">
        <f t="shared" si="53"/>
        <v>0</v>
      </c>
      <c r="O526" s="298">
        <f t="shared" si="54"/>
        <v>0</v>
      </c>
      <c r="P526" s="302"/>
    </row>
    <row r="527" spans="2:16" ht="15">
      <c r="B527" s="172"/>
      <c r="C527" s="173"/>
      <c r="D527" s="174"/>
      <c r="E527" s="174"/>
      <c r="F527" s="175"/>
      <c r="G527" s="175">
        <f t="shared" si="50"/>
        <v>0</v>
      </c>
      <c r="H527" s="176">
        <v>0.05</v>
      </c>
      <c r="I527" s="177">
        <f t="shared" si="51"/>
        <v>0</v>
      </c>
      <c r="J527" s="177">
        <f t="shared" si="52"/>
        <v>0</v>
      </c>
      <c r="K527" s="291"/>
      <c r="L527" s="292"/>
      <c r="M527" s="293"/>
      <c r="N527" s="293">
        <f t="shared" si="53"/>
        <v>0</v>
      </c>
      <c r="O527" s="298">
        <f t="shared" si="54"/>
        <v>0</v>
      </c>
      <c r="P527" s="302"/>
    </row>
    <row r="528" spans="2:16" ht="15">
      <c r="B528" s="172"/>
      <c r="C528" s="173"/>
      <c r="D528" s="174"/>
      <c r="E528" s="174"/>
      <c r="F528" s="175"/>
      <c r="G528" s="175">
        <f t="shared" si="50"/>
        <v>0</v>
      </c>
      <c r="H528" s="176">
        <v>0.05</v>
      </c>
      <c r="I528" s="177">
        <f t="shared" si="51"/>
        <v>0</v>
      </c>
      <c r="J528" s="177">
        <f t="shared" si="52"/>
        <v>0</v>
      </c>
      <c r="K528" s="291"/>
      <c r="L528" s="292"/>
      <c r="M528" s="293"/>
      <c r="N528" s="293">
        <f t="shared" si="53"/>
        <v>0</v>
      </c>
      <c r="O528" s="298">
        <f t="shared" si="54"/>
        <v>0</v>
      </c>
      <c r="P528" s="302"/>
    </row>
    <row r="529" spans="2:16" ht="15">
      <c r="B529" s="172"/>
      <c r="C529" s="173"/>
      <c r="D529" s="174"/>
      <c r="E529" s="174"/>
      <c r="F529" s="175"/>
      <c r="G529" s="175">
        <f t="shared" si="50"/>
        <v>0</v>
      </c>
      <c r="H529" s="176">
        <v>0.05</v>
      </c>
      <c r="I529" s="177">
        <f t="shared" si="51"/>
        <v>0</v>
      </c>
      <c r="J529" s="177">
        <f t="shared" si="52"/>
        <v>0</v>
      </c>
      <c r="K529" s="291"/>
      <c r="L529" s="292"/>
      <c r="M529" s="293"/>
      <c r="N529" s="293">
        <f t="shared" si="53"/>
        <v>0</v>
      </c>
      <c r="O529" s="298">
        <f t="shared" si="54"/>
        <v>0</v>
      </c>
      <c r="P529" s="302"/>
    </row>
    <row r="530" spans="2:16" ht="15">
      <c r="B530" s="172"/>
      <c r="C530" s="173"/>
      <c r="D530" s="174"/>
      <c r="E530" s="174"/>
      <c r="F530" s="175"/>
      <c r="G530" s="175">
        <f t="shared" si="50"/>
        <v>0</v>
      </c>
      <c r="H530" s="176">
        <v>0.05</v>
      </c>
      <c r="I530" s="177">
        <f t="shared" si="51"/>
        <v>0</v>
      </c>
      <c r="J530" s="177">
        <f t="shared" si="52"/>
        <v>0</v>
      </c>
      <c r="K530" s="291"/>
      <c r="L530" s="292"/>
      <c r="M530" s="293"/>
      <c r="N530" s="293">
        <f t="shared" si="53"/>
        <v>0</v>
      </c>
      <c r="O530" s="298">
        <f t="shared" si="54"/>
        <v>0</v>
      </c>
      <c r="P530" s="302"/>
    </row>
    <row r="531" spans="2:16" ht="15">
      <c r="B531" s="172"/>
      <c r="C531" s="173"/>
      <c r="D531" s="174"/>
      <c r="E531" s="174"/>
      <c r="F531" s="175"/>
      <c r="G531" s="175">
        <f t="shared" si="50"/>
        <v>0</v>
      </c>
      <c r="H531" s="176">
        <v>0.05</v>
      </c>
      <c r="I531" s="177">
        <f t="shared" si="51"/>
        <v>0</v>
      </c>
      <c r="J531" s="177">
        <f t="shared" si="52"/>
        <v>0</v>
      </c>
      <c r="K531" s="291"/>
      <c r="L531" s="292"/>
      <c r="M531" s="293"/>
      <c r="N531" s="293">
        <f t="shared" si="53"/>
        <v>0</v>
      </c>
      <c r="O531" s="298">
        <f t="shared" si="54"/>
        <v>0</v>
      </c>
      <c r="P531" s="302"/>
    </row>
    <row r="532" spans="2:16" ht="15">
      <c r="B532" s="172"/>
      <c r="C532" s="173"/>
      <c r="D532" s="174"/>
      <c r="E532" s="174"/>
      <c r="F532" s="175"/>
      <c r="G532" s="175">
        <f t="shared" si="50"/>
        <v>0</v>
      </c>
      <c r="H532" s="176">
        <v>0.05</v>
      </c>
      <c r="I532" s="177">
        <f t="shared" si="51"/>
        <v>0</v>
      </c>
      <c r="J532" s="177">
        <f t="shared" si="52"/>
        <v>0</v>
      </c>
      <c r="K532" s="291"/>
      <c r="L532" s="292"/>
      <c r="M532" s="293"/>
      <c r="N532" s="293">
        <f t="shared" si="53"/>
        <v>0</v>
      </c>
      <c r="O532" s="298">
        <f t="shared" si="54"/>
        <v>0</v>
      </c>
      <c r="P532" s="302"/>
    </row>
    <row r="533" spans="2:16" ht="15">
      <c r="B533" s="172"/>
      <c r="C533" s="173"/>
      <c r="D533" s="174"/>
      <c r="E533" s="174"/>
      <c r="F533" s="175"/>
      <c r="G533" s="175">
        <f t="shared" si="50"/>
        <v>0</v>
      </c>
      <c r="H533" s="176">
        <v>0.05</v>
      </c>
      <c r="I533" s="177">
        <f t="shared" si="51"/>
        <v>0</v>
      </c>
      <c r="J533" s="177">
        <f t="shared" si="52"/>
        <v>0</v>
      </c>
      <c r="K533" s="291"/>
      <c r="L533" s="292"/>
      <c r="M533" s="293"/>
      <c r="N533" s="293">
        <f t="shared" si="53"/>
        <v>0</v>
      </c>
      <c r="O533" s="298">
        <f t="shared" si="54"/>
        <v>0</v>
      </c>
      <c r="P533" s="302"/>
    </row>
    <row r="534" spans="2:16" ht="15">
      <c r="B534" s="172"/>
      <c r="C534" s="173"/>
      <c r="D534" s="174"/>
      <c r="E534" s="174"/>
      <c r="F534" s="175"/>
      <c r="G534" s="175">
        <f t="shared" si="50"/>
        <v>0</v>
      </c>
      <c r="H534" s="176">
        <v>0.05</v>
      </c>
      <c r="I534" s="177">
        <f t="shared" si="51"/>
        <v>0</v>
      </c>
      <c r="J534" s="177">
        <f t="shared" si="52"/>
        <v>0</v>
      </c>
      <c r="K534" s="291"/>
      <c r="L534" s="292"/>
      <c r="M534" s="293"/>
      <c r="N534" s="293">
        <f t="shared" si="53"/>
        <v>0</v>
      </c>
      <c r="O534" s="298">
        <f t="shared" si="54"/>
        <v>0</v>
      </c>
      <c r="P534" s="302"/>
    </row>
    <row r="535" spans="2:16" ht="15">
      <c r="B535" s="172"/>
      <c r="C535" s="173"/>
      <c r="D535" s="174"/>
      <c r="E535" s="174"/>
      <c r="F535" s="175"/>
      <c r="G535" s="175">
        <f t="shared" si="50"/>
        <v>0</v>
      </c>
      <c r="H535" s="176">
        <v>0.05</v>
      </c>
      <c r="I535" s="177">
        <f t="shared" si="51"/>
        <v>0</v>
      </c>
      <c r="J535" s="177">
        <f t="shared" si="52"/>
        <v>0</v>
      </c>
      <c r="K535" s="291"/>
      <c r="L535" s="292"/>
      <c r="M535" s="293"/>
      <c r="N535" s="293">
        <f t="shared" si="53"/>
        <v>0</v>
      </c>
      <c r="O535" s="298">
        <f t="shared" si="54"/>
        <v>0</v>
      </c>
      <c r="P535" s="302"/>
    </row>
    <row r="536" spans="2:16" ht="15">
      <c r="B536" s="172"/>
      <c r="C536" s="173"/>
      <c r="D536" s="174"/>
      <c r="E536" s="174"/>
      <c r="F536" s="175"/>
      <c r="G536" s="175">
        <f t="shared" si="50"/>
        <v>0</v>
      </c>
      <c r="H536" s="176">
        <v>0.05</v>
      </c>
      <c r="I536" s="177">
        <f t="shared" si="51"/>
        <v>0</v>
      </c>
      <c r="J536" s="177">
        <f t="shared" si="52"/>
        <v>0</v>
      </c>
      <c r="K536" s="291"/>
      <c r="L536" s="292"/>
      <c r="M536" s="293"/>
      <c r="N536" s="293">
        <f t="shared" si="53"/>
        <v>0</v>
      </c>
      <c r="O536" s="298">
        <f t="shared" si="54"/>
        <v>0</v>
      </c>
      <c r="P536" s="302"/>
    </row>
    <row r="537" spans="2:16" ht="15">
      <c r="B537" s="172"/>
      <c r="C537" s="173"/>
      <c r="D537" s="174"/>
      <c r="E537" s="174"/>
      <c r="F537" s="175"/>
      <c r="G537" s="175">
        <f t="shared" si="50"/>
        <v>0</v>
      </c>
      <c r="H537" s="176">
        <v>0.05</v>
      </c>
      <c r="I537" s="177">
        <f t="shared" si="51"/>
        <v>0</v>
      </c>
      <c r="J537" s="177">
        <f t="shared" si="52"/>
        <v>0</v>
      </c>
      <c r="K537" s="291"/>
      <c r="L537" s="292"/>
      <c r="M537" s="293"/>
      <c r="N537" s="293">
        <f t="shared" si="53"/>
        <v>0</v>
      </c>
      <c r="O537" s="298">
        <f t="shared" si="54"/>
        <v>0</v>
      </c>
      <c r="P537" s="302"/>
    </row>
    <row r="538" spans="2:16" ht="15">
      <c r="B538" s="172"/>
      <c r="C538" s="173"/>
      <c r="D538" s="174"/>
      <c r="E538" s="174"/>
      <c r="F538" s="175"/>
      <c r="G538" s="175">
        <f t="shared" si="50"/>
        <v>0</v>
      </c>
      <c r="H538" s="176">
        <v>0.05</v>
      </c>
      <c r="I538" s="177">
        <f t="shared" si="51"/>
        <v>0</v>
      </c>
      <c r="J538" s="177">
        <f t="shared" si="52"/>
        <v>0</v>
      </c>
      <c r="K538" s="291"/>
      <c r="L538" s="292"/>
      <c r="M538" s="293"/>
      <c r="N538" s="293">
        <f t="shared" si="53"/>
        <v>0</v>
      </c>
      <c r="O538" s="298">
        <f t="shared" si="54"/>
        <v>0</v>
      </c>
      <c r="P538" s="302"/>
    </row>
    <row r="539" spans="2:16" ht="15">
      <c r="B539" s="172"/>
      <c r="C539" s="173"/>
      <c r="D539" s="174"/>
      <c r="E539" s="174"/>
      <c r="F539" s="175"/>
      <c r="G539" s="175">
        <f t="shared" si="50"/>
        <v>0</v>
      </c>
      <c r="H539" s="176">
        <v>0.05</v>
      </c>
      <c r="I539" s="177">
        <f t="shared" si="51"/>
        <v>0</v>
      </c>
      <c r="J539" s="177">
        <f t="shared" si="52"/>
        <v>0</v>
      </c>
      <c r="K539" s="291"/>
      <c r="L539" s="292"/>
      <c r="M539" s="293"/>
      <c r="N539" s="293">
        <f t="shared" si="53"/>
        <v>0</v>
      </c>
      <c r="O539" s="298">
        <f t="shared" si="54"/>
        <v>0</v>
      </c>
      <c r="P539" s="302"/>
    </row>
    <row r="540" spans="2:16" ht="15">
      <c r="B540" s="172"/>
      <c r="C540" s="173"/>
      <c r="D540" s="174"/>
      <c r="E540" s="174"/>
      <c r="F540" s="175"/>
      <c r="G540" s="175">
        <f t="shared" ref="G540:G603" si="55">IF(D540=0,0,(D540+E540)/F540)</f>
        <v>0</v>
      </c>
      <c r="H540" s="176">
        <v>0.05</v>
      </c>
      <c r="I540" s="177">
        <f t="shared" ref="I540:I603" si="56">+G540*H540</f>
        <v>0</v>
      </c>
      <c r="J540" s="177">
        <f t="shared" ref="J540:J603" si="57">+G540+I540</f>
        <v>0</v>
      </c>
      <c r="K540" s="291"/>
      <c r="L540" s="292"/>
      <c r="M540" s="293"/>
      <c r="N540" s="293">
        <f t="shared" ref="N540:N603" si="58">IF(H540&lt;M540,H540/M540,0)</f>
        <v>0</v>
      </c>
      <c r="O540" s="298">
        <f t="shared" ref="O540:O603" si="59">1.5%*N540</f>
        <v>0</v>
      </c>
      <c r="P540" s="302"/>
    </row>
    <row r="541" spans="2:16" ht="15">
      <c r="B541" s="172"/>
      <c r="C541" s="173"/>
      <c r="D541" s="174"/>
      <c r="E541" s="174"/>
      <c r="F541" s="175"/>
      <c r="G541" s="175">
        <f t="shared" si="55"/>
        <v>0</v>
      </c>
      <c r="H541" s="176">
        <v>0.05</v>
      </c>
      <c r="I541" s="177">
        <f t="shared" si="56"/>
        <v>0</v>
      </c>
      <c r="J541" s="177">
        <f t="shared" si="57"/>
        <v>0</v>
      </c>
      <c r="K541" s="291"/>
      <c r="L541" s="292"/>
      <c r="M541" s="293"/>
      <c r="N541" s="293">
        <f t="shared" si="58"/>
        <v>0</v>
      </c>
      <c r="O541" s="298">
        <f t="shared" si="59"/>
        <v>0</v>
      </c>
      <c r="P541" s="302"/>
    </row>
    <row r="542" spans="2:16" ht="15">
      <c r="B542" s="172"/>
      <c r="C542" s="173"/>
      <c r="D542" s="174"/>
      <c r="E542" s="174"/>
      <c r="F542" s="175"/>
      <c r="G542" s="175">
        <f t="shared" si="55"/>
        <v>0</v>
      </c>
      <c r="H542" s="176">
        <v>0.05</v>
      </c>
      <c r="I542" s="177">
        <f t="shared" si="56"/>
        <v>0</v>
      </c>
      <c r="J542" s="177">
        <f t="shared" si="57"/>
        <v>0</v>
      </c>
      <c r="K542" s="291"/>
      <c r="L542" s="292"/>
      <c r="M542" s="293"/>
      <c r="N542" s="293">
        <f t="shared" si="58"/>
        <v>0</v>
      </c>
      <c r="O542" s="298">
        <f t="shared" si="59"/>
        <v>0</v>
      </c>
      <c r="P542" s="302"/>
    </row>
    <row r="543" spans="2:16" ht="15">
      <c r="B543" s="172"/>
      <c r="C543" s="173"/>
      <c r="D543" s="174"/>
      <c r="E543" s="174"/>
      <c r="F543" s="175"/>
      <c r="G543" s="175">
        <f t="shared" si="55"/>
        <v>0</v>
      </c>
      <c r="H543" s="176">
        <v>0.05</v>
      </c>
      <c r="I543" s="177">
        <f t="shared" si="56"/>
        <v>0</v>
      </c>
      <c r="J543" s="177">
        <f t="shared" si="57"/>
        <v>0</v>
      </c>
      <c r="K543" s="291"/>
      <c r="L543" s="292"/>
      <c r="M543" s="293"/>
      <c r="N543" s="293">
        <f t="shared" si="58"/>
        <v>0</v>
      </c>
      <c r="O543" s="298">
        <f t="shared" si="59"/>
        <v>0</v>
      </c>
      <c r="P543" s="302"/>
    </row>
    <row r="544" spans="2:16" ht="15">
      <c r="B544" s="172"/>
      <c r="C544" s="173"/>
      <c r="D544" s="174"/>
      <c r="E544" s="174"/>
      <c r="F544" s="175"/>
      <c r="G544" s="175">
        <f t="shared" si="55"/>
        <v>0</v>
      </c>
      <c r="H544" s="176">
        <v>0.05</v>
      </c>
      <c r="I544" s="177">
        <f t="shared" si="56"/>
        <v>0</v>
      </c>
      <c r="J544" s="177">
        <f t="shared" si="57"/>
        <v>0</v>
      </c>
      <c r="K544" s="291"/>
      <c r="L544" s="292"/>
      <c r="M544" s="293"/>
      <c r="N544" s="293">
        <f t="shared" si="58"/>
        <v>0</v>
      </c>
      <c r="O544" s="298">
        <f t="shared" si="59"/>
        <v>0</v>
      </c>
      <c r="P544" s="302"/>
    </row>
    <row r="545" spans="2:16" ht="15">
      <c r="B545" s="172"/>
      <c r="C545" s="173"/>
      <c r="D545" s="174"/>
      <c r="E545" s="174"/>
      <c r="F545" s="175"/>
      <c r="G545" s="175">
        <f t="shared" si="55"/>
        <v>0</v>
      </c>
      <c r="H545" s="176">
        <v>0.05</v>
      </c>
      <c r="I545" s="177">
        <f t="shared" si="56"/>
        <v>0</v>
      </c>
      <c r="J545" s="177">
        <f t="shared" si="57"/>
        <v>0</v>
      </c>
      <c r="K545" s="291"/>
      <c r="L545" s="292"/>
      <c r="M545" s="293"/>
      <c r="N545" s="293">
        <f t="shared" si="58"/>
        <v>0</v>
      </c>
      <c r="O545" s="298">
        <f t="shared" si="59"/>
        <v>0</v>
      </c>
      <c r="P545" s="302"/>
    </row>
    <row r="546" spans="2:16" ht="15">
      <c r="B546" s="172"/>
      <c r="C546" s="173"/>
      <c r="D546" s="174"/>
      <c r="E546" s="174"/>
      <c r="F546" s="175"/>
      <c r="G546" s="175">
        <f t="shared" si="55"/>
        <v>0</v>
      </c>
      <c r="H546" s="176">
        <v>0.05</v>
      </c>
      <c r="I546" s="177">
        <f t="shared" si="56"/>
        <v>0</v>
      </c>
      <c r="J546" s="177">
        <f t="shared" si="57"/>
        <v>0</v>
      </c>
      <c r="K546" s="291"/>
      <c r="L546" s="292"/>
      <c r="M546" s="293"/>
      <c r="N546" s="293">
        <f t="shared" si="58"/>
        <v>0</v>
      </c>
      <c r="O546" s="298">
        <f t="shared" si="59"/>
        <v>0</v>
      </c>
      <c r="P546" s="302"/>
    </row>
    <row r="547" spans="2:16" ht="15">
      <c r="B547" s="172"/>
      <c r="C547" s="173"/>
      <c r="D547" s="174"/>
      <c r="E547" s="174"/>
      <c r="F547" s="175"/>
      <c r="G547" s="175">
        <f t="shared" si="55"/>
        <v>0</v>
      </c>
      <c r="H547" s="176">
        <v>0.05</v>
      </c>
      <c r="I547" s="177">
        <f t="shared" si="56"/>
        <v>0</v>
      </c>
      <c r="J547" s="177">
        <f t="shared" si="57"/>
        <v>0</v>
      </c>
      <c r="K547" s="291"/>
      <c r="L547" s="292"/>
      <c r="M547" s="293"/>
      <c r="N547" s="293">
        <f t="shared" si="58"/>
        <v>0</v>
      </c>
      <c r="O547" s="298">
        <f t="shared" si="59"/>
        <v>0</v>
      </c>
      <c r="P547" s="302"/>
    </row>
    <row r="548" spans="2:16" ht="15">
      <c r="B548" s="172"/>
      <c r="C548" s="173"/>
      <c r="D548" s="174"/>
      <c r="E548" s="174"/>
      <c r="F548" s="175"/>
      <c r="G548" s="175">
        <f t="shared" si="55"/>
        <v>0</v>
      </c>
      <c r="H548" s="176">
        <v>0.05</v>
      </c>
      <c r="I548" s="177">
        <f t="shared" si="56"/>
        <v>0</v>
      </c>
      <c r="J548" s="177">
        <f t="shared" si="57"/>
        <v>0</v>
      </c>
      <c r="K548" s="291"/>
      <c r="L548" s="292"/>
      <c r="M548" s="293"/>
      <c r="N548" s="293">
        <f t="shared" si="58"/>
        <v>0</v>
      </c>
      <c r="O548" s="298">
        <f t="shared" si="59"/>
        <v>0</v>
      </c>
      <c r="P548" s="302"/>
    </row>
    <row r="549" spans="2:16" ht="15">
      <c r="B549" s="172"/>
      <c r="C549" s="173"/>
      <c r="D549" s="174"/>
      <c r="E549" s="174"/>
      <c r="F549" s="175"/>
      <c r="G549" s="175">
        <f t="shared" si="55"/>
        <v>0</v>
      </c>
      <c r="H549" s="176">
        <v>0.05</v>
      </c>
      <c r="I549" s="177">
        <f t="shared" si="56"/>
        <v>0</v>
      </c>
      <c r="J549" s="177">
        <f t="shared" si="57"/>
        <v>0</v>
      </c>
      <c r="K549" s="291"/>
      <c r="L549" s="292"/>
      <c r="M549" s="293"/>
      <c r="N549" s="293">
        <f t="shared" si="58"/>
        <v>0</v>
      </c>
      <c r="O549" s="298">
        <f t="shared" si="59"/>
        <v>0</v>
      </c>
      <c r="P549" s="302"/>
    </row>
    <row r="550" spans="2:16" ht="15">
      <c r="B550" s="172"/>
      <c r="C550" s="173"/>
      <c r="D550" s="174"/>
      <c r="E550" s="174"/>
      <c r="F550" s="175"/>
      <c r="G550" s="175">
        <f t="shared" si="55"/>
        <v>0</v>
      </c>
      <c r="H550" s="176">
        <v>0.05</v>
      </c>
      <c r="I550" s="177">
        <f t="shared" si="56"/>
        <v>0</v>
      </c>
      <c r="J550" s="177">
        <f t="shared" si="57"/>
        <v>0</v>
      </c>
      <c r="K550" s="291"/>
      <c r="L550" s="292"/>
      <c r="M550" s="293"/>
      <c r="N550" s="293">
        <f t="shared" si="58"/>
        <v>0</v>
      </c>
      <c r="O550" s="298">
        <f t="shared" si="59"/>
        <v>0</v>
      </c>
      <c r="P550" s="302"/>
    </row>
    <row r="551" spans="2:16" ht="15">
      <c r="B551" s="172"/>
      <c r="C551" s="173"/>
      <c r="D551" s="174"/>
      <c r="E551" s="174"/>
      <c r="F551" s="175"/>
      <c r="G551" s="175">
        <f t="shared" si="55"/>
        <v>0</v>
      </c>
      <c r="H551" s="176">
        <v>0.05</v>
      </c>
      <c r="I551" s="177">
        <f t="shared" si="56"/>
        <v>0</v>
      </c>
      <c r="J551" s="177">
        <f t="shared" si="57"/>
        <v>0</v>
      </c>
      <c r="K551" s="291"/>
      <c r="L551" s="292"/>
      <c r="M551" s="293"/>
      <c r="N551" s="293">
        <f t="shared" si="58"/>
        <v>0</v>
      </c>
      <c r="O551" s="298">
        <f t="shared" si="59"/>
        <v>0</v>
      </c>
      <c r="P551" s="302"/>
    </row>
    <row r="552" spans="2:16" ht="15">
      <c r="B552" s="172"/>
      <c r="C552" s="173"/>
      <c r="D552" s="174"/>
      <c r="E552" s="174"/>
      <c r="F552" s="175"/>
      <c r="G552" s="175">
        <f t="shared" si="55"/>
        <v>0</v>
      </c>
      <c r="H552" s="176">
        <v>0.05</v>
      </c>
      <c r="I552" s="177">
        <f t="shared" si="56"/>
        <v>0</v>
      </c>
      <c r="J552" s="177">
        <f t="shared" si="57"/>
        <v>0</v>
      </c>
      <c r="K552" s="291"/>
      <c r="L552" s="292"/>
      <c r="M552" s="293"/>
      <c r="N552" s="293">
        <f t="shared" si="58"/>
        <v>0</v>
      </c>
      <c r="O552" s="298">
        <f t="shared" si="59"/>
        <v>0</v>
      </c>
      <c r="P552" s="302"/>
    </row>
    <row r="553" spans="2:16" ht="15">
      <c r="B553" s="172"/>
      <c r="C553" s="173"/>
      <c r="D553" s="174"/>
      <c r="E553" s="174"/>
      <c r="F553" s="175"/>
      <c r="G553" s="175">
        <f t="shared" si="55"/>
        <v>0</v>
      </c>
      <c r="H553" s="176">
        <v>0.05</v>
      </c>
      <c r="I553" s="177">
        <f t="shared" si="56"/>
        <v>0</v>
      </c>
      <c r="J553" s="177">
        <f t="shared" si="57"/>
        <v>0</v>
      </c>
      <c r="K553" s="291"/>
      <c r="L553" s="292"/>
      <c r="M553" s="293"/>
      <c r="N553" s="293">
        <f t="shared" si="58"/>
        <v>0</v>
      </c>
      <c r="O553" s="298">
        <f t="shared" si="59"/>
        <v>0</v>
      </c>
      <c r="P553" s="302"/>
    </row>
    <row r="554" spans="2:16" ht="15">
      <c r="B554" s="172"/>
      <c r="C554" s="173"/>
      <c r="D554" s="174"/>
      <c r="E554" s="174"/>
      <c r="F554" s="175"/>
      <c r="G554" s="175">
        <f t="shared" si="55"/>
        <v>0</v>
      </c>
      <c r="H554" s="176">
        <v>0.05</v>
      </c>
      <c r="I554" s="177">
        <f t="shared" si="56"/>
        <v>0</v>
      </c>
      <c r="J554" s="177">
        <f t="shared" si="57"/>
        <v>0</v>
      </c>
      <c r="K554" s="291"/>
      <c r="L554" s="292"/>
      <c r="M554" s="293"/>
      <c r="N554" s="293">
        <f t="shared" si="58"/>
        <v>0</v>
      </c>
      <c r="O554" s="298">
        <f t="shared" si="59"/>
        <v>0</v>
      </c>
      <c r="P554" s="302"/>
    </row>
    <row r="555" spans="2:16" ht="15">
      <c r="B555" s="172"/>
      <c r="C555" s="173"/>
      <c r="D555" s="174"/>
      <c r="E555" s="174"/>
      <c r="F555" s="175"/>
      <c r="G555" s="175">
        <f t="shared" si="55"/>
        <v>0</v>
      </c>
      <c r="H555" s="176">
        <v>0.05</v>
      </c>
      <c r="I555" s="177">
        <f t="shared" si="56"/>
        <v>0</v>
      </c>
      <c r="J555" s="177">
        <f t="shared" si="57"/>
        <v>0</v>
      </c>
      <c r="K555" s="291"/>
      <c r="L555" s="292"/>
      <c r="M555" s="293"/>
      <c r="N555" s="293">
        <f t="shared" si="58"/>
        <v>0</v>
      </c>
      <c r="O555" s="298">
        <f t="shared" si="59"/>
        <v>0</v>
      </c>
      <c r="P555" s="302"/>
    </row>
    <row r="556" spans="2:16" ht="15">
      <c r="B556" s="172"/>
      <c r="C556" s="173"/>
      <c r="D556" s="174"/>
      <c r="E556" s="174"/>
      <c r="F556" s="175"/>
      <c r="G556" s="175">
        <f t="shared" si="55"/>
        <v>0</v>
      </c>
      <c r="H556" s="176">
        <v>0.05</v>
      </c>
      <c r="I556" s="177">
        <f t="shared" si="56"/>
        <v>0</v>
      </c>
      <c r="J556" s="177">
        <f t="shared" si="57"/>
        <v>0</v>
      </c>
      <c r="K556" s="291"/>
      <c r="L556" s="292"/>
      <c r="M556" s="293"/>
      <c r="N556" s="293">
        <f t="shared" si="58"/>
        <v>0</v>
      </c>
      <c r="O556" s="298">
        <f t="shared" si="59"/>
        <v>0</v>
      </c>
      <c r="P556" s="302"/>
    </row>
    <row r="557" spans="2:16" ht="15">
      <c r="B557" s="172"/>
      <c r="C557" s="173"/>
      <c r="D557" s="174"/>
      <c r="E557" s="174"/>
      <c r="F557" s="175"/>
      <c r="G557" s="175">
        <f t="shared" si="55"/>
        <v>0</v>
      </c>
      <c r="H557" s="176">
        <v>0.05</v>
      </c>
      <c r="I557" s="177">
        <f t="shared" si="56"/>
        <v>0</v>
      </c>
      <c r="J557" s="177">
        <f t="shared" si="57"/>
        <v>0</v>
      </c>
      <c r="K557" s="291"/>
      <c r="L557" s="292"/>
      <c r="M557" s="293"/>
      <c r="N557" s="293">
        <f t="shared" si="58"/>
        <v>0</v>
      </c>
      <c r="O557" s="298">
        <f t="shared" si="59"/>
        <v>0</v>
      </c>
      <c r="P557" s="302"/>
    </row>
    <row r="558" spans="2:16" ht="15">
      <c r="B558" s="172"/>
      <c r="C558" s="173"/>
      <c r="D558" s="174"/>
      <c r="E558" s="174"/>
      <c r="F558" s="175"/>
      <c r="G558" s="175">
        <f t="shared" si="55"/>
        <v>0</v>
      </c>
      <c r="H558" s="176">
        <v>0.05</v>
      </c>
      <c r="I558" s="177">
        <f t="shared" si="56"/>
        <v>0</v>
      </c>
      <c r="J558" s="177">
        <f t="shared" si="57"/>
        <v>0</v>
      </c>
      <c r="K558" s="291"/>
      <c r="L558" s="292"/>
      <c r="M558" s="293"/>
      <c r="N558" s="293">
        <f t="shared" si="58"/>
        <v>0</v>
      </c>
      <c r="O558" s="298">
        <f t="shared" si="59"/>
        <v>0</v>
      </c>
      <c r="P558" s="302"/>
    </row>
    <row r="559" spans="2:16" ht="15">
      <c r="B559" s="172"/>
      <c r="C559" s="173"/>
      <c r="D559" s="174"/>
      <c r="E559" s="174"/>
      <c r="F559" s="175"/>
      <c r="G559" s="175">
        <f t="shared" si="55"/>
        <v>0</v>
      </c>
      <c r="H559" s="176">
        <v>0.05</v>
      </c>
      <c r="I559" s="177">
        <f t="shared" si="56"/>
        <v>0</v>
      </c>
      <c r="J559" s="177">
        <f t="shared" si="57"/>
        <v>0</v>
      </c>
      <c r="K559" s="291"/>
      <c r="L559" s="292"/>
      <c r="M559" s="293"/>
      <c r="N559" s="293">
        <f t="shared" si="58"/>
        <v>0</v>
      </c>
      <c r="O559" s="298">
        <f t="shared" si="59"/>
        <v>0</v>
      </c>
      <c r="P559" s="302"/>
    </row>
    <row r="560" spans="2:16" ht="15">
      <c r="B560" s="172"/>
      <c r="C560" s="173"/>
      <c r="D560" s="174"/>
      <c r="E560" s="174"/>
      <c r="F560" s="175"/>
      <c r="G560" s="175">
        <f t="shared" si="55"/>
        <v>0</v>
      </c>
      <c r="H560" s="176">
        <v>0.05</v>
      </c>
      <c r="I560" s="177">
        <f t="shared" si="56"/>
        <v>0</v>
      </c>
      <c r="J560" s="177">
        <f t="shared" si="57"/>
        <v>0</v>
      </c>
      <c r="K560" s="291"/>
      <c r="L560" s="292"/>
      <c r="M560" s="293"/>
      <c r="N560" s="293">
        <f t="shared" si="58"/>
        <v>0</v>
      </c>
      <c r="O560" s="298">
        <f t="shared" si="59"/>
        <v>0</v>
      </c>
      <c r="P560" s="302"/>
    </row>
    <row r="561" spans="2:16" ht="15">
      <c r="B561" s="172"/>
      <c r="C561" s="173"/>
      <c r="D561" s="174"/>
      <c r="E561" s="174"/>
      <c r="F561" s="175"/>
      <c r="G561" s="175">
        <f t="shared" si="55"/>
        <v>0</v>
      </c>
      <c r="H561" s="176">
        <v>0.05</v>
      </c>
      <c r="I561" s="177">
        <f t="shared" si="56"/>
        <v>0</v>
      </c>
      <c r="J561" s="177">
        <f t="shared" si="57"/>
        <v>0</v>
      </c>
      <c r="K561" s="291"/>
      <c r="L561" s="292"/>
      <c r="M561" s="293"/>
      <c r="N561" s="293">
        <f t="shared" si="58"/>
        <v>0</v>
      </c>
      <c r="O561" s="298">
        <f t="shared" si="59"/>
        <v>0</v>
      </c>
      <c r="P561" s="302"/>
    </row>
    <row r="562" spans="2:16" ht="15">
      <c r="B562" s="172"/>
      <c r="C562" s="173"/>
      <c r="D562" s="174"/>
      <c r="E562" s="174"/>
      <c r="F562" s="175"/>
      <c r="G562" s="175">
        <f t="shared" si="55"/>
        <v>0</v>
      </c>
      <c r="H562" s="176">
        <v>0.05</v>
      </c>
      <c r="I562" s="177">
        <f t="shared" si="56"/>
        <v>0</v>
      </c>
      <c r="J562" s="177">
        <f t="shared" si="57"/>
        <v>0</v>
      </c>
      <c r="K562" s="291"/>
      <c r="L562" s="292"/>
      <c r="M562" s="293"/>
      <c r="N562" s="293">
        <f t="shared" si="58"/>
        <v>0</v>
      </c>
      <c r="O562" s="298">
        <f t="shared" si="59"/>
        <v>0</v>
      </c>
      <c r="P562" s="302"/>
    </row>
    <row r="563" spans="2:16" ht="15">
      <c r="B563" s="172"/>
      <c r="C563" s="173"/>
      <c r="D563" s="174"/>
      <c r="E563" s="174"/>
      <c r="F563" s="175"/>
      <c r="G563" s="175">
        <f t="shared" si="55"/>
        <v>0</v>
      </c>
      <c r="H563" s="176">
        <v>0.05</v>
      </c>
      <c r="I563" s="177">
        <f t="shared" si="56"/>
        <v>0</v>
      </c>
      <c r="J563" s="177">
        <f t="shared" si="57"/>
        <v>0</v>
      </c>
      <c r="K563" s="291"/>
      <c r="L563" s="292"/>
      <c r="M563" s="293"/>
      <c r="N563" s="293">
        <f t="shared" si="58"/>
        <v>0</v>
      </c>
      <c r="O563" s="298">
        <f t="shared" si="59"/>
        <v>0</v>
      </c>
      <c r="P563" s="302"/>
    </row>
    <row r="564" spans="2:16" ht="15">
      <c r="B564" s="172"/>
      <c r="C564" s="173"/>
      <c r="D564" s="174"/>
      <c r="E564" s="174"/>
      <c r="F564" s="175"/>
      <c r="G564" s="175">
        <f t="shared" si="55"/>
        <v>0</v>
      </c>
      <c r="H564" s="176">
        <v>0.05</v>
      </c>
      <c r="I564" s="177">
        <f t="shared" si="56"/>
        <v>0</v>
      </c>
      <c r="J564" s="177">
        <f t="shared" si="57"/>
        <v>0</v>
      </c>
      <c r="K564" s="291"/>
      <c r="L564" s="292"/>
      <c r="M564" s="293"/>
      <c r="N564" s="293">
        <f t="shared" si="58"/>
        <v>0</v>
      </c>
      <c r="O564" s="298">
        <f t="shared" si="59"/>
        <v>0</v>
      </c>
      <c r="P564" s="302"/>
    </row>
    <row r="565" spans="2:16" ht="15">
      <c r="B565" s="172"/>
      <c r="C565" s="173"/>
      <c r="D565" s="174"/>
      <c r="E565" s="174"/>
      <c r="F565" s="175"/>
      <c r="G565" s="175">
        <f t="shared" si="55"/>
        <v>0</v>
      </c>
      <c r="H565" s="176">
        <v>0.05</v>
      </c>
      <c r="I565" s="177">
        <f t="shared" si="56"/>
        <v>0</v>
      </c>
      <c r="J565" s="177">
        <f t="shared" si="57"/>
        <v>0</v>
      </c>
      <c r="K565" s="291"/>
      <c r="L565" s="292"/>
      <c r="M565" s="293"/>
      <c r="N565" s="293">
        <f t="shared" si="58"/>
        <v>0</v>
      </c>
      <c r="O565" s="298">
        <f t="shared" si="59"/>
        <v>0</v>
      </c>
      <c r="P565" s="302"/>
    </row>
    <row r="566" spans="2:16" ht="15">
      <c r="B566" s="172"/>
      <c r="C566" s="173"/>
      <c r="D566" s="174"/>
      <c r="E566" s="174"/>
      <c r="F566" s="175"/>
      <c r="G566" s="175">
        <f t="shared" si="55"/>
        <v>0</v>
      </c>
      <c r="H566" s="176">
        <v>0.05</v>
      </c>
      <c r="I566" s="177">
        <f t="shared" si="56"/>
        <v>0</v>
      </c>
      <c r="J566" s="177">
        <f t="shared" si="57"/>
        <v>0</v>
      </c>
      <c r="K566" s="291"/>
      <c r="L566" s="292"/>
      <c r="M566" s="293"/>
      <c r="N566" s="293">
        <f t="shared" si="58"/>
        <v>0</v>
      </c>
      <c r="O566" s="298">
        <f t="shared" si="59"/>
        <v>0</v>
      </c>
      <c r="P566" s="302"/>
    </row>
    <row r="567" spans="2:16" ht="15">
      <c r="B567" s="172"/>
      <c r="C567" s="173"/>
      <c r="D567" s="174"/>
      <c r="E567" s="174"/>
      <c r="F567" s="175"/>
      <c r="G567" s="175">
        <f t="shared" si="55"/>
        <v>0</v>
      </c>
      <c r="H567" s="176">
        <v>0.05</v>
      </c>
      <c r="I567" s="177">
        <f t="shared" si="56"/>
        <v>0</v>
      </c>
      <c r="J567" s="177">
        <f t="shared" si="57"/>
        <v>0</v>
      </c>
      <c r="K567" s="291"/>
      <c r="L567" s="292"/>
      <c r="M567" s="293"/>
      <c r="N567" s="293">
        <f t="shared" si="58"/>
        <v>0</v>
      </c>
      <c r="O567" s="298">
        <f t="shared" si="59"/>
        <v>0</v>
      </c>
      <c r="P567" s="302"/>
    </row>
    <row r="568" spans="2:16" ht="15">
      <c r="B568" s="172"/>
      <c r="C568" s="173"/>
      <c r="D568" s="174"/>
      <c r="E568" s="174"/>
      <c r="F568" s="175"/>
      <c r="G568" s="175">
        <f t="shared" si="55"/>
        <v>0</v>
      </c>
      <c r="H568" s="176">
        <v>0.05</v>
      </c>
      <c r="I568" s="177">
        <f t="shared" si="56"/>
        <v>0</v>
      </c>
      <c r="J568" s="177">
        <f t="shared" si="57"/>
        <v>0</v>
      </c>
      <c r="K568" s="291"/>
      <c r="L568" s="292"/>
      <c r="M568" s="293"/>
      <c r="N568" s="293">
        <f t="shared" si="58"/>
        <v>0</v>
      </c>
      <c r="O568" s="298">
        <f t="shared" si="59"/>
        <v>0</v>
      </c>
      <c r="P568" s="302"/>
    </row>
    <row r="569" spans="2:16" ht="15">
      <c r="B569" s="172"/>
      <c r="C569" s="173"/>
      <c r="D569" s="174"/>
      <c r="E569" s="174"/>
      <c r="F569" s="175"/>
      <c r="G569" s="175">
        <f t="shared" si="55"/>
        <v>0</v>
      </c>
      <c r="H569" s="176">
        <v>0.05</v>
      </c>
      <c r="I569" s="177">
        <f t="shared" si="56"/>
        <v>0</v>
      </c>
      <c r="J569" s="177">
        <f t="shared" si="57"/>
        <v>0</v>
      </c>
      <c r="K569" s="291"/>
      <c r="L569" s="292"/>
      <c r="M569" s="293"/>
      <c r="N569" s="293">
        <f t="shared" si="58"/>
        <v>0</v>
      </c>
      <c r="O569" s="298">
        <f t="shared" si="59"/>
        <v>0</v>
      </c>
      <c r="P569" s="302"/>
    </row>
    <row r="570" spans="2:16" ht="15">
      <c r="B570" s="172"/>
      <c r="C570" s="173"/>
      <c r="D570" s="174"/>
      <c r="E570" s="174"/>
      <c r="F570" s="175"/>
      <c r="G570" s="175">
        <f t="shared" si="55"/>
        <v>0</v>
      </c>
      <c r="H570" s="176">
        <v>0.05</v>
      </c>
      <c r="I570" s="177">
        <f t="shared" si="56"/>
        <v>0</v>
      </c>
      <c r="J570" s="177">
        <f t="shared" si="57"/>
        <v>0</v>
      </c>
      <c r="K570" s="291"/>
      <c r="L570" s="292"/>
      <c r="M570" s="293"/>
      <c r="N570" s="293">
        <f t="shared" si="58"/>
        <v>0</v>
      </c>
      <c r="O570" s="298">
        <f t="shared" si="59"/>
        <v>0</v>
      </c>
      <c r="P570" s="302"/>
    </row>
    <row r="571" spans="2:16" ht="15">
      <c r="B571" s="172"/>
      <c r="C571" s="173"/>
      <c r="D571" s="174"/>
      <c r="E571" s="174"/>
      <c r="F571" s="175"/>
      <c r="G571" s="175">
        <f t="shared" si="55"/>
        <v>0</v>
      </c>
      <c r="H571" s="176">
        <v>0.05</v>
      </c>
      <c r="I571" s="177">
        <f t="shared" si="56"/>
        <v>0</v>
      </c>
      <c r="J571" s="177">
        <f t="shared" si="57"/>
        <v>0</v>
      </c>
      <c r="K571" s="291"/>
      <c r="L571" s="292"/>
      <c r="M571" s="293"/>
      <c r="N571" s="293">
        <f t="shared" si="58"/>
        <v>0</v>
      </c>
      <c r="O571" s="298">
        <f t="shared" si="59"/>
        <v>0</v>
      </c>
      <c r="P571" s="302"/>
    </row>
    <row r="572" spans="2:16" ht="15">
      <c r="B572" s="172"/>
      <c r="C572" s="173"/>
      <c r="D572" s="174"/>
      <c r="E572" s="174"/>
      <c r="F572" s="175"/>
      <c r="G572" s="175">
        <f t="shared" si="55"/>
        <v>0</v>
      </c>
      <c r="H572" s="176">
        <v>0.05</v>
      </c>
      <c r="I572" s="177">
        <f t="shared" si="56"/>
        <v>0</v>
      </c>
      <c r="J572" s="177">
        <f t="shared" si="57"/>
        <v>0</v>
      </c>
      <c r="K572" s="291"/>
      <c r="L572" s="292"/>
      <c r="M572" s="293"/>
      <c r="N572" s="293">
        <f t="shared" si="58"/>
        <v>0</v>
      </c>
      <c r="O572" s="298">
        <f t="shared" si="59"/>
        <v>0</v>
      </c>
      <c r="P572" s="302"/>
    </row>
    <row r="573" spans="2:16" ht="15">
      <c r="B573" s="172"/>
      <c r="C573" s="173"/>
      <c r="D573" s="174"/>
      <c r="E573" s="174"/>
      <c r="F573" s="175"/>
      <c r="G573" s="175">
        <f t="shared" si="55"/>
        <v>0</v>
      </c>
      <c r="H573" s="176">
        <v>0.05</v>
      </c>
      <c r="I573" s="177">
        <f t="shared" si="56"/>
        <v>0</v>
      </c>
      <c r="J573" s="177">
        <f t="shared" si="57"/>
        <v>0</v>
      </c>
      <c r="K573" s="291"/>
      <c r="L573" s="292"/>
      <c r="M573" s="293"/>
      <c r="N573" s="293">
        <f t="shared" si="58"/>
        <v>0</v>
      </c>
      <c r="O573" s="298">
        <f t="shared" si="59"/>
        <v>0</v>
      </c>
      <c r="P573" s="302"/>
    </row>
    <row r="574" spans="2:16" ht="15">
      <c r="B574" s="172"/>
      <c r="C574" s="173"/>
      <c r="D574" s="174"/>
      <c r="E574" s="174"/>
      <c r="F574" s="175"/>
      <c r="G574" s="175">
        <f t="shared" si="55"/>
        <v>0</v>
      </c>
      <c r="H574" s="176">
        <v>0.05</v>
      </c>
      <c r="I574" s="177">
        <f t="shared" si="56"/>
        <v>0</v>
      </c>
      <c r="J574" s="177">
        <f t="shared" si="57"/>
        <v>0</v>
      </c>
      <c r="K574" s="291"/>
      <c r="L574" s="292"/>
      <c r="M574" s="293"/>
      <c r="N574" s="293">
        <f t="shared" si="58"/>
        <v>0</v>
      </c>
      <c r="O574" s="298">
        <f t="shared" si="59"/>
        <v>0</v>
      </c>
      <c r="P574" s="302"/>
    </row>
    <row r="575" spans="2:16" ht="15">
      <c r="B575" s="172"/>
      <c r="C575" s="173"/>
      <c r="D575" s="174"/>
      <c r="E575" s="174"/>
      <c r="F575" s="175"/>
      <c r="G575" s="175">
        <f t="shared" si="55"/>
        <v>0</v>
      </c>
      <c r="H575" s="176">
        <v>0.05</v>
      </c>
      <c r="I575" s="177">
        <f t="shared" si="56"/>
        <v>0</v>
      </c>
      <c r="J575" s="177">
        <f t="shared" si="57"/>
        <v>0</v>
      </c>
      <c r="K575" s="291"/>
      <c r="L575" s="292"/>
      <c r="M575" s="293"/>
      <c r="N575" s="293">
        <f t="shared" si="58"/>
        <v>0</v>
      </c>
      <c r="O575" s="298">
        <f t="shared" si="59"/>
        <v>0</v>
      </c>
      <c r="P575" s="302"/>
    </row>
    <row r="576" spans="2:16" ht="15">
      <c r="B576" s="172"/>
      <c r="C576" s="173"/>
      <c r="D576" s="174"/>
      <c r="E576" s="174"/>
      <c r="F576" s="175"/>
      <c r="G576" s="175">
        <f t="shared" si="55"/>
        <v>0</v>
      </c>
      <c r="H576" s="176">
        <v>0.05</v>
      </c>
      <c r="I576" s="177">
        <f t="shared" si="56"/>
        <v>0</v>
      </c>
      <c r="J576" s="177">
        <f t="shared" si="57"/>
        <v>0</v>
      </c>
      <c r="K576" s="291"/>
      <c r="L576" s="292"/>
      <c r="M576" s="293"/>
      <c r="N576" s="293">
        <f t="shared" si="58"/>
        <v>0</v>
      </c>
      <c r="O576" s="298">
        <f t="shared" si="59"/>
        <v>0</v>
      </c>
      <c r="P576" s="302"/>
    </row>
    <row r="577" spans="2:16" ht="15">
      <c r="B577" s="172"/>
      <c r="C577" s="173"/>
      <c r="D577" s="174"/>
      <c r="E577" s="174"/>
      <c r="F577" s="175"/>
      <c r="G577" s="175">
        <f t="shared" si="55"/>
        <v>0</v>
      </c>
      <c r="H577" s="176">
        <v>0.05</v>
      </c>
      <c r="I577" s="177">
        <f t="shared" si="56"/>
        <v>0</v>
      </c>
      <c r="J577" s="177">
        <f t="shared" si="57"/>
        <v>0</v>
      </c>
      <c r="K577" s="291"/>
      <c r="L577" s="292"/>
      <c r="M577" s="293"/>
      <c r="N577" s="293">
        <f t="shared" si="58"/>
        <v>0</v>
      </c>
      <c r="O577" s="298">
        <f t="shared" si="59"/>
        <v>0</v>
      </c>
      <c r="P577" s="302"/>
    </row>
    <row r="578" spans="2:16" ht="15">
      <c r="B578" s="172"/>
      <c r="C578" s="173"/>
      <c r="D578" s="174"/>
      <c r="E578" s="174"/>
      <c r="F578" s="175"/>
      <c r="G578" s="175">
        <f t="shared" si="55"/>
        <v>0</v>
      </c>
      <c r="H578" s="176">
        <v>0.05</v>
      </c>
      <c r="I578" s="177">
        <f t="shared" si="56"/>
        <v>0</v>
      </c>
      <c r="J578" s="177">
        <f t="shared" si="57"/>
        <v>0</v>
      </c>
      <c r="K578" s="291"/>
      <c r="L578" s="292"/>
      <c r="M578" s="293"/>
      <c r="N578" s="293">
        <f t="shared" si="58"/>
        <v>0</v>
      </c>
      <c r="O578" s="298">
        <f t="shared" si="59"/>
        <v>0</v>
      </c>
      <c r="P578" s="302"/>
    </row>
    <row r="579" spans="2:16" ht="15">
      <c r="B579" s="172"/>
      <c r="C579" s="173"/>
      <c r="D579" s="174"/>
      <c r="E579" s="174"/>
      <c r="F579" s="175"/>
      <c r="G579" s="175">
        <f t="shared" si="55"/>
        <v>0</v>
      </c>
      <c r="H579" s="176">
        <v>0.05</v>
      </c>
      <c r="I579" s="177">
        <f t="shared" si="56"/>
        <v>0</v>
      </c>
      <c r="J579" s="177">
        <f t="shared" si="57"/>
        <v>0</v>
      </c>
      <c r="K579" s="291"/>
      <c r="L579" s="292"/>
      <c r="M579" s="293"/>
      <c r="N579" s="293">
        <f t="shared" si="58"/>
        <v>0</v>
      </c>
      <c r="O579" s="298">
        <f t="shared" si="59"/>
        <v>0</v>
      </c>
      <c r="P579" s="302"/>
    </row>
    <row r="580" spans="2:16" ht="15">
      <c r="B580" s="172"/>
      <c r="C580" s="173"/>
      <c r="D580" s="174"/>
      <c r="E580" s="174"/>
      <c r="F580" s="175"/>
      <c r="G580" s="175">
        <f t="shared" si="55"/>
        <v>0</v>
      </c>
      <c r="H580" s="176">
        <v>0.05</v>
      </c>
      <c r="I580" s="177">
        <f t="shared" si="56"/>
        <v>0</v>
      </c>
      <c r="J580" s="177">
        <f t="shared" si="57"/>
        <v>0</v>
      </c>
      <c r="K580" s="291"/>
      <c r="L580" s="292"/>
      <c r="M580" s="293"/>
      <c r="N580" s="293">
        <f t="shared" si="58"/>
        <v>0</v>
      </c>
      <c r="O580" s="298">
        <f t="shared" si="59"/>
        <v>0</v>
      </c>
      <c r="P580" s="302"/>
    </row>
    <row r="581" spans="2:16" ht="15">
      <c r="B581" s="172"/>
      <c r="C581" s="173"/>
      <c r="D581" s="174"/>
      <c r="E581" s="174"/>
      <c r="F581" s="175"/>
      <c r="G581" s="175">
        <f t="shared" si="55"/>
        <v>0</v>
      </c>
      <c r="H581" s="176">
        <v>0.05</v>
      </c>
      <c r="I581" s="177">
        <f t="shared" si="56"/>
        <v>0</v>
      </c>
      <c r="J581" s="177">
        <f t="shared" si="57"/>
        <v>0</v>
      </c>
      <c r="K581" s="291"/>
      <c r="L581" s="292"/>
      <c r="M581" s="293"/>
      <c r="N581" s="293">
        <f t="shared" si="58"/>
        <v>0</v>
      </c>
      <c r="O581" s="298">
        <f t="shared" si="59"/>
        <v>0</v>
      </c>
      <c r="P581" s="302"/>
    </row>
    <row r="582" spans="2:16" ht="15">
      <c r="B582" s="172"/>
      <c r="C582" s="173"/>
      <c r="D582" s="174"/>
      <c r="E582" s="174"/>
      <c r="F582" s="175"/>
      <c r="G582" s="175">
        <f t="shared" si="55"/>
        <v>0</v>
      </c>
      <c r="H582" s="176">
        <v>0.05</v>
      </c>
      <c r="I582" s="177">
        <f t="shared" si="56"/>
        <v>0</v>
      </c>
      <c r="J582" s="177">
        <f t="shared" si="57"/>
        <v>0</v>
      </c>
      <c r="K582" s="291"/>
      <c r="L582" s="292"/>
      <c r="M582" s="293"/>
      <c r="N582" s="293">
        <f t="shared" si="58"/>
        <v>0</v>
      </c>
      <c r="O582" s="298">
        <f t="shared" si="59"/>
        <v>0</v>
      </c>
      <c r="P582" s="302"/>
    </row>
    <row r="583" spans="2:16" ht="15">
      <c r="B583" s="172"/>
      <c r="C583" s="173"/>
      <c r="D583" s="174"/>
      <c r="E583" s="174"/>
      <c r="F583" s="175"/>
      <c r="G583" s="175">
        <f t="shared" si="55"/>
        <v>0</v>
      </c>
      <c r="H583" s="176">
        <v>0.05</v>
      </c>
      <c r="I583" s="177">
        <f t="shared" si="56"/>
        <v>0</v>
      </c>
      <c r="J583" s="177">
        <f t="shared" si="57"/>
        <v>0</v>
      </c>
      <c r="K583" s="291"/>
      <c r="L583" s="292"/>
      <c r="M583" s="293"/>
      <c r="N583" s="293">
        <f t="shared" si="58"/>
        <v>0</v>
      </c>
      <c r="O583" s="298">
        <f t="shared" si="59"/>
        <v>0</v>
      </c>
      <c r="P583" s="302"/>
    </row>
    <row r="584" spans="2:16" ht="15">
      <c r="B584" s="172"/>
      <c r="C584" s="173"/>
      <c r="D584" s="174"/>
      <c r="E584" s="174"/>
      <c r="F584" s="175"/>
      <c r="G584" s="175">
        <f t="shared" si="55"/>
        <v>0</v>
      </c>
      <c r="H584" s="176">
        <v>0.05</v>
      </c>
      <c r="I584" s="177">
        <f t="shared" si="56"/>
        <v>0</v>
      </c>
      <c r="J584" s="177">
        <f t="shared" si="57"/>
        <v>0</v>
      </c>
      <c r="K584" s="291"/>
      <c r="L584" s="292"/>
      <c r="M584" s="293"/>
      <c r="N584" s="293">
        <f t="shared" si="58"/>
        <v>0</v>
      </c>
      <c r="O584" s="298">
        <f t="shared" si="59"/>
        <v>0</v>
      </c>
      <c r="P584" s="302"/>
    </row>
    <row r="585" spans="2:16" ht="15">
      <c r="B585" s="172"/>
      <c r="C585" s="173"/>
      <c r="D585" s="174"/>
      <c r="E585" s="174"/>
      <c r="F585" s="175"/>
      <c r="G585" s="175">
        <f t="shared" si="55"/>
        <v>0</v>
      </c>
      <c r="H585" s="176">
        <v>0.05</v>
      </c>
      <c r="I585" s="177">
        <f t="shared" si="56"/>
        <v>0</v>
      </c>
      <c r="J585" s="177">
        <f t="shared" si="57"/>
        <v>0</v>
      </c>
      <c r="K585" s="291"/>
      <c r="L585" s="292"/>
      <c r="M585" s="293"/>
      <c r="N585" s="293">
        <f t="shared" si="58"/>
        <v>0</v>
      </c>
      <c r="O585" s="298">
        <f t="shared" si="59"/>
        <v>0</v>
      </c>
      <c r="P585" s="302"/>
    </row>
    <row r="586" spans="2:16" ht="15">
      <c r="B586" s="172"/>
      <c r="C586" s="173"/>
      <c r="D586" s="174"/>
      <c r="E586" s="174"/>
      <c r="F586" s="175"/>
      <c r="G586" s="175">
        <f t="shared" si="55"/>
        <v>0</v>
      </c>
      <c r="H586" s="176">
        <v>0.05</v>
      </c>
      <c r="I586" s="177">
        <f t="shared" si="56"/>
        <v>0</v>
      </c>
      <c r="J586" s="177">
        <f t="shared" si="57"/>
        <v>0</v>
      </c>
      <c r="K586" s="291"/>
      <c r="L586" s="292"/>
      <c r="M586" s="293"/>
      <c r="N586" s="293">
        <f t="shared" si="58"/>
        <v>0</v>
      </c>
      <c r="O586" s="298">
        <f t="shared" si="59"/>
        <v>0</v>
      </c>
      <c r="P586" s="302"/>
    </row>
    <row r="587" spans="2:16" ht="15">
      <c r="B587" s="172"/>
      <c r="C587" s="173"/>
      <c r="D587" s="174"/>
      <c r="E587" s="174"/>
      <c r="F587" s="175"/>
      <c r="G587" s="175">
        <f t="shared" si="55"/>
        <v>0</v>
      </c>
      <c r="H587" s="176">
        <v>0.05</v>
      </c>
      <c r="I587" s="177">
        <f t="shared" si="56"/>
        <v>0</v>
      </c>
      <c r="J587" s="177">
        <f t="shared" si="57"/>
        <v>0</v>
      </c>
      <c r="K587" s="291"/>
      <c r="L587" s="292"/>
      <c r="M587" s="293"/>
      <c r="N587" s="293">
        <f t="shared" si="58"/>
        <v>0</v>
      </c>
      <c r="O587" s="298">
        <f t="shared" si="59"/>
        <v>0</v>
      </c>
      <c r="P587" s="302"/>
    </row>
    <row r="588" spans="2:16" ht="15">
      <c r="B588" s="172"/>
      <c r="C588" s="173"/>
      <c r="D588" s="174"/>
      <c r="E588" s="174"/>
      <c r="F588" s="175"/>
      <c r="G588" s="175">
        <f t="shared" si="55"/>
        <v>0</v>
      </c>
      <c r="H588" s="176">
        <v>0.05</v>
      </c>
      <c r="I588" s="177">
        <f t="shared" si="56"/>
        <v>0</v>
      </c>
      <c r="J588" s="177">
        <f t="shared" si="57"/>
        <v>0</v>
      </c>
      <c r="K588" s="291"/>
      <c r="L588" s="292"/>
      <c r="M588" s="293"/>
      <c r="N588" s="293">
        <f t="shared" si="58"/>
        <v>0</v>
      </c>
      <c r="O588" s="298">
        <f t="shared" si="59"/>
        <v>0</v>
      </c>
      <c r="P588" s="302"/>
    </row>
    <row r="589" spans="2:16" ht="15">
      <c r="B589" s="172"/>
      <c r="C589" s="173"/>
      <c r="D589" s="174"/>
      <c r="E589" s="174"/>
      <c r="F589" s="175"/>
      <c r="G589" s="175">
        <f t="shared" si="55"/>
        <v>0</v>
      </c>
      <c r="H589" s="176">
        <v>0.05</v>
      </c>
      <c r="I589" s="177">
        <f t="shared" si="56"/>
        <v>0</v>
      </c>
      <c r="J589" s="177">
        <f t="shared" si="57"/>
        <v>0</v>
      </c>
      <c r="K589" s="291"/>
      <c r="L589" s="292"/>
      <c r="M589" s="293"/>
      <c r="N589" s="293">
        <f t="shared" si="58"/>
        <v>0</v>
      </c>
      <c r="O589" s="298">
        <f t="shared" si="59"/>
        <v>0</v>
      </c>
      <c r="P589" s="302"/>
    </row>
    <row r="590" spans="2:16" ht="15">
      <c r="B590" s="172"/>
      <c r="C590" s="173"/>
      <c r="D590" s="174"/>
      <c r="E590" s="174"/>
      <c r="F590" s="175"/>
      <c r="G590" s="175">
        <f t="shared" si="55"/>
        <v>0</v>
      </c>
      <c r="H590" s="176">
        <v>0.05</v>
      </c>
      <c r="I590" s="177">
        <f t="shared" si="56"/>
        <v>0</v>
      </c>
      <c r="J590" s="177">
        <f t="shared" si="57"/>
        <v>0</v>
      </c>
      <c r="K590" s="291"/>
      <c r="L590" s="292"/>
      <c r="M590" s="293"/>
      <c r="N590" s="293">
        <f t="shared" si="58"/>
        <v>0</v>
      </c>
      <c r="O590" s="298">
        <f t="shared" si="59"/>
        <v>0</v>
      </c>
      <c r="P590" s="302"/>
    </row>
    <row r="591" spans="2:16" ht="15">
      <c r="B591" s="172"/>
      <c r="C591" s="173"/>
      <c r="D591" s="174"/>
      <c r="E591" s="174"/>
      <c r="F591" s="175"/>
      <c r="G591" s="175">
        <f t="shared" si="55"/>
        <v>0</v>
      </c>
      <c r="H591" s="176">
        <v>0.05</v>
      </c>
      <c r="I591" s="177">
        <f t="shared" si="56"/>
        <v>0</v>
      </c>
      <c r="J591" s="177">
        <f t="shared" si="57"/>
        <v>0</v>
      </c>
      <c r="K591" s="291"/>
      <c r="L591" s="292"/>
      <c r="M591" s="293"/>
      <c r="N591" s="293">
        <f t="shared" si="58"/>
        <v>0</v>
      </c>
      <c r="O591" s="298">
        <f t="shared" si="59"/>
        <v>0</v>
      </c>
      <c r="P591" s="302"/>
    </row>
    <row r="592" spans="2:16" ht="15">
      <c r="B592" s="172"/>
      <c r="C592" s="173"/>
      <c r="D592" s="174"/>
      <c r="E592" s="174"/>
      <c r="F592" s="175"/>
      <c r="G592" s="175">
        <f t="shared" si="55"/>
        <v>0</v>
      </c>
      <c r="H592" s="176">
        <v>0.05</v>
      </c>
      <c r="I592" s="177">
        <f t="shared" si="56"/>
        <v>0</v>
      </c>
      <c r="J592" s="177">
        <f t="shared" si="57"/>
        <v>0</v>
      </c>
      <c r="K592" s="291"/>
      <c r="L592" s="292"/>
      <c r="M592" s="293"/>
      <c r="N592" s="293">
        <f t="shared" si="58"/>
        <v>0</v>
      </c>
      <c r="O592" s="298">
        <f t="shared" si="59"/>
        <v>0</v>
      </c>
      <c r="P592" s="302"/>
    </row>
    <row r="593" spans="2:16" ht="15">
      <c r="B593" s="172"/>
      <c r="C593" s="173"/>
      <c r="D593" s="174"/>
      <c r="E593" s="174"/>
      <c r="F593" s="175"/>
      <c r="G593" s="175">
        <f t="shared" si="55"/>
        <v>0</v>
      </c>
      <c r="H593" s="176">
        <v>0.05</v>
      </c>
      <c r="I593" s="177">
        <f t="shared" si="56"/>
        <v>0</v>
      </c>
      <c r="J593" s="177">
        <f t="shared" si="57"/>
        <v>0</v>
      </c>
      <c r="K593" s="291"/>
      <c r="L593" s="292"/>
      <c r="M593" s="293"/>
      <c r="N593" s="293">
        <f t="shared" si="58"/>
        <v>0</v>
      </c>
      <c r="O593" s="298">
        <f t="shared" si="59"/>
        <v>0</v>
      </c>
      <c r="P593" s="302"/>
    </row>
    <row r="594" spans="2:16" ht="15">
      <c r="B594" s="172"/>
      <c r="C594" s="173"/>
      <c r="D594" s="174"/>
      <c r="E594" s="174"/>
      <c r="F594" s="175"/>
      <c r="G594" s="175">
        <f t="shared" si="55"/>
        <v>0</v>
      </c>
      <c r="H594" s="176">
        <v>0.05</v>
      </c>
      <c r="I594" s="177">
        <f t="shared" si="56"/>
        <v>0</v>
      </c>
      <c r="J594" s="177">
        <f t="shared" si="57"/>
        <v>0</v>
      </c>
      <c r="K594" s="291"/>
      <c r="L594" s="292"/>
      <c r="M594" s="293"/>
      <c r="N594" s="293">
        <f t="shared" si="58"/>
        <v>0</v>
      </c>
      <c r="O594" s="298">
        <f t="shared" si="59"/>
        <v>0</v>
      </c>
      <c r="P594" s="302"/>
    </row>
    <row r="595" spans="2:16" ht="15">
      <c r="B595" s="172"/>
      <c r="C595" s="173"/>
      <c r="D595" s="174"/>
      <c r="E595" s="174"/>
      <c r="F595" s="175"/>
      <c r="G595" s="175">
        <f t="shared" si="55"/>
        <v>0</v>
      </c>
      <c r="H595" s="176">
        <v>0.05</v>
      </c>
      <c r="I595" s="177">
        <f t="shared" si="56"/>
        <v>0</v>
      </c>
      <c r="J595" s="177">
        <f t="shared" si="57"/>
        <v>0</v>
      </c>
      <c r="K595" s="291"/>
      <c r="L595" s="292"/>
      <c r="M595" s="293"/>
      <c r="N595" s="293">
        <f t="shared" si="58"/>
        <v>0</v>
      </c>
      <c r="O595" s="298">
        <f t="shared" si="59"/>
        <v>0</v>
      </c>
      <c r="P595" s="302"/>
    </row>
    <row r="596" spans="2:16" ht="15">
      <c r="B596" s="172"/>
      <c r="C596" s="173"/>
      <c r="D596" s="174"/>
      <c r="E596" s="174"/>
      <c r="F596" s="175"/>
      <c r="G596" s="175">
        <f t="shared" si="55"/>
        <v>0</v>
      </c>
      <c r="H596" s="176">
        <v>0.05</v>
      </c>
      <c r="I596" s="177">
        <f t="shared" si="56"/>
        <v>0</v>
      </c>
      <c r="J596" s="177">
        <f t="shared" si="57"/>
        <v>0</v>
      </c>
      <c r="K596" s="291"/>
      <c r="L596" s="292"/>
      <c r="M596" s="293"/>
      <c r="N596" s="293">
        <f t="shared" si="58"/>
        <v>0</v>
      </c>
      <c r="O596" s="298">
        <f t="shared" si="59"/>
        <v>0</v>
      </c>
      <c r="P596" s="302"/>
    </row>
    <row r="597" spans="2:16" ht="15">
      <c r="B597" s="172"/>
      <c r="C597" s="173"/>
      <c r="D597" s="174"/>
      <c r="E597" s="174"/>
      <c r="F597" s="175"/>
      <c r="G597" s="175">
        <f t="shared" si="55"/>
        <v>0</v>
      </c>
      <c r="H597" s="176">
        <v>0.05</v>
      </c>
      <c r="I597" s="177">
        <f t="shared" si="56"/>
        <v>0</v>
      </c>
      <c r="J597" s="177">
        <f t="shared" si="57"/>
        <v>0</v>
      </c>
      <c r="K597" s="291"/>
      <c r="L597" s="292"/>
      <c r="M597" s="293"/>
      <c r="N597" s="293">
        <f t="shared" si="58"/>
        <v>0</v>
      </c>
      <c r="O597" s="298">
        <f t="shared" si="59"/>
        <v>0</v>
      </c>
      <c r="P597" s="302"/>
    </row>
    <row r="598" spans="2:16" ht="15">
      <c r="B598" s="172"/>
      <c r="C598" s="173"/>
      <c r="D598" s="174"/>
      <c r="E598" s="174"/>
      <c r="F598" s="175"/>
      <c r="G598" s="175">
        <f t="shared" si="55"/>
        <v>0</v>
      </c>
      <c r="H598" s="176">
        <v>0.05</v>
      </c>
      <c r="I598" s="177">
        <f t="shared" si="56"/>
        <v>0</v>
      </c>
      <c r="J598" s="177">
        <f t="shared" si="57"/>
        <v>0</v>
      </c>
      <c r="K598" s="291"/>
      <c r="L598" s="292"/>
      <c r="M598" s="293"/>
      <c r="N598" s="293">
        <f t="shared" si="58"/>
        <v>0</v>
      </c>
      <c r="O598" s="298">
        <f t="shared" si="59"/>
        <v>0</v>
      </c>
      <c r="P598" s="302"/>
    </row>
    <row r="599" spans="2:16" ht="15">
      <c r="B599" s="172"/>
      <c r="C599" s="173"/>
      <c r="D599" s="174"/>
      <c r="E599" s="174"/>
      <c r="F599" s="175"/>
      <c r="G599" s="175">
        <f t="shared" si="55"/>
        <v>0</v>
      </c>
      <c r="H599" s="176">
        <v>0.05</v>
      </c>
      <c r="I599" s="177">
        <f t="shared" si="56"/>
        <v>0</v>
      </c>
      <c r="J599" s="177">
        <f t="shared" si="57"/>
        <v>0</v>
      </c>
      <c r="K599" s="291"/>
      <c r="L599" s="292"/>
      <c r="M599" s="293"/>
      <c r="N599" s="293">
        <f t="shared" si="58"/>
        <v>0</v>
      </c>
      <c r="O599" s="298">
        <f t="shared" si="59"/>
        <v>0</v>
      </c>
      <c r="P599" s="302"/>
    </row>
    <row r="600" spans="2:16" ht="15">
      <c r="B600" s="172"/>
      <c r="C600" s="173"/>
      <c r="D600" s="174"/>
      <c r="E600" s="174"/>
      <c r="F600" s="175"/>
      <c r="G600" s="175">
        <f t="shared" si="55"/>
        <v>0</v>
      </c>
      <c r="H600" s="176">
        <v>0.05</v>
      </c>
      <c r="I600" s="177">
        <f t="shared" si="56"/>
        <v>0</v>
      </c>
      <c r="J600" s="177">
        <f t="shared" si="57"/>
        <v>0</v>
      </c>
      <c r="K600" s="291"/>
      <c r="L600" s="292"/>
      <c r="M600" s="293"/>
      <c r="N600" s="293">
        <f t="shared" si="58"/>
        <v>0</v>
      </c>
      <c r="O600" s="298">
        <f t="shared" si="59"/>
        <v>0</v>
      </c>
      <c r="P600" s="302"/>
    </row>
    <row r="601" spans="2:16" ht="15">
      <c r="B601" s="172"/>
      <c r="C601" s="173"/>
      <c r="D601" s="174"/>
      <c r="E601" s="174"/>
      <c r="F601" s="175"/>
      <c r="G601" s="175">
        <f t="shared" si="55"/>
        <v>0</v>
      </c>
      <c r="H601" s="176">
        <v>0.05</v>
      </c>
      <c r="I601" s="177">
        <f t="shared" si="56"/>
        <v>0</v>
      </c>
      <c r="J601" s="177">
        <f t="shared" si="57"/>
        <v>0</v>
      </c>
      <c r="K601" s="291"/>
      <c r="L601" s="292"/>
      <c r="M601" s="293"/>
      <c r="N601" s="293">
        <f t="shared" si="58"/>
        <v>0</v>
      </c>
      <c r="O601" s="298">
        <f t="shared" si="59"/>
        <v>0</v>
      </c>
      <c r="P601" s="302"/>
    </row>
    <row r="602" spans="2:16" ht="15">
      <c r="B602" s="172"/>
      <c r="C602" s="173"/>
      <c r="D602" s="174"/>
      <c r="E602" s="174"/>
      <c r="F602" s="175"/>
      <c r="G602" s="175">
        <f t="shared" si="55"/>
        <v>0</v>
      </c>
      <c r="H602" s="176">
        <v>0.05</v>
      </c>
      <c r="I602" s="177">
        <f t="shared" si="56"/>
        <v>0</v>
      </c>
      <c r="J602" s="177">
        <f t="shared" si="57"/>
        <v>0</v>
      </c>
      <c r="K602" s="291"/>
      <c r="L602" s="292"/>
      <c r="M602" s="293"/>
      <c r="N602" s="293">
        <f t="shared" si="58"/>
        <v>0</v>
      </c>
      <c r="O602" s="298">
        <f t="shared" si="59"/>
        <v>0</v>
      </c>
      <c r="P602" s="302"/>
    </row>
    <row r="603" spans="2:16" ht="15">
      <c r="B603" s="172"/>
      <c r="C603" s="173"/>
      <c r="D603" s="174"/>
      <c r="E603" s="174"/>
      <c r="F603" s="175"/>
      <c r="G603" s="175">
        <f t="shared" si="55"/>
        <v>0</v>
      </c>
      <c r="H603" s="176">
        <v>0.05</v>
      </c>
      <c r="I603" s="177">
        <f t="shared" si="56"/>
        <v>0</v>
      </c>
      <c r="J603" s="177">
        <f t="shared" si="57"/>
        <v>0</v>
      </c>
      <c r="K603" s="291"/>
      <c r="L603" s="292"/>
      <c r="M603" s="293"/>
      <c r="N603" s="293">
        <f t="shared" si="58"/>
        <v>0</v>
      </c>
      <c r="O603" s="298">
        <f t="shared" si="59"/>
        <v>0</v>
      </c>
      <c r="P603" s="302"/>
    </row>
    <row r="604" spans="2:16" ht="15">
      <c r="B604" s="172"/>
      <c r="C604" s="173"/>
      <c r="D604" s="174"/>
      <c r="E604" s="174"/>
      <c r="F604" s="175"/>
      <c r="G604" s="175">
        <f t="shared" ref="G604:G667" si="60">IF(D604=0,0,(D604+E604)/F604)</f>
        <v>0</v>
      </c>
      <c r="H604" s="176">
        <v>0.05</v>
      </c>
      <c r="I604" s="177">
        <f t="shared" ref="I604:I667" si="61">+G604*H604</f>
        <v>0</v>
      </c>
      <c r="J604" s="177">
        <f t="shared" ref="J604:J667" si="62">+G604+I604</f>
        <v>0</v>
      </c>
      <c r="K604" s="291"/>
      <c r="L604" s="292"/>
      <c r="M604" s="293"/>
      <c r="N604" s="293">
        <f t="shared" ref="N604:N667" si="63">IF(H604&lt;M604,H604/M604,0)</f>
        <v>0</v>
      </c>
      <c r="O604" s="298">
        <f t="shared" ref="O604:O667" si="64">1.5%*N604</f>
        <v>0</v>
      </c>
      <c r="P604" s="302"/>
    </row>
    <row r="605" spans="2:16" ht="15">
      <c r="B605" s="172"/>
      <c r="C605" s="173"/>
      <c r="D605" s="174"/>
      <c r="E605" s="174"/>
      <c r="F605" s="175"/>
      <c r="G605" s="175">
        <f t="shared" si="60"/>
        <v>0</v>
      </c>
      <c r="H605" s="176">
        <v>0.05</v>
      </c>
      <c r="I605" s="177">
        <f t="shared" si="61"/>
        <v>0</v>
      </c>
      <c r="J605" s="177">
        <f t="shared" si="62"/>
        <v>0</v>
      </c>
      <c r="K605" s="291"/>
      <c r="L605" s="292"/>
      <c r="M605" s="293"/>
      <c r="N605" s="293">
        <f t="shared" si="63"/>
        <v>0</v>
      </c>
      <c r="O605" s="298">
        <f t="shared" si="64"/>
        <v>0</v>
      </c>
      <c r="P605" s="302"/>
    </row>
    <row r="606" spans="2:16" ht="15">
      <c r="B606" s="172"/>
      <c r="C606" s="173"/>
      <c r="D606" s="174"/>
      <c r="E606" s="174"/>
      <c r="F606" s="175"/>
      <c r="G606" s="175">
        <f t="shared" si="60"/>
        <v>0</v>
      </c>
      <c r="H606" s="176">
        <v>0.05</v>
      </c>
      <c r="I606" s="177">
        <f t="shared" si="61"/>
        <v>0</v>
      </c>
      <c r="J606" s="177">
        <f t="shared" si="62"/>
        <v>0</v>
      </c>
      <c r="K606" s="291"/>
      <c r="L606" s="292"/>
      <c r="M606" s="293"/>
      <c r="N606" s="293">
        <f t="shared" si="63"/>
        <v>0</v>
      </c>
      <c r="O606" s="298">
        <f t="shared" si="64"/>
        <v>0</v>
      </c>
      <c r="P606" s="302"/>
    </row>
    <row r="607" spans="2:16" ht="15">
      <c r="B607" s="172"/>
      <c r="C607" s="173"/>
      <c r="D607" s="174"/>
      <c r="E607" s="174"/>
      <c r="F607" s="175"/>
      <c r="G607" s="175">
        <f t="shared" si="60"/>
        <v>0</v>
      </c>
      <c r="H607" s="176">
        <v>0.05</v>
      </c>
      <c r="I607" s="177">
        <f t="shared" si="61"/>
        <v>0</v>
      </c>
      <c r="J607" s="177">
        <f t="shared" si="62"/>
        <v>0</v>
      </c>
      <c r="K607" s="291"/>
      <c r="L607" s="292"/>
      <c r="M607" s="293"/>
      <c r="N607" s="293">
        <f t="shared" si="63"/>
        <v>0</v>
      </c>
      <c r="O607" s="298">
        <f t="shared" si="64"/>
        <v>0</v>
      </c>
      <c r="P607" s="302"/>
    </row>
    <row r="608" spans="2:16" ht="15">
      <c r="B608" s="172"/>
      <c r="C608" s="173"/>
      <c r="D608" s="174"/>
      <c r="E608" s="174"/>
      <c r="F608" s="175"/>
      <c r="G608" s="175">
        <f t="shared" si="60"/>
        <v>0</v>
      </c>
      <c r="H608" s="176">
        <v>0.05</v>
      </c>
      <c r="I608" s="177">
        <f t="shared" si="61"/>
        <v>0</v>
      </c>
      <c r="J608" s="177">
        <f t="shared" si="62"/>
        <v>0</v>
      </c>
      <c r="K608" s="291"/>
      <c r="L608" s="292"/>
      <c r="M608" s="293"/>
      <c r="N608" s="293">
        <f t="shared" si="63"/>
        <v>0</v>
      </c>
      <c r="O608" s="298">
        <f t="shared" si="64"/>
        <v>0</v>
      </c>
      <c r="P608" s="302"/>
    </row>
    <row r="609" spans="2:16" ht="15">
      <c r="B609" s="172"/>
      <c r="C609" s="173"/>
      <c r="D609" s="174"/>
      <c r="E609" s="174"/>
      <c r="F609" s="175"/>
      <c r="G609" s="175">
        <f t="shared" si="60"/>
        <v>0</v>
      </c>
      <c r="H609" s="176">
        <v>0.05</v>
      </c>
      <c r="I609" s="177">
        <f t="shared" si="61"/>
        <v>0</v>
      </c>
      <c r="J609" s="177">
        <f t="shared" si="62"/>
        <v>0</v>
      </c>
      <c r="K609" s="291"/>
      <c r="L609" s="292"/>
      <c r="M609" s="293"/>
      <c r="N609" s="293">
        <f t="shared" si="63"/>
        <v>0</v>
      </c>
      <c r="O609" s="298">
        <f t="shared" si="64"/>
        <v>0</v>
      </c>
      <c r="P609" s="302"/>
    </row>
    <row r="610" spans="2:16" ht="15">
      <c r="B610" s="172"/>
      <c r="C610" s="173"/>
      <c r="D610" s="174"/>
      <c r="E610" s="174"/>
      <c r="F610" s="175"/>
      <c r="G610" s="175">
        <f t="shared" si="60"/>
        <v>0</v>
      </c>
      <c r="H610" s="176">
        <v>0.05</v>
      </c>
      <c r="I610" s="177">
        <f t="shared" si="61"/>
        <v>0</v>
      </c>
      <c r="J610" s="177">
        <f t="shared" si="62"/>
        <v>0</v>
      </c>
      <c r="K610" s="291"/>
      <c r="L610" s="292"/>
      <c r="M610" s="293"/>
      <c r="N610" s="293">
        <f t="shared" si="63"/>
        <v>0</v>
      </c>
      <c r="O610" s="298">
        <f t="shared" si="64"/>
        <v>0</v>
      </c>
      <c r="P610" s="302"/>
    </row>
    <row r="611" spans="2:16" ht="15">
      <c r="B611" s="172"/>
      <c r="C611" s="173"/>
      <c r="D611" s="174"/>
      <c r="E611" s="174"/>
      <c r="F611" s="175"/>
      <c r="G611" s="175">
        <f t="shared" si="60"/>
        <v>0</v>
      </c>
      <c r="H611" s="176">
        <v>0.05</v>
      </c>
      <c r="I611" s="177">
        <f t="shared" si="61"/>
        <v>0</v>
      </c>
      <c r="J611" s="177">
        <f t="shared" si="62"/>
        <v>0</v>
      </c>
      <c r="K611" s="291"/>
      <c r="L611" s="292"/>
      <c r="M611" s="293"/>
      <c r="N611" s="293">
        <f t="shared" si="63"/>
        <v>0</v>
      </c>
      <c r="O611" s="298">
        <f t="shared" si="64"/>
        <v>0</v>
      </c>
      <c r="P611" s="302"/>
    </row>
    <row r="612" spans="2:16" ht="15">
      <c r="B612" s="172"/>
      <c r="C612" s="173"/>
      <c r="D612" s="174"/>
      <c r="E612" s="174"/>
      <c r="F612" s="175"/>
      <c r="G612" s="175">
        <f t="shared" si="60"/>
        <v>0</v>
      </c>
      <c r="H612" s="176">
        <v>0.05</v>
      </c>
      <c r="I612" s="177">
        <f t="shared" si="61"/>
        <v>0</v>
      </c>
      <c r="J612" s="177">
        <f t="shared" si="62"/>
        <v>0</v>
      </c>
      <c r="K612" s="291"/>
      <c r="L612" s="292"/>
      <c r="M612" s="293"/>
      <c r="N612" s="293">
        <f t="shared" si="63"/>
        <v>0</v>
      </c>
      <c r="O612" s="298">
        <f t="shared" si="64"/>
        <v>0</v>
      </c>
      <c r="P612" s="302"/>
    </row>
    <row r="613" spans="2:16" ht="15">
      <c r="B613" s="172"/>
      <c r="C613" s="173"/>
      <c r="D613" s="174"/>
      <c r="E613" s="174"/>
      <c r="F613" s="175"/>
      <c r="G613" s="175">
        <f t="shared" si="60"/>
        <v>0</v>
      </c>
      <c r="H613" s="176">
        <v>0.05</v>
      </c>
      <c r="I613" s="177">
        <f t="shared" si="61"/>
        <v>0</v>
      </c>
      <c r="J613" s="177">
        <f t="shared" si="62"/>
        <v>0</v>
      </c>
      <c r="K613" s="291"/>
      <c r="L613" s="292"/>
      <c r="M613" s="293"/>
      <c r="N613" s="293">
        <f t="shared" si="63"/>
        <v>0</v>
      </c>
      <c r="O613" s="298">
        <f t="shared" si="64"/>
        <v>0</v>
      </c>
      <c r="P613" s="302"/>
    </row>
    <row r="614" spans="2:16" ht="15">
      <c r="B614" s="172"/>
      <c r="C614" s="173"/>
      <c r="D614" s="174"/>
      <c r="E614" s="174"/>
      <c r="F614" s="175"/>
      <c r="G614" s="175">
        <f t="shared" si="60"/>
        <v>0</v>
      </c>
      <c r="H614" s="176">
        <v>0.05</v>
      </c>
      <c r="I614" s="177">
        <f t="shared" si="61"/>
        <v>0</v>
      </c>
      <c r="J614" s="177">
        <f t="shared" si="62"/>
        <v>0</v>
      </c>
      <c r="K614" s="291"/>
      <c r="L614" s="292"/>
      <c r="M614" s="293"/>
      <c r="N614" s="293">
        <f t="shared" si="63"/>
        <v>0</v>
      </c>
      <c r="O614" s="298">
        <f t="shared" si="64"/>
        <v>0</v>
      </c>
      <c r="P614" s="302"/>
    </row>
    <row r="615" spans="2:16" ht="15">
      <c r="B615" s="172"/>
      <c r="C615" s="173"/>
      <c r="D615" s="174"/>
      <c r="E615" s="174"/>
      <c r="F615" s="175"/>
      <c r="G615" s="175">
        <f t="shared" si="60"/>
        <v>0</v>
      </c>
      <c r="H615" s="176">
        <v>0.05</v>
      </c>
      <c r="I615" s="177">
        <f t="shared" si="61"/>
        <v>0</v>
      </c>
      <c r="J615" s="177">
        <f t="shared" si="62"/>
        <v>0</v>
      </c>
      <c r="K615" s="291"/>
      <c r="L615" s="292"/>
      <c r="M615" s="293"/>
      <c r="N615" s="293">
        <f t="shared" si="63"/>
        <v>0</v>
      </c>
      <c r="O615" s="298">
        <f t="shared" si="64"/>
        <v>0</v>
      </c>
      <c r="P615" s="302"/>
    </row>
    <row r="616" spans="2:16" ht="15">
      <c r="B616" s="172"/>
      <c r="C616" s="173"/>
      <c r="D616" s="174"/>
      <c r="E616" s="174"/>
      <c r="F616" s="175"/>
      <c r="G616" s="175">
        <f t="shared" si="60"/>
        <v>0</v>
      </c>
      <c r="H616" s="176">
        <v>0.05</v>
      </c>
      <c r="I616" s="177">
        <f t="shared" si="61"/>
        <v>0</v>
      </c>
      <c r="J616" s="177">
        <f t="shared" si="62"/>
        <v>0</v>
      </c>
      <c r="K616" s="291"/>
      <c r="L616" s="292"/>
      <c r="M616" s="293"/>
      <c r="N616" s="293">
        <f t="shared" si="63"/>
        <v>0</v>
      </c>
      <c r="O616" s="298">
        <f t="shared" si="64"/>
        <v>0</v>
      </c>
      <c r="P616" s="302"/>
    </row>
    <row r="617" spans="2:16" ht="15">
      <c r="B617" s="172"/>
      <c r="C617" s="173"/>
      <c r="D617" s="174"/>
      <c r="E617" s="174"/>
      <c r="F617" s="175"/>
      <c r="G617" s="175">
        <f t="shared" si="60"/>
        <v>0</v>
      </c>
      <c r="H617" s="176">
        <v>0.05</v>
      </c>
      <c r="I617" s="177">
        <f t="shared" si="61"/>
        <v>0</v>
      </c>
      <c r="J617" s="177">
        <f t="shared" si="62"/>
        <v>0</v>
      </c>
      <c r="K617" s="291"/>
      <c r="L617" s="292"/>
      <c r="M617" s="293"/>
      <c r="N617" s="293">
        <f t="shared" si="63"/>
        <v>0</v>
      </c>
      <c r="O617" s="298">
        <f t="shared" si="64"/>
        <v>0</v>
      </c>
      <c r="P617" s="302"/>
    </row>
    <row r="618" spans="2:16" ht="15">
      <c r="B618" s="172"/>
      <c r="C618" s="173"/>
      <c r="D618" s="174"/>
      <c r="E618" s="174"/>
      <c r="F618" s="175"/>
      <c r="G618" s="175">
        <f t="shared" si="60"/>
        <v>0</v>
      </c>
      <c r="H618" s="176">
        <v>0.05</v>
      </c>
      <c r="I618" s="177">
        <f t="shared" si="61"/>
        <v>0</v>
      </c>
      <c r="J618" s="177">
        <f t="shared" si="62"/>
        <v>0</v>
      </c>
      <c r="K618" s="291"/>
      <c r="L618" s="292"/>
      <c r="M618" s="293"/>
      <c r="N618" s="293">
        <f t="shared" si="63"/>
        <v>0</v>
      </c>
      <c r="O618" s="298">
        <f t="shared" si="64"/>
        <v>0</v>
      </c>
      <c r="P618" s="302"/>
    </row>
    <row r="619" spans="2:16" ht="15">
      <c r="B619" s="172"/>
      <c r="C619" s="173"/>
      <c r="D619" s="174"/>
      <c r="E619" s="174"/>
      <c r="F619" s="175"/>
      <c r="G619" s="175">
        <f t="shared" si="60"/>
        <v>0</v>
      </c>
      <c r="H619" s="176">
        <v>0.05</v>
      </c>
      <c r="I619" s="177">
        <f t="shared" si="61"/>
        <v>0</v>
      </c>
      <c r="J619" s="177">
        <f t="shared" si="62"/>
        <v>0</v>
      </c>
      <c r="K619" s="291"/>
      <c r="L619" s="292"/>
      <c r="M619" s="293"/>
      <c r="N619" s="293">
        <f t="shared" si="63"/>
        <v>0</v>
      </c>
      <c r="O619" s="298">
        <f t="shared" si="64"/>
        <v>0</v>
      </c>
      <c r="P619" s="302"/>
    </row>
    <row r="620" spans="2:16" ht="15">
      <c r="B620" s="172"/>
      <c r="C620" s="173"/>
      <c r="D620" s="174"/>
      <c r="E620" s="174"/>
      <c r="F620" s="175"/>
      <c r="G620" s="175">
        <f t="shared" si="60"/>
        <v>0</v>
      </c>
      <c r="H620" s="176">
        <v>0.05</v>
      </c>
      <c r="I620" s="177">
        <f t="shared" si="61"/>
        <v>0</v>
      </c>
      <c r="J620" s="177">
        <f t="shared" si="62"/>
        <v>0</v>
      </c>
      <c r="K620" s="291"/>
      <c r="L620" s="292"/>
      <c r="M620" s="293"/>
      <c r="N620" s="293">
        <f t="shared" si="63"/>
        <v>0</v>
      </c>
      <c r="O620" s="298">
        <f t="shared" si="64"/>
        <v>0</v>
      </c>
      <c r="P620" s="302"/>
    </row>
    <row r="621" spans="2:16" ht="15">
      <c r="B621" s="172"/>
      <c r="C621" s="173"/>
      <c r="D621" s="174"/>
      <c r="E621" s="174"/>
      <c r="F621" s="175"/>
      <c r="G621" s="175">
        <f t="shared" si="60"/>
        <v>0</v>
      </c>
      <c r="H621" s="176">
        <v>0.05</v>
      </c>
      <c r="I621" s="177">
        <f t="shared" si="61"/>
        <v>0</v>
      </c>
      <c r="J621" s="177">
        <f t="shared" si="62"/>
        <v>0</v>
      </c>
      <c r="K621" s="291"/>
      <c r="L621" s="292"/>
      <c r="M621" s="293"/>
      <c r="N621" s="293">
        <f t="shared" si="63"/>
        <v>0</v>
      </c>
      <c r="O621" s="298">
        <f t="shared" si="64"/>
        <v>0</v>
      </c>
      <c r="P621" s="302"/>
    </row>
    <row r="622" spans="2:16" ht="15">
      <c r="B622" s="172"/>
      <c r="C622" s="173"/>
      <c r="D622" s="174"/>
      <c r="E622" s="174"/>
      <c r="F622" s="175"/>
      <c r="G622" s="175">
        <f t="shared" si="60"/>
        <v>0</v>
      </c>
      <c r="H622" s="176">
        <v>0.05</v>
      </c>
      <c r="I622" s="177">
        <f t="shared" si="61"/>
        <v>0</v>
      </c>
      <c r="J622" s="177">
        <f t="shared" si="62"/>
        <v>0</v>
      </c>
      <c r="K622" s="291"/>
      <c r="L622" s="292"/>
      <c r="M622" s="293"/>
      <c r="N622" s="293">
        <f t="shared" si="63"/>
        <v>0</v>
      </c>
      <c r="O622" s="298">
        <f t="shared" si="64"/>
        <v>0</v>
      </c>
      <c r="P622" s="302"/>
    </row>
    <row r="623" spans="2:16" ht="15">
      <c r="B623" s="172"/>
      <c r="C623" s="173"/>
      <c r="D623" s="174"/>
      <c r="E623" s="174"/>
      <c r="F623" s="175"/>
      <c r="G623" s="175">
        <f t="shared" si="60"/>
        <v>0</v>
      </c>
      <c r="H623" s="176">
        <v>0.05</v>
      </c>
      <c r="I623" s="177">
        <f t="shared" si="61"/>
        <v>0</v>
      </c>
      <c r="J623" s="177">
        <f t="shared" si="62"/>
        <v>0</v>
      </c>
      <c r="K623" s="291"/>
      <c r="L623" s="292"/>
      <c r="M623" s="293"/>
      <c r="N623" s="293">
        <f t="shared" si="63"/>
        <v>0</v>
      </c>
      <c r="O623" s="298">
        <f t="shared" si="64"/>
        <v>0</v>
      </c>
      <c r="P623" s="302"/>
    </row>
    <row r="624" spans="2:16" ht="15">
      <c r="B624" s="172"/>
      <c r="C624" s="173"/>
      <c r="D624" s="174"/>
      <c r="E624" s="174"/>
      <c r="F624" s="175"/>
      <c r="G624" s="175">
        <f t="shared" si="60"/>
        <v>0</v>
      </c>
      <c r="H624" s="176">
        <v>0.05</v>
      </c>
      <c r="I624" s="177">
        <f t="shared" si="61"/>
        <v>0</v>
      </c>
      <c r="J624" s="177">
        <f t="shared" si="62"/>
        <v>0</v>
      </c>
      <c r="K624" s="291"/>
      <c r="L624" s="292"/>
      <c r="M624" s="293"/>
      <c r="N624" s="293">
        <f t="shared" si="63"/>
        <v>0</v>
      </c>
      <c r="O624" s="298">
        <f t="shared" si="64"/>
        <v>0</v>
      </c>
      <c r="P624" s="302"/>
    </row>
    <row r="625" spans="2:16" ht="15">
      <c r="B625" s="172"/>
      <c r="C625" s="173"/>
      <c r="D625" s="174"/>
      <c r="E625" s="174"/>
      <c r="F625" s="175"/>
      <c r="G625" s="175">
        <f t="shared" si="60"/>
        <v>0</v>
      </c>
      <c r="H625" s="176">
        <v>0.05</v>
      </c>
      <c r="I625" s="177">
        <f t="shared" si="61"/>
        <v>0</v>
      </c>
      <c r="J625" s="177">
        <f t="shared" si="62"/>
        <v>0</v>
      </c>
      <c r="K625" s="291"/>
      <c r="L625" s="292"/>
      <c r="M625" s="293"/>
      <c r="N625" s="293">
        <f t="shared" si="63"/>
        <v>0</v>
      </c>
      <c r="O625" s="298">
        <f t="shared" si="64"/>
        <v>0</v>
      </c>
      <c r="P625" s="302"/>
    </row>
    <row r="626" spans="2:16" ht="15">
      <c r="B626" s="172"/>
      <c r="C626" s="173"/>
      <c r="D626" s="174"/>
      <c r="E626" s="174"/>
      <c r="F626" s="175"/>
      <c r="G626" s="175">
        <f t="shared" si="60"/>
        <v>0</v>
      </c>
      <c r="H626" s="176">
        <v>0.05</v>
      </c>
      <c r="I626" s="177">
        <f t="shared" si="61"/>
        <v>0</v>
      </c>
      <c r="J626" s="177">
        <f t="shared" si="62"/>
        <v>0</v>
      </c>
      <c r="K626" s="291"/>
      <c r="L626" s="292"/>
      <c r="M626" s="293"/>
      <c r="N626" s="293">
        <f t="shared" si="63"/>
        <v>0</v>
      </c>
      <c r="O626" s="298">
        <f t="shared" si="64"/>
        <v>0</v>
      </c>
      <c r="P626" s="302"/>
    </row>
    <row r="627" spans="2:16" ht="15">
      <c r="B627" s="172"/>
      <c r="C627" s="173"/>
      <c r="D627" s="174"/>
      <c r="E627" s="174"/>
      <c r="F627" s="175"/>
      <c r="G627" s="175">
        <f t="shared" si="60"/>
        <v>0</v>
      </c>
      <c r="H627" s="176">
        <v>0.05</v>
      </c>
      <c r="I627" s="177">
        <f t="shared" si="61"/>
        <v>0</v>
      </c>
      <c r="J627" s="177">
        <f t="shared" si="62"/>
        <v>0</v>
      </c>
      <c r="K627" s="291"/>
      <c r="L627" s="292"/>
      <c r="M627" s="293"/>
      <c r="N627" s="293">
        <f t="shared" si="63"/>
        <v>0</v>
      </c>
      <c r="O627" s="298">
        <f t="shared" si="64"/>
        <v>0</v>
      </c>
      <c r="P627" s="302"/>
    </row>
    <row r="628" spans="2:16" ht="15">
      <c r="B628" s="172"/>
      <c r="C628" s="173"/>
      <c r="D628" s="174"/>
      <c r="E628" s="174"/>
      <c r="F628" s="175"/>
      <c r="G628" s="175">
        <f t="shared" si="60"/>
        <v>0</v>
      </c>
      <c r="H628" s="176">
        <v>0.05</v>
      </c>
      <c r="I628" s="177">
        <f t="shared" si="61"/>
        <v>0</v>
      </c>
      <c r="J628" s="177">
        <f t="shared" si="62"/>
        <v>0</v>
      </c>
      <c r="K628" s="291"/>
      <c r="L628" s="292"/>
      <c r="M628" s="293"/>
      <c r="N628" s="293">
        <f t="shared" si="63"/>
        <v>0</v>
      </c>
      <c r="O628" s="298">
        <f t="shared" si="64"/>
        <v>0</v>
      </c>
      <c r="P628" s="302"/>
    </row>
    <row r="629" spans="2:16" ht="15">
      <c r="B629" s="172"/>
      <c r="C629" s="173"/>
      <c r="D629" s="174"/>
      <c r="E629" s="174"/>
      <c r="F629" s="175"/>
      <c r="G629" s="175">
        <f t="shared" si="60"/>
        <v>0</v>
      </c>
      <c r="H629" s="176">
        <v>0.05</v>
      </c>
      <c r="I629" s="177">
        <f t="shared" si="61"/>
        <v>0</v>
      </c>
      <c r="J629" s="177">
        <f t="shared" si="62"/>
        <v>0</v>
      </c>
      <c r="K629" s="291"/>
      <c r="L629" s="292"/>
      <c r="M629" s="293"/>
      <c r="N629" s="293">
        <f t="shared" si="63"/>
        <v>0</v>
      </c>
      <c r="O629" s="298">
        <f t="shared" si="64"/>
        <v>0</v>
      </c>
      <c r="P629" s="302"/>
    </row>
    <row r="630" spans="2:16" ht="15">
      <c r="B630" s="172"/>
      <c r="C630" s="173"/>
      <c r="D630" s="174"/>
      <c r="E630" s="174"/>
      <c r="F630" s="175"/>
      <c r="G630" s="175">
        <f t="shared" si="60"/>
        <v>0</v>
      </c>
      <c r="H630" s="176">
        <v>0.05</v>
      </c>
      <c r="I630" s="177">
        <f t="shared" si="61"/>
        <v>0</v>
      </c>
      <c r="J630" s="177">
        <f t="shared" si="62"/>
        <v>0</v>
      </c>
      <c r="K630" s="291"/>
      <c r="L630" s="292"/>
      <c r="M630" s="293"/>
      <c r="N630" s="293">
        <f t="shared" si="63"/>
        <v>0</v>
      </c>
      <c r="O630" s="298">
        <f t="shared" si="64"/>
        <v>0</v>
      </c>
      <c r="P630" s="302"/>
    </row>
    <row r="631" spans="2:16" ht="15">
      <c r="B631" s="172"/>
      <c r="C631" s="173"/>
      <c r="D631" s="174"/>
      <c r="E631" s="174"/>
      <c r="F631" s="175"/>
      <c r="G631" s="175">
        <f t="shared" si="60"/>
        <v>0</v>
      </c>
      <c r="H631" s="176">
        <v>0.05</v>
      </c>
      <c r="I631" s="177">
        <f t="shared" si="61"/>
        <v>0</v>
      </c>
      <c r="J631" s="177">
        <f t="shared" si="62"/>
        <v>0</v>
      </c>
      <c r="K631" s="291"/>
      <c r="L631" s="292"/>
      <c r="M631" s="293"/>
      <c r="N631" s="293">
        <f t="shared" si="63"/>
        <v>0</v>
      </c>
      <c r="O631" s="298">
        <f t="shared" si="64"/>
        <v>0</v>
      </c>
      <c r="P631" s="302"/>
    </row>
    <row r="632" spans="2:16" ht="15">
      <c r="B632" s="172"/>
      <c r="C632" s="173"/>
      <c r="D632" s="174"/>
      <c r="E632" s="174"/>
      <c r="F632" s="175"/>
      <c r="G632" s="175">
        <f t="shared" si="60"/>
        <v>0</v>
      </c>
      <c r="H632" s="176">
        <v>0.05</v>
      </c>
      <c r="I632" s="177">
        <f t="shared" si="61"/>
        <v>0</v>
      </c>
      <c r="J632" s="177">
        <f t="shared" si="62"/>
        <v>0</v>
      </c>
      <c r="K632" s="291"/>
      <c r="L632" s="292"/>
      <c r="M632" s="293"/>
      <c r="N632" s="293">
        <f t="shared" si="63"/>
        <v>0</v>
      </c>
      <c r="O632" s="298">
        <f t="shared" si="64"/>
        <v>0</v>
      </c>
      <c r="P632" s="302"/>
    </row>
    <row r="633" spans="2:16" ht="15">
      <c r="B633" s="172"/>
      <c r="C633" s="173"/>
      <c r="D633" s="174"/>
      <c r="E633" s="174"/>
      <c r="F633" s="175"/>
      <c r="G633" s="175">
        <f t="shared" si="60"/>
        <v>0</v>
      </c>
      <c r="H633" s="176">
        <v>0.05</v>
      </c>
      <c r="I633" s="177">
        <f t="shared" si="61"/>
        <v>0</v>
      </c>
      <c r="J633" s="177">
        <f t="shared" si="62"/>
        <v>0</v>
      </c>
      <c r="K633" s="291"/>
      <c r="L633" s="292"/>
      <c r="M633" s="293"/>
      <c r="N633" s="293">
        <f t="shared" si="63"/>
        <v>0</v>
      </c>
      <c r="O633" s="298">
        <f t="shared" si="64"/>
        <v>0</v>
      </c>
      <c r="P633" s="302"/>
    </row>
    <row r="634" spans="2:16" ht="15">
      <c r="B634" s="172"/>
      <c r="C634" s="173"/>
      <c r="D634" s="174"/>
      <c r="E634" s="174"/>
      <c r="F634" s="175"/>
      <c r="G634" s="175">
        <f t="shared" si="60"/>
        <v>0</v>
      </c>
      <c r="H634" s="176">
        <v>0.05</v>
      </c>
      <c r="I634" s="177">
        <f t="shared" si="61"/>
        <v>0</v>
      </c>
      <c r="J634" s="177">
        <f t="shared" si="62"/>
        <v>0</v>
      </c>
      <c r="K634" s="291"/>
      <c r="L634" s="292"/>
      <c r="M634" s="293"/>
      <c r="N634" s="293">
        <f t="shared" si="63"/>
        <v>0</v>
      </c>
      <c r="O634" s="298">
        <f t="shared" si="64"/>
        <v>0</v>
      </c>
      <c r="P634" s="302"/>
    </row>
    <row r="635" spans="2:16" ht="15">
      <c r="B635" s="172"/>
      <c r="C635" s="173"/>
      <c r="D635" s="174"/>
      <c r="E635" s="174"/>
      <c r="F635" s="175"/>
      <c r="G635" s="175">
        <f t="shared" si="60"/>
        <v>0</v>
      </c>
      <c r="H635" s="176">
        <v>0.05</v>
      </c>
      <c r="I635" s="177">
        <f t="shared" si="61"/>
        <v>0</v>
      </c>
      <c r="J635" s="177">
        <f t="shared" si="62"/>
        <v>0</v>
      </c>
      <c r="K635" s="291"/>
      <c r="L635" s="292"/>
      <c r="M635" s="293"/>
      <c r="N635" s="293">
        <f t="shared" si="63"/>
        <v>0</v>
      </c>
      <c r="O635" s="298">
        <f t="shared" si="64"/>
        <v>0</v>
      </c>
      <c r="P635" s="302"/>
    </row>
    <row r="636" spans="2:16" ht="15">
      <c r="B636" s="172"/>
      <c r="C636" s="173"/>
      <c r="D636" s="174"/>
      <c r="E636" s="174"/>
      <c r="F636" s="175"/>
      <c r="G636" s="175">
        <f t="shared" si="60"/>
        <v>0</v>
      </c>
      <c r="H636" s="176">
        <v>0.05</v>
      </c>
      <c r="I636" s="177">
        <f t="shared" si="61"/>
        <v>0</v>
      </c>
      <c r="J636" s="177">
        <f t="shared" si="62"/>
        <v>0</v>
      </c>
      <c r="K636" s="291"/>
      <c r="L636" s="292"/>
      <c r="M636" s="293"/>
      <c r="N636" s="293">
        <f t="shared" si="63"/>
        <v>0</v>
      </c>
      <c r="O636" s="298">
        <f t="shared" si="64"/>
        <v>0</v>
      </c>
      <c r="P636" s="302"/>
    </row>
    <row r="637" spans="2:16" ht="15">
      <c r="B637" s="172"/>
      <c r="C637" s="173"/>
      <c r="D637" s="174"/>
      <c r="E637" s="174"/>
      <c r="F637" s="175"/>
      <c r="G637" s="175">
        <f t="shared" si="60"/>
        <v>0</v>
      </c>
      <c r="H637" s="176">
        <v>0.05</v>
      </c>
      <c r="I637" s="177">
        <f t="shared" si="61"/>
        <v>0</v>
      </c>
      <c r="J637" s="177">
        <f t="shared" si="62"/>
        <v>0</v>
      </c>
      <c r="K637" s="291"/>
      <c r="L637" s="292"/>
      <c r="M637" s="293"/>
      <c r="N637" s="293">
        <f t="shared" si="63"/>
        <v>0</v>
      </c>
      <c r="O637" s="298">
        <f t="shared" si="64"/>
        <v>0</v>
      </c>
      <c r="P637" s="302"/>
    </row>
    <row r="638" spans="2:16" ht="15">
      <c r="B638" s="172"/>
      <c r="C638" s="173"/>
      <c r="D638" s="174"/>
      <c r="E638" s="174"/>
      <c r="F638" s="175"/>
      <c r="G638" s="175">
        <f t="shared" si="60"/>
        <v>0</v>
      </c>
      <c r="H638" s="176">
        <v>0.05</v>
      </c>
      <c r="I638" s="177">
        <f t="shared" si="61"/>
        <v>0</v>
      </c>
      <c r="J638" s="177">
        <f t="shared" si="62"/>
        <v>0</v>
      </c>
      <c r="K638" s="291"/>
      <c r="L638" s="292"/>
      <c r="M638" s="293"/>
      <c r="N638" s="293">
        <f t="shared" si="63"/>
        <v>0</v>
      </c>
      <c r="O638" s="298">
        <f t="shared" si="64"/>
        <v>0</v>
      </c>
      <c r="P638" s="302"/>
    </row>
    <row r="639" spans="2:16" ht="15">
      <c r="B639" s="172"/>
      <c r="C639" s="173"/>
      <c r="D639" s="174"/>
      <c r="E639" s="174"/>
      <c r="F639" s="175"/>
      <c r="G639" s="175">
        <f t="shared" si="60"/>
        <v>0</v>
      </c>
      <c r="H639" s="176">
        <v>0.05</v>
      </c>
      <c r="I639" s="177">
        <f t="shared" si="61"/>
        <v>0</v>
      </c>
      <c r="J639" s="177">
        <f t="shared" si="62"/>
        <v>0</v>
      </c>
      <c r="K639" s="291"/>
      <c r="L639" s="292"/>
      <c r="M639" s="293"/>
      <c r="N639" s="293">
        <f t="shared" si="63"/>
        <v>0</v>
      </c>
      <c r="O639" s="298">
        <f t="shared" si="64"/>
        <v>0</v>
      </c>
      <c r="P639" s="302"/>
    </row>
    <row r="640" spans="2:16" ht="15">
      <c r="B640" s="172"/>
      <c r="C640" s="173"/>
      <c r="D640" s="174"/>
      <c r="E640" s="174"/>
      <c r="F640" s="175"/>
      <c r="G640" s="175">
        <f t="shared" si="60"/>
        <v>0</v>
      </c>
      <c r="H640" s="176">
        <v>0.05</v>
      </c>
      <c r="I640" s="177">
        <f t="shared" si="61"/>
        <v>0</v>
      </c>
      <c r="J640" s="177">
        <f t="shared" si="62"/>
        <v>0</v>
      </c>
      <c r="K640" s="291"/>
      <c r="L640" s="292"/>
      <c r="M640" s="293"/>
      <c r="N640" s="293">
        <f t="shared" si="63"/>
        <v>0</v>
      </c>
      <c r="O640" s="298">
        <f t="shared" si="64"/>
        <v>0</v>
      </c>
      <c r="P640" s="302"/>
    </row>
    <row r="641" spans="2:16" ht="15">
      <c r="B641" s="172"/>
      <c r="C641" s="173"/>
      <c r="D641" s="174"/>
      <c r="E641" s="174"/>
      <c r="F641" s="175"/>
      <c r="G641" s="175">
        <f t="shared" si="60"/>
        <v>0</v>
      </c>
      <c r="H641" s="176">
        <v>0.05</v>
      </c>
      <c r="I641" s="177">
        <f t="shared" si="61"/>
        <v>0</v>
      </c>
      <c r="J641" s="177">
        <f t="shared" si="62"/>
        <v>0</v>
      </c>
      <c r="K641" s="291"/>
      <c r="L641" s="292"/>
      <c r="M641" s="293"/>
      <c r="N641" s="293">
        <f t="shared" si="63"/>
        <v>0</v>
      </c>
      <c r="O641" s="298">
        <f t="shared" si="64"/>
        <v>0</v>
      </c>
      <c r="P641" s="302"/>
    </row>
    <row r="642" spans="2:16" ht="15">
      <c r="B642" s="172"/>
      <c r="C642" s="173"/>
      <c r="D642" s="174"/>
      <c r="E642" s="174"/>
      <c r="F642" s="175"/>
      <c r="G642" s="175">
        <f t="shared" si="60"/>
        <v>0</v>
      </c>
      <c r="H642" s="176">
        <v>0.05</v>
      </c>
      <c r="I642" s="177">
        <f t="shared" si="61"/>
        <v>0</v>
      </c>
      <c r="J642" s="177">
        <f t="shared" si="62"/>
        <v>0</v>
      </c>
      <c r="K642" s="291"/>
      <c r="L642" s="292"/>
      <c r="M642" s="293"/>
      <c r="N642" s="293">
        <f t="shared" si="63"/>
        <v>0</v>
      </c>
      <c r="O642" s="298">
        <f t="shared" si="64"/>
        <v>0</v>
      </c>
      <c r="P642" s="302"/>
    </row>
    <row r="643" spans="2:16" ht="15">
      <c r="B643" s="172"/>
      <c r="C643" s="173"/>
      <c r="D643" s="174"/>
      <c r="E643" s="174"/>
      <c r="F643" s="175"/>
      <c r="G643" s="175">
        <f t="shared" si="60"/>
        <v>0</v>
      </c>
      <c r="H643" s="176">
        <v>0.05</v>
      </c>
      <c r="I643" s="177">
        <f t="shared" si="61"/>
        <v>0</v>
      </c>
      <c r="J643" s="177">
        <f t="shared" si="62"/>
        <v>0</v>
      </c>
      <c r="K643" s="291"/>
      <c r="L643" s="292"/>
      <c r="M643" s="293"/>
      <c r="N643" s="293">
        <f t="shared" si="63"/>
        <v>0</v>
      </c>
      <c r="O643" s="298">
        <f t="shared" si="64"/>
        <v>0</v>
      </c>
      <c r="P643" s="302"/>
    </row>
    <row r="644" spans="2:16" ht="15">
      <c r="B644" s="172"/>
      <c r="C644" s="173"/>
      <c r="D644" s="174"/>
      <c r="E644" s="174"/>
      <c r="F644" s="175"/>
      <c r="G644" s="175">
        <f t="shared" si="60"/>
        <v>0</v>
      </c>
      <c r="H644" s="176">
        <v>0.05</v>
      </c>
      <c r="I644" s="177">
        <f t="shared" si="61"/>
        <v>0</v>
      </c>
      <c r="J644" s="177">
        <f t="shared" si="62"/>
        <v>0</v>
      </c>
      <c r="K644" s="291"/>
      <c r="L644" s="292"/>
      <c r="M644" s="293"/>
      <c r="N644" s="293">
        <f t="shared" si="63"/>
        <v>0</v>
      </c>
      <c r="O644" s="298">
        <f t="shared" si="64"/>
        <v>0</v>
      </c>
      <c r="P644" s="302"/>
    </row>
    <row r="645" spans="2:16" ht="15">
      <c r="B645" s="172"/>
      <c r="C645" s="173"/>
      <c r="D645" s="174"/>
      <c r="E645" s="174"/>
      <c r="F645" s="175"/>
      <c r="G645" s="175">
        <f t="shared" si="60"/>
        <v>0</v>
      </c>
      <c r="H645" s="176">
        <v>0.05</v>
      </c>
      <c r="I645" s="177">
        <f t="shared" si="61"/>
        <v>0</v>
      </c>
      <c r="J645" s="177">
        <f t="shared" si="62"/>
        <v>0</v>
      </c>
      <c r="K645" s="291"/>
      <c r="L645" s="292"/>
      <c r="M645" s="293"/>
      <c r="N645" s="293">
        <f t="shared" si="63"/>
        <v>0</v>
      </c>
      <c r="O645" s="298">
        <f t="shared" si="64"/>
        <v>0</v>
      </c>
      <c r="P645" s="302"/>
    </row>
    <row r="646" spans="2:16" ht="15">
      <c r="B646" s="172"/>
      <c r="C646" s="173"/>
      <c r="D646" s="174"/>
      <c r="E646" s="174"/>
      <c r="F646" s="175"/>
      <c r="G646" s="175">
        <f t="shared" si="60"/>
        <v>0</v>
      </c>
      <c r="H646" s="176">
        <v>0.05</v>
      </c>
      <c r="I646" s="177">
        <f t="shared" si="61"/>
        <v>0</v>
      </c>
      <c r="J646" s="177">
        <f t="shared" si="62"/>
        <v>0</v>
      </c>
      <c r="K646" s="291"/>
      <c r="L646" s="292"/>
      <c r="M646" s="293"/>
      <c r="N646" s="293">
        <f t="shared" si="63"/>
        <v>0</v>
      </c>
      <c r="O646" s="298">
        <f t="shared" si="64"/>
        <v>0</v>
      </c>
      <c r="P646" s="302"/>
    </row>
    <row r="647" spans="2:16" ht="15">
      <c r="B647" s="172"/>
      <c r="C647" s="173"/>
      <c r="D647" s="174"/>
      <c r="E647" s="174"/>
      <c r="F647" s="175"/>
      <c r="G647" s="175">
        <f t="shared" si="60"/>
        <v>0</v>
      </c>
      <c r="H647" s="176">
        <v>0.05</v>
      </c>
      <c r="I647" s="177">
        <f t="shared" si="61"/>
        <v>0</v>
      </c>
      <c r="J647" s="177">
        <f t="shared" si="62"/>
        <v>0</v>
      </c>
      <c r="K647" s="291"/>
      <c r="L647" s="292"/>
      <c r="M647" s="293"/>
      <c r="N647" s="293">
        <f t="shared" si="63"/>
        <v>0</v>
      </c>
      <c r="O647" s="298">
        <f t="shared" si="64"/>
        <v>0</v>
      </c>
      <c r="P647" s="302"/>
    </row>
    <row r="648" spans="2:16" ht="15">
      <c r="B648" s="172"/>
      <c r="C648" s="173"/>
      <c r="D648" s="174"/>
      <c r="E648" s="174"/>
      <c r="F648" s="175"/>
      <c r="G648" s="175">
        <f t="shared" si="60"/>
        <v>0</v>
      </c>
      <c r="H648" s="176">
        <v>0.05</v>
      </c>
      <c r="I648" s="177">
        <f t="shared" si="61"/>
        <v>0</v>
      </c>
      <c r="J648" s="177">
        <f t="shared" si="62"/>
        <v>0</v>
      </c>
      <c r="K648" s="291"/>
      <c r="L648" s="292"/>
      <c r="M648" s="293"/>
      <c r="N648" s="293">
        <f t="shared" si="63"/>
        <v>0</v>
      </c>
      <c r="O648" s="298">
        <f t="shared" si="64"/>
        <v>0</v>
      </c>
      <c r="P648" s="302"/>
    </row>
    <row r="649" spans="2:16" ht="15">
      <c r="B649" s="172"/>
      <c r="C649" s="173"/>
      <c r="D649" s="174"/>
      <c r="E649" s="174"/>
      <c r="F649" s="175"/>
      <c r="G649" s="175">
        <f t="shared" si="60"/>
        <v>0</v>
      </c>
      <c r="H649" s="176">
        <v>0.05</v>
      </c>
      <c r="I649" s="177">
        <f t="shared" si="61"/>
        <v>0</v>
      </c>
      <c r="J649" s="177">
        <f t="shared" si="62"/>
        <v>0</v>
      </c>
      <c r="K649" s="291"/>
      <c r="L649" s="292"/>
      <c r="M649" s="293"/>
      <c r="N649" s="293">
        <f t="shared" si="63"/>
        <v>0</v>
      </c>
      <c r="O649" s="298">
        <f t="shared" si="64"/>
        <v>0</v>
      </c>
      <c r="P649" s="302"/>
    </row>
    <row r="650" spans="2:16" ht="15">
      <c r="B650" s="172"/>
      <c r="C650" s="173"/>
      <c r="D650" s="174"/>
      <c r="E650" s="174"/>
      <c r="F650" s="175"/>
      <c r="G650" s="175">
        <f t="shared" si="60"/>
        <v>0</v>
      </c>
      <c r="H650" s="176">
        <v>0.05</v>
      </c>
      <c r="I650" s="177">
        <f t="shared" si="61"/>
        <v>0</v>
      </c>
      <c r="J650" s="177">
        <f t="shared" si="62"/>
        <v>0</v>
      </c>
      <c r="K650" s="291"/>
      <c r="L650" s="292"/>
      <c r="M650" s="293"/>
      <c r="N650" s="293">
        <f t="shared" si="63"/>
        <v>0</v>
      </c>
      <c r="O650" s="298">
        <f t="shared" si="64"/>
        <v>0</v>
      </c>
      <c r="P650" s="302"/>
    </row>
    <row r="651" spans="2:16" ht="15">
      <c r="B651" s="172"/>
      <c r="C651" s="173"/>
      <c r="D651" s="174"/>
      <c r="E651" s="174"/>
      <c r="F651" s="175"/>
      <c r="G651" s="175">
        <f t="shared" si="60"/>
        <v>0</v>
      </c>
      <c r="H651" s="176">
        <v>0.05</v>
      </c>
      <c r="I651" s="177">
        <f t="shared" si="61"/>
        <v>0</v>
      </c>
      <c r="J651" s="177">
        <f t="shared" si="62"/>
        <v>0</v>
      </c>
      <c r="K651" s="291"/>
      <c r="L651" s="292"/>
      <c r="M651" s="293"/>
      <c r="N651" s="293">
        <f t="shared" si="63"/>
        <v>0</v>
      </c>
      <c r="O651" s="298">
        <f t="shared" si="64"/>
        <v>0</v>
      </c>
      <c r="P651" s="302"/>
    </row>
    <row r="652" spans="2:16" ht="15">
      <c r="B652" s="172"/>
      <c r="C652" s="173"/>
      <c r="D652" s="174"/>
      <c r="E652" s="174"/>
      <c r="F652" s="175"/>
      <c r="G652" s="175">
        <f t="shared" si="60"/>
        <v>0</v>
      </c>
      <c r="H652" s="176">
        <v>0.05</v>
      </c>
      <c r="I652" s="177">
        <f t="shared" si="61"/>
        <v>0</v>
      </c>
      <c r="J652" s="177">
        <f t="shared" si="62"/>
        <v>0</v>
      </c>
      <c r="K652" s="291"/>
      <c r="L652" s="292"/>
      <c r="M652" s="293"/>
      <c r="N652" s="293">
        <f t="shared" si="63"/>
        <v>0</v>
      </c>
      <c r="O652" s="298">
        <f t="shared" si="64"/>
        <v>0</v>
      </c>
      <c r="P652" s="302"/>
    </row>
    <row r="653" spans="2:16" ht="15">
      <c r="B653" s="172"/>
      <c r="C653" s="173"/>
      <c r="D653" s="174"/>
      <c r="E653" s="174"/>
      <c r="F653" s="175"/>
      <c r="G653" s="175">
        <f t="shared" si="60"/>
        <v>0</v>
      </c>
      <c r="H653" s="176">
        <v>0.05</v>
      </c>
      <c r="I653" s="177">
        <f t="shared" si="61"/>
        <v>0</v>
      </c>
      <c r="J653" s="177">
        <f t="shared" si="62"/>
        <v>0</v>
      </c>
      <c r="K653" s="291"/>
      <c r="L653" s="292"/>
      <c r="M653" s="293"/>
      <c r="N653" s="293">
        <f t="shared" si="63"/>
        <v>0</v>
      </c>
      <c r="O653" s="298">
        <f t="shared" si="64"/>
        <v>0</v>
      </c>
      <c r="P653" s="302"/>
    </row>
    <row r="654" spans="2:16" ht="15">
      <c r="B654" s="172"/>
      <c r="C654" s="173"/>
      <c r="D654" s="174"/>
      <c r="E654" s="174"/>
      <c r="F654" s="175"/>
      <c r="G654" s="175">
        <f t="shared" si="60"/>
        <v>0</v>
      </c>
      <c r="H654" s="176">
        <v>0.05</v>
      </c>
      <c r="I654" s="177">
        <f t="shared" si="61"/>
        <v>0</v>
      </c>
      <c r="J654" s="177">
        <f t="shared" si="62"/>
        <v>0</v>
      </c>
      <c r="K654" s="291"/>
      <c r="L654" s="292"/>
      <c r="M654" s="293"/>
      <c r="N654" s="293">
        <f t="shared" si="63"/>
        <v>0</v>
      </c>
      <c r="O654" s="298">
        <f t="shared" si="64"/>
        <v>0</v>
      </c>
      <c r="P654" s="302"/>
    </row>
    <row r="655" spans="2:16" ht="15">
      <c r="B655" s="172"/>
      <c r="C655" s="173"/>
      <c r="D655" s="174"/>
      <c r="E655" s="174"/>
      <c r="F655" s="175"/>
      <c r="G655" s="175">
        <f t="shared" si="60"/>
        <v>0</v>
      </c>
      <c r="H655" s="176">
        <v>0.05</v>
      </c>
      <c r="I655" s="177">
        <f t="shared" si="61"/>
        <v>0</v>
      </c>
      <c r="J655" s="177">
        <f t="shared" si="62"/>
        <v>0</v>
      </c>
      <c r="K655" s="291"/>
      <c r="L655" s="292"/>
      <c r="M655" s="293"/>
      <c r="N655" s="293">
        <f t="shared" si="63"/>
        <v>0</v>
      </c>
      <c r="O655" s="298">
        <f t="shared" si="64"/>
        <v>0</v>
      </c>
      <c r="P655" s="302"/>
    </row>
    <row r="656" spans="2:16" ht="15">
      <c r="B656" s="172"/>
      <c r="C656" s="173"/>
      <c r="D656" s="174"/>
      <c r="E656" s="174"/>
      <c r="F656" s="175"/>
      <c r="G656" s="175">
        <f t="shared" si="60"/>
        <v>0</v>
      </c>
      <c r="H656" s="176">
        <v>0.05</v>
      </c>
      <c r="I656" s="177">
        <f t="shared" si="61"/>
        <v>0</v>
      </c>
      <c r="J656" s="177">
        <f t="shared" si="62"/>
        <v>0</v>
      </c>
      <c r="K656" s="291"/>
      <c r="L656" s="292"/>
      <c r="M656" s="293"/>
      <c r="N656" s="293">
        <f t="shared" si="63"/>
        <v>0</v>
      </c>
      <c r="O656" s="298">
        <f t="shared" si="64"/>
        <v>0</v>
      </c>
      <c r="P656" s="302"/>
    </row>
    <row r="657" spans="2:16" ht="15">
      <c r="B657" s="172"/>
      <c r="C657" s="173"/>
      <c r="D657" s="174"/>
      <c r="E657" s="174"/>
      <c r="F657" s="175"/>
      <c r="G657" s="175">
        <f t="shared" si="60"/>
        <v>0</v>
      </c>
      <c r="H657" s="176">
        <v>0.05</v>
      </c>
      <c r="I657" s="177">
        <f t="shared" si="61"/>
        <v>0</v>
      </c>
      <c r="J657" s="177">
        <f t="shared" si="62"/>
        <v>0</v>
      </c>
      <c r="K657" s="291"/>
      <c r="L657" s="292"/>
      <c r="M657" s="293"/>
      <c r="N657" s="293">
        <f t="shared" si="63"/>
        <v>0</v>
      </c>
      <c r="O657" s="298">
        <f t="shared" si="64"/>
        <v>0</v>
      </c>
      <c r="P657" s="302"/>
    </row>
    <row r="658" spans="2:16" ht="15">
      <c r="B658" s="172"/>
      <c r="C658" s="173"/>
      <c r="D658" s="174"/>
      <c r="E658" s="174"/>
      <c r="F658" s="175"/>
      <c r="G658" s="175">
        <f t="shared" si="60"/>
        <v>0</v>
      </c>
      <c r="H658" s="176">
        <v>0.05</v>
      </c>
      <c r="I658" s="177">
        <f t="shared" si="61"/>
        <v>0</v>
      </c>
      <c r="J658" s="177">
        <f t="shared" si="62"/>
        <v>0</v>
      </c>
      <c r="K658" s="291"/>
      <c r="L658" s="292"/>
      <c r="M658" s="293"/>
      <c r="N658" s="293">
        <f t="shared" si="63"/>
        <v>0</v>
      </c>
      <c r="O658" s="298">
        <f t="shared" si="64"/>
        <v>0</v>
      </c>
      <c r="P658" s="302"/>
    </row>
    <row r="659" spans="2:16" ht="15">
      <c r="B659" s="172"/>
      <c r="C659" s="173"/>
      <c r="D659" s="174"/>
      <c r="E659" s="174"/>
      <c r="F659" s="175"/>
      <c r="G659" s="175">
        <f t="shared" si="60"/>
        <v>0</v>
      </c>
      <c r="H659" s="176">
        <v>0.05</v>
      </c>
      <c r="I659" s="177">
        <f t="shared" si="61"/>
        <v>0</v>
      </c>
      <c r="J659" s="177">
        <f t="shared" si="62"/>
        <v>0</v>
      </c>
      <c r="K659" s="291"/>
      <c r="L659" s="292"/>
      <c r="M659" s="293"/>
      <c r="N659" s="293">
        <f t="shared" si="63"/>
        <v>0</v>
      </c>
      <c r="O659" s="298">
        <f t="shared" si="64"/>
        <v>0</v>
      </c>
      <c r="P659" s="302"/>
    </row>
    <row r="660" spans="2:16" ht="15">
      <c r="B660" s="172"/>
      <c r="C660" s="173"/>
      <c r="D660" s="174"/>
      <c r="E660" s="174"/>
      <c r="F660" s="175"/>
      <c r="G660" s="175">
        <f t="shared" si="60"/>
        <v>0</v>
      </c>
      <c r="H660" s="176">
        <v>0.05</v>
      </c>
      <c r="I660" s="177">
        <f t="shared" si="61"/>
        <v>0</v>
      </c>
      <c r="J660" s="177">
        <f t="shared" si="62"/>
        <v>0</v>
      </c>
      <c r="K660" s="291"/>
      <c r="L660" s="292"/>
      <c r="M660" s="293"/>
      <c r="N660" s="293">
        <f t="shared" si="63"/>
        <v>0</v>
      </c>
      <c r="O660" s="298">
        <f t="shared" si="64"/>
        <v>0</v>
      </c>
      <c r="P660" s="302"/>
    </row>
    <row r="661" spans="2:16" ht="15">
      <c r="B661" s="172"/>
      <c r="C661" s="173"/>
      <c r="D661" s="174"/>
      <c r="E661" s="174"/>
      <c r="F661" s="175"/>
      <c r="G661" s="175">
        <f t="shared" si="60"/>
        <v>0</v>
      </c>
      <c r="H661" s="176">
        <v>0.05</v>
      </c>
      <c r="I661" s="177">
        <f t="shared" si="61"/>
        <v>0</v>
      </c>
      <c r="J661" s="177">
        <f t="shared" si="62"/>
        <v>0</v>
      </c>
      <c r="K661" s="291"/>
      <c r="L661" s="292"/>
      <c r="M661" s="293"/>
      <c r="N661" s="293">
        <f t="shared" si="63"/>
        <v>0</v>
      </c>
      <c r="O661" s="298">
        <f t="shared" si="64"/>
        <v>0</v>
      </c>
      <c r="P661" s="302"/>
    </row>
    <row r="662" spans="2:16" ht="15">
      <c r="B662" s="172"/>
      <c r="C662" s="173"/>
      <c r="D662" s="174"/>
      <c r="E662" s="174"/>
      <c r="F662" s="175"/>
      <c r="G662" s="175">
        <f t="shared" si="60"/>
        <v>0</v>
      </c>
      <c r="H662" s="176">
        <v>0.05</v>
      </c>
      <c r="I662" s="177">
        <f t="shared" si="61"/>
        <v>0</v>
      </c>
      <c r="J662" s="177">
        <f t="shared" si="62"/>
        <v>0</v>
      </c>
      <c r="K662" s="291"/>
      <c r="L662" s="292"/>
      <c r="M662" s="293"/>
      <c r="N662" s="293">
        <f t="shared" si="63"/>
        <v>0</v>
      </c>
      <c r="O662" s="298">
        <f t="shared" si="64"/>
        <v>0</v>
      </c>
      <c r="P662" s="302"/>
    </row>
    <row r="663" spans="2:16" ht="15">
      <c r="B663" s="172"/>
      <c r="C663" s="173"/>
      <c r="D663" s="174"/>
      <c r="E663" s="174"/>
      <c r="F663" s="175"/>
      <c r="G663" s="175">
        <f t="shared" si="60"/>
        <v>0</v>
      </c>
      <c r="H663" s="176">
        <v>0.05</v>
      </c>
      <c r="I663" s="177">
        <f t="shared" si="61"/>
        <v>0</v>
      </c>
      <c r="J663" s="177">
        <f t="shared" si="62"/>
        <v>0</v>
      </c>
      <c r="K663" s="291"/>
      <c r="L663" s="292"/>
      <c r="M663" s="293"/>
      <c r="N663" s="293">
        <f t="shared" si="63"/>
        <v>0</v>
      </c>
      <c r="O663" s="298">
        <f t="shared" si="64"/>
        <v>0</v>
      </c>
      <c r="P663" s="302"/>
    </row>
    <row r="664" spans="2:16" ht="15">
      <c r="B664" s="172"/>
      <c r="C664" s="173"/>
      <c r="D664" s="174"/>
      <c r="E664" s="174"/>
      <c r="F664" s="175"/>
      <c r="G664" s="175">
        <f t="shared" si="60"/>
        <v>0</v>
      </c>
      <c r="H664" s="176">
        <v>0.05</v>
      </c>
      <c r="I664" s="177">
        <f t="shared" si="61"/>
        <v>0</v>
      </c>
      <c r="J664" s="177">
        <f t="shared" si="62"/>
        <v>0</v>
      </c>
      <c r="K664" s="291"/>
      <c r="L664" s="292"/>
      <c r="M664" s="293"/>
      <c r="N664" s="293">
        <f t="shared" si="63"/>
        <v>0</v>
      </c>
      <c r="O664" s="298">
        <f t="shared" si="64"/>
        <v>0</v>
      </c>
      <c r="P664" s="302"/>
    </row>
    <row r="665" spans="2:16" ht="15">
      <c r="B665" s="172"/>
      <c r="C665" s="173"/>
      <c r="D665" s="174"/>
      <c r="E665" s="174"/>
      <c r="F665" s="175"/>
      <c r="G665" s="175">
        <f t="shared" si="60"/>
        <v>0</v>
      </c>
      <c r="H665" s="176">
        <v>0.05</v>
      </c>
      <c r="I665" s="177">
        <f t="shared" si="61"/>
        <v>0</v>
      </c>
      <c r="J665" s="177">
        <f t="shared" si="62"/>
        <v>0</v>
      </c>
      <c r="K665" s="291"/>
      <c r="L665" s="292"/>
      <c r="M665" s="293"/>
      <c r="N665" s="293">
        <f t="shared" si="63"/>
        <v>0</v>
      </c>
      <c r="O665" s="298">
        <f t="shared" si="64"/>
        <v>0</v>
      </c>
      <c r="P665" s="302"/>
    </row>
    <row r="666" spans="2:16" ht="15">
      <c r="B666" s="172"/>
      <c r="C666" s="173"/>
      <c r="D666" s="174"/>
      <c r="E666" s="174"/>
      <c r="F666" s="175"/>
      <c r="G666" s="175">
        <f t="shared" si="60"/>
        <v>0</v>
      </c>
      <c r="H666" s="176">
        <v>0.05</v>
      </c>
      <c r="I666" s="177">
        <f t="shared" si="61"/>
        <v>0</v>
      </c>
      <c r="J666" s="177">
        <f t="shared" si="62"/>
        <v>0</v>
      </c>
      <c r="K666" s="291"/>
      <c r="L666" s="292"/>
      <c r="M666" s="293"/>
      <c r="N666" s="293">
        <f t="shared" si="63"/>
        <v>0</v>
      </c>
      <c r="O666" s="298">
        <f t="shared" si="64"/>
        <v>0</v>
      </c>
      <c r="P666" s="302"/>
    </row>
    <row r="667" spans="2:16" ht="15">
      <c r="B667" s="172"/>
      <c r="C667" s="173"/>
      <c r="D667" s="174"/>
      <c r="E667" s="174"/>
      <c r="F667" s="175"/>
      <c r="G667" s="175">
        <f t="shared" si="60"/>
        <v>0</v>
      </c>
      <c r="H667" s="176">
        <v>0.05</v>
      </c>
      <c r="I667" s="177">
        <f t="shared" si="61"/>
        <v>0</v>
      </c>
      <c r="J667" s="177">
        <f t="shared" si="62"/>
        <v>0</v>
      </c>
      <c r="K667" s="291"/>
      <c r="L667" s="292"/>
      <c r="M667" s="293"/>
      <c r="N667" s="293">
        <f t="shared" si="63"/>
        <v>0</v>
      </c>
      <c r="O667" s="298">
        <f t="shared" si="64"/>
        <v>0</v>
      </c>
      <c r="P667" s="302"/>
    </row>
    <row r="668" spans="2:16" ht="15">
      <c r="B668" s="172"/>
      <c r="C668" s="173"/>
      <c r="D668" s="174"/>
      <c r="E668" s="174"/>
      <c r="F668" s="175"/>
      <c r="G668" s="175">
        <f t="shared" ref="G668:G731" si="65">IF(D668=0,0,(D668+E668)/F668)</f>
        <v>0</v>
      </c>
      <c r="H668" s="176">
        <v>0.05</v>
      </c>
      <c r="I668" s="177">
        <f t="shared" ref="I668:I731" si="66">+G668*H668</f>
        <v>0</v>
      </c>
      <c r="J668" s="177">
        <f t="shared" ref="J668:J731" si="67">+G668+I668</f>
        <v>0</v>
      </c>
      <c r="K668" s="291"/>
      <c r="L668" s="292"/>
      <c r="M668" s="293"/>
      <c r="N668" s="293">
        <f t="shared" ref="N668:N731" si="68">IF(H668&lt;M668,H668/M668,0)</f>
        <v>0</v>
      </c>
      <c r="O668" s="298">
        <f t="shared" ref="O668:O731" si="69">1.5%*N668</f>
        <v>0</v>
      </c>
      <c r="P668" s="302"/>
    </row>
    <row r="669" spans="2:16" ht="15">
      <c r="B669" s="172"/>
      <c r="C669" s="173"/>
      <c r="D669" s="174"/>
      <c r="E669" s="174"/>
      <c r="F669" s="175"/>
      <c r="G669" s="175">
        <f t="shared" si="65"/>
        <v>0</v>
      </c>
      <c r="H669" s="176">
        <v>0.05</v>
      </c>
      <c r="I669" s="177">
        <f t="shared" si="66"/>
        <v>0</v>
      </c>
      <c r="J669" s="177">
        <f t="shared" si="67"/>
        <v>0</v>
      </c>
      <c r="K669" s="291"/>
      <c r="L669" s="292"/>
      <c r="M669" s="293"/>
      <c r="N669" s="293">
        <f t="shared" si="68"/>
        <v>0</v>
      </c>
      <c r="O669" s="298">
        <f t="shared" si="69"/>
        <v>0</v>
      </c>
      <c r="P669" s="302"/>
    </row>
    <row r="670" spans="2:16" ht="15">
      <c r="B670" s="172"/>
      <c r="C670" s="173"/>
      <c r="D670" s="174"/>
      <c r="E670" s="174"/>
      <c r="F670" s="175"/>
      <c r="G670" s="175">
        <f t="shared" si="65"/>
        <v>0</v>
      </c>
      <c r="H670" s="176">
        <v>0.05</v>
      </c>
      <c r="I670" s="177">
        <f t="shared" si="66"/>
        <v>0</v>
      </c>
      <c r="J670" s="177">
        <f t="shared" si="67"/>
        <v>0</v>
      </c>
      <c r="K670" s="291"/>
      <c r="L670" s="292"/>
      <c r="M670" s="293"/>
      <c r="N670" s="293">
        <f t="shared" si="68"/>
        <v>0</v>
      </c>
      <c r="O670" s="298">
        <f t="shared" si="69"/>
        <v>0</v>
      </c>
      <c r="P670" s="302"/>
    </row>
    <row r="671" spans="2:16" ht="15">
      <c r="B671" s="172"/>
      <c r="C671" s="173"/>
      <c r="D671" s="174"/>
      <c r="E671" s="174"/>
      <c r="F671" s="175"/>
      <c r="G671" s="175">
        <f t="shared" si="65"/>
        <v>0</v>
      </c>
      <c r="H671" s="176">
        <v>0.05</v>
      </c>
      <c r="I671" s="177">
        <f t="shared" si="66"/>
        <v>0</v>
      </c>
      <c r="J671" s="177">
        <f t="shared" si="67"/>
        <v>0</v>
      </c>
      <c r="K671" s="291"/>
      <c r="L671" s="292"/>
      <c r="M671" s="293"/>
      <c r="N671" s="293">
        <f t="shared" si="68"/>
        <v>0</v>
      </c>
      <c r="O671" s="298">
        <f t="shared" si="69"/>
        <v>0</v>
      </c>
      <c r="P671" s="302"/>
    </row>
    <row r="672" spans="2:16" ht="15">
      <c r="B672" s="172"/>
      <c r="C672" s="173"/>
      <c r="D672" s="174"/>
      <c r="E672" s="174"/>
      <c r="F672" s="175"/>
      <c r="G672" s="175">
        <f t="shared" si="65"/>
        <v>0</v>
      </c>
      <c r="H672" s="176">
        <v>0.05</v>
      </c>
      <c r="I672" s="177">
        <f t="shared" si="66"/>
        <v>0</v>
      </c>
      <c r="J672" s="177">
        <f t="shared" si="67"/>
        <v>0</v>
      </c>
      <c r="K672" s="291"/>
      <c r="L672" s="292"/>
      <c r="M672" s="293"/>
      <c r="N672" s="293">
        <f t="shared" si="68"/>
        <v>0</v>
      </c>
      <c r="O672" s="298">
        <f t="shared" si="69"/>
        <v>0</v>
      </c>
      <c r="P672" s="302"/>
    </row>
    <row r="673" spans="2:16" ht="15">
      <c r="B673" s="172"/>
      <c r="C673" s="173"/>
      <c r="D673" s="174"/>
      <c r="E673" s="174"/>
      <c r="F673" s="175"/>
      <c r="G673" s="175">
        <f t="shared" si="65"/>
        <v>0</v>
      </c>
      <c r="H673" s="176">
        <v>0.05</v>
      </c>
      <c r="I673" s="177">
        <f t="shared" si="66"/>
        <v>0</v>
      </c>
      <c r="J673" s="177">
        <f t="shared" si="67"/>
        <v>0</v>
      </c>
      <c r="K673" s="291"/>
      <c r="L673" s="292"/>
      <c r="M673" s="293"/>
      <c r="N673" s="293">
        <f t="shared" si="68"/>
        <v>0</v>
      </c>
      <c r="O673" s="298">
        <f t="shared" si="69"/>
        <v>0</v>
      </c>
      <c r="P673" s="302"/>
    </row>
    <row r="674" spans="2:16" ht="15">
      <c r="B674" s="172"/>
      <c r="C674" s="173"/>
      <c r="D674" s="174"/>
      <c r="E674" s="174"/>
      <c r="F674" s="175"/>
      <c r="G674" s="175">
        <f t="shared" si="65"/>
        <v>0</v>
      </c>
      <c r="H674" s="176">
        <v>0.05</v>
      </c>
      <c r="I674" s="177">
        <f t="shared" si="66"/>
        <v>0</v>
      </c>
      <c r="J674" s="177">
        <f t="shared" si="67"/>
        <v>0</v>
      </c>
      <c r="K674" s="291"/>
      <c r="L674" s="292"/>
      <c r="M674" s="293"/>
      <c r="N674" s="293">
        <f t="shared" si="68"/>
        <v>0</v>
      </c>
      <c r="O674" s="298">
        <f t="shared" si="69"/>
        <v>0</v>
      </c>
      <c r="P674" s="302"/>
    </row>
    <row r="675" spans="2:16" ht="15">
      <c r="B675" s="172"/>
      <c r="C675" s="173"/>
      <c r="D675" s="174"/>
      <c r="E675" s="174"/>
      <c r="F675" s="175"/>
      <c r="G675" s="175">
        <f t="shared" si="65"/>
        <v>0</v>
      </c>
      <c r="H675" s="176">
        <v>0.05</v>
      </c>
      <c r="I675" s="177">
        <f t="shared" si="66"/>
        <v>0</v>
      </c>
      <c r="J675" s="177">
        <f t="shared" si="67"/>
        <v>0</v>
      </c>
      <c r="K675" s="291"/>
      <c r="L675" s="292"/>
      <c r="M675" s="293"/>
      <c r="N675" s="293">
        <f t="shared" si="68"/>
        <v>0</v>
      </c>
      <c r="O675" s="298">
        <f t="shared" si="69"/>
        <v>0</v>
      </c>
      <c r="P675" s="302"/>
    </row>
    <row r="676" spans="2:16" ht="15">
      <c r="B676" s="172"/>
      <c r="C676" s="173"/>
      <c r="D676" s="174"/>
      <c r="E676" s="174"/>
      <c r="F676" s="175"/>
      <c r="G676" s="175">
        <f t="shared" si="65"/>
        <v>0</v>
      </c>
      <c r="H676" s="176">
        <v>0.05</v>
      </c>
      <c r="I676" s="177">
        <f t="shared" si="66"/>
        <v>0</v>
      </c>
      <c r="J676" s="177">
        <f t="shared" si="67"/>
        <v>0</v>
      </c>
      <c r="K676" s="291"/>
      <c r="L676" s="292"/>
      <c r="M676" s="293"/>
      <c r="N676" s="293">
        <f t="shared" si="68"/>
        <v>0</v>
      </c>
      <c r="O676" s="298">
        <f t="shared" si="69"/>
        <v>0</v>
      </c>
      <c r="P676" s="302"/>
    </row>
    <row r="677" spans="2:16" ht="15">
      <c r="B677" s="172"/>
      <c r="C677" s="173"/>
      <c r="D677" s="174"/>
      <c r="E677" s="174"/>
      <c r="F677" s="175"/>
      <c r="G677" s="175">
        <f t="shared" si="65"/>
        <v>0</v>
      </c>
      <c r="H677" s="176">
        <v>0.05</v>
      </c>
      <c r="I677" s="177">
        <f t="shared" si="66"/>
        <v>0</v>
      </c>
      <c r="J677" s="177">
        <f t="shared" si="67"/>
        <v>0</v>
      </c>
      <c r="K677" s="291"/>
      <c r="L677" s="292"/>
      <c r="M677" s="293"/>
      <c r="N677" s="293">
        <f t="shared" si="68"/>
        <v>0</v>
      </c>
      <c r="O677" s="298">
        <f t="shared" si="69"/>
        <v>0</v>
      </c>
      <c r="P677" s="302"/>
    </row>
    <row r="678" spans="2:16" ht="15">
      <c r="B678" s="172"/>
      <c r="C678" s="173"/>
      <c r="D678" s="174"/>
      <c r="E678" s="174"/>
      <c r="F678" s="175"/>
      <c r="G678" s="175">
        <f t="shared" si="65"/>
        <v>0</v>
      </c>
      <c r="H678" s="176">
        <v>0.05</v>
      </c>
      <c r="I678" s="177">
        <f t="shared" si="66"/>
        <v>0</v>
      </c>
      <c r="J678" s="177">
        <f t="shared" si="67"/>
        <v>0</v>
      </c>
      <c r="K678" s="291"/>
      <c r="L678" s="292"/>
      <c r="M678" s="293"/>
      <c r="N678" s="293">
        <f t="shared" si="68"/>
        <v>0</v>
      </c>
      <c r="O678" s="298">
        <f t="shared" si="69"/>
        <v>0</v>
      </c>
      <c r="P678" s="302"/>
    </row>
    <row r="679" spans="2:16" ht="15">
      <c r="B679" s="172"/>
      <c r="C679" s="173"/>
      <c r="D679" s="174"/>
      <c r="E679" s="174"/>
      <c r="F679" s="175"/>
      <c r="G679" s="175">
        <f t="shared" si="65"/>
        <v>0</v>
      </c>
      <c r="H679" s="176">
        <v>0.05</v>
      </c>
      <c r="I679" s="177">
        <f t="shared" si="66"/>
        <v>0</v>
      </c>
      <c r="J679" s="177">
        <f t="shared" si="67"/>
        <v>0</v>
      </c>
      <c r="K679" s="291"/>
      <c r="L679" s="292"/>
      <c r="M679" s="293"/>
      <c r="N679" s="293">
        <f t="shared" si="68"/>
        <v>0</v>
      </c>
      <c r="O679" s="298">
        <f t="shared" si="69"/>
        <v>0</v>
      </c>
      <c r="P679" s="302"/>
    </row>
    <row r="680" spans="2:16" ht="15">
      <c r="B680" s="172"/>
      <c r="C680" s="173"/>
      <c r="D680" s="174"/>
      <c r="E680" s="174"/>
      <c r="F680" s="175"/>
      <c r="G680" s="175">
        <f t="shared" si="65"/>
        <v>0</v>
      </c>
      <c r="H680" s="176">
        <v>0.05</v>
      </c>
      <c r="I680" s="177">
        <f t="shared" si="66"/>
        <v>0</v>
      </c>
      <c r="J680" s="177">
        <f t="shared" si="67"/>
        <v>0</v>
      </c>
      <c r="K680" s="291"/>
      <c r="L680" s="292"/>
      <c r="M680" s="293"/>
      <c r="N680" s="293">
        <f t="shared" si="68"/>
        <v>0</v>
      </c>
      <c r="O680" s="298">
        <f t="shared" si="69"/>
        <v>0</v>
      </c>
      <c r="P680" s="302"/>
    </row>
    <row r="681" spans="2:16" ht="15">
      <c r="B681" s="172"/>
      <c r="C681" s="173"/>
      <c r="D681" s="174"/>
      <c r="E681" s="174"/>
      <c r="F681" s="175"/>
      <c r="G681" s="175">
        <f t="shared" si="65"/>
        <v>0</v>
      </c>
      <c r="H681" s="176">
        <v>0.05</v>
      </c>
      <c r="I681" s="177">
        <f t="shared" si="66"/>
        <v>0</v>
      </c>
      <c r="J681" s="177">
        <f t="shared" si="67"/>
        <v>0</v>
      </c>
      <c r="K681" s="291"/>
      <c r="L681" s="292"/>
      <c r="M681" s="293"/>
      <c r="N681" s="293">
        <f t="shared" si="68"/>
        <v>0</v>
      </c>
      <c r="O681" s="298">
        <f t="shared" si="69"/>
        <v>0</v>
      </c>
      <c r="P681" s="302"/>
    </row>
    <row r="682" spans="2:16" ht="15">
      <c r="B682" s="172"/>
      <c r="C682" s="173"/>
      <c r="D682" s="174"/>
      <c r="E682" s="174"/>
      <c r="F682" s="175"/>
      <c r="G682" s="175">
        <f t="shared" si="65"/>
        <v>0</v>
      </c>
      <c r="H682" s="176">
        <v>0.05</v>
      </c>
      <c r="I682" s="177">
        <f t="shared" si="66"/>
        <v>0</v>
      </c>
      <c r="J682" s="177">
        <f t="shared" si="67"/>
        <v>0</v>
      </c>
      <c r="K682" s="291"/>
      <c r="L682" s="292"/>
      <c r="M682" s="293"/>
      <c r="N682" s="293">
        <f t="shared" si="68"/>
        <v>0</v>
      </c>
      <c r="O682" s="298">
        <f t="shared" si="69"/>
        <v>0</v>
      </c>
      <c r="P682" s="302"/>
    </row>
    <row r="683" spans="2:16" ht="15">
      <c r="B683" s="172"/>
      <c r="C683" s="173"/>
      <c r="D683" s="174"/>
      <c r="E683" s="174"/>
      <c r="F683" s="175"/>
      <c r="G683" s="175">
        <f t="shared" si="65"/>
        <v>0</v>
      </c>
      <c r="H683" s="176">
        <v>0.05</v>
      </c>
      <c r="I683" s="177">
        <f t="shared" si="66"/>
        <v>0</v>
      </c>
      <c r="J683" s="177">
        <f t="shared" si="67"/>
        <v>0</v>
      </c>
      <c r="K683" s="291"/>
      <c r="L683" s="292"/>
      <c r="M683" s="293"/>
      <c r="N683" s="293">
        <f t="shared" si="68"/>
        <v>0</v>
      </c>
      <c r="O683" s="298">
        <f t="shared" si="69"/>
        <v>0</v>
      </c>
      <c r="P683" s="302"/>
    </row>
    <row r="684" spans="2:16" ht="15">
      <c r="B684" s="172"/>
      <c r="C684" s="173"/>
      <c r="D684" s="174"/>
      <c r="E684" s="174"/>
      <c r="F684" s="175"/>
      <c r="G684" s="175">
        <f t="shared" si="65"/>
        <v>0</v>
      </c>
      <c r="H684" s="176">
        <v>0.05</v>
      </c>
      <c r="I684" s="177">
        <f t="shared" si="66"/>
        <v>0</v>
      </c>
      <c r="J684" s="177">
        <f t="shared" si="67"/>
        <v>0</v>
      </c>
      <c r="K684" s="291"/>
      <c r="L684" s="292"/>
      <c r="M684" s="293"/>
      <c r="N684" s="293">
        <f t="shared" si="68"/>
        <v>0</v>
      </c>
      <c r="O684" s="298">
        <f t="shared" si="69"/>
        <v>0</v>
      </c>
      <c r="P684" s="302"/>
    </row>
    <row r="685" spans="2:16" ht="15">
      <c r="B685" s="172"/>
      <c r="C685" s="173"/>
      <c r="D685" s="174"/>
      <c r="E685" s="174"/>
      <c r="F685" s="175"/>
      <c r="G685" s="175">
        <f t="shared" si="65"/>
        <v>0</v>
      </c>
      <c r="H685" s="176">
        <v>0.05</v>
      </c>
      <c r="I685" s="177">
        <f t="shared" si="66"/>
        <v>0</v>
      </c>
      <c r="J685" s="177">
        <f t="shared" si="67"/>
        <v>0</v>
      </c>
      <c r="K685" s="291"/>
      <c r="L685" s="292"/>
      <c r="M685" s="293"/>
      <c r="N685" s="293">
        <f t="shared" si="68"/>
        <v>0</v>
      </c>
      <c r="O685" s="298">
        <f t="shared" si="69"/>
        <v>0</v>
      </c>
      <c r="P685" s="302"/>
    </row>
    <row r="686" spans="2:16" ht="15">
      <c r="B686" s="172"/>
      <c r="C686" s="173"/>
      <c r="D686" s="174"/>
      <c r="E686" s="174"/>
      <c r="F686" s="175"/>
      <c r="G686" s="175">
        <f t="shared" si="65"/>
        <v>0</v>
      </c>
      <c r="H686" s="176">
        <v>0.05</v>
      </c>
      <c r="I686" s="177">
        <f t="shared" si="66"/>
        <v>0</v>
      </c>
      <c r="J686" s="177">
        <f t="shared" si="67"/>
        <v>0</v>
      </c>
      <c r="K686" s="291"/>
      <c r="L686" s="292"/>
      <c r="M686" s="293"/>
      <c r="N686" s="293">
        <f t="shared" si="68"/>
        <v>0</v>
      </c>
      <c r="O686" s="298">
        <f t="shared" si="69"/>
        <v>0</v>
      </c>
      <c r="P686" s="302"/>
    </row>
    <row r="687" spans="2:16" ht="15">
      <c r="B687" s="172"/>
      <c r="C687" s="173"/>
      <c r="D687" s="174"/>
      <c r="E687" s="174"/>
      <c r="F687" s="175"/>
      <c r="G687" s="175">
        <f t="shared" si="65"/>
        <v>0</v>
      </c>
      <c r="H687" s="176">
        <v>0.05</v>
      </c>
      <c r="I687" s="177">
        <f t="shared" si="66"/>
        <v>0</v>
      </c>
      <c r="J687" s="177">
        <f t="shared" si="67"/>
        <v>0</v>
      </c>
      <c r="K687" s="291"/>
      <c r="L687" s="292"/>
      <c r="M687" s="293"/>
      <c r="N687" s="293">
        <f t="shared" si="68"/>
        <v>0</v>
      </c>
      <c r="O687" s="298">
        <f t="shared" si="69"/>
        <v>0</v>
      </c>
      <c r="P687" s="302"/>
    </row>
    <row r="688" spans="2:16" ht="15">
      <c r="B688" s="172"/>
      <c r="C688" s="173"/>
      <c r="D688" s="174"/>
      <c r="E688" s="174"/>
      <c r="F688" s="175"/>
      <c r="G688" s="175">
        <f t="shared" si="65"/>
        <v>0</v>
      </c>
      <c r="H688" s="176">
        <v>0.05</v>
      </c>
      <c r="I688" s="177">
        <f t="shared" si="66"/>
        <v>0</v>
      </c>
      <c r="J688" s="177">
        <f t="shared" si="67"/>
        <v>0</v>
      </c>
      <c r="K688" s="291"/>
      <c r="L688" s="292"/>
      <c r="M688" s="293"/>
      <c r="N688" s="293">
        <f t="shared" si="68"/>
        <v>0</v>
      </c>
      <c r="O688" s="298">
        <f t="shared" si="69"/>
        <v>0</v>
      </c>
      <c r="P688" s="302"/>
    </row>
    <row r="689" spans="2:16" ht="15">
      <c r="B689" s="172"/>
      <c r="C689" s="173"/>
      <c r="D689" s="174"/>
      <c r="E689" s="174"/>
      <c r="F689" s="175"/>
      <c r="G689" s="175">
        <f t="shared" si="65"/>
        <v>0</v>
      </c>
      <c r="H689" s="176">
        <v>0.05</v>
      </c>
      <c r="I689" s="177">
        <f t="shared" si="66"/>
        <v>0</v>
      </c>
      <c r="J689" s="177">
        <f t="shared" si="67"/>
        <v>0</v>
      </c>
      <c r="K689" s="291"/>
      <c r="L689" s="292"/>
      <c r="M689" s="293"/>
      <c r="N689" s="293">
        <f t="shared" si="68"/>
        <v>0</v>
      </c>
      <c r="O689" s="298">
        <f t="shared" si="69"/>
        <v>0</v>
      </c>
      <c r="P689" s="302"/>
    </row>
    <row r="690" spans="2:16" ht="15">
      <c r="B690" s="172"/>
      <c r="C690" s="173"/>
      <c r="D690" s="174"/>
      <c r="E690" s="174"/>
      <c r="F690" s="175"/>
      <c r="G690" s="175">
        <f t="shared" si="65"/>
        <v>0</v>
      </c>
      <c r="H690" s="176">
        <v>0.05</v>
      </c>
      <c r="I690" s="177">
        <f t="shared" si="66"/>
        <v>0</v>
      </c>
      <c r="J690" s="177">
        <f t="shared" si="67"/>
        <v>0</v>
      </c>
      <c r="K690" s="291"/>
      <c r="L690" s="292"/>
      <c r="M690" s="293"/>
      <c r="N690" s="293">
        <f t="shared" si="68"/>
        <v>0</v>
      </c>
      <c r="O690" s="298">
        <f t="shared" si="69"/>
        <v>0</v>
      </c>
      <c r="P690" s="302"/>
    </row>
    <row r="691" spans="2:16" ht="15">
      <c r="B691" s="172"/>
      <c r="C691" s="173"/>
      <c r="D691" s="174"/>
      <c r="E691" s="174"/>
      <c r="F691" s="175"/>
      <c r="G691" s="175">
        <f t="shared" si="65"/>
        <v>0</v>
      </c>
      <c r="H691" s="176">
        <v>0.05</v>
      </c>
      <c r="I691" s="177">
        <f t="shared" si="66"/>
        <v>0</v>
      </c>
      <c r="J691" s="177">
        <f t="shared" si="67"/>
        <v>0</v>
      </c>
      <c r="K691" s="291"/>
      <c r="L691" s="292"/>
      <c r="M691" s="293"/>
      <c r="N691" s="293">
        <f t="shared" si="68"/>
        <v>0</v>
      </c>
      <c r="O691" s="298">
        <f t="shared" si="69"/>
        <v>0</v>
      </c>
      <c r="P691" s="302"/>
    </row>
    <row r="692" spans="2:16" ht="15">
      <c r="B692" s="172"/>
      <c r="C692" s="173"/>
      <c r="D692" s="174"/>
      <c r="E692" s="174"/>
      <c r="F692" s="175"/>
      <c r="G692" s="175">
        <f t="shared" si="65"/>
        <v>0</v>
      </c>
      <c r="H692" s="176">
        <v>0.05</v>
      </c>
      <c r="I692" s="177">
        <f t="shared" si="66"/>
        <v>0</v>
      </c>
      <c r="J692" s="177">
        <f t="shared" si="67"/>
        <v>0</v>
      </c>
      <c r="K692" s="291"/>
      <c r="L692" s="292"/>
      <c r="M692" s="293"/>
      <c r="N692" s="293">
        <f t="shared" si="68"/>
        <v>0</v>
      </c>
      <c r="O692" s="298">
        <f t="shared" si="69"/>
        <v>0</v>
      </c>
      <c r="P692" s="302"/>
    </row>
    <row r="693" spans="2:16" ht="15">
      <c r="B693" s="172"/>
      <c r="C693" s="173"/>
      <c r="D693" s="174"/>
      <c r="E693" s="174"/>
      <c r="F693" s="175"/>
      <c r="G693" s="175">
        <f t="shared" si="65"/>
        <v>0</v>
      </c>
      <c r="H693" s="176">
        <v>0.05</v>
      </c>
      <c r="I693" s="177">
        <f t="shared" si="66"/>
        <v>0</v>
      </c>
      <c r="J693" s="177">
        <f t="shared" si="67"/>
        <v>0</v>
      </c>
      <c r="K693" s="291"/>
      <c r="L693" s="292"/>
      <c r="M693" s="293"/>
      <c r="N693" s="293">
        <f t="shared" si="68"/>
        <v>0</v>
      </c>
      <c r="O693" s="298">
        <f t="shared" si="69"/>
        <v>0</v>
      </c>
      <c r="P693" s="302"/>
    </row>
    <row r="694" spans="2:16" ht="15">
      <c r="B694" s="172"/>
      <c r="C694" s="173"/>
      <c r="D694" s="174"/>
      <c r="E694" s="174"/>
      <c r="F694" s="175"/>
      <c r="G694" s="175">
        <f t="shared" si="65"/>
        <v>0</v>
      </c>
      <c r="H694" s="176">
        <v>0.05</v>
      </c>
      <c r="I694" s="177">
        <f t="shared" si="66"/>
        <v>0</v>
      </c>
      <c r="J694" s="177">
        <f t="shared" si="67"/>
        <v>0</v>
      </c>
      <c r="K694" s="291"/>
      <c r="L694" s="292"/>
      <c r="M694" s="293"/>
      <c r="N694" s="293">
        <f t="shared" si="68"/>
        <v>0</v>
      </c>
      <c r="O694" s="298">
        <f t="shared" si="69"/>
        <v>0</v>
      </c>
      <c r="P694" s="302"/>
    </row>
    <row r="695" spans="2:16" ht="15">
      <c r="B695" s="172"/>
      <c r="C695" s="173"/>
      <c r="D695" s="174"/>
      <c r="E695" s="174"/>
      <c r="F695" s="175"/>
      <c r="G695" s="175">
        <f t="shared" si="65"/>
        <v>0</v>
      </c>
      <c r="H695" s="176">
        <v>0.05</v>
      </c>
      <c r="I695" s="177">
        <f t="shared" si="66"/>
        <v>0</v>
      </c>
      <c r="J695" s="177">
        <f t="shared" si="67"/>
        <v>0</v>
      </c>
      <c r="K695" s="291"/>
      <c r="L695" s="292"/>
      <c r="M695" s="293"/>
      <c r="N695" s="293">
        <f t="shared" si="68"/>
        <v>0</v>
      </c>
      <c r="O695" s="298">
        <f t="shared" si="69"/>
        <v>0</v>
      </c>
      <c r="P695" s="302"/>
    </row>
    <row r="696" spans="2:16" ht="15">
      <c r="B696" s="172"/>
      <c r="C696" s="173"/>
      <c r="D696" s="174"/>
      <c r="E696" s="174"/>
      <c r="F696" s="175"/>
      <c r="G696" s="175">
        <f t="shared" si="65"/>
        <v>0</v>
      </c>
      <c r="H696" s="176">
        <v>0.05</v>
      </c>
      <c r="I696" s="177">
        <f t="shared" si="66"/>
        <v>0</v>
      </c>
      <c r="J696" s="177">
        <f t="shared" si="67"/>
        <v>0</v>
      </c>
      <c r="K696" s="291"/>
      <c r="L696" s="292"/>
      <c r="M696" s="293"/>
      <c r="N696" s="293">
        <f t="shared" si="68"/>
        <v>0</v>
      </c>
      <c r="O696" s="298">
        <f t="shared" si="69"/>
        <v>0</v>
      </c>
      <c r="P696" s="302"/>
    </row>
    <row r="697" spans="2:16" ht="15">
      <c r="B697" s="172"/>
      <c r="C697" s="173"/>
      <c r="D697" s="174"/>
      <c r="E697" s="174"/>
      <c r="F697" s="175"/>
      <c r="G697" s="175">
        <f t="shared" si="65"/>
        <v>0</v>
      </c>
      <c r="H697" s="176">
        <v>0.05</v>
      </c>
      <c r="I697" s="177">
        <f t="shared" si="66"/>
        <v>0</v>
      </c>
      <c r="J697" s="177">
        <f t="shared" si="67"/>
        <v>0</v>
      </c>
      <c r="K697" s="291"/>
      <c r="L697" s="292"/>
      <c r="M697" s="293"/>
      <c r="N697" s="293">
        <f t="shared" si="68"/>
        <v>0</v>
      </c>
      <c r="O697" s="298">
        <f t="shared" si="69"/>
        <v>0</v>
      </c>
      <c r="P697" s="302"/>
    </row>
    <row r="698" spans="2:16" ht="15">
      <c r="B698" s="172"/>
      <c r="C698" s="173"/>
      <c r="D698" s="174"/>
      <c r="E698" s="174"/>
      <c r="F698" s="175"/>
      <c r="G698" s="175">
        <f t="shared" si="65"/>
        <v>0</v>
      </c>
      <c r="H698" s="176">
        <v>0.05</v>
      </c>
      <c r="I698" s="177">
        <f t="shared" si="66"/>
        <v>0</v>
      </c>
      <c r="J698" s="177">
        <f t="shared" si="67"/>
        <v>0</v>
      </c>
      <c r="K698" s="291"/>
      <c r="L698" s="292"/>
      <c r="M698" s="293"/>
      <c r="N698" s="293">
        <f t="shared" si="68"/>
        <v>0</v>
      </c>
      <c r="O698" s="298">
        <f t="shared" si="69"/>
        <v>0</v>
      </c>
      <c r="P698" s="302"/>
    </row>
    <row r="699" spans="2:16" ht="15">
      <c r="B699" s="172"/>
      <c r="C699" s="173"/>
      <c r="D699" s="174"/>
      <c r="E699" s="174"/>
      <c r="F699" s="175"/>
      <c r="G699" s="175">
        <f t="shared" si="65"/>
        <v>0</v>
      </c>
      <c r="H699" s="176">
        <v>0.05</v>
      </c>
      <c r="I699" s="177">
        <f t="shared" si="66"/>
        <v>0</v>
      </c>
      <c r="J699" s="177">
        <f t="shared" si="67"/>
        <v>0</v>
      </c>
      <c r="K699" s="291"/>
      <c r="L699" s="292"/>
      <c r="M699" s="293"/>
      <c r="N699" s="293">
        <f t="shared" si="68"/>
        <v>0</v>
      </c>
      <c r="O699" s="298">
        <f t="shared" si="69"/>
        <v>0</v>
      </c>
      <c r="P699" s="302"/>
    </row>
    <row r="700" spans="2:16" ht="15">
      <c r="B700" s="172"/>
      <c r="C700" s="173"/>
      <c r="D700" s="174"/>
      <c r="E700" s="174"/>
      <c r="F700" s="175"/>
      <c r="G700" s="175">
        <f t="shared" si="65"/>
        <v>0</v>
      </c>
      <c r="H700" s="176">
        <v>0.05</v>
      </c>
      <c r="I700" s="177">
        <f t="shared" si="66"/>
        <v>0</v>
      </c>
      <c r="J700" s="177">
        <f t="shared" si="67"/>
        <v>0</v>
      </c>
      <c r="K700" s="291"/>
      <c r="L700" s="292"/>
      <c r="M700" s="293"/>
      <c r="N700" s="293">
        <f t="shared" si="68"/>
        <v>0</v>
      </c>
      <c r="O700" s="298">
        <f t="shared" si="69"/>
        <v>0</v>
      </c>
      <c r="P700" s="302"/>
    </row>
    <row r="701" spans="2:16" ht="15">
      <c r="B701" s="172"/>
      <c r="C701" s="173"/>
      <c r="D701" s="174"/>
      <c r="E701" s="174"/>
      <c r="F701" s="175"/>
      <c r="G701" s="175">
        <f t="shared" si="65"/>
        <v>0</v>
      </c>
      <c r="H701" s="176">
        <v>0.05</v>
      </c>
      <c r="I701" s="177">
        <f t="shared" si="66"/>
        <v>0</v>
      </c>
      <c r="J701" s="177">
        <f t="shared" si="67"/>
        <v>0</v>
      </c>
      <c r="K701" s="291"/>
      <c r="L701" s="292"/>
      <c r="M701" s="293"/>
      <c r="N701" s="293">
        <f t="shared" si="68"/>
        <v>0</v>
      </c>
      <c r="O701" s="298">
        <f t="shared" si="69"/>
        <v>0</v>
      </c>
      <c r="P701" s="302"/>
    </row>
    <row r="702" spans="2:16" ht="15">
      <c r="B702" s="172"/>
      <c r="C702" s="173"/>
      <c r="D702" s="174"/>
      <c r="E702" s="174"/>
      <c r="F702" s="175"/>
      <c r="G702" s="175">
        <f t="shared" si="65"/>
        <v>0</v>
      </c>
      <c r="H702" s="176">
        <v>0.05</v>
      </c>
      <c r="I702" s="177">
        <f t="shared" si="66"/>
        <v>0</v>
      </c>
      <c r="J702" s="177">
        <f t="shared" si="67"/>
        <v>0</v>
      </c>
      <c r="K702" s="291"/>
      <c r="L702" s="292"/>
      <c r="M702" s="293"/>
      <c r="N702" s="293">
        <f t="shared" si="68"/>
        <v>0</v>
      </c>
      <c r="O702" s="298">
        <f t="shared" si="69"/>
        <v>0</v>
      </c>
      <c r="P702" s="302"/>
    </row>
    <row r="703" spans="2:16" ht="15">
      <c r="B703" s="172"/>
      <c r="C703" s="173"/>
      <c r="D703" s="174"/>
      <c r="E703" s="174"/>
      <c r="F703" s="175"/>
      <c r="G703" s="175">
        <f t="shared" si="65"/>
        <v>0</v>
      </c>
      <c r="H703" s="176">
        <v>0.05</v>
      </c>
      <c r="I703" s="177">
        <f t="shared" si="66"/>
        <v>0</v>
      </c>
      <c r="J703" s="177">
        <f t="shared" si="67"/>
        <v>0</v>
      </c>
      <c r="K703" s="291"/>
      <c r="L703" s="292"/>
      <c r="M703" s="293"/>
      <c r="N703" s="293">
        <f t="shared" si="68"/>
        <v>0</v>
      </c>
      <c r="O703" s="298">
        <f t="shared" si="69"/>
        <v>0</v>
      </c>
      <c r="P703" s="302"/>
    </row>
    <row r="704" spans="2:16" ht="15">
      <c r="B704" s="172"/>
      <c r="C704" s="173"/>
      <c r="D704" s="174"/>
      <c r="E704" s="174"/>
      <c r="F704" s="175"/>
      <c r="G704" s="175">
        <f t="shared" si="65"/>
        <v>0</v>
      </c>
      <c r="H704" s="176">
        <v>0.05</v>
      </c>
      <c r="I704" s="177">
        <f t="shared" si="66"/>
        <v>0</v>
      </c>
      <c r="J704" s="177">
        <f t="shared" si="67"/>
        <v>0</v>
      </c>
      <c r="K704" s="291"/>
      <c r="L704" s="292"/>
      <c r="M704" s="293"/>
      <c r="N704" s="293">
        <f t="shared" si="68"/>
        <v>0</v>
      </c>
      <c r="O704" s="298">
        <f t="shared" si="69"/>
        <v>0</v>
      </c>
      <c r="P704" s="302"/>
    </row>
    <row r="705" spans="2:16" ht="15">
      <c r="B705" s="172"/>
      <c r="C705" s="173"/>
      <c r="D705" s="174"/>
      <c r="E705" s="174"/>
      <c r="F705" s="175"/>
      <c r="G705" s="175">
        <f t="shared" si="65"/>
        <v>0</v>
      </c>
      <c r="H705" s="176">
        <v>0.05</v>
      </c>
      <c r="I705" s="177">
        <f t="shared" si="66"/>
        <v>0</v>
      </c>
      <c r="J705" s="177">
        <f t="shared" si="67"/>
        <v>0</v>
      </c>
      <c r="K705" s="291"/>
      <c r="L705" s="292"/>
      <c r="M705" s="293"/>
      <c r="N705" s="293">
        <f t="shared" si="68"/>
        <v>0</v>
      </c>
      <c r="O705" s="298">
        <f t="shared" si="69"/>
        <v>0</v>
      </c>
      <c r="P705" s="302"/>
    </row>
    <row r="706" spans="2:16" ht="15">
      <c r="B706" s="172"/>
      <c r="C706" s="173"/>
      <c r="D706" s="174"/>
      <c r="E706" s="174"/>
      <c r="F706" s="175"/>
      <c r="G706" s="175">
        <f t="shared" si="65"/>
        <v>0</v>
      </c>
      <c r="H706" s="176">
        <v>0.05</v>
      </c>
      <c r="I706" s="177">
        <f t="shared" si="66"/>
        <v>0</v>
      </c>
      <c r="J706" s="177">
        <f t="shared" si="67"/>
        <v>0</v>
      </c>
      <c r="K706" s="291"/>
      <c r="L706" s="292"/>
      <c r="M706" s="293"/>
      <c r="N706" s="293">
        <f t="shared" si="68"/>
        <v>0</v>
      </c>
      <c r="O706" s="298">
        <f t="shared" si="69"/>
        <v>0</v>
      </c>
      <c r="P706" s="302"/>
    </row>
    <row r="707" spans="2:16" ht="15">
      <c r="B707" s="172"/>
      <c r="C707" s="173"/>
      <c r="D707" s="174"/>
      <c r="E707" s="174"/>
      <c r="F707" s="175"/>
      <c r="G707" s="175">
        <f t="shared" si="65"/>
        <v>0</v>
      </c>
      <c r="H707" s="176">
        <v>0.05</v>
      </c>
      <c r="I707" s="177">
        <f t="shared" si="66"/>
        <v>0</v>
      </c>
      <c r="J707" s="177">
        <f t="shared" si="67"/>
        <v>0</v>
      </c>
      <c r="K707" s="291"/>
      <c r="L707" s="292"/>
      <c r="M707" s="293"/>
      <c r="N707" s="293">
        <f t="shared" si="68"/>
        <v>0</v>
      </c>
      <c r="O707" s="298">
        <f t="shared" si="69"/>
        <v>0</v>
      </c>
      <c r="P707" s="302"/>
    </row>
    <row r="708" spans="2:16" ht="15">
      <c r="B708" s="172"/>
      <c r="C708" s="173"/>
      <c r="D708" s="174"/>
      <c r="E708" s="174"/>
      <c r="F708" s="175"/>
      <c r="G708" s="175">
        <f t="shared" si="65"/>
        <v>0</v>
      </c>
      <c r="H708" s="176">
        <v>0.05</v>
      </c>
      <c r="I708" s="177">
        <f t="shared" si="66"/>
        <v>0</v>
      </c>
      <c r="J708" s="177">
        <f t="shared" si="67"/>
        <v>0</v>
      </c>
      <c r="K708" s="291"/>
      <c r="L708" s="292"/>
      <c r="M708" s="293"/>
      <c r="N708" s="293">
        <f t="shared" si="68"/>
        <v>0</v>
      </c>
      <c r="O708" s="298">
        <f t="shared" si="69"/>
        <v>0</v>
      </c>
      <c r="P708" s="302"/>
    </row>
    <row r="709" spans="2:16" ht="15">
      <c r="B709" s="172"/>
      <c r="C709" s="173"/>
      <c r="D709" s="174"/>
      <c r="E709" s="174"/>
      <c r="F709" s="175"/>
      <c r="G709" s="175">
        <f t="shared" si="65"/>
        <v>0</v>
      </c>
      <c r="H709" s="176">
        <v>0.05</v>
      </c>
      <c r="I709" s="177">
        <f t="shared" si="66"/>
        <v>0</v>
      </c>
      <c r="J709" s="177">
        <f t="shared" si="67"/>
        <v>0</v>
      </c>
      <c r="K709" s="291"/>
      <c r="L709" s="292"/>
      <c r="M709" s="293"/>
      <c r="N709" s="293">
        <f t="shared" si="68"/>
        <v>0</v>
      </c>
      <c r="O709" s="298">
        <f t="shared" si="69"/>
        <v>0</v>
      </c>
      <c r="P709" s="302"/>
    </row>
    <row r="710" spans="2:16" ht="15">
      <c r="B710" s="172"/>
      <c r="C710" s="173"/>
      <c r="D710" s="174"/>
      <c r="E710" s="174"/>
      <c r="F710" s="175"/>
      <c r="G710" s="175">
        <f t="shared" si="65"/>
        <v>0</v>
      </c>
      <c r="H710" s="176">
        <v>0.05</v>
      </c>
      <c r="I710" s="177">
        <f t="shared" si="66"/>
        <v>0</v>
      </c>
      <c r="J710" s="177">
        <f t="shared" si="67"/>
        <v>0</v>
      </c>
      <c r="K710" s="291"/>
      <c r="L710" s="292"/>
      <c r="M710" s="293"/>
      <c r="N710" s="293">
        <f t="shared" si="68"/>
        <v>0</v>
      </c>
      <c r="O710" s="298">
        <f t="shared" si="69"/>
        <v>0</v>
      </c>
      <c r="P710" s="302"/>
    </row>
    <row r="711" spans="2:16" ht="15">
      <c r="B711" s="172"/>
      <c r="C711" s="173"/>
      <c r="D711" s="174"/>
      <c r="E711" s="174"/>
      <c r="F711" s="175"/>
      <c r="G711" s="175">
        <f t="shared" si="65"/>
        <v>0</v>
      </c>
      <c r="H711" s="176">
        <v>0.05</v>
      </c>
      <c r="I711" s="177">
        <f t="shared" si="66"/>
        <v>0</v>
      </c>
      <c r="J711" s="177">
        <f t="shared" si="67"/>
        <v>0</v>
      </c>
      <c r="K711" s="291"/>
      <c r="L711" s="292"/>
      <c r="M711" s="293"/>
      <c r="N711" s="293">
        <f t="shared" si="68"/>
        <v>0</v>
      </c>
      <c r="O711" s="298">
        <f t="shared" si="69"/>
        <v>0</v>
      </c>
      <c r="P711" s="302"/>
    </row>
    <row r="712" spans="2:16" ht="15">
      <c r="B712" s="172"/>
      <c r="C712" s="173"/>
      <c r="D712" s="174"/>
      <c r="E712" s="174"/>
      <c r="F712" s="175"/>
      <c r="G712" s="175">
        <f t="shared" si="65"/>
        <v>0</v>
      </c>
      <c r="H712" s="176">
        <v>0.05</v>
      </c>
      <c r="I712" s="177">
        <f t="shared" si="66"/>
        <v>0</v>
      </c>
      <c r="J712" s="177">
        <f t="shared" si="67"/>
        <v>0</v>
      </c>
      <c r="K712" s="291"/>
      <c r="L712" s="292"/>
      <c r="M712" s="293"/>
      <c r="N712" s="293">
        <f t="shared" si="68"/>
        <v>0</v>
      </c>
      <c r="O712" s="298">
        <f t="shared" si="69"/>
        <v>0</v>
      </c>
      <c r="P712" s="302"/>
    </row>
    <row r="713" spans="2:16" ht="15">
      <c r="B713" s="172"/>
      <c r="C713" s="173"/>
      <c r="D713" s="174"/>
      <c r="E713" s="174"/>
      <c r="F713" s="175"/>
      <c r="G713" s="175">
        <f t="shared" si="65"/>
        <v>0</v>
      </c>
      <c r="H713" s="176">
        <v>0.05</v>
      </c>
      <c r="I713" s="177">
        <f t="shared" si="66"/>
        <v>0</v>
      </c>
      <c r="J713" s="177">
        <f t="shared" si="67"/>
        <v>0</v>
      </c>
      <c r="K713" s="291"/>
      <c r="L713" s="292"/>
      <c r="M713" s="293"/>
      <c r="N713" s="293">
        <f t="shared" si="68"/>
        <v>0</v>
      </c>
      <c r="O713" s="298">
        <f t="shared" si="69"/>
        <v>0</v>
      </c>
      <c r="P713" s="302"/>
    </row>
    <row r="714" spans="2:16" ht="15">
      <c r="B714" s="172"/>
      <c r="C714" s="173"/>
      <c r="D714" s="174"/>
      <c r="E714" s="174"/>
      <c r="F714" s="175"/>
      <c r="G714" s="175">
        <f t="shared" si="65"/>
        <v>0</v>
      </c>
      <c r="H714" s="176">
        <v>0.05</v>
      </c>
      <c r="I714" s="177">
        <f t="shared" si="66"/>
        <v>0</v>
      </c>
      <c r="J714" s="177">
        <f t="shared" si="67"/>
        <v>0</v>
      </c>
      <c r="K714" s="291"/>
      <c r="L714" s="292"/>
      <c r="M714" s="293"/>
      <c r="N714" s="293">
        <f t="shared" si="68"/>
        <v>0</v>
      </c>
      <c r="O714" s="298">
        <f t="shared" si="69"/>
        <v>0</v>
      </c>
      <c r="P714" s="302"/>
    </row>
    <row r="715" spans="2:16" ht="15">
      <c r="B715" s="172"/>
      <c r="C715" s="173"/>
      <c r="D715" s="174"/>
      <c r="E715" s="174"/>
      <c r="F715" s="175"/>
      <c r="G715" s="175">
        <f t="shared" si="65"/>
        <v>0</v>
      </c>
      <c r="H715" s="176">
        <v>0.05</v>
      </c>
      <c r="I715" s="177">
        <f t="shared" si="66"/>
        <v>0</v>
      </c>
      <c r="J715" s="177">
        <f t="shared" si="67"/>
        <v>0</v>
      </c>
      <c r="K715" s="291"/>
      <c r="L715" s="292"/>
      <c r="M715" s="293"/>
      <c r="N715" s="293">
        <f t="shared" si="68"/>
        <v>0</v>
      </c>
      <c r="O715" s="298">
        <f t="shared" si="69"/>
        <v>0</v>
      </c>
      <c r="P715" s="302"/>
    </row>
    <row r="716" spans="2:16" ht="15">
      <c r="B716" s="172"/>
      <c r="C716" s="173"/>
      <c r="D716" s="174"/>
      <c r="E716" s="174"/>
      <c r="F716" s="175"/>
      <c r="G716" s="175">
        <f t="shared" si="65"/>
        <v>0</v>
      </c>
      <c r="H716" s="176">
        <v>0.05</v>
      </c>
      <c r="I716" s="177">
        <f t="shared" si="66"/>
        <v>0</v>
      </c>
      <c r="J716" s="177">
        <f t="shared" si="67"/>
        <v>0</v>
      </c>
      <c r="K716" s="291"/>
      <c r="L716" s="292"/>
      <c r="M716" s="293"/>
      <c r="N716" s="293">
        <f t="shared" si="68"/>
        <v>0</v>
      </c>
      <c r="O716" s="298">
        <f t="shared" si="69"/>
        <v>0</v>
      </c>
      <c r="P716" s="302"/>
    </row>
    <row r="717" spans="2:16" ht="15">
      <c r="B717" s="172"/>
      <c r="C717" s="173"/>
      <c r="D717" s="174"/>
      <c r="E717" s="174"/>
      <c r="F717" s="175"/>
      <c r="G717" s="175">
        <f t="shared" si="65"/>
        <v>0</v>
      </c>
      <c r="H717" s="176">
        <v>0.05</v>
      </c>
      <c r="I717" s="177">
        <f t="shared" si="66"/>
        <v>0</v>
      </c>
      <c r="J717" s="177">
        <f t="shared" si="67"/>
        <v>0</v>
      </c>
      <c r="K717" s="291"/>
      <c r="L717" s="292"/>
      <c r="M717" s="293"/>
      <c r="N717" s="293">
        <f t="shared" si="68"/>
        <v>0</v>
      </c>
      <c r="O717" s="298">
        <f t="shared" si="69"/>
        <v>0</v>
      </c>
      <c r="P717" s="302"/>
    </row>
    <row r="718" spans="2:16" ht="15">
      <c r="B718" s="172"/>
      <c r="C718" s="173"/>
      <c r="D718" s="174"/>
      <c r="E718" s="174"/>
      <c r="F718" s="175"/>
      <c r="G718" s="175">
        <f t="shared" si="65"/>
        <v>0</v>
      </c>
      <c r="H718" s="176">
        <v>0.05</v>
      </c>
      <c r="I718" s="177">
        <f t="shared" si="66"/>
        <v>0</v>
      </c>
      <c r="J718" s="177">
        <f t="shared" si="67"/>
        <v>0</v>
      </c>
      <c r="K718" s="291"/>
      <c r="L718" s="292"/>
      <c r="M718" s="293"/>
      <c r="N718" s="293">
        <f t="shared" si="68"/>
        <v>0</v>
      </c>
      <c r="O718" s="298">
        <f t="shared" si="69"/>
        <v>0</v>
      </c>
      <c r="P718" s="302"/>
    </row>
    <row r="719" spans="2:16" ht="15">
      <c r="B719" s="172"/>
      <c r="C719" s="173"/>
      <c r="D719" s="174"/>
      <c r="E719" s="174"/>
      <c r="F719" s="175"/>
      <c r="G719" s="175">
        <f t="shared" si="65"/>
        <v>0</v>
      </c>
      <c r="H719" s="176">
        <v>0.05</v>
      </c>
      <c r="I719" s="177">
        <f t="shared" si="66"/>
        <v>0</v>
      </c>
      <c r="J719" s="177">
        <f t="shared" si="67"/>
        <v>0</v>
      </c>
      <c r="K719" s="291"/>
      <c r="L719" s="292"/>
      <c r="M719" s="293"/>
      <c r="N719" s="293">
        <f t="shared" si="68"/>
        <v>0</v>
      </c>
      <c r="O719" s="298">
        <f t="shared" si="69"/>
        <v>0</v>
      </c>
      <c r="P719" s="302"/>
    </row>
    <row r="720" spans="2:16" ht="15">
      <c r="B720" s="172"/>
      <c r="C720" s="173"/>
      <c r="D720" s="174"/>
      <c r="E720" s="174"/>
      <c r="F720" s="175"/>
      <c r="G720" s="175">
        <f t="shared" si="65"/>
        <v>0</v>
      </c>
      <c r="H720" s="176">
        <v>0.05</v>
      </c>
      <c r="I720" s="177">
        <f t="shared" si="66"/>
        <v>0</v>
      </c>
      <c r="J720" s="177">
        <f t="shared" si="67"/>
        <v>0</v>
      </c>
      <c r="K720" s="291"/>
      <c r="L720" s="292"/>
      <c r="M720" s="293"/>
      <c r="N720" s="293">
        <f t="shared" si="68"/>
        <v>0</v>
      </c>
      <c r="O720" s="298">
        <f t="shared" si="69"/>
        <v>0</v>
      </c>
      <c r="P720" s="302"/>
    </row>
    <row r="721" spans="2:16" ht="15">
      <c r="B721" s="172"/>
      <c r="C721" s="173"/>
      <c r="D721" s="174"/>
      <c r="E721" s="174"/>
      <c r="F721" s="175"/>
      <c r="G721" s="175">
        <f t="shared" si="65"/>
        <v>0</v>
      </c>
      <c r="H721" s="176">
        <v>0.05</v>
      </c>
      <c r="I721" s="177">
        <f t="shared" si="66"/>
        <v>0</v>
      </c>
      <c r="J721" s="177">
        <f t="shared" si="67"/>
        <v>0</v>
      </c>
      <c r="K721" s="291"/>
      <c r="L721" s="292"/>
      <c r="M721" s="293"/>
      <c r="N721" s="293">
        <f t="shared" si="68"/>
        <v>0</v>
      </c>
      <c r="O721" s="298">
        <f t="shared" si="69"/>
        <v>0</v>
      </c>
      <c r="P721" s="302"/>
    </row>
    <row r="722" spans="2:16" ht="15">
      <c r="B722" s="172"/>
      <c r="C722" s="173"/>
      <c r="D722" s="174"/>
      <c r="E722" s="174"/>
      <c r="F722" s="175"/>
      <c r="G722" s="175">
        <f t="shared" si="65"/>
        <v>0</v>
      </c>
      <c r="H722" s="176">
        <v>0.05</v>
      </c>
      <c r="I722" s="177">
        <f t="shared" si="66"/>
        <v>0</v>
      </c>
      <c r="J722" s="177">
        <f t="shared" si="67"/>
        <v>0</v>
      </c>
      <c r="K722" s="291"/>
      <c r="L722" s="292"/>
      <c r="M722" s="293"/>
      <c r="N722" s="293">
        <f t="shared" si="68"/>
        <v>0</v>
      </c>
      <c r="O722" s="298">
        <f t="shared" si="69"/>
        <v>0</v>
      </c>
      <c r="P722" s="302"/>
    </row>
    <row r="723" spans="2:16" ht="15">
      <c r="B723" s="172"/>
      <c r="C723" s="173"/>
      <c r="D723" s="174"/>
      <c r="E723" s="174"/>
      <c r="F723" s="175"/>
      <c r="G723" s="175">
        <f t="shared" si="65"/>
        <v>0</v>
      </c>
      <c r="H723" s="176">
        <v>0.05</v>
      </c>
      <c r="I723" s="177">
        <f t="shared" si="66"/>
        <v>0</v>
      </c>
      <c r="J723" s="177">
        <f t="shared" si="67"/>
        <v>0</v>
      </c>
      <c r="K723" s="291"/>
      <c r="L723" s="292"/>
      <c r="M723" s="293"/>
      <c r="N723" s="293">
        <f t="shared" si="68"/>
        <v>0</v>
      </c>
      <c r="O723" s="298">
        <f t="shared" si="69"/>
        <v>0</v>
      </c>
      <c r="P723" s="302"/>
    </row>
    <row r="724" spans="2:16" ht="15">
      <c r="B724" s="172"/>
      <c r="C724" s="173"/>
      <c r="D724" s="174"/>
      <c r="E724" s="174"/>
      <c r="F724" s="175"/>
      <c r="G724" s="175">
        <f t="shared" si="65"/>
        <v>0</v>
      </c>
      <c r="H724" s="176">
        <v>0.05</v>
      </c>
      <c r="I724" s="177">
        <f t="shared" si="66"/>
        <v>0</v>
      </c>
      <c r="J724" s="177">
        <f t="shared" si="67"/>
        <v>0</v>
      </c>
      <c r="K724" s="291"/>
      <c r="L724" s="292"/>
      <c r="M724" s="293"/>
      <c r="N724" s="293">
        <f t="shared" si="68"/>
        <v>0</v>
      </c>
      <c r="O724" s="298">
        <f t="shared" si="69"/>
        <v>0</v>
      </c>
      <c r="P724" s="302"/>
    </row>
    <row r="725" spans="2:16" ht="15">
      <c r="B725" s="172"/>
      <c r="C725" s="173"/>
      <c r="D725" s="174"/>
      <c r="E725" s="174"/>
      <c r="F725" s="175"/>
      <c r="G725" s="175">
        <f t="shared" si="65"/>
        <v>0</v>
      </c>
      <c r="H725" s="176">
        <v>0.05</v>
      </c>
      <c r="I725" s="177">
        <f t="shared" si="66"/>
        <v>0</v>
      </c>
      <c r="J725" s="177">
        <f t="shared" si="67"/>
        <v>0</v>
      </c>
      <c r="K725" s="291"/>
      <c r="L725" s="292"/>
      <c r="M725" s="293"/>
      <c r="N725" s="293">
        <f t="shared" si="68"/>
        <v>0</v>
      </c>
      <c r="O725" s="298">
        <f t="shared" si="69"/>
        <v>0</v>
      </c>
      <c r="P725" s="302"/>
    </row>
    <row r="726" spans="2:16" ht="15">
      <c r="B726" s="172"/>
      <c r="C726" s="173"/>
      <c r="D726" s="174"/>
      <c r="E726" s="174"/>
      <c r="F726" s="175"/>
      <c r="G726" s="175">
        <f t="shared" si="65"/>
        <v>0</v>
      </c>
      <c r="H726" s="176">
        <v>0.05</v>
      </c>
      <c r="I726" s="177">
        <f t="shared" si="66"/>
        <v>0</v>
      </c>
      <c r="J726" s="177">
        <f t="shared" si="67"/>
        <v>0</v>
      </c>
      <c r="K726" s="291"/>
      <c r="L726" s="292"/>
      <c r="M726" s="293"/>
      <c r="N726" s="293">
        <f t="shared" si="68"/>
        <v>0</v>
      </c>
      <c r="O726" s="298">
        <f t="shared" si="69"/>
        <v>0</v>
      </c>
      <c r="P726" s="302"/>
    </row>
    <row r="727" spans="2:16" ht="15">
      <c r="B727" s="172"/>
      <c r="C727" s="173"/>
      <c r="D727" s="174"/>
      <c r="E727" s="174"/>
      <c r="F727" s="175"/>
      <c r="G727" s="175">
        <f t="shared" si="65"/>
        <v>0</v>
      </c>
      <c r="H727" s="176">
        <v>0.05</v>
      </c>
      <c r="I727" s="177">
        <f t="shared" si="66"/>
        <v>0</v>
      </c>
      <c r="J727" s="177">
        <f t="shared" si="67"/>
        <v>0</v>
      </c>
      <c r="K727" s="291"/>
      <c r="L727" s="292"/>
      <c r="M727" s="293"/>
      <c r="N727" s="293">
        <f t="shared" si="68"/>
        <v>0</v>
      </c>
      <c r="O727" s="298">
        <f t="shared" si="69"/>
        <v>0</v>
      </c>
      <c r="P727" s="302"/>
    </row>
    <row r="728" spans="2:16" ht="15">
      <c r="B728" s="172"/>
      <c r="C728" s="173"/>
      <c r="D728" s="174"/>
      <c r="E728" s="174"/>
      <c r="F728" s="175"/>
      <c r="G728" s="175">
        <f t="shared" si="65"/>
        <v>0</v>
      </c>
      <c r="H728" s="176">
        <v>0.05</v>
      </c>
      <c r="I728" s="177">
        <f t="shared" si="66"/>
        <v>0</v>
      </c>
      <c r="J728" s="177">
        <f t="shared" si="67"/>
        <v>0</v>
      </c>
      <c r="K728" s="291"/>
      <c r="L728" s="292"/>
      <c r="M728" s="293"/>
      <c r="N728" s="293">
        <f t="shared" si="68"/>
        <v>0</v>
      </c>
      <c r="O728" s="298">
        <f t="shared" si="69"/>
        <v>0</v>
      </c>
      <c r="P728" s="302"/>
    </row>
    <row r="729" spans="2:16" ht="15">
      <c r="B729" s="172"/>
      <c r="C729" s="173"/>
      <c r="D729" s="174"/>
      <c r="E729" s="174"/>
      <c r="F729" s="175"/>
      <c r="G729" s="175">
        <f t="shared" si="65"/>
        <v>0</v>
      </c>
      <c r="H729" s="176">
        <v>0.05</v>
      </c>
      <c r="I729" s="177">
        <f t="shared" si="66"/>
        <v>0</v>
      </c>
      <c r="J729" s="177">
        <f t="shared" si="67"/>
        <v>0</v>
      </c>
      <c r="K729" s="291"/>
      <c r="L729" s="292"/>
      <c r="M729" s="293"/>
      <c r="N729" s="293">
        <f t="shared" si="68"/>
        <v>0</v>
      </c>
      <c r="O729" s="298">
        <f t="shared" si="69"/>
        <v>0</v>
      </c>
      <c r="P729" s="302"/>
    </row>
    <row r="730" spans="2:16" ht="15">
      <c r="B730" s="172"/>
      <c r="C730" s="173"/>
      <c r="D730" s="174"/>
      <c r="E730" s="174"/>
      <c r="F730" s="175"/>
      <c r="G730" s="175">
        <f t="shared" si="65"/>
        <v>0</v>
      </c>
      <c r="H730" s="176">
        <v>0.05</v>
      </c>
      <c r="I730" s="177">
        <f t="shared" si="66"/>
        <v>0</v>
      </c>
      <c r="J730" s="177">
        <f t="shared" si="67"/>
        <v>0</v>
      </c>
      <c r="K730" s="291"/>
      <c r="L730" s="292"/>
      <c r="M730" s="293"/>
      <c r="N730" s="293">
        <f t="shared" si="68"/>
        <v>0</v>
      </c>
      <c r="O730" s="298">
        <f t="shared" si="69"/>
        <v>0</v>
      </c>
      <c r="P730" s="302"/>
    </row>
    <row r="731" spans="2:16" ht="15">
      <c r="B731" s="172"/>
      <c r="C731" s="173"/>
      <c r="D731" s="174"/>
      <c r="E731" s="174"/>
      <c r="F731" s="175"/>
      <c r="G731" s="175">
        <f t="shared" si="65"/>
        <v>0</v>
      </c>
      <c r="H731" s="176">
        <v>0.05</v>
      </c>
      <c r="I731" s="177">
        <f t="shared" si="66"/>
        <v>0</v>
      </c>
      <c r="J731" s="177">
        <f t="shared" si="67"/>
        <v>0</v>
      </c>
      <c r="K731" s="291"/>
      <c r="L731" s="292"/>
      <c r="M731" s="293"/>
      <c r="N731" s="293">
        <f t="shared" si="68"/>
        <v>0</v>
      </c>
      <c r="O731" s="298">
        <f t="shared" si="69"/>
        <v>0</v>
      </c>
      <c r="P731" s="302"/>
    </row>
    <row r="732" spans="2:16" ht="15">
      <c r="B732" s="172"/>
      <c r="C732" s="173"/>
      <c r="D732" s="174"/>
      <c r="E732" s="174"/>
      <c r="F732" s="175"/>
      <c r="G732" s="175">
        <f t="shared" ref="G732:G771" si="70">IF(D732=0,0,(D732+E732)/F732)</f>
        <v>0</v>
      </c>
      <c r="H732" s="176">
        <v>0.05</v>
      </c>
      <c r="I732" s="177">
        <f t="shared" ref="I732:I771" si="71">+G732*H732</f>
        <v>0</v>
      </c>
      <c r="J732" s="177">
        <f t="shared" ref="J732:J771" si="72">+G732+I732</f>
        <v>0</v>
      </c>
      <c r="K732" s="291"/>
      <c r="L732" s="292"/>
      <c r="M732" s="293"/>
      <c r="N732" s="293">
        <f t="shared" ref="N732:N771" si="73">IF(H732&lt;M732,H732/M732,0)</f>
        <v>0</v>
      </c>
      <c r="O732" s="298">
        <f t="shared" ref="O732:O771" si="74">1.5%*N732</f>
        <v>0</v>
      </c>
      <c r="P732" s="302"/>
    </row>
    <row r="733" spans="2:16" ht="15">
      <c r="B733" s="172"/>
      <c r="C733" s="173"/>
      <c r="D733" s="174"/>
      <c r="E733" s="174"/>
      <c r="F733" s="175"/>
      <c r="G733" s="175">
        <f t="shared" si="70"/>
        <v>0</v>
      </c>
      <c r="H733" s="176">
        <v>0.05</v>
      </c>
      <c r="I733" s="177">
        <f t="shared" si="71"/>
        <v>0</v>
      </c>
      <c r="J733" s="177">
        <f t="shared" si="72"/>
        <v>0</v>
      </c>
      <c r="K733" s="291"/>
      <c r="L733" s="292"/>
      <c r="M733" s="293"/>
      <c r="N733" s="293">
        <f t="shared" si="73"/>
        <v>0</v>
      </c>
      <c r="O733" s="298">
        <f t="shared" si="74"/>
        <v>0</v>
      </c>
      <c r="P733" s="302"/>
    </row>
    <row r="734" spans="2:16" ht="15">
      <c r="B734" s="172"/>
      <c r="C734" s="173"/>
      <c r="D734" s="174"/>
      <c r="E734" s="174"/>
      <c r="F734" s="175"/>
      <c r="G734" s="175">
        <f t="shared" si="70"/>
        <v>0</v>
      </c>
      <c r="H734" s="176">
        <v>0.05</v>
      </c>
      <c r="I734" s="177">
        <f t="shared" si="71"/>
        <v>0</v>
      </c>
      <c r="J734" s="177">
        <f t="shared" si="72"/>
        <v>0</v>
      </c>
      <c r="K734" s="291"/>
      <c r="L734" s="292"/>
      <c r="M734" s="293"/>
      <c r="N734" s="293">
        <f t="shared" si="73"/>
        <v>0</v>
      </c>
      <c r="O734" s="298">
        <f t="shared" si="74"/>
        <v>0</v>
      </c>
      <c r="P734" s="302"/>
    </row>
    <row r="735" spans="2:16" ht="15">
      <c r="B735" s="172"/>
      <c r="C735" s="173"/>
      <c r="D735" s="174"/>
      <c r="E735" s="174"/>
      <c r="F735" s="175"/>
      <c r="G735" s="175">
        <f t="shared" si="70"/>
        <v>0</v>
      </c>
      <c r="H735" s="176">
        <v>0.05</v>
      </c>
      <c r="I735" s="177">
        <f t="shared" si="71"/>
        <v>0</v>
      </c>
      <c r="J735" s="177">
        <f t="shared" si="72"/>
        <v>0</v>
      </c>
      <c r="K735" s="291"/>
      <c r="L735" s="292"/>
      <c r="M735" s="293"/>
      <c r="N735" s="293">
        <f t="shared" si="73"/>
        <v>0</v>
      </c>
      <c r="O735" s="298">
        <f t="shared" si="74"/>
        <v>0</v>
      </c>
      <c r="P735" s="302"/>
    </row>
    <row r="736" spans="2:16" ht="15">
      <c r="B736" s="172"/>
      <c r="C736" s="173"/>
      <c r="D736" s="174"/>
      <c r="E736" s="174"/>
      <c r="F736" s="175"/>
      <c r="G736" s="175">
        <f t="shared" si="70"/>
        <v>0</v>
      </c>
      <c r="H736" s="176">
        <v>0.05</v>
      </c>
      <c r="I736" s="177">
        <f t="shared" si="71"/>
        <v>0</v>
      </c>
      <c r="J736" s="177">
        <f t="shared" si="72"/>
        <v>0</v>
      </c>
      <c r="K736" s="291"/>
      <c r="L736" s="292"/>
      <c r="M736" s="293"/>
      <c r="N736" s="293">
        <f t="shared" si="73"/>
        <v>0</v>
      </c>
      <c r="O736" s="298">
        <f t="shared" si="74"/>
        <v>0</v>
      </c>
      <c r="P736" s="302"/>
    </row>
    <row r="737" spans="2:16" ht="15">
      <c r="B737" s="172"/>
      <c r="C737" s="173"/>
      <c r="D737" s="174"/>
      <c r="E737" s="174"/>
      <c r="F737" s="175"/>
      <c r="G737" s="175">
        <f t="shared" si="70"/>
        <v>0</v>
      </c>
      <c r="H737" s="176">
        <v>0.05</v>
      </c>
      <c r="I737" s="177">
        <f t="shared" si="71"/>
        <v>0</v>
      </c>
      <c r="J737" s="177">
        <f t="shared" si="72"/>
        <v>0</v>
      </c>
      <c r="K737" s="291"/>
      <c r="L737" s="292"/>
      <c r="M737" s="293"/>
      <c r="N737" s="293">
        <f t="shared" si="73"/>
        <v>0</v>
      </c>
      <c r="O737" s="298">
        <f t="shared" si="74"/>
        <v>0</v>
      </c>
      <c r="P737" s="302"/>
    </row>
    <row r="738" spans="2:16" ht="15">
      <c r="B738" s="172"/>
      <c r="C738" s="173"/>
      <c r="D738" s="174"/>
      <c r="E738" s="174"/>
      <c r="F738" s="175"/>
      <c r="G738" s="175">
        <f t="shared" si="70"/>
        <v>0</v>
      </c>
      <c r="H738" s="176">
        <v>0.05</v>
      </c>
      <c r="I738" s="177">
        <f t="shared" si="71"/>
        <v>0</v>
      </c>
      <c r="J738" s="177">
        <f t="shared" si="72"/>
        <v>0</v>
      </c>
      <c r="K738" s="291"/>
      <c r="L738" s="292"/>
      <c r="M738" s="293"/>
      <c r="N738" s="293">
        <f t="shared" si="73"/>
        <v>0</v>
      </c>
      <c r="O738" s="298">
        <f t="shared" si="74"/>
        <v>0</v>
      </c>
      <c r="P738" s="302"/>
    </row>
    <row r="739" spans="2:16" ht="15">
      <c r="B739" s="172"/>
      <c r="C739" s="173"/>
      <c r="D739" s="174"/>
      <c r="E739" s="174"/>
      <c r="F739" s="175"/>
      <c r="G739" s="175">
        <f t="shared" si="70"/>
        <v>0</v>
      </c>
      <c r="H739" s="176">
        <v>0.05</v>
      </c>
      <c r="I739" s="177">
        <f t="shared" si="71"/>
        <v>0</v>
      </c>
      <c r="J739" s="177">
        <f t="shared" si="72"/>
        <v>0</v>
      </c>
      <c r="K739" s="291"/>
      <c r="L739" s="292"/>
      <c r="M739" s="293"/>
      <c r="N739" s="293">
        <f t="shared" si="73"/>
        <v>0</v>
      </c>
      <c r="O739" s="298">
        <f t="shared" si="74"/>
        <v>0</v>
      </c>
      <c r="P739" s="302"/>
    </row>
    <row r="740" spans="2:16" ht="15">
      <c r="B740" s="172"/>
      <c r="C740" s="173"/>
      <c r="D740" s="174"/>
      <c r="E740" s="174"/>
      <c r="F740" s="175"/>
      <c r="G740" s="175">
        <f t="shared" si="70"/>
        <v>0</v>
      </c>
      <c r="H740" s="176">
        <v>0.05</v>
      </c>
      <c r="I740" s="177">
        <f t="shared" si="71"/>
        <v>0</v>
      </c>
      <c r="J740" s="177">
        <f t="shared" si="72"/>
        <v>0</v>
      </c>
      <c r="K740" s="291"/>
      <c r="L740" s="292"/>
      <c r="M740" s="293"/>
      <c r="N740" s="293">
        <f t="shared" si="73"/>
        <v>0</v>
      </c>
      <c r="O740" s="298">
        <f t="shared" si="74"/>
        <v>0</v>
      </c>
      <c r="P740" s="302"/>
    </row>
    <row r="741" spans="2:16" ht="15">
      <c r="B741" s="172"/>
      <c r="C741" s="173"/>
      <c r="D741" s="174"/>
      <c r="E741" s="174"/>
      <c r="F741" s="175"/>
      <c r="G741" s="175">
        <f t="shared" si="70"/>
        <v>0</v>
      </c>
      <c r="H741" s="176">
        <v>0.05</v>
      </c>
      <c r="I741" s="177">
        <f t="shared" si="71"/>
        <v>0</v>
      </c>
      <c r="J741" s="177">
        <f t="shared" si="72"/>
        <v>0</v>
      </c>
      <c r="K741" s="291"/>
      <c r="L741" s="292"/>
      <c r="M741" s="293"/>
      <c r="N741" s="293">
        <f t="shared" si="73"/>
        <v>0</v>
      </c>
      <c r="O741" s="298">
        <f t="shared" si="74"/>
        <v>0</v>
      </c>
      <c r="P741" s="302"/>
    </row>
    <row r="742" spans="2:16" ht="15">
      <c r="B742" s="172"/>
      <c r="C742" s="173"/>
      <c r="D742" s="174"/>
      <c r="E742" s="174"/>
      <c r="F742" s="175"/>
      <c r="G742" s="175">
        <f t="shared" si="70"/>
        <v>0</v>
      </c>
      <c r="H742" s="176">
        <v>0.05</v>
      </c>
      <c r="I742" s="177">
        <f t="shared" si="71"/>
        <v>0</v>
      </c>
      <c r="J742" s="177">
        <f t="shared" si="72"/>
        <v>0</v>
      </c>
      <c r="K742" s="291"/>
      <c r="L742" s="292"/>
      <c r="M742" s="293"/>
      <c r="N742" s="293">
        <f t="shared" si="73"/>
        <v>0</v>
      </c>
      <c r="O742" s="298">
        <f t="shared" si="74"/>
        <v>0</v>
      </c>
      <c r="P742" s="302"/>
    </row>
    <row r="743" spans="2:16" ht="15">
      <c r="B743" s="172"/>
      <c r="C743" s="173"/>
      <c r="D743" s="174"/>
      <c r="E743" s="174"/>
      <c r="F743" s="175"/>
      <c r="G743" s="175">
        <f t="shared" si="70"/>
        <v>0</v>
      </c>
      <c r="H743" s="176">
        <v>0.05</v>
      </c>
      <c r="I743" s="177">
        <f t="shared" si="71"/>
        <v>0</v>
      </c>
      <c r="J743" s="177">
        <f t="shared" si="72"/>
        <v>0</v>
      </c>
      <c r="K743" s="291"/>
      <c r="L743" s="292"/>
      <c r="M743" s="293"/>
      <c r="N743" s="293">
        <f t="shared" si="73"/>
        <v>0</v>
      </c>
      <c r="O743" s="298">
        <f t="shared" si="74"/>
        <v>0</v>
      </c>
      <c r="P743" s="302"/>
    </row>
    <row r="744" spans="2:16" ht="15">
      <c r="B744" s="172"/>
      <c r="C744" s="173"/>
      <c r="D744" s="174"/>
      <c r="E744" s="174"/>
      <c r="F744" s="175"/>
      <c r="G744" s="175">
        <f t="shared" si="70"/>
        <v>0</v>
      </c>
      <c r="H744" s="176">
        <v>0.05</v>
      </c>
      <c r="I744" s="177">
        <f t="shared" si="71"/>
        <v>0</v>
      </c>
      <c r="J744" s="177">
        <f t="shared" si="72"/>
        <v>0</v>
      </c>
      <c r="K744" s="291"/>
      <c r="L744" s="292"/>
      <c r="M744" s="293"/>
      <c r="N744" s="293">
        <f t="shared" si="73"/>
        <v>0</v>
      </c>
      <c r="O744" s="298">
        <f t="shared" si="74"/>
        <v>0</v>
      </c>
      <c r="P744" s="302"/>
    </row>
    <row r="745" spans="2:16" ht="15">
      <c r="B745" s="172"/>
      <c r="C745" s="173"/>
      <c r="D745" s="174"/>
      <c r="E745" s="174"/>
      <c r="F745" s="175"/>
      <c r="G745" s="175">
        <f t="shared" si="70"/>
        <v>0</v>
      </c>
      <c r="H745" s="176">
        <v>0.05</v>
      </c>
      <c r="I745" s="177">
        <f t="shared" si="71"/>
        <v>0</v>
      </c>
      <c r="J745" s="177">
        <f t="shared" si="72"/>
        <v>0</v>
      </c>
      <c r="K745" s="291"/>
      <c r="L745" s="292"/>
      <c r="M745" s="293"/>
      <c r="N745" s="293">
        <f t="shared" si="73"/>
        <v>0</v>
      </c>
      <c r="O745" s="298">
        <f t="shared" si="74"/>
        <v>0</v>
      </c>
      <c r="P745" s="302"/>
    </row>
    <row r="746" spans="2:16" ht="15">
      <c r="B746" s="172"/>
      <c r="C746" s="173"/>
      <c r="D746" s="174"/>
      <c r="E746" s="174"/>
      <c r="F746" s="175"/>
      <c r="G746" s="175">
        <f t="shared" si="70"/>
        <v>0</v>
      </c>
      <c r="H746" s="176">
        <v>0.05</v>
      </c>
      <c r="I746" s="177">
        <f t="shared" si="71"/>
        <v>0</v>
      </c>
      <c r="J746" s="177">
        <f t="shared" si="72"/>
        <v>0</v>
      </c>
      <c r="K746" s="291"/>
      <c r="L746" s="292"/>
      <c r="M746" s="293"/>
      <c r="N746" s="293">
        <f t="shared" si="73"/>
        <v>0</v>
      </c>
      <c r="O746" s="298">
        <f t="shared" si="74"/>
        <v>0</v>
      </c>
      <c r="P746" s="302"/>
    </row>
    <row r="747" spans="2:16" ht="15">
      <c r="B747" s="172"/>
      <c r="C747" s="173"/>
      <c r="D747" s="174"/>
      <c r="E747" s="174"/>
      <c r="F747" s="175"/>
      <c r="G747" s="175">
        <f t="shared" si="70"/>
        <v>0</v>
      </c>
      <c r="H747" s="176">
        <v>0.05</v>
      </c>
      <c r="I747" s="177">
        <f t="shared" si="71"/>
        <v>0</v>
      </c>
      <c r="J747" s="177">
        <f t="shared" si="72"/>
        <v>0</v>
      </c>
      <c r="K747" s="291"/>
      <c r="L747" s="292"/>
      <c r="M747" s="293"/>
      <c r="N747" s="293">
        <f t="shared" si="73"/>
        <v>0</v>
      </c>
      <c r="O747" s="298">
        <f t="shared" si="74"/>
        <v>0</v>
      </c>
      <c r="P747" s="302"/>
    </row>
    <row r="748" spans="2:16" ht="15">
      <c r="B748" s="172"/>
      <c r="C748" s="173"/>
      <c r="D748" s="174"/>
      <c r="E748" s="174"/>
      <c r="F748" s="175"/>
      <c r="G748" s="175">
        <f t="shared" si="70"/>
        <v>0</v>
      </c>
      <c r="H748" s="176">
        <v>0.05</v>
      </c>
      <c r="I748" s="177">
        <f t="shared" si="71"/>
        <v>0</v>
      </c>
      <c r="J748" s="177">
        <f t="shared" si="72"/>
        <v>0</v>
      </c>
      <c r="K748" s="291"/>
      <c r="L748" s="292"/>
      <c r="M748" s="293"/>
      <c r="N748" s="293">
        <f t="shared" si="73"/>
        <v>0</v>
      </c>
      <c r="O748" s="298">
        <f t="shared" si="74"/>
        <v>0</v>
      </c>
      <c r="P748" s="302"/>
    </row>
    <row r="749" spans="2:16" ht="15">
      <c r="B749" s="172"/>
      <c r="C749" s="173"/>
      <c r="D749" s="174"/>
      <c r="E749" s="174"/>
      <c r="F749" s="175"/>
      <c r="G749" s="175">
        <f t="shared" si="70"/>
        <v>0</v>
      </c>
      <c r="H749" s="176">
        <v>0.05</v>
      </c>
      <c r="I749" s="177">
        <f t="shared" si="71"/>
        <v>0</v>
      </c>
      <c r="J749" s="177">
        <f t="shared" si="72"/>
        <v>0</v>
      </c>
      <c r="K749" s="291"/>
      <c r="L749" s="292"/>
      <c r="M749" s="293"/>
      <c r="N749" s="293">
        <f t="shared" si="73"/>
        <v>0</v>
      </c>
      <c r="O749" s="298">
        <f t="shared" si="74"/>
        <v>0</v>
      </c>
      <c r="P749" s="302"/>
    </row>
    <row r="750" spans="2:16" ht="15">
      <c r="B750" s="172"/>
      <c r="C750" s="173"/>
      <c r="D750" s="174"/>
      <c r="E750" s="174"/>
      <c r="F750" s="175"/>
      <c r="G750" s="175">
        <f t="shared" si="70"/>
        <v>0</v>
      </c>
      <c r="H750" s="176">
        <v>0.05</v>
      </c>
      <c r="I750" s="177">
        <f t="shared" si="71"/>
        <v>0</v>
      </c>
      <c r="J750" s="177">
        <f t="shared" si="72"/>
        <v>0</v>
      </c>
      <c r="K750" s="291"/>
      <c r="L750" s="292"/>
      <c r="M750" s="293"/>
      <c r="N750" s="293">
        <f t="shared" si="73"/>
        <v>0</v>
      </c>
      <c r="O750" s="298">
        <f t="shared" si="74"/>
        <v>0</v>
      </c>
      <c r="P750" s="302"/>
    </row>
    <row r="751" spans="2:16" ht="15">
      <c r="B751" s="172"/>
      <c r="C751" s="173"/>
      <c r="D751" s="174"/>
      <c r="E751" s="174"/>
      <c r="F751" s="175"/>
      <c r="G751" s="175">
        <f t="shared" si="70"/>
        <v>0</v>
      </c>
      <c r="H751" s="176">
        <v>0.05</v>
      </c>
      <c r="I751" s="177">
        <f t="shared" si="71"/>
        <v>0</v>
      </c>
      <c r="J751" s="177">
        <f t="shared" si="72"/>
        <v>0</v>
      </c>
      <c r="K751" s="291"/>
      <c r="L751" s="292"/>
      <c r="M751" s="293"/>
      <c r="N751" s="293">
        <f t="shared" si="73"/>
        <v>0</v>
      </c>
      <c r="O751" s="298">
        <f t="shared" si="74"/>
        <v>0</v>
      </c>
      <c r="P751" s="302"/>
    </row>
    <row r="752" spans="2:16" ht="15">
      <c r="B752" s="172"/>
      <c r="C752" s="173"/>
      <c r="D752" s="174"/>
      <c r="E752" s="174"/>
      <c r="F752" s="175"/>
      <c r="G752" s="175">
        <f t="shared" si="70"/>
        <v>0</v>
      </c>
      <c r="H752" s="176">
        <v>0.05</v>
      </c>
      <c r="I752" s="177">
        <f t="shared" si="71"/>
        <v>0</v>
      </c>
      <c r="J752" s="177">
        <f t="shared" si="72"/>
        <v>0</v>
      </c>
      <c r="K752" s="291"/>
      <c r="L752" s="292"/>
      <c r="M752" s="293"/>
      <c r="N752" s="293">
        <f t="shared" si="73"/>
        <v>0</v>
      </c>
      <c r="O752" s="298">
        <f t="shared" si="74"/>
        <v>0</v>
      </c>
      <c r="P752" s="302"/>
    </row>
    <row r="753" spans="2:16" ht="15">
      <c r="B753" s="172"/>
      <c r="C753" s="173"/>
      <c r="D753" s="174"/>
      <c r="E753" s="174"/>
      <c r="F753" s="175"/>
      <c r="G753" s="175">
        <f t="shared" si="70"/>
        <v>0</v>
      </c>
      <c r="H753" s="176">
        <v>0.05</v>
      </c>
      <c r="I753" s="177">
        <f t="shared" si="71"/>
        <v>0</v>
      </c>
      <c r="J753" s="177">
        <f t="shared" si="72"/>
        <v>0</v>
      </c>
      <c r="K753" s="291"/>
      <c r="L753" s="292"/>
      <c r="M753" s="293"/>
      <c r="N753" s="293">
        <f t="shared" si="73"/>
        <v>0</v>
      </c>
      <c r="O753" s="298">
        <f t="shared" si="74"/>
        <v>0</v>
      </c>
      <c r="P753" s="302"/>
    </row>
    <row r="754" spans="2:16" ht="15">
      <c r="B754" s="172"/>
      <c r="C754" s="173"/>
      <c r="D754" s="174"/>
      <c r="E754" s="174"/>
      <c r="F754" s="175"/>
      <c r="G754" s="175">
        <f t="shared" si="70"/>
        <v>0</v>
      </c>
      <c r="H754" s="176">
        <v>0.05</v>
      </c>
      <c r="I754" s="177">
        <f t="shared" si="71"/>
        <v>0</v>
      </c>
      <c r="J754" s="177">
        <f t="shared" si="72"/>
        <v>0</v>
      </c>
      <c r="K754" s="291"/>
      <c r="L754" s="292"/>
      <c r="M754" s="293"/>
      <c r="N754" s="293">
        <f t="shared" si="73"/>
        <v>0</v>
      </c>
      <c r="O754" s="298">
        <f t="shared" si="74"/>
        <v>0</v>
      </c>
      <c r="P754" s="302"/>
    </row>
    <row r="755" spans="2:16" ht="15">
      <c r="B755" s="172"/>
      <c r="C755" s="173"/>
      <c r="D755" s="174"/>
      <c r="E755" s="174"/>
      <c r="F755" s="175"/>
      <c r="G755" s="175">
        <f t="shared" si="70"/>
        <v>0</v>
      </c>
      <c r="H755" s="176">
        <v>0.05</v>
      </c>
      <c r="I755" s="177">
        <f t="shared" si="71"/>
        <v>0</v>
      </c>
      <c r="J755" s="177">
        <f t="shared" si="72"/>
        <v>0</v>
      </c>
      <c r="K755" s="291"/>
      <c r="L755" s="292"/>
      <c r="M755" s="293"/>
      <c r="N755" s="293">
        <f t="shared" si="73"/>
        <v>0</v>
      </c>
      <c r="O755" s="298">
        <f t="shared" si="74"/>
        <v>0</v>
      </c>
      <c r="P755" s="302"/>
    </row>
    <row r="756" spans="2:16" ht="15">
      <c r="B756" s="172"/>
      <c r="C756" s="173"/>
      <c r="D756" s="174"/>
      <c r="E756" s="174"/>
      <c r="F756" s="175"/>
      <c r="G756" s="175">
        <f t="shared" si="70"/>
        <v>0</v>
      </c>
      <c r="H756" s="176">
        <v>0.05</v>
      </c>
      <c r="I756" s="177">
        <f t="shared" si="71"/>
        <v>0</v>
      </c>
      <c r="J756" s="177">
        <f t="shared" si="72"/>
        <v>0</v>
      </c>
      <c r="K756" s="291"/>
      <c r="L756" s="292"/>
      <c r="M756" s="293"/>
      <c r="N756" s="293">
        <f t="shared" si="73"/>
        <v>0</v>
      </c>
      <c r="O756" s="298">
        <f t="shared" si="74"/>
        <v>0</v>
      </c>
      <c r="P756" s="302"/>
    </row>
    <row r="757" spans="2:16" ht="15">
      <c r="B757" s="172"/>
      <c r="C757" s="173"/>
      <c r="D757" s="174"/>
      <c r="E757" s="174"/>
      <c r="F757" s="175"/>
      <c r="G757" s="175">
        <f t="shared" si="70"/>
        <v>0</v>
      </c>
      <c r="H757" s="176">
        <v>0.05</v>
      </c>
      <c r="I757" s="177">
        <f t="shared" si="71"/>
        <v>0</v>
      </c>
      <c r="J757" s="177">
        <f t="shared" si="72"/>
        <v>0</v>
      </c>
      <c r="K757" s="291"/>
      <c r="L757" s="292"/>
      <c r="M757" s="293"/>
      <c r="N757" s="293">
        <f t="shared" si="73"/>
        <v>0</v>
      </c>
      <c r="O757" s="298">
        <f t="shared" si="74"/>
        <v>0</v>
      </c>
      <c r="P757" s="302"/>
    </row>
    <row r="758" spans="2:16" ht="15">
      <c r="B758" s="172"/>
      <c r="C758" s="173"/>
      <c r="D758" s="174"/>
      <c r="E758" s="174"/>
      <c r="F758" s="175"/>
      <c r="G758" s="175">
        <f t="shared" si="70"/>
        <v>0</v>
      </c>
      <c r="H758" s="176">
        <v>0.05</v>
      </c>
      <c r="I758" s="177">
        <f t="shared" si="71"/>
        <v>0</v>
      </c>
      <c r="J758" s="177">
        <f t="shared" si="72"/>
        <v>0</v>
      </c>
      <c r="K758" s="291"/>
      <c r="L758" s="292"/>
      <c r="M758" s="293"/>
      <c r="N758" s="293">
        <f t="shared" si="73"/>
        <v>0</v>
      </c>
      <c r="O758" s="298">
        <f t="shared" si="74"/>
        <v>0</v>
      </c>
      <c r="P758" s="302"/>
    </row>
    <row r="759" spans="2:16" ht="15">
      <c r="B759" s="172"/>
      <c r="C759" s="173"/>
      <c r="D759" s="174"/>
      <c r="E759" s="174"/>
      <c r="F759" s="175"/>
      <c r="G759" s="175">
        <f t="shared" si="70"/>
        <v>0</v>
      </c>
      <c r="H759" s="176">
        <v>0.05</v>
      </c>
      <c r="I759" s="177">
        <f t="shared" si="71"/>
        <v>0</v>
      </c>
      <c r="J759" s="177">
        <f t="shared" si="72"/>
        <v>0</v>
      </c>
      <c r="K759" s="291"/>
      <c r="L759" s="292"/>
      <c r="M759" s="293"/>
      <c r="N759" s="293">
        <f t="shared" si="73"/>
        <v>0</v>
      </c>
      <c r="O759" s="298">
        <f t="shared" si="74"/>
        <v>0</v>
      </c>
      <c r="P759" s="302"/>
    </row>
    <row r="760" spans="2:16" ht="15">
      <c r="B760" s="172"/>
      <c r="C760" s="173"/>
      <c r="D760" s="174"/>
      <c r="E760" s="174"/>
      <c r="F760" s="175"/>
      <c r="G760" s="175">
        <f t="shared" si="70"/>
        <v>0</v>
      </c>
      <c r="H760" s="176">
        <v>0.05</v>
      </c>
      <c r="I760" s="177">
        <f t="shared" si="71"/>
        <v>0</v>
      </c>
      <c r="J760" s="177">
        <f t="shared" si="72"/>
        <v>0</v>
      </c>
      <c r="K760" s="291"/>
      <c r="L760" s="292"/>
      <c r="M760" s="293"/>
      <c r="N760" s="293">
        <f t="shared" si="73"/>
        <v>0</v>
      </c>
      <c r="O760" s="298">
        <f t="shared" si="74"/>
        <v>0</v>
      </c>
      <c r="P760" s="302"/>
    </row>
    <row r="761" spans="2:16" ht="15">
      <c r="B761" s="172"/>
      <c r="C761" s="173"/>
      <c r="D761" s="174"/>
      <c r="E761" s="174"/>
      <c r="F761" s="175"/>
      <c r="G761" s="175">
        <f t="shared" si="70"/>
        <v>0</v>
      </c>
      <c r="H761" s="176">
        <v>0.05</v>
      </c>
      <c r="I761" s="177">
        <f t="shared" si="71"/>
        <v>0</v>
      </c>
      <c r="J761" s="177">
        <f t="shared" si="72"/>
        <v>0</v>
      </c>
      <c r="K761" s="291"/>
      <c r="L761" s="292"/>
      <c r="M761" s="293"/>
      <c r="N761" s="293">
        <f t="shared" si="73"/>
        <v>0</v>
      </c>
      <c r="O761" s="298">
        <f t="shared" si="74"/>
        <v>0</v>
      </c>
      <c r="P761" s="302"/>
    </row>
    <row r="762" spans="2:16" ht="15">
      <c r="B762" s="172"/>
      <c r="C762" s="173"/>
      <c r="D762" s="174"/>
      <c r="E762" s="174"/>
      <c r="F762" s="175"/>
      <c r="G762" s="175">
        <f t="shared" si="70"/>
        <v>0</v>
      </c>
      <c r="H762" s="176">
        <v>0.05</v>
      </c>
      <c r="I762" s="177">
        <f t="shared" si="71"/>
        <v>0</v>
      </c>
      <c r="J762" s="177">
        <f t="shared" si="72"/>
        <v>0</v>
      </c>
      <c r="K762" s="291"/>
      <c r="L762" s="292"/>
      <c r="M762" s="293"/>
      <c r="N762" s="293">
        <f t="shared" si="73"/>
        <v>0</v>
      </c>
      <c r="O762" s="298">
        <f t="shared" si="74"/>
        <v>0</v>
      </c>
      <c r="P762" s="302"/>
    </row>
    <row r="763" spans="2:16" ht="15">
      <c r="B763" s="172"/>
      <c r="C763" s="173"/>
      <c r="D763" s="174"/>
      <c r="E763" s="174"/>
      <c r="F763" s="175"/>
      <c r="G763" s="175">
        <f t="shared" si="70"/>
        <v>0</v>
      </c>
      <c r="H763" s="176">
        <v>0.05</v>
      </c>
      <c r="I763" s="177">
        <f t="shared" si="71"/>
        <v>0</v>
      </c>
      <c r="J763" s="177">
        <f t="shared" si="72"/>
        <v>0</v>
      </c>
      <c r="K763" s="291"/>
      <c r="L763" s="292"/>
      <c r="M763" s="293"/>
      <c r="N763" s="293">
        <f t="shared" si="73"/>
        <v>0</v>
      </c>
      <c r="O763" s="298">
        <f t="shared" si="74"/>
        <v>0</v>
      </c>
      <c r="P763" s="302"/>
    </row>
    <row r="764" spans="2:16" ht="15">
      <c r="B764" s="172"/>
      <c r="C764" s="173"/>
      <c r="D764" s="174"/>
      <c r="E764" s="174"/>
      <c r="F764" s="175"/>
      <c r="G764" s="175">
        <f t="shared" si="70"/>
        <v>0</v>
      </c>
      <c r="H764" s="176">
        <v>0.05</v>
      </c>
      <c r="I764" s="177">
        <f t="shared" si="71"/>
        <v>0</v>
      </c>
      <c r="J764" s="177">
        <f t="shared" si="72"/>
        <v>0</v>
      </c>
      <c r="K764" s="291"/>
      <c r="L764" s="292"/>
      <c r="M764" s="293"/>
      <c r="N764" s="293">
        <f t="shared" si="73"/>
        <v>0</v>
      </c>
      <c r="O764" s="298">
        <f t="shared" si="74"/>
        <v>0</v>
      </c>
      <c r="P764" s="302"/>
    </row>
    <row r="765" spans="2:16" ht="15">
      <c r="B765" s="172"/>
      <c r="C765" s="173"/>
      <c r="D765" s="174"/>
      <c r="E765" s="174"/>
      <c r="F765" s="175"/>
      <c r="G765" s="175">
        <f t="shared" si="70"/>
        <v>0</v>
      </c>
      <c r="H765" s="176">
        <v>0.05</v>
      </c>
      <c r="I765" s="177">
        <f t="shared" si="71"/>
        <v>0</v>
      </c>
      <c r="J765" s="177">
        <f t="shared" si="72"/>
        <v>0</v>
      </c>
      <c r="K765" s="291"/>
      <c r="L765" s="292"/>
      <c r="M765" s="293"/>
      <c r="N765" s="293">
        <f t="shared" si="73"/>
        <v>0</v>
      </c>
      <c r="O765" s="298">
        <f t="shared" si="74"/>
        <v>0</v>
      </c>
      <c r="P765" s="302"/>
    </row>
    <row r="766" spans="2:16" ht="15">
      <c r="B766" s="172"/>
      <c r="C766" s="173"/>
      <c r="D766" s="174"/>
      <c r="E766" s="174"/>
      <c r="F766" s="175"/>
      <c r="G766" s="175">
        <f t="shared" si="70"/>
        <v>0</v>
      </c>
      <c r="H766" s="176">
        <v>0.05</v>
      </c>
      <c r="I766" s="177">
        <f t="shared" si="71"/>
        <v>0</v>
      </c>
      <c r="J766" s="177">
        <f t="shared" si="72"/>
        <v>0</v>
      </c>
      <c r="K766" s="291"/>
      <c r="L766" s="292"/>
      <c r="M766" s="293"/>
      <c r="N766" s="293">
        <f t="shared" si="73"/>
        <v>0</v>
      </c>
      <c r="O766" s="298">
        <f t="shared" si="74"/>
        <v>0</v>
      </c>
      <c r="P766" s="302"/>
    </row>
    <row r="767" spans="2:16" ht="15">
      <c r="B767" s="172"/>
      <c r="C767" s="173"/>
      <c r="D767" s="174"/>
      <c r="E767" s="174"/>
      <c r="F767" s="175"/>
      <c r="G767" s="175">
        <f t="shared" si="70"/>
        <v>0</v>
      </c>
      <c r="H767" s="176">
        <v>0.05</v>
      </c>
      <c r="I767" s="177">
        <f t="shared" si="71"/>
        <v>0</v>
      </c>
      <c r="J767" s="177">
        <f t="shared" si="72"/>
        <v>0</v>
      </c>
      <c r="K767" s="291"/>
      <c r="L767" s="292"/>
      <c r="M767" s="293"/>
      <c r="N767" s="293">
        <f t="shared" si="73"/>
        <v>0</v>
      </c>
      <c r="O767" s="298">
        <f t="shared" si="74"/>
        <v>0</v>
      </c>
      <c r="P767" s="302"/>
    </row>
    <row r="768" spans="2:16" ht="15">
      <c r="B768" s="172"/>
      <c r="C768" s="173"/>
      <c r="D768" s="174"/>
      <c r="E768" s="174"/>
      <c r="F768" s="175"/>
      <c r="G768" s="175">
        <f t="shared" si="70"/>
        <v>0</v>
      </c>
      <c r="H768" s="176">
        <v>0.05</v>
      </c>
      <c r="I768" s="177">
        <f t="shared" si="71"/>
        <v>0</v>
      </c>
      <c r="J768" s="177">
        <f t="shared" si="72"/>
        <v>0</v>
      </c>
      <c r="K768" s="291"/>
      <c r="L768" s="292"/>
      <c r="M768" s="293"/>
      <c r="N768" s="293">
        <f t="shared" si="73"/>
        <v>0</v>
      </c>
      <c r="O768" s="298">
        <f t="shared" si="74"/>
        <v>0</v>
      </c>
      <c r="P768" s="302"/>
    </row>
    <row r="769" spans="2:16" ht="15">
      <c r="B769" s="172"/>
      <c r="C769" s="173"/>
      <c r="D769" s="174"/>
      <c r="E769" s="174"/>
      <c r="F769" s="175"/>
      <c r="G769" s="175">
        <f t="shared" si="70"/>
        <v>0</v>
      </c>
      <c r="H769" s="176">
        <v>0.05</v>
      </c>
      <c r="I769" s="177">
        <f t="shared" si="71"/>
        <v>0</v>
      </c>
      <c r="J769" s="177">
        <f t="shared" si="72"/>
        <v>0</v>
      </c>
      <c r="K769" s="291"/>
      <c r="L769" s="292"/>
      <c r="M769" s="293"/>
      <c r="N769" s="293">
        <f t="shared" si="73"/>
        <v>0</v>
      </c>
      <c r="O769" s="298">
        <f t="shared" si="74"/>
        <v>0</v>
      </c>
      <c r="P769" s="302"/>
    </row>
    <row r="770" spans="2:16" ht="15">
      <c r="B770" s="172"/>
      <c r="C770" s="173"/>
      <c r="D770" s="174"/>
      <c r="E770" s="174"/>
      <c r="F770" s="175"/>
      <c r="G770" s="175">
        <f t="shared" si="70"/>
        <v>0</v>
      </c>
      <c r="H770" s="176">
        <v>0.05</v>
      </c>
      <c r="I770" s="177">
        <f t="shared" si="71"/>
        <v>0</v>
      </c>
      <c r="J770" s="177">
        <f t="shared" si="72"/>
        <v>0</v>
      </c>
      <c r="K770" s="291"/>
      <c r="L770" s="292"/>
      <c r="M770" s="293"/>
      <c r="N770" s="293">
        <f t="shared" si="73"/>
        <v>0</v>
      </c>
      <c r="O770" s="298">
        <f t="shared" si="74"/>
        <v>0</v>
      </c>
      <c r="P770" s="302"/>
    </row>
    <row r="771" spans="2:16" ht="15.75" customHeight="1">
      <c r="B771" s="172"/>
      <c r="C771" s="173"/>
      <c r="D771" s="174"/>
      <c r="E771" s="174"/>
      <c r="F771" s="175"/>
      <c r="G771" s="175">
        <f t="shared" si="70"/>
        <v>0</v>
      </c>
      <c r="H771" s="176">
        <v>0.05</v>
      </c>
      <c r="I771" s="177">
        <f t="shared" si="71"/>
        <v>0</v>
      </c>
      <c r="J771" s="177">
        <f t="shared" si="72"/>
        <v>0</v>
      </c>
      <c r="K771" s="291"/>
      <c r="L771" s="292"/>
      <c r="M771" s="293"/>
      <c r="N771" s="293">
        <f t="shared" si="73"/>
        <v>0</v>
      </c>
      <c r="O771" s="298">
        <f t="shared" si="74"/>
        <v>0</v>
      </c>
      <c r="P771" s="302"/>
    </row>
    <row r="772" spans="2:16" ht="15.75" customHeight="1">
      <c r="B772" s="172"/>
      <c r="C772" s="173"/>
      <c r="D772" s="174"/>
      <c r="E772" s="174"/>
      <c r="F772" s="175"/>
      <c r="G772" s="175">
        <f t="shared" ref="G772:G835" si="75">IF(D772=0,0,(D772+E772)/F772)</f>
        <v>0</v>
      </c>
      <c r="H772" s="176">
        <v>0.05</v>
      </c>
      <c r="I772" s="177">
        <f t="shared" ref="I772:I835" si="76">+G772*H772</f>
        <v>0</v>
      </c>
      <c r="J772" s="177">
        <f t="shared" ref="J772:J835" si="77">+G772+I772</f>
        <v>0</v>
      </c>
      <c r="K772" s="291"/>
      <c r="L772" s="292"/>
      <c r="M772" s="293"/>
      <c r="N772" s="293">
        <f t="shared" ref="N772:N835" si="78">IF(H772&lt;M772,H772/M772,0)</f>
        <v>0</v>
      </c>
      <c r="O772" s="298">
        <f t="shared" ref="O772:O835" si="79">1.5%*N772</f>
        <v>0</v>
      </c>
      <c r="P772" s="302"/>
    </row>
    <row r="773" spans="2:16" ht="15.75" customHeight="1">
      <c r="B773" s="172"/>
      <c r="C773" s="173"/>
      <c r="D773" s="174"/>
      <c r="E773" s="174"/>
      <c r="F773" s="175"/>
      <c r="G773" s="175">
        <f t="shared" si="75"/>
        <v>0</v>
      </c>
      <c r="H773" s="176">
        <v>0.05</v>
      </c>
      <c r="I773" s="177">
        <f t="shared" si="76"/>
        <v>0</v>
      </c>
      <c r="J773" s="177">
        <f t="shared" si="77"/>
        <v>0</v>
      </c>
      <c r="K773" s="291"/>
      <c r="L773" s="292"/>
      <c r="M773" s="293"/>
      <c r="N773" s="293">
        <f t="shared" si="78"/>
        <v>0</v>
      </c>
      <c r="O773" s="298">
        <f t="shared" si="79"/>
        <v>0</v>
      </c>
      <c r="P773" s="302"/>
    </row>
    <row r="774" spans="2:16" ht="15.75" customHeight="1">
      <c r="B774" s="172"/>
      <c r="C774" s="173"/>
      <c r="D774" s="174"/>
      <c r="E774" s="174"/>
      <c r="F774" s="175"/>
      <c r="G774" s="175">
        <f t="shared" si="75"/>
        <v>0</v>
      </c>
      <c r="H774" s="176">
        <v>0.05</v>
      </c>
      <c r="I774" s="177">
        <f t="shared" si="76"/>
        <v>0</v>
      </c>
      <c r="J774" s="177">
        <f t="shared" si="77"/>
        <v>0</v>
      </c>
      <c r="K774" s="291"/>
      <c r="L774" s="292"/>
      <c r="M774" s="293"/>
      <c r="N774" s="293">
        <f t="shared" si="78"/>
        <v>0</v>
      </c>
      <c r="O774" s="298">
        <f t="shared" si="79"/>
        <v>0</v>
      </c>
      <c r="P774" s="302"/>
    </row>
    <row r="775" spans="2:16" ht="15.75" customHeight="1">
      <c r="B775" s="172"/>
      <c r="C775" s="173"/>
      <c r="D775" s="174"/>
      <c r="E775" s="174"/>
      <c r="F775" s="175"/>
      <c r="G775" s="175">
        <f t="shared" si="75"/>
        <v>0</v>
      </c>
      <c r="H775" s="176">
        <v>0.05</v>
      </c>
      <c r="I775" s="177">
        <f t="shared" si="76"/>
        <v>0</v>
      </c>
      <c r="J775" s="177">
        <f t="shared" si="77"/>
        <v>0</v>
      </c>
      <c r="K775" s="291"/>
      <c r="L775" s="292"/>
      <c r="M775" s="293"/>
      <c r="N775" s="293">
        <f t="shared" si="78"/>
        <v>0</v>
      </c>
      <c r="O775" s="298">
        <f t="shared" si="79"/>
        <v>0</v>
      </c>
      <c r="P775" s="302"/>
    </row>
    <row r="776" spans="2:16" ht="15.75" customHeight="1">
      <c r="B776" s="172"/>
      <c r="C776" s="173"/>
      <c r="D776" s="174"/>
      <c r="E776" s="174"/>
      <c r="F776" s="175"/>
      <c r="G776" s="175">
        <f t="shared" si="75"/>
        <v>0</v>
      </c>
      <c r="H776" s="176">
        <v>0.05</v>
      </c>
      <c r="I776" s="177">
        <f t="shared" si="76"/>
        <v>0</v>
      </c>
      <c r="J776" s="177">
        <f t="shared" si="77"/>
        <v>0</v>
      </c>
      <c r="K776" s="291"/>
      <c r="L776" s="292"/>
      <c r="M776" s="293"/>
      <c r="N776" s="293">
        <f t="shared" si="78"/>
        <v>0</v>
      </c>
      <c r="O776" s="298">
        <f t="shared" si="79"/>
        <v>0</v>
      </c>
      <c r="P776" s="302"/>
    </row>
    <row r="777" spans="2:16" ht="15.75" customHeight="1">
      <c r="B777" s="172"/>
      <c r="C777" s="173"/>
      <c r="D777" s="174"/>
      <c r="E777" s="174"/>
      <c r="F777" s="175"/>
      <c r="G777" s="175">
        <f t="shared" si="75"/>
        <v>0</v>
      </c>
      <c r="H777" s="176">
        <v>0.05</v>
      </c>
      <c r="I777" s="177">
        <f t="shared" si="76"/>
        <v>0</v>
      </c>
      <c r="J777" s="177">
        <f t="shared" si="77"/>
        <v>0</v>
      </c>
      <c r="K777" s="291"/>
      <c r="L777" s="292"/>
      <c r="M777" s="293"/>
      <c r="N777" s="293">
        <f t="shared" si="78"/>
        <v>0</v>
      </c>
      <c r="O777" s="298">
        <f t="shared" si="79"/>
        <v>0</v>
      </c>
      <c r="P777" s="302"/>
    </row>
    <row r="778" spans="2:16" ht="15.75" customHeight="1">
      <c r="B778" s="172"/>
      <c r="C778" s="173"/>
      <c r="D778" s="174"/>
      <c r="E778" s="174"/>
      <c r="F778" s="175"/>
      <c r="G778" s="175">
        <f t="shared" si="75"/>
        <v>0</v>
      </c>
      <c r="H778" s="176">
        <v>0.05</v>
      </c>
      <c r="I778" s="177">
        <f t="shared" si="76"/>
        <v>0</v>
      </c>
      <c r="J778" s="177">
        <f t="shared" si="77"/>
        <v>0</v>
      </c>
      <c r="K778" s="291"/>
      <c r="L778" s="292"/>
      <c r="M778" s="293"/>
      <c r="N778" s="293">
        <f t="shared" si="78"/>
        <v>0</v>
      </c>
      <c r="O778" s="298">
        <f t="shared" si="79"/>
        <v>0</v>
      </c>
      <c r="P778" s="302"/>
    </row>
    <row r="779" spans="2:16" ht="15.75" customHeight="1">
      <c r="B779" s="172"/>
      <c r="C779" s="173"/>
      <c r="D779" s="174"/>
      <c r="E779" s="174"/>
      <c r="F779" s="175"/>
      <c r="G779" s="175">
        <f t="shared" si="75"/>
        <v>0</v>
      </c>
      <c r="H779" s="176">
        <v>0.05</v>
      </c>
      <c r="I779" s="177">
        <f t="shared" si="76"/>
        <v>0</v>
      </c>
      <c r="J779" s="177">
        <f t="shared" si="77"/>
        <v>0</v>
      </c>
      <c r="K779" s="291"/>
      <c r="L779" s="292"/>
      <c r="M779" s="293"/>
      <c r="N779" s="293">
        <f t="shared" si="78"/>
        <v>0</v>
      </c>
      <c r="O779" s="298">
        <f t="shared" si="79"/>
        <v>0</v>
      </c>
      <c r="P779" s="302"/>
    </row>
    <row r="780" spans="2:16" ht="15.75" customHeight="1">
      <c r="B780" s="172"/>
      <c r="C780" s="173"/>
      <c r="D780" s="174"/>
      <c r="E780" s="174"/>
      <c r="F780" s="175"/>
      <c r="G780" s="175">
        <f t="shared" si="75"/>
        <v>0</v>
      </c>
      <c r="H780" s="176">
        <v>0.05</v>
      </c>
      <c r="I780" s="177">
        <f t="shared" si="76"/>
        <v>0</v>
      </c>
      <c r="J780" s="177">
        <f t="shared" si="77"/>
        <v>0</v>
      </c>
      <c r="K780" s="291"/>
      <c r="L780" s="292"/>
      <c r="M780" s="293"/>
      <c r="N780" s="293">
        <f t="shared" si="78"/>
        <v>0</v>
      </c>
      <c r="O780" s="298">
        <f t="shared" si="79"/>
        <v>0</v>
      </c>
      <c r="P780" s="302"/>
    </row>
    <row r="781" spans="2:16" ht="15.75" customHeight="1">
      <c r="B781" s="172"/>
      <c r="C781" s="173"/>
      <c r="D781" s="174"/>
      <c r="E781" s="174"/>
      <c r="F781" s="175"/>
      <c r="G781" s="175">
        <f t="shared" si="75"/>
        <v>0</v>
      </c>
      <c r="H781" s="176">
        <v>0.05</v>
      </c>
      <c r="I781" s="177">
        <f t="shared" si="76"/>
        <v>0</v>
      </c>
      <c r="J781" s="177">
        <f t="shared" si="77"/>
        <v>0</v>
      </c>
      <c r="K781" s="291"/>
      <c r="L781" s="292"/>
      <c r="M781" s="293"/>
      <c r="N781" s="293">
        <f t="shared" si="78"/>
        <v>0</v>
      </c>
      <c r="O781" s="298">
        <f t="shared" si="79"/>
        <v>0</v>
      </c>
      <c r="P781" s="302"/>
    </row>
    <row r="782" spans="2:16" ht="15.75" customHeight="1">
      <c r="B782" s="172"/>
      <c r="C782" s="173"/>
      <c r="D782" s="174"/>
      <c r="E782" s="174"/>
      <c r="F782" s="175"/>
      <c r="G782" s="175">
        <f t="shared" si="75"/>
        <v>0</v>
      </c>
      <c r="H782" s="176">
        <v>0.05</v>
      </c>
      <c r="I782" s="177">
        <f t="shared" si="76"/>
        <v>0</v>
      </c>
      <c r="J782" s="177">
        <f t="shared" si="77"/>
        <v>0</v>
      </c>
      <c r="K782" s="291"/>
      <c r="L782" s="292"/>
      <c r="M782" s="293"/>
      <c r="N782" s="293">
        <f t="shared" si="78"/>
        <v>0</v>
      </c>
      <c r="O782" s="298">
        <f t="shared" si="79"/>
        <v>0</v>
      </c>
      <c r="P782" s="302"/>
    </row>
    <row r="783" spans="2:16" ht="15.75" customHeight="1">
      <c r="B783" s="172"/>
      <c r="C783" s="173"/>
      <c r="D783" s="174"/>
      <c r="E783" s="174"/>
      <c r="F783" s="175"/>
      <c r="G783" s="175">
        <f t="shared" si="75"/>
        <v>0</v>
      </c>
      <c r="H783" s="176">
        <v>0.05</v>
      </c>
      <c r="I783" s="177">
        <f t="shared" si="76"/>
        <v>0</v>
      </c>
      <c r="J783" s="177">
        <f t="shared" si="77"/>
        <v>0</v>
      </c>
      <c r="K783" s="291"/>
      <c r="L783" s="292"/>
      <c r="M783" s="293"/>
      <c r="N783" s="293">
        <f t="shared" si="78"/>
        <v>0</v>
      </c>
      <c r="O783" s="298">
        <f t="shared" si="79"/>
        <v>0</v>
      </c>
      <c r="P783" s="302"/>
    </row>
    <row r="784" spans="2:16" ht="15.75" customHeight="1">
      <c r="B784" s="172"/>
      <c r="C784" s="173"/>
      <c r="D784" s="174"/>
      <c r="E784" s="174"/>
      <c r="F784" s="175"/>
      <c r="G784" s="175">
        <f t="shared" si="75"/>
        <v>0</v>
      </c>
      <c r="H784" s="176">
        <v>0.05</v>
      </c>
      <c r="I784" s="177">
        <f t="shared" si="76"/>
        <v>0</v>
      </c>
      <c r="J784" s="177">
        <f t="shared" si="77"/>
        <v>0</v>
      </c>
      <c r="K784" s="291"/>
      <c r="L784" s="292"/>
      <c r="M784" s="293"/>
      <c r="N784" s="293">
        <f t="shared" si="78"/>
        <v>0</v>
      </c>
      <c r="O784" s="298">
        <f t="shared" si="79"/>
        <v>0</v>
      </c>
      <c r="P784" s="302"/>
    </row>
    <row r="785" spans="2:16" ht="15.75" customHeight="1">
      <c r="B785" s="172"/>
      <c r="C785" s="173"/>
      <c r="D785" s="174"/>
      <c r="E785" s="174"/>
      <c r="F785" s="175"/>
      <c r="G785" s="175">
        <f t="shared" si="75"/>
        <v>0</v>
      </c>
      <c r="H785" s="176">
        <v>0.05</v>
      </c>
      <c r="I785" s="177">
        <f t="shared" si="76"/>
        <v>0</v>
      </c>
      <c r="J785" s="177">
        <f t="shared" si="77"/>
        <v>0</v>
      </c>
      <c r="K785" s="291"/>
      <c r="L785" s="292"/>
      <c r="M785" s="293"/>
      <c r="N785" s="293">
        <f t="shared" si="78"/>
        <v>0</v>
      </c>
      <c r="O785" s="298">
        <f t="shared" si="79"/>
        <v>0</v>
      </c>
      <c r="P785" s="302"/>
    </row>
    <row r="786" spans="2:16" ht="15.75" customHeight="1">
      <c r="B786" s="172"/>
      <c r="C786" s="173"/>
      <c r="D786" s="174"/>
      <c r="E786" s="174"/>
      <c r="F786" s="175"/>
      <c r="G786" s="175">
        <f t="shared" si="75"/>
        <v>0</v>
      </c>
      <c r="H786" s="176">
        <v>0.05</v>
      </c>
      <c r="I786" s="177">
        <f t="shared" si="76"/>
        <v>0</v>
      </c>
      <c r="J786" s="177">
        <f t="shared" si="77"/>
        <v>0</v>
      </c>
      <c r="K786" s="291"/>
      <c r="L786" s="292"/>
      <c r="M786" s="293"/>
      <c r="N786" s="293">
        <f t="shared" si="78"/>
        <v>0</v>
      </c>
      <c r="O786" s="298">
        <f t="shared" si="79"/>
        <v>0</v>
      </c>
      <c r="P786" s="302"/>
    </row>
    <row r="787" spans="2:16" ht="15.75" customHeight="1">
      <c r="B787" s="172"/>
      <c r="C787" s="173"/>
      <c r="D787" s="174"/>
      <c r="E787" s="174"/>
      <c r="F787" s="175"/>
      <c r="G787" s="175">
        <f t="shared" si="75"/>
        <v>0</v>
      </c>
      <c r="H787" s="176">
        <v>0.05</v>
      </c>
      <c r="I787" s="177">
        <f t="shared" si="76"/>
        <v>0</v>
      </c>
      <c r="J787" s="177">
        <f t="shared" si="77"/>
        <v>0</v>
      </c>
      <c r="K787" s="291"/>
      <c r="L787" s="292"/>
      <c r="M787" s="293"/>
      <c r="N787" s="293">
        <f t="shared" si="78"/>
        <v>0</v>
      </c>
      <c r="O787" s="298">
        <f t="shared" si="79"/>
        <v>0</v>
      </c>
      <c r="P787" s="302"/>
    </row>
    <row r="788" spans="2:16" ht="15.75" customHeight="1">
      <c r="B788" s="172"/>
      <c r="C788" s="173"/>
      <c r="D788" s="174"/>
      <c r="E788" s="174"/>
      <c r="F788" s="175"/>
      <c r="G788" s="175">
        <f t="shared" si="75"/>
        <v>0</v>
      </c>
      <c r="H788" s="176">
        <v>0.05</v>
      </c>
      <c r="I788" s="177">
        <f t="shared" si="76"/>
        <v>0</v>
      </c>
      <c r="J788" s="177">
        <f t="shared" si="77"/>
        <v>0</v>
      </c>
      <c r="K788" s="291"/>
      <c r="L788" s="292"/>
      <c r="M788" s="293"/>
      <c r="N788" s="293">
        <f t="shared" si="78"/>
        <v>0</v>
      </c>
      <c r="O788" s="298">
        <f t="shared" si="79"/>
        <v>0</v>
      </c>
      <c r="P788" s="302"/>
    </row>
    <row r="789" spans="2:16" ht="15.75" customHeight="1">
      <c r="B789" s="172"/>
      <c r="C789" s="173"/>
      <c r="D789" s="174"/>
      <c r="E789" s="174"/>
      <c r="F789" s="175"/>
      <c r="G789" s="175">
        <f t="shared" si="75"/>
        <v>0</v>
      </c>
      <c r="H789" s="176">
        <v>0.05</v>
      </c>
      <c r="I789" s="177">
        <f t="shared" si="76"/>
        <v>0</v>
      </c>
      <c r="J789" s="177">
        <f t="shared" si="77"/>
        <v>0</v>
      </c>
      <c r="K789" s="291"/>
      <c r="L789" s="292"/>
      <c r="M789" s="293"/>
      <c r="N789" s="293">
        <f t="shared" si="78"/>
        <v>0</v>
      </c>
      <c r="O789" s="298">
        <f t="shared" si="79"/>
        <v>0</v>
      </c>
      <c r="P789" s="302"/>
    </row>
    <row r="790" spans="2:16" ht="15.75" customHeight="1">
      <c r="B790" s="172"/>
      <c r="C790" s="173"/>
      <c r="D790" s="174"/>
      <c r="E790" s="174"/>
      <c r="F790" s="175"/>
      <c r="G790" s="175">
        <f t="shared" si="75"/>
        <v>0</v>
      </c>
      <c r="H790" s="176">
        <v>0.05</v>
      </c>
      <c r="I790" s="177">
        <f t="shared" si="76"/>
        <v>0</v>
      </c>
      <c r="J790" s="177">
        <f t="shared" si="77"/>
        <v>0</v>
      </c>
      <c r="K790" s="291"/>
      <c r="L790" s="292"/>
      <c r="M790" s="293"/>
      <c r="N790" s="293">
        <f t="shared" si="78"/>
        <v>0</v>
      </c>
      <c r="O790" s="298">
        <f t="shared" si="79"/>
        <v>0</v>
      </c>
      <c r="P790" s="302"/>
    </row>
    <row r="791" spans="2:16" ht="15.75" customHeight="1">
      <c r="B791" s="172"/>
      <c r="C791" s="173"/>
      <c r="D791" s="174"/>
      <c r="E791" s="174"/>
      <c r="F791" s="175"/>
      <c r="G791" s="175">
        <f t="shared" si="75"/>
        <v>0</v>
      </c>
      <c r="H791" s="176">
        <v>0.05</v>
      </c>
      <c r="I791" s="177">
        <f t="shared" si="76"/>
        <v>0</v>
      </c>
      <c r="J791" s="177">
        <f t="shared" si="77"/>
        <v>0</v>
      </c>
      <c r="K791" s="291"/>
      <c r="L791" s="292"/>
      <c r="M791" s="293"/>
      <c r="N791" s="293">
        <f t="shared" si="78"/>
        <v>0</v>
      </c>
      <c r="O791" s="298">
        <f t="shared" si="79"/>
        <v>0</v>
      </c>
      <c r="P791" s="302"/>
    </row>
    <row r="792" spans="2:16" ht="15.75" customHeight="1">
      <c r="B792" s="172"/>
      <c r="C792" s="173"/>
      <c r="D792" s="174"/>
      <c r="E792" s="174"/>
      <c r="F792" s="175"/>
      <c r="G792" s="175">
        <f t="shared" si="75"/>
        <v>0</v>
      </c>
      <c r="H792" s="176">
        <v>0.05</v>
      </c>
      <c r="I792" s="177">
        <f t="shared" si="76"/>
        <v>0</v>
      </c>
      <c r="J792" s="177">
        <f t="shared" si="77"/>
        <v>0</v>
      </c>
      <c r="K792" s="291"/>
      <c r="L792" s="292"/>
      <c r="M792" s="293"/>
      <c r="N792" s="293">
        <f t="shared" si="78"/>
        <v>0</v>
      </c>
      <c r="O792" s="298">
        <f t="shared" si="79"/>
        <v>0</v>
      </c>
      <c r="P792" s="302"/>
    </row>
    <row r="793" spans="2:16" ht="15.75" customHeight="1">
      <c r="B793" s="172"/>
      <c r="C793" s="173"/>
      <c r="D793" s="174"/>
      <c r="E793" s="174"/>
      <c r="F793" s="175"/>
      <c r="G793" s="175">
        <f t="shared" si="75"/>
        <v>0</v>
      </c>
      <c r="H793" s="176">
        <v>0.05</v>
      </c>
      <c r="I793" s="177">
        <f t="shared" si="76"/>
        <v>0</v>
      </c>
      <c r="J793" s="177">
        <f t="shared" si="77"/>
        <v>0</v>
      </c>
      <c r="K793" s="291"/>
      <c r="L793" s="292"/>
      <c r="M793" s="293"/>
      <c r="N793" s="293">
        <f t="shared" si="78"/>
        <v>0</v>
      </c>
      <c r="O793" s="298">
        <f t="shared" si="79"/>
        <v>0</v>
      </c>
      <c r="P793" s="302"/>
    </row>
    <row r="794" spans="2:16" ht="15.75" customHeight="1">
      <c r="B794" s="172"/>
      <c r="C794" s="173"/>
      <c r="D794" s="174"/>
      <c r="E794" s="174"/>
      <c r="F794" s="175"/>
      <c r="G794" s="175">
        <f t="shared" si="75"/>
        <v>0</v>
      </c>
      <c r="H794" s="176">
        <v>0.05</v>
      </c>
      <c r="I794" s="177">
        <f t="shared" si="76"/>
        <v>0</v>
      </c>
      <c r="J794" s="177">
        <f t="shared" si="77"/>
        <v>0</v>
      </c>
      <c r="K794" s="291"/>
      <c r="L794" s="292"/>
      <c r="M794" s="293"/>
      <c r="N794" s="293">
        <f t="shared" si="78"/>
        <v>0</v>
      </c>
      <c r="O794" s="298">
        <f t="shared" si="79"/>
        <v>0</v>
      </c>
      <c r="P794" s="302"/>
    </row>
    <row r="795" spans="2:16" ht="15.75" customHeight="1">
      <c r="B795" s="172"/>
      <c r="C795" s="173"/>
      <c r="D795" s="174"/>
      <c r="E795" s="174"/>
      <c r="F795" s="175"/>
      <c r="G795" s="175">
        <f t="shared" si="75"/>
        <v>0</v>
      </c>
      <c r="H795" s="176">
        <v>0.05</v>
      </c>
      <c r="I795" s="177">
        <f t="shared" si="76"/>
        <v>0</v>
      </c>
      <c r="J795" s="177">
        <f t="shared" si="77"/>
        <v>0</v>
      </c>
      <c r="K795" s="291"/>
      <c r="L795" s="292"/>
      <c r="M795" s="293"/>
      <c r="N795" s="293">
        <f t="shared" si="78"/>
        <v>0</v>
      </c>
      <c r="O795" s="298">
        <f t="shared" si="79"/>
        <v>0</v>
      </c>
      <c r="P795" s="302"/>
    </row>
    <row r="796" spans="2:16" ht="15.75" customHeight="1">
      <c r="B796" s="172"/>
      <c r="C796" s="173"/>
      <c r="D796" s="174"/>
      <c r="E796" s="174"/>
      <c r="F796" s="175"/>
      <c r="G796" s="175">
        <f t="shared" si="75"/>
        <v>0</v>
      </c>
      <c r="H796" s="176">
        <v>0.05</v>
      </c>
      <c r="I796" s="177">
        <f t="shared" si="76"/>
        <v>0</v>
      </c>
      <c r="J796" s="177">
        <f t="shared" si="77"/>
        <v>0</v>
      </c>
      <c r="K796" s="291"/>
      <c r="L796" s="292"/>
      <c r="M796" s="293"/>
      <c r="N796" s="293">
        <f t="shared" si="78"/>
        <v>0</v>
      </c>
      <c r="O796" s="298">
        <f t="shared" si="79"/>
        <v>0</v>
      </c>
      <c r="P796" s="302"/>
    </row>
    <row r="797" spans="2:16" ht="15.75" customHeight="1">
      <c r="B797" s="172"/>
      <c r="C797" s="173"/>
      <c r="D797" s="174"/>
      <c r="E797" s="174"/>
      <c r="F797" s="175"/>
      <c r="G797" s="175">
        <f t="shared" si="75"/>
        <v>0</v>
      </c>
      <c r="H797" s="176">
        <v>0.05</v>
      </c>
      <c r="I797" s="177">
        <f t="shared" si="76"/>
        <v>0</v>
      </c>
      <c r="J797" s="177">
        <f t="shared" si="77"/>
        <v>0</v>
      </c>
      <c r="K797" s="291"/>
      <c r="L797" s="292"/>
      <c r="M797" s="293"/>
      <c r="N797" s="293">
        <f t="shared" si="78"/>
        <v>0</v>
      </c>
      <c r="O797" s="298">
        <f t="shared" si="79"/>
        <v>0</v>
      </c>
      <c r="P797" s="302"/>
    </row>
    <row r="798" spans="2:16" ht="15.75" customHeight="1">
      <c r="B798" s="172"/>
      <c r="C798" s="173"/>
      <c r="D798" s="174"/>
      <c r="E798" s="174"/>
      <c r="F798" s="175"/>
      <c r="G798" s="175">
        <f t="shared" si="75"/>
        <v>0</v>
      </c>
      <c r="H798" s="176">
        <v>0.05</v>
      </c>
      <c r="I798" s="177">
        <f t="shared" si="76"/>
        <v>0</v>
      </c>
      <c r="J798" s="177">
        <f t="shared" si="77"/>
        <v>0</v>
      </c>
      <c r="K798" s="291"/>
      <c r="L798" s="292"/>
      <c r="M798" s="293"/>
      <c r="N798" s="293">
        <f t="shared" si="78"/>
        <v>0</v>
      </c>
      <c r="O798" s="298">
        <f t="shared" si="79"/>
        <v>0</v>
      </c>
      <c r="P798" s="302"/>
    </row>
    <row r="799" spans="2:16" ht="15.75" customHeight="1">
      <c r="B799" s="172"/>
      <c r="C799" s="173"/>
      <c r="D799" s="174"/>
      <c r="E799" s="174"/>
      <c r="F799" s="175"/>
      <c r="G799" s="175">
        <f t="shared" si="75"/>
        <v>0</v>
      </c>
      <c r="H799" s="176">
        <v>0.05</v>
      </c>
      <c r="I799" s="177">
        <f t="shared" si="76"/>
        <v>0</v>
      </c>
      <c r="J799" s="177">
        <f t="shared" si="77"/>
        <v>0</v>
      </c>
      <c r="K799" s="291"/>
      <c r="L799" s="292"/>
      <c r="M799" s="293"/>
      <c r="N799" s="293">
        <f t="shared" si="78"/>
        <v>0</v>
      </c>
      <c r="O799" s="298">
        <f t="shared" si="79"/>
        <v>0</v>
      </c>
      <c r="P799" s="302"/>
    </row>
    <row r="800" spans="2:16" ht="15.75" customHeight="1">
      <c r="B800" s="172"/>
      <c r="C800" s="173"/>
      <c r="D800" s="174"/>
      <c r="E800" s="174"/>
      <c r="F800" s="175"/>
      <c r="G800" s="175">
        <f t="shared" si="75"/>
        <v>0</v>
      </c>
      <c r="H800" s="176">
        <v>0.05</v>
      </c>
      <c r="I800" s="177">
        <f t="shared" si="76"/>
        <v>0</v>
      </c>
      <c r="J800" s="177">
        <f t="shared" si="77"/>
        <v>0</v>
      </c>
      <c r="K800" s="291"/>
      <c r="L800" s="292"/>
      <c r="M800" s="293"/>
      <c r="N800" s="293">
        <f t="shared" si="78"/>
        <v>0</v>
      </c>
      <c r="O800" s="298">
        <f t="shared" si="79"/>
        <v>0</v>
      </c>
      <c r="P800" s="302"/>
    </row>
    <row r="801" spans="2:16" ht="15.75" customHeight="1">
      <c r="B801" s="172"/>
      <c r="C801" s="173"/>
      <c r="D801" s="174"/>
      <c r="E801" s="174"/>
      <c r="F801" s="175"/>
      <c r="G801" s="175">
        <f t="shared" si="75"/>
        <v>0</v>
      </c>
      <c r="H801" s="176">
        <v>0.05</v>
      </c>
      <c r="I801" s="177">
        <f t="shared" si="76"/>
        <v>0</v>
      </c>
      <c r="J801" s="177">
        <f t="shared" si="77"/>
        <v>0</v>
      </c>
      <c r="K801" s="291"/>
      <c r="L801" s="292"/>
      <c r="M801" s="293"/>
      <c r="N801" s="293">
        <f t="shared" si="78"/>
        <v>0</v>
      </c>
      <c r="O801" s="298">
        <f t="shared" si="79"/>
        <v>0</v>
      </c>
      <c r="P801" s="302"/>
    </row>
    <row r="802" spans="2:16" ht="15.75" customHeight="1">
      <c r="B802" s="172"/>
      <c r="C802" s="173"/>
      <c r="D802" s="174"/>
      <c r="E802" s="174"/>
      <c r="F802" s="175"/>
      <c r="G802" s="175">
        <f t="shared" si="75"/>
        <v>0</v>
      </c>
      <c r="H802" s="176">
        <v>0.05</v>
      </c>
      <c r="I802" s="177">
        <f t="shared" si="76"/>
        <v>0</v>
      </c>
      <c r="J802" s="177">
        <f t="shared" si="77"/>
        <v>0</v>
      </c>
      <c r="K802" s="291"/>
      <c r="L802" s="292"/>
      <c r="M802" s="293"/>
      <c r="N802" s="293">
        <f t="shared" si="78"/>
        <v>0</v>
      </c>
      <c r="O802" s="298">
        <f t="shared" si="79"/>
        <v>0</v>
      </c>
      <c r="P802" s="302"/>
    </row>
    <row r="803" spans="2:16" ht="15.75" customHeight="1">
      <c r="B803" s="172"/>
      <c r="C803" s="173"/>
      <c r="D803" s="174"/>
      <c r="E803" s="174"/>
      <c r="F803" s="175"/>
      <c r="G803" s="175">
        <f t="shared" si="75"/>
        <v>0</v>
      </c>
      <c r="H803" s="176">
        <v>0.05</v>
      </c>
      <c r="I803" s="177">
        <f t="shared" si="76"/>
        <v>0</v>
      </c>
      <c r="J803" s="177">
        <f t="shared" si="77"/>
        <v>0</v>
      </c>
      <c r="K803" s="291"/>
      <c r="L803" s="292"/>
      <c r="M803" s="293"/>
      <c r="N803" s="293">
        <f t="shared" si="78"/>
        <v>0</v>
      </c>
      <c r="O803" s="298">
        <f t="shared" si="79"/>
        <v>0</v>
      </c>
      <c r="P803" s="302"/>
    </row>
    <row r="804" spans="2:16" ht="15.75" customHeight="1">
      <c r="B804" s="172"/>
      <c r="C804" s="173"/>
      <c r="D804" s="174"/>
      <c r="E804" s="174"/>
      <c r="F804" s="175"/>
      <c r="G804" s="175">
        <f t="shared" si="75"/>
        <v>0</v>
      </c>
      <c r="H804" s="176">
        <v>0.05</v>
      </c>
      <c r="I804" s="177">
        <f t="shared" si="76"/>
        <v>0</v>
      </c>
      <c r="J804" s="177">
        <f t="shared" si="77"/>
        <v>0</v>
      </c>
      <c r="K804" s="291"/>
      <c r="L804" s="292"/>
      <c r="M804" s="293"/>
      <c r="N804" s="293">
        <f t="shared" si="78"/>
        <v>0</v>
      </c>
      <c r="O804" s="298">
        <f t="shared" si="79"/>
        <v>0</v>
      </c>
      <c r="P804" s="302"/>
    </row>
    <row r="805" spans="2:16" ht="15.75" customHeight="1">
      <c r="B805" s="172"/>
      <c r="C805" s="173"/>
      <c r="D805" s="174"/>
      <c r="E805" s="174"/>
      <c r="F805" s="175"/>
      <c r="G805" s="175">
        <f t="shared" si="75"/>
        <v>0</v>
      </c>
      <c r="H805" s="176">
        <v>0.05</v>
      </c>
      <c r="I805" s="177">
        <f t="shared" si="76"/>
        <v>0</v>
      </c>
      <c r="J805" s="177">
        <f t="shared" si="77"/>
        <v>0</v>
      </c>
      <c r="K805" s="291"/>
      <c r="L805" s="292"/>
      <c r="M805" s="293"/>
      <c r="N805" s="293">
        <f t="shared" si="78"/>
        <v>0</v>
      </c>
      <c r="O805" s="298">
        <f t="shared" si="79"/>
        <v>0</v>
      </c>
      <c r="P805" s="302"/>
    </row>
    <row r="806" spans="2:16" ht="15.75" customHeight="1">
      <c r="B806" s="172"/>
      <c r="C806" s="173"/>
      <c r="D806" s="174"/>
      <c r="E806" s="174"/>
      <c r="F806" s="175"/>
      <c r="G806" s="175">
        <f t="shared" si="75"/>
        <v>0</v>
      </c>
      <c r="H806" s="176">
        <v>0.05</v>
      </c>
      <c r="I806" s="177">
        <f t="shared" si="76"/>
        <v>0</v>
      </c>
      <c r="J806" s="177">
        <f t="shared" si="77"/>
        <v>0</v>
      </c>
      <c r="K806" s="291"/>
      <c r="L806" s="292"/>
      <c r="M806" s="293"/>
      <c r="N806" s="293">
        <f t="shared" si="78"/>
        <v>0</v>
      </c>
      <c r="O806" s="298">
        <f t="shared" si="79"/>
        <v>0</v>
      </c>
      <c r="P806" s="302"/>
    </row>
    <row r="807" spans="2:16" ht="15.75" customHeight="1">
      <c r="B807" s="172"/>
      <c r="C807" s="173"/>
      <c r="D807" s="174"/>
      <c r="E807" s="174"/>
      <c r="F807" s="175"/>
      <c r="G807" s="175">
        <f t="shared" si="75"/>
        <v>0</v>
      </c>
      <c r="H807" s="176">
        <v>0.05</v>
      </c>
      <c r="I807" s="177">
        <f t="shared" si="76"/>
        <v>0</v>
      </c>
      <c r="J807" s="177">
        <f t="shared" si="77"/>
        <v>0</v>
      </c>
      <c r="K807" s="291"/>
      <c r="L807" s="292"/>
      <c r="M807" s="293"/>
      <c r="N807" s="293">
        <f t="shared" si="78"/>
        <v>0</v>
      </c>
      <c r="O807" s="298">
        <f t="shared" si="79"/>
        <v>0</v>
      </c>
      <c r="P807" s="302"/>
    </row>
    <row r="808" spans="2:16" ht="15.75" customHeight="1">
      <c r="B808" s="172"/>
      <c r="C808" s="173"/>
      <c r="D808" s="174"/>
      <c r="E808" s="174"/>
      <c r="F808" s="175"/>
      <c r="G808" s="175">
        <f t="shared" si="75"/>
        <v>0</v>
      </c>
      <c r="H808" s="176">
        <v>0.05</v>
      </c>
      <c r="I808" s="177">
        <f t="shared" si="76"/>
        <v>0</v>
      </c>
      <c r="J808" s="177">
        <f t="shared" si="77"/>
        <v>0</v>
      </c>
      <c r="K808" s="291"/>
      <c r="L808" s="292"/>
      <c r="M808" s="293"/>
      <c r="N808" s="293">
        <f t="shared" si="78"/>
        <v>0</v>
      </c>
      <c r="O808" s="298">
        <f t="shared" si="79"/>
        <v>0</v>
      </c>
      <c r="P808" s="302"/>
    </row>
    <row r="809" spans="2:16" ht="15.75" customHeight="1">
      <c r="B809" s="172"/>
      <c r="C809" s="173"/>
      <c r="D809" s="174"/>
      <c r="E809" s="174"/>
      <c r="F809" s="175"/>
      <c r="G809" s="175">
        <f t="shared" si="75"/>
        <v>0</v>
      </c>
      <c r="H809" s="176">
        <v>0.05</v>
      </c>
      <c r="I809" s="177">
        <f t="shared" si="76"/>
        <v>0</v>
      </c>
      <c r="J809" s="177">
        <f t="shared" si="77"/>
        <v>0</v>
      </c>
      <c r="K809" s="291"/>
      <c r="L809" s="292"/>
      <c r="M809" s="293"/>
      <c r="N809" s="293">
        <f t="shared" si="78"/>
        <v>0</v>
      </c>
      <c r="O809" s="298">
        <f t="shared" si="79"/>
        <v>0</v>
      </c>
      <c r="P809" s="302"/>
    </row>
    <row r="810" spans="2:16" ht="15.75" customHeight="1">
      <c r="B810" s="172"/>
      <c r="C810" s="173"/>
      <c r="D810" s="174"/>
      <c r="E810" s="174"/>
      <c r="F810" s="175"/>
      <c r="G810" s="175">
        <f t="shared" si="75"/>
        <v>0</v>
      </c>
      <c r="H810" s="176">
        <v>0.05</v>
      </c>
      <c r="I810" s="177">
        <f t="shared" si="76"/>
        <v>0</v>
      </c>
      <c r="J810" s="177">
        <f t="shared" si="77"/>
        <v>0</v>
      </c>
      <c r="K810" s="291"/>
      <c r="L810" s="292"/>
      <c r="M810" s="293"/>
      <c r="N810" s="293">
        <f t="shared" si="78"/>
        <v>0</v>
      </c>
      <c r="O810" s="298">
        <f t="shared" si="79"/>
        <v>0</v>
      </c>
      <c r="P810" s="302"/>
    </row>
    <row r="811" spans="2:16" ht="15.75" customHeight="1">
      <c r="B811" s="172"/>
      <c r="C811" s="173"/>
      <c r="D811" s="174"/>
      <c r="E811" s="174"/>
      <c r="F811" s="175"/>
      <c r="G811" s="175">
        <f t="shared" si="75"/>
        <v>0</v>
      </c>
      <c r="H811" s="176">
        <v>0.05</v>
      </c>
      <c r="I811" s="177">
        <f t="shared" si="76"/>
        <v>0</v>
      </c>
      <c r="J811" s="177">
        <f t="shared" si="77"/>
        <v>0</v>
      </c>
      <c r="K811" s="291"/>
      <c r="L811" s="292"/>
      <c r="M811" s="293"/>
      <c r="N811" s="293">
        <f t="shared" si="78"/>
        <v>0</v>
      </c>
      <c r="O811" s="298">
        <f t="shared" si="79"/>
        <v>0</v>
      </c>
      <c r="P811" s="302"/>
    </row>
    <row r="812" spans="2:16" ht="15.75" customHeight="1">
      <c r="B812" s="172"/>
      <c r="C812" s="173"/>
      <c r="D812" s="174"/>
      <c r="E812" s="174"/>
      <c r="F812" s="175"/>
      <c r="G812" s="175">
        <f t="shared" si="75"/>
        <v>0</v>
      </c>
      <c r="H812" s="176">
        <v>0.05</v>
      </c>
      <c r="I812" s="177">
        <f t="shared" si="76"/>
        <v>0</v>
      </c>
      <c r="J812" s="177">
        <f t="shared" si="77"/>
        <v>0</v>
      </c>
      <c r="K812" s="291"/>
      <c r="L812" s="292"/>
      <c r="M812" s="293"/>
      <c r="N812" s="293">
        <f t="shared" si="78"/>
        <v>0</v>
      </c>
      <c r="O812" s="298">
        <f t="shared" si="79"/>
        <v>0</v>
      </c>
      <c r="P812" s="302"/>
    </row>
    <row r="813" spans="2:16" ht="15.75" customHeight="1">
      <c r="B813" s="172"/>
      <c r="C813" s="173"/>
      <c r="D813" s="174"/>
      <c r="E813" s="174"/>
      <c r="F813" s="175"/>
      <c r="G813" s="175">
        <f t="shared" si="75"/>
        <v>0</v>
      </c>
      <c r="H813" s="176">
        <v>0.05</v>
      </c>
      <c r="I813" s="177">
        <f t="shared" si="76"/>
        <v>0</v>
      </c>
      <c r="J813" s="177">
        <f t="shared" si="77"/>
        <v>0</v>
      </c>
      <c r="K813" s="291"/>
      <c r="L813" s="292"/>
      <c r="M813" s="293"/>
      <c r="N813" s="293">
        <f t="shared" si="78"/>
        <v>0</v>
      </c>
      <c r="O813" s="298">
        <f t="shared" si="79"/>
        <v>0</v>
      </c>
      <c r="P813" s="302"/>
    </row>
    <row r="814" spans="2:16" ht="15.75" customHeight="1">
      <c r="B814" s="172"/>
      <c r="C814" s="173"/>
      <c r="D814" s="174"/>
      <c r="E814" s="174"/>
      <c r="F814" s="175"/>
      <c r="G814" s="175">
        <f t="shared" si="75"/>
        <v>0</v>
      </c>
      <c r="H814" s="176">
        <v>0.05</v>
      </c>
      <c r="I814" s="177">
        <f t="shared" si="76"/>
        <v>0</v>
      </c>
      <c r="J814" s="177">
        <f t="shared" si="77"/>
        <v>0</v>
      </c>
      <c r="K814" s="291"/>
      <c r="L814" s="292"/>
      <c r="M814" s="293"/>
      <c r="N814" s="293">
        <f t="shared" si="78"/>
        <v>0</v>
      </c>
      <c r="O814" s="298">
        <f t="shared" si="79"/>
        <v>0</v>
      </c>
      <c r="P814" s="302"/>
    </row>
    <row r="815" spans="2:16" ht="15.75" customHeight="1">
      <c r="B815" s="172"/>
      <c r="C815" s="173"/>
      <c r="D815" s="174"/>
      <c r="E815" s="174"/>
      <c r="F815" s="175"/>
      <c r="G815" s="175">
        <f t="shared" si="75"/>
        <v>0</v>
      </c>
      <c r="H815" s="176">
        <v>0.05</v>
      </c>
      <c r="I815" s="177">
        <f t="shared" si="76"/>
        <v>0</v>
      </c>
      <c r="J815" s="177">
        <f t="shared" si="77"/>
        <v>0</v>
      </c>
      <c r="K815" s="291"/>
      <c r="L815" s="292"/>
      <c r="M815" s="293"/>
      <c r="N815" s="293">
        <f t="shared" si="78"/>
        <v>0</v>
      </c>
      <c r="O815" s="298">
        <f t="shared" si="79"/>
        <v>0</v>
      </c>
      <c r="P815" s="302"/>
    </row>
    <row r="816" spans="2:16" ht="15.75" customHeight="1">
      <c r="B816" s="172"/>
      <c r="C816" s="173"/>
      <c r="D816" s="174"/>
      <c r="E816" s="174"/>
      <c r="F816" s="175"/>
      <c r="G816" s="175">
        <f t="shared" si="75"/>
        <v>0</v>
      </c>
      <c r="H816" s="176">
        <v>0.05</v>
      </c>
      <c r="I816" s="177">
        <f t="shared" si="76"/>
        <v>0</v>
      </c>
      <c r="J816" s="177">
        <f t="shared" si="77"/>
        <v>0</v>
      </c>
      <c r="K816" s="291"/>
      <c r="L816" s="292"/>
      <c r="M816" s="293"/>
      <c r="N816" s="293">
        <f t="shared" si="78"/>
        <v>0</v>
      </c>
      <c r="O816" s="298">
        <f t="shared" si="79"/>
        <v>0</v>
      </c>
      <c r="P816" s="302"/>
    </row>
    <row r="817" spans="2:16" ht="15.75" customHeight="1">
      <c r="B817" s="172"/>
      <c r="C817" s="173"/>
      <c r="D817" s="174"/>
      <c r="E817" s="174"/>
      <c r="F817" s="175"/>
      <c r="G817" s="175">
        <f t="shared" si="75"/>
        <v>0</v>
      </c>
      <c r="H817" s="176">
        <v>0.05</v>
      </c>
      <c r="I817" s="177">
        <f t="shared" si="76"/>
        <v>0</v>
      </c>
      <c r="J817" s="177">
        <f t="shared" si="77"/>
        <v>0</v>
      </c>
      <c r="K817" s="291"/>
      <c r="L817" s="292"/>
      <c r="M817" s="293"/>
      <c r="N817" s="293">
        <f t="shared" si="78"/>
        <v>0</v>
      </c>
      <c r="O817" s="298">
        <f t="shared" si="79"/>
        <v>0</v>
      </c>
      <c r="P817" s="302"/>
    </row>
    <row r="818" spans="2:16" ht="15.75" customHeight="1">
      <c r="B818" s="172"/>
      <c r="C818" s="173"/>
      <c r="D818" s="174"/>
      <c r="E818" s="174"/>
      <c r="F818" s="175"/>
      <c r="G818" s="175">
        <f t="shared" si="75"/>
        <v>0</v>
      </c>
      <c r="H818" s="176">
        <v>0.05</v>
      </c>
      <c r="I818" s="177">
        <f t="shared" si="76"/>
        <v>0</v>
      </c>
      <c r="J818" s="177">
        <f t="shared" si="77"/>
        <v>0</v>
      </c>
      <c r="K818" s="291"/>
      <c r="L818" s="292"/>
      <c r="M818" s="293"/>
      <c r="N818" s="293">
        <f t="shared" si="78"/>
        <v>0</v>
      </c>
      <c r="O818" s="298">
        <f t="shared" si="79"/>
        <v>0</v>
      </c>
      <c r="P818" s="302"/>
    </row>
    <row r="819" spans="2:16" ht="15.75" customHeight="1">
      <c r="B819" s="172"/>
      <c r="C819" s="173"/>
      <c r="D819" s="174"/>
      <c r="E819" s="174"/>
      <c r="F819" s="175"/>
      <c r="G819" s="175">
        <f t="shared" si="75"/>
        <v>0</v>
      </c>
      <c r="H819" s="176">
        <v>0.05</v>
      </c>
      <c r="I819" s="177">
        <f t="shared" si="76"/>
        <v>0</v>
      </c>
      <c r="J819" s="177">
        <f t="shared" si="77"/>
        <v>0</v>
      </c>
      <c r="K819" s="291"/>
      <c r="L819" s="292"/>
      <c r="M819" s="293"/>
      <c r="N819" s="293">
        <f t="shared" si="78"/>
        <v>0</v>
      </c>
      <c r="O819" s="298">
        <f t="shared" si="79"/>
        <v>0</v>
      </c>
      <c r="P819" s="302"/>
    </row>
    <row r="820" spans="2:16" ht="15.75" customHeight="1">
      <c r="B820" s="172"/>
      <c r="C820" s="173"/>
      <c r="D820" s="174"/>
      <c r="E820" s="174"/>
      <c r="F820" s="175"/>
      <c r="G820" s="175">
        <f t="shared" si="75"/>
        <v>0</v>
      </c>
      <c r="H820" s="176">
        <v>0.05</v>
      </c>
      <c r="I820" s="177">
        <f t="shared" si="76"/>
        <v>0</v>
      </c>
      <c r="J820" s="177">
        <f t="shared" si="77"/>
        <v>0</v>
      </c>
      <c r="K820" s="291"/>
      <c r="L820" s="292"/>
      <c r="M820" s="293"/>
      <c r="N820" s="293">
        <f t="shared" si="78"/>
        <v>0</v>
      </c>
      <c r="O820" s="298">
        <f t="shared" si="79"/>
        <v>0</v>
      </c>
      <c r="P820" s="302"/>
    </row>
    <row r="821" spans="2:16" ht="15.75" customHeight="1">
      <c r="B821" s="172"/>
      <c r="C821" s="173"/>
      <c r="D821" s="174"/>
      <c r="E821" s="174"/>
      <c r="F821" s="175"/>
      <c r="G821" s="175">
        <f t="shared" si="75"/>
        <v>0</v>
      </c>
      <c r="H821" s="176">
        <v>0.05</v>
      </c>
      <c r="I821" s="177">
        <f t="shared" si="76"/>
        <v>0</v>
      </c>
      <c r="J821" s="177">
        <f t="shared" si="77"/>
        <v>0</v>
      </c>
      <c r="K821" s="291"/>
      <c r="L821" s="292"/>
      <c r="M821" s="293"/>
      <c r="N821" s="293">
        <f t="shared" si="78"/>
        <v>0</v>
      </c>
      <c r="O821" s="298">
        <f t="shared" si="79"/>
        <v>0</v>
      </c>
      <c r="P821" s="302"/>
    </row>
    <row r="822" spans="2:16" ht="15.75" customHeight="1">
      <c r="B822" s="172"/>
      <c r="C822" s="173"/>
      <c r="D822" s="174"/>
      <c r="E822" s="174"/>
      <c r="F822" s="175"/>
      <c r="G822" s="175">
        <f t="shared" si="75"/>
        <v>0</v>
      </c>
      <c r="H822" s="176">
        <v>0.05</v>
      </c>
      <c r="I822" s="177">
        <f t="shared" si="76"/>
        <v>0</v>
      </c>
      <c r="J822" s="177">
        <f t="shared" si="77"/>
        <v>0</v>
      </c>
      <c r="K822" s="291"/>
      <c r="L822" s="292"/>
      <c r="M822" s="293"/>
      <c r="N822" s="293">
        <f t="shared" si="78"/>
        <v>0</v>
      </c>
      <c r="O822" s="298">
        <f t="shared" si="79"/>
        <v>0</v>
      </c>
      <c r="P822" s="302"/>
    </row>
    <row r="823" spans="2:16" ht="15.75" customHeight="1">
      <c r="B823" s="172"/>
      <c r="C823" s="173"/>
      <c r="D823" s="174"/>
      <c r="E823" s="174"/>
      <c r="F823" s="175"/>
      <c r="G823" s="175">
        <f t="shared" si="75"/>
        <v>0</v>
      </c>
      <c r="H823" s="176">
        <v>0.05</v>
      </c>
      <c r="I823" s="177">
        <f t="shared" si="76"/>
        <v>0</v>
      </c>
      <c r="J823" s="177">
        <f t="shared" si="77"/>
        <v>0</v>
      </c>
      <c r="K823" s="291"/>
      <c r="L823" s="292"/>
      <c r="M823" s="293"/>
      <c r="N823" s="293">
        <f t="shared" si="78"/>
        <v>0</v>
      </c>
      <c r="O823" s="298">
        <f t="shared" si="79"/>
        <v>0</v>
      </c>
      <c r="P823" s="302"/>
    </row>
    <row r="824" spans="2:16" ht="15.75" customHeight="1">
      <c r="B824" s="172"/>
      <c r="C824" s="173"/>
      <c r="D824" s="174"/>
      <c r="E824" s="174"/>
      <c r="F824" s="175"/>
      <c r="G824" s="175">
        <f t="shared" si="75"/>
        <v>0</v>
      </c>
      <c r="H824" s="176">
        <v>0.05</v>
      </c>
      <c r="I824" s="177">
        <f t="shared" si="76"/>
        <v>0</v>
      </c>
      <c r="J824" s="177">
        <f t="shared" si="77"/>
        <v>0</v>
      </c>
      <c r="K824" s="291"/>
      <c r="L824" s="292"/>
      <c r="M824" s="293"/>
      <c r="N824" s="293">
        <f t="shared" si="78"/>
        <v>0</v>
      </c>
      <c r="O824" s="298">
        <f t="shared" si="79"/>
        <v>0</v>
      </c>
      <c r="P824" s="302"/>
    </row>
    <row r="825" spans="2:16" ht="15.75" customHeight="1">
      <c r="B825" s="172"/>
      <c r="C825" s="173"/>
      <c r="D825" s="174"/>
      <c r="E825" s="174"/>
      <c r="F825" s="175"/>
      <c r="G825" s="175">
        <f t="shared" si="75"/>
        <v>0</v>
      </c>
      <c r="H825" s="176">
        <v>0.05</v>
      </c>
      <c r="I825" s="177">
        <f t="shared" si="76"/>
        <v>0</v>
      </c>
      <c r="J825" s="177">
        <f t="shared" si="77"/>
        <v>0</v>
      </c>
      <c r="K825" s="291"/>
      <c r="L825" s="292"/>
      <c r="M825" s="293"/>
      <c r="N825" s="293">
        <f t="shared" si="78"/>
        <v>0</v>
      </c>
      <c r="O825" s="298">
        <f t="shared" si="79"/>
        <v>0</v>
      </c>
      <c r="P825" s="302"/>
    </row>
    <row r="826" spans="2:16" ht="15.75" customHeight="1">
      <c r="B826" s="172"/>
      <c r="C826" s="173"/>
      <c r="D826" s="174"/>
      <c r="E826" s="174"/>
      <c r="F826" s="175"/>
      <c r="G826" s="175">
        <f t="shared" si="75"/>
        <v>0</v>
      </c>
      <c r="H826" s="176">
        <v>0.05</v>
      </c>
      <c r="I826" s="177">
        <f t="shared" si="76"/>
        <v>0</v>
      </c>
      <c r="J826" s="177">
        <f t="shared" si="77"/>
        <v>0</v>
      </c>
      <c r="K826" s="291"/>
      <c r="L826" s="292"/>
      <c r="M826" s="293"/>
      <c r="N826" s="293">
        <f t="shared" si="78"/>
        <v>0</v>
      </c>
      <c r="O826" s="298">
        <f t="shared" si="79"/>
        <v>0</v>
      </c>
      <c r="P826" s="302"/>
    </row>
    <row r="827" spans="2:16" ht="15.75" customHeight="1">
      <c r="B827" s="172"/>
      <c r="C827" s="173"/>
      <c r="D827" s="174"/>
      <c r="E827" s="174"/>
      <c r="F827" s="175"/>
      <c r="G827" s="175">
        <f t="shared" si="75"/>
        <v>0</v>
      </c>
      <c r="H827" s="176">
        <v>0.05</v>
      </c>
      <c r="I827" s="177">
        <f t="shared" si="76"/>
        <v>0</v>
      </c>
      <c r="J827" s="177">
        <f t="shared" si="77"/>
        <v>0</v>
      </c>
      <c r="K827" s="291"/>
      <c r="L827" s="292"/>
      <c r="M827" s="293"/>
      <c r="N827" s="293">
        <f t="shared" si="78"/>
        <v>0</v>
      </c>
      <c r="O827" s="298">
        <f t="shared" si="79"/>
        <v>0</v>
      </c>
      <c r="P827" s="302"/>
    </row>
    <row r="828" spans="2:16" ht="15.75" customHeight="1">
      <c r="B828" s="172"/>
      <c r="C828" s="173"/>
      <c r="D828" s="174"/>
      <c r="E828" s="174"/>
      <c r="F828" s="175"/>
      <c r="G828" s="175">
        <f t="shared" si="75"/>
        <v>0</v>
      </c>
      <c r="H828" s="176">
        <v>0.05</v>
      </c>
      <c r="I828" s="177">
        <f t="shared" si="76"/>
        <v>0</v>
      </c>
      <c r="J828" s="177">
        <f t="shared" si="77"/>
        <v>0</v>
      </c>
      <c r="K828" s="291"/>
      <c r="L828" s="292"/>
      <c r="M828" s="293"/>
      <c r="N828" s="293">
        <f t="shared" si="78"/>
        <v>0</v>
      </c>
      <c r="O828" s="298">
        <f t="shared" si="79"/>
        <v>0</v>
      </c>
      <c r="P828" s="302"/>
    </row>
    <row r="829" spans="2:16" ht="15.75" customHeight="1">
      <c r="B829" s="172"/>
      <c r="C829" s="173"/>
      <c r="D829" s="174"/>
      <c r="E829" s="174"/>
      <c r="F829" s="175"/>
      <c r="G829" s="175">
        <f t="shared" si="75"/>
        <v>0</v>
      </c>
      <c r="H829" s="176">
        <v>0.05</v>
      </c>
      <c r="I829" s="177">
        <f t="shared" si="76"/>
        <v>0</v>
      </c>
      <c r="J829" s="177">
        <f t="shared" si="77"/>
        <v>0</v>
      </c>
      <c r="K829" s="291"/>
      <c r="L829" s="292"/>
      <c r="M829" s="293"/>
      <c r="N829" s="293">
        <f t="shared" si="78"/>
        <v>0</v>
      </c>
      <c r="O829" s="298">
        <f t="shared" si="79"/>
        <v>0</v>
      </c>
      <c r="P829" s="302"/>
    </row>
    <row r="830" spans="2:16" ht="15.75" customHeight="1">
      <c r="B830" s="172"/>
      <c r="C830" s="173"/>
      <c r="D830" s="174"/>
      <c r="E830" s="174"/>
      <c r="F830" s="175"/>
      <c r="G830" s="175">
        <f t="shared" si="75"/>
        <v>0</v>
      </c>
      <c r="H830" s="176">
        <v>0.05</v>
      </c>
      <c r="I830" s="177">
        <f t="shared" si="76"/>
        <v>0</v>
      </c>
      <c r="J830" s="177">
        <f t="shared" si="77"/>
        <v>0</v>
      </c>
      <c r="K830" s="291"/>
      <c r="L830" s="292"/>
      <c r="M830" s="293"/>
      <c r="N830" s="293">
        <f t="shared" si="78"/>
        <v>0</v>
      </c>
      <c r="O830" s="298">
        <f t="shared" si="79"/>
        <v>0</v>
      </c>
      <c r="P830" s="302"/>
    </row>
    <row r="831" spans="2:16" ht="15.75" customHeight="1">
      <c r="B831" s="172"/>
      <c r="C831" s="173"/>
      <c r="D831" s="174"/>
      <c r="E831" s="174"/>
      <c r="F831" s="175"/>
      <c r="G831" s="175">
        <f t="shared" si="75"/>
        <v>0</v>
      </c>
      <c r="H831" s="176">
        <v>0.05</v>
      </c>
      <c r="I831" s="177">
        <f t="shared" si="76"/>
        <v>0</v>
      </c>
      <c r="J831" s="177">
        <f t="shared" si="77"/>
        <v>0</v>
      </c>
      <c r="K831" s="291"/>
      <c r="L831" s="292"/>
      <c r="M831" s="293"/>
      <c r="N831" s="293">
        <f t="shared" si="78"/>
        <v>0</v>
      </c>
      <c r="O831" s="298">
        <f t="shared" si="79"/>
        <v>0</v>
      </c>
      <c r="P831" s="302"/>
    </row>
    <row r="832" spans="2:16" ht="15.75" customHeight="1">
      <c r="B832" s="172"/>
      <c r="C832" s="173"/>
      <c r="D832" s="174"/>
      <c r="E832" s="174"/>
      <c r="F832" s="175"/>
      <c r="G832" s="175">
        <f t="shared" si="75"/>
        <v>0</v>
      </c>
      <c r="H832" s="176">
        <v>0.05</v>
      </c>
      <c r="I832" s="177">
        <f t="shared" si="76"/>
        <v>0</v>
      </c>
      <c r="J832" s="177">
        <f t="shared" si="77"/>
        <v>0</v>
      </c>
      <c r="K832" s="291"/>
      <c r="L832" s="292"/>
      <c r="M832" s="293"/>
      <c r="N832" s="293">
        <f t="shared" si="78"/>
        <v>0</v>
      </c>
      <c r="O832" s="298">
        <f t="shared" si="79"/>
        <v>0</v>
      </c>
      <c r="P832" s="302"/>
    </row>
    <row r="833" spans="2:16" ht="15.75" customHeight="1">
      <c r="B833" s="172"/>
      <c r="C833" s="173"/>
      <c r="D833" s="174"/>
      <c r="E833" s="174"/>
      <c r="F833" s="175"/>
      <c r="G833" s="175">
        <f t="shared" si="75"/>
        <v>0</v>
      </c>
      <c r="H833" s="176">
        <v>0.05</v>
      </c>
      <c r="I833" s="177">
        <f t="shared" si="76"/>
        <v>0</v>
      </c>
      <c r="J833" s="177">
        <f t="shared" si="77"/>
        <v>0</v>
      </c>
      <c r="K833" s="291"/>
      <c r="L833" s="292"/>
      <c r="M833" s="293"/>
      <c r="N833" s="293">
        <f t="shared" si="78"/>
        <v>0</v>
      </c>
      <c r="O833" s="298">
        <f t="shared" si="79"/>
        <v>0</v>
      </c>
      <c r="P833" s="302"/>
    </row>
    <row r="834" spans="2:16" ht="15.75" customHeight="1">
      <c r="B834" s="172"/>
      <c r="C834" s="173"/>
      <c r="D834" s="174"/>
      <c r="E834" s="174"/>
      <c r="F834" s="175"/>
      <c r="G834" s="175">
        <f t="shared" si="75"/>
        <v>0</v>
      </c>
      <c r="H834" s="176">
        <v>0.05</v>
      </c>
      <c r="I834" s="177">
        <f t="shared" si="76"/>
        <v>0</v>
      </c>
      <c r="J834" s="177">
        <f t="shared" si="77"/>
        <v>0</v>
      </c>
      <c r="K834" s="291"/>
      <c r="L834" s="292"/>
      <c r="M834" s="293"/>
      <c r="N834" s="293">
        <f t="shared" si="78"/>
        <v>0</v>
      </c>
      <c r="O834" s="298">
        <f t="shared" si="79"/>
        <v>0</v>
      </c>
      <c r="P834" s="302"/>
    </row>
    <row r="835" spans="2:16" ht="15.75" customHeight="1">
      <c r="B835" s="172"/>
      <c r="C835" s="173"/>
      <c r="D835" s="174"/>
      <c r="E835" s="174"/>
      <c r="F835" s="175"/>
      <c r="G835" s="175">
        <f t="shared" si="75"/>
        <v>0</v>
      </c>
      <c r="H835" s="176">
        <v>0.05</v>
      </c>
      <c r="I835" s="177">
        <f t="shared" si="76"/>
        <v>0</v>
      </c>
      <c r="J835" s="177">
        <f t="shared" si="77"/>
        <v>0</v>
      </c>
      <c r="K835" s="291"/>
      <c r="L835" s="292"/>
      <c r="M835" s="293"/>
      <c r="N835" s="293">
        <f t="shared" si="78"/>
        <v>0</v>
      </c>
      <c r="O835" s="298">
        <f t="shared" si="79"/>
        <v>0</v>
      </c>
      <c r="P835" s="302"/>
    </row>
    <row r="836" spans="2:16" ht="15.75" customHeight="1">
      <c r="B836" s="172"/>
      <c r="C836" s="173"/>
      <c r="D836" s="174"/>
      <c r="E836" s="174"/>
      <c r="F836" s="175"/>
      <c r="G836" s="175">
        <f t="shared" ref="G836:G868" si="80">IF(D836=0,0,(D836+E836)/F836)</f>
        <v>0</v>
      </c>
      <c r="H836" s="176">
        <v>0.05</v>
      </c>
      <c r="I836" s="177">
        <f t="shared" ref="I836:I868" si="81">+G836*H836</f>
        <v>0</v>
      </c>
      <c r="J836" s="177">
        <f t="shared" ref="J836:J868" si="82">+G836+I836</f>
        <v>0</v>
      </c>
      <c r="K836" s="291"/>
      <c r="L836" s="292"/>
      <c r="M836" s="293"/>
      <c r="N836" s="293">
        <f t="shared" ref="N836:N868" si="83">IF(H836&lt;M836,H836/M836,0)</f>
        <v>0</v>
      </c>
      <c r="O836" s="298">
        <f t="shared" ref="O836:O868" si="84">1.5%*N836</f>
        <v>0</v>
      </c>
      <c r="P836" s="302"/>
    </row>
    <row r="837" spans="2:16" ht="15.75" customHeight="1">
      <c r="B837" s="172"/>
      <c r="C837" s="173"/>
      <c r="D837" s="174"/>
      <c r="E837" s="174"/>
      <c r="F837" s="175"/>
      <c r="G837" s="175">
        <f t="shared" si="80"/>
        <v>0</v>
      </c>
      <c r="H837" s="176">
        <v>0.05</v>
      </c>
      <c r="I837" s="177">
        <f t="shared" si="81"/>
        <v>0</v>
      </c>
      <c r="J837" s="177">
        <f t="shared" si="82"/>
        <v>0</v>
      </c>
      <c r="K837" s="291"/>
      <c r="L837" s="292"/>
      <c r="M837" s="293"/>
      <c r="N837" s="293">
        <f t="shared" si="83"/>
        <v>0</v>
      </c>
      <c r="O837" s="298">
        <f t="shared" si="84"/>
        <v>0</v>
      </c>
      <c r="P837" s="302"/>
    </row>
    <row r="838" spans="2:16" ht="15.75" customHeight="1">
      <c r="B838" s="172"/>
      <c r="C838" s="173"/>
      <c r="D838" s="174"/>
      <c r="E838" s="174"/>
      <c r="F838" s="175"/>
      <c r="G838" s="175">
        <f t="shared" si="80"/>
        <v>0</v>
      </c>
      <c r="H838" s="176">
        <v>0.05</v>
      </c>
      <c r="I838" s="177">
        <f t="shared" si="81"/>
        <v>0</v>
      </c>
      <c r="J838" s="177">
        <f t="shared" si="82"/>
        <v>0</v>
      </c>
      <c r="K838" s="291"/>
      <c r="L838" s="292"/>
      <c r="M838" s="293"/>
      <c r="N838" s="293">
        <f t="shared" si="83"/>
        <v>0</v>
      </c>
      <c r="O838" s="298">
        <f t="shared" si="84"/>
        <v>0</v>
      </c>
      <c r="P838" s="302"/>
    </row>
    <row r="839" spans="2:16" ht="15.75" customHeight="1">
      <c r="B839" s="172"/>
      <c r="C839" s="173"/>
      <c r="D839" s="174"/>
      <c r="E839" s="174"/>
      <c r="F839" s="175"/>
      <c r="G839" s="175">
        <f t="shared" si="80"/>
        <v>0</v>
      </c>
      <c r="H839" s="176">
        <v>0.05</v>
      </c>
      <c r="I839" s="177">
        <f t="shared" si="81"/>
        <v>0</v>
      </c>
      <c r="J839" s="177">
        <f t="shared" si="82"/>
        <v>0</v>
      </c>
      <c r="K839" s="291"/>
      <c r="L839" s="292"/>
      <c r="M839" s="293"/>
      <c r="N839" s="293">
        <f t="shared" si="83"/>
        <v>0</v>
      </c>
      <c r="O839" s="298">
        <f t="shared" si="84"/>
        <v>0</v>
      </c>
      <c r="P839" s="302"/>
    </row>
    <row r="840" spans="2:16" ht="15.75" customHeight="1">
      <c r="B840" s="172"/>
      <c r="C840" s="173"/>
      <c r="D840" s="174"/>
      <c r="E840" s="174"/>
      <c r="F840" s="175"/>
      <c r="G840" s="175">
        <f t="shared" si="80"/>
        <v>0</v>
      </c>
      <c r="H840" s="176">
        <v>0.05</v>
      </c>
      <c r="I840" s="177">
        <f t="shared" si="81"/>
        <v>0</v>
      </c>
      <c r="J840" s="177">
        <f t="shared" si="82"/>
        <v>0</v>
      </c>
      <c r="K840" s="291"/>
      <c r="L840" s="292"/>
      <c r="M840" s="293"/>
      <c r="N840" s="293">
        <f t="shared" si="83"/>
        <v>0</v>
      </c>
      <c r="O840" s="298">
        <f t="shared" si="84"/>
        <v>0</v>
      </c>
      <c r="P840" s="302"/>
    </row>
    <row r="841" spans="2:16" ht="15.75" customHeight="1">
      <c r="B841" s="172"/>
      <c r="C841" s="173"/>
      <c r="D841" s="174"/>
      <c r="E841" s="174"/>
      <c r="F841" s="175"/>
      <c r="G841" s="175">
        <f t="shared" si="80"/>
        <v>0</v>
      </c>
      <c r="H841" s="176">
        <v>0.05</v>
      </c>
      <c r="I841" s="177">
        <f t="shared" si="81"/>
        <v>0</v>
      </c>
      <c r="J841" s="177">
        <f t="shared" si="82"/>
        <v>0</v>
      </c>
      <c r="K841" s="291"/>
      <c r="L841" s="292"/>
      <c r="M841" s="293"/>
      <c r="N841" s="293">
        <f t="shared" si="83"/>
        <v>0</v>
      </c>
      <c r="O841" s="298">
        <f t="shared" si="84"/>
        <v>0</v>
      </c>
      <c r="P841" s="302"/>
    </row>
    <row r="842" spans="2:16" ht="15.75" customHeight="1">
      <c r="B842" s="172"/>
      <c r="C842" s="173"/>
      <c r="D842" s="174"/>
      <c r="E842" s="174"/>
      <c r="F842" s="175"/>
      <c r="G842" s="175">
        <f t="shared" si="80"/>
        <v>0</v>
      </c>
      <c r="H842" s="176">
        <v>0.05</v>
      </c>
      <c r="I842" s="177">
        <f t="shared" si="81"/>
        <v>0</v>
      </c>
      <c r="J842" s="177">
        <f t="shared" si="82"/>
        <v>0</v>
      </c>
      <c r="K842" s="291"/>
      <c r="L842" s="292"/>
      <c r="M842" s="293"/>
      <c r="N842" s="293">
        <f t="shared" si="83"/>
        <v>0</v>
      </c>
      <c r="O842" s="298">
        <f t="shared" si="84"/>
        <v>0</v>
      </c>
      <c r="P842" s="302"/>
    </row>
    <row r="843" spans="2:16" ht="15.75" customHeight="1">
      <c r="B843" s="172"/>
      <c r="C843" s="173"/>
      <c r="D843" s="174"/>
      <c r="E843" s="174"/>
      <c r="F843" s="175"/>
      <c r="G843" s="175">
        <f t="shared" si="80"/>
        <v>0</v>
      </c>
      <c r="H843" s="176">
        <v>0.05</v>
      </c>
      <c r="I843" s="177">
        <f t="shared" si="81"/>
        <v>0</v>
      </c>
      <c r="J843" s="177">
        <f t="shared" si="82"/>
        <v>0</v>
      </c>
      <c r="K843" s="291"/>
      <c r="L843" s="292"/>
      <c r="M843" s="293"/>
      <c r="N843" s="293">
        <f t="shared" si="83"/>
        <v>0</v>
      </c>
      <c r="O843" s="298">
        <f t="shared" si="84"/>
        <v>0</v>
      </c>
      <c r="P843" s="302"/>
    </row>
    <row r="844" spans="2:16" ht="15.75" customHeight="1">
      <c r="B844" s="172"/>
      <c r="C844" s="173"/>
      <c r="D844" s="174"/>
      <c r="E844" s="174"/>
      <c r="F844" s="175"/>
      <c r="G844" s="175">
        <f t="shared" si="80"/>
        <v>0</v>
      </c>
      <c r="H844" s="176">
        <v>0.05</v>
      </c>
      <c r="I844" s="177">
        <f t="shared" si="81"/>
        <v>0</v>
      </c>
      <c r="J844" s="177">
        <f t="shared" si="82"/>
        <v>0</v>
      </c>
      <c r="K844" s="291"/>
      <c r="L844" s="292"/>
      <c r="M844" s="293"/>
      <c r="N844" s="293">
        <f t="shared" si="83"/>
        <v>0</v>
      </c>
      <c r="O844" s="298">
        <f t="shared" si="84"/>
        <v>0</v>
      </c>
      <c r="P844" s="302"/>
    </row>
    <row r="845" spans="2:16" ht="15.75" customHeight="1">
      <c r="B845" s="172"/>
      <c r="C845" s="173"/>
      <c r="D845" s="174"/>
      <c r="E845" s="174"/>
      <c r="F845" s="175"/>
      <c r="G845" s="175">
        <f t="shared" si="80"/>
        <v>0</v>
      </c>
      <c r="H845" s="176">
        <v>0.05</v>
      </c>
      <c r="I845" s="177">
        <f t="shared" si="81"/>
        <v>0</v>
      </c>
      <c r="J845" s="177">
        <f t="shared" si="82"/>
        <v>0</v>
      </c>
      <c r="K845" s="291"/>
      <c r="L845" s="292"/>
      <c r="M845" s="293"/>
      <c r="N845" s="293">
        <f t="shared" si="83"/>
        <v>0</v>
      </c>
      <c r="O845" s="298">
        <f t="shared" si="84"/>
        <v>0</v>
      </c>
      <c r="P845" s="302"/>
    </row>
    <row r="846" spans="2:16" ht="15.75" customHeight="1">
      <c r="B846" s="172"/>
      <c r="C846" s="173"/>
      <c r="D846" s="174"/>
      <c r="E846" s="174"/>
      <c r="F846" s="175"/>
      <c r="G846" s="175">
        <f t="shared" si="80"/>
        <v>0</v>
      </c>
      <c r="H846" s="176">
        <v>0.05</v>
      </c>
      <c r="I846" s="177">
        <f t="shared" si="81"/>
        <v>0</v>
      </c>
      <c r="J846" s="177">
        <f t="shared" si="82"/>
        <v>0</v>
      </c>
      <c r="K846" s="291"/>
      <c r="L846" s="292"/>
      <c r="M846" s="293"/>
      <c r="N846" s="293">
        <f t="shared" si="83"/>
        <v>0</v>
      </c>
      <c r="O846" s="298">
        <f t="shared" si="84"/>
        <v>0</v>
      </c>
      <c r="P846" s="302"/>
    </row>
    <row r="847" spans="2:16" ht="15.75" customHeight="1">
      <c r="B847" s="172"/>
      <c r="C847" s="173"/>
      <c r="D847" s="174"/>
      <c r="E847" s="174"/>
      <c r="F847" s="175"/>
      <c r="G847" s="175">
        <f t="shared" si="80"/>
        <v>0</v>
      </c>
      <c r="H847" s="176">
        <v>0.05</v>
      </c>
      <c r="I847" s="177">
        <f t="shared" si="81"/>
        <v>0</v>
      </c>
      <c r="J847" s="177">
        <f t="shared" si="82"/>
        <v>0</v>
      </c>
      <c r="K847" s="291"/>
      <c r="L847" s="292"/>
      <c r="M847" s="293"/>
      <c r="N847" s="293">
        <f t="shared" si="83"/>
        <v>0</v>
      </c>
      <c r="O847" s="298">
        <f t="shared" si="84"/>
        <v>0</v>
      </c>
      <c r="P847" s="302"/>
    </row>
    <row r="848" spans="2:16" ht="15.75" customHeight="1">
      <c r="B848" s="172"/>
      <c r="C848" s="173"/>
      <c r="D848" s="174"/>
      <c r="E848" s="174"/>
      <c r="F848" s="175"/>
      <c r="G848" s="175">
        <f t="shared" si="80"/>
        <v>0</v>
      </c>
      <c r="H848" s="176">
        <v>0.05</v>
      </c>
      <c r="I848" s="177">
        <f t="shared" si="81"/>
        <v>0</v>
      </c>
      <c r="J848" s="177">
        <f t="shared" si="82"/>
        <v>0</v>
      </c>
      <c r="K848" s="291"/>
      <c r="L848" s="292"/>
      <c r="M848" s="293"/>
      <c r="N848" s="293">
        <f t="shared" si="83"/>
        <v>0</v>
      </c>
      <c r="O848" s="298">
        <f t="shared" si="84"/>
        <v>0</v>
      </c>
      <c r="P848" s="302"/>
    </row>
    <row r="849" spans="2:16" ht="15.75" customHeight="1">
      <c r="B849" s="172"/>
      <c r="C849" s="173"/>
      <c r="D849" s="174"/>
      <c r="E849" s="174"/>
      <c r="F849" s="175"/>
      <c r="G849" s="175">
        <f t="shared" si="80"/>
        <v>0</v>
      </c>
      <c r="H849" s="176">
        <v>0.05</v>
      </c>
      <c r="I849" s="177">
        <f t="shared" si="81"/>
        <v>0</v>
      </c>
      <c r="J849" s="177">
        <f t="shared" si="82"/>
        <v>0</v>
      </c>
      <c r="K849" s="291"/>
      <c r="L849" s="292"/>
      <c r="M849" s="293"/>
      <c r="N849" s="293">
        <f t="shared" si="83"/>
        <v>0</v>
      </c>
      <c r="O849" s="298">
        <f t="shared" si="84"/>
        <v>0</v>
      </c>
      <c r="P849" s="302"/>
    </row>
    <row r="850" spans="2:16" ht="15.75" customHeight="1">
      <c r="B850" s="172"/>
      <c r="C850" s="173"/>
      <c r="D850" s="174"/>
      <c r="E850" s="174"/>
      <c r="F850" s="175"/>
      <c r="G850" s="175">
        <f t="shared" si="80"/>
        <v>0</v>
      </c>
      <c r="H850" s="176">
        <v>0.05</v>
      </c>
      <c r="I850" s="177">
        <f t="shared" si="81"/>
        <v>0</v>
      </c>
      <c r="J850" s="177">
        <f t="shared" si="82"/>
        <v>0</v>
      </c>
      <c r="K850" s="291"/>
      <c r="L850" s="292"/>
      <c r="M850" s="293"/>
      <c r="N850" s="293">
        <f t="shared" si="83"/>
        <v>0</v>
      </c>
      <c r="O850" s="298">
        <f t="shared" si="84"/>
        <v>0</v>
      </c>
      <c r="P850" s="302"/>
    </row>
    <row r="851" spans="2:16" ht="15.75" customHeight="1">
      <c r="B851" s="172"/>
      <c r="C851" s="173"/>
      <c r="D851" s="174"/>
      <c r="E851" s="174"/>
      <c r="F851" s="175"/>
      <c r="G851" s="175">
        <f t="shared" si="80"/>
        <v>0</v>
      </c>
      <c r="H851" s="176">
        <v>0.05</v>
      </c>
      <c r="I851" s="177">
        <f t="shared" si="81"/>
        <v>0</v>
      </c>
      <c r="J851" s="177">
        <f t="shared" si="82"/>
        <v>0</v>
      </c>
      <c r="K851" s="291"/>
      <c r="L851" s="292"/>
      <c r="M851" s="293"/>
      <c r="N851" s="293">
        <f t="shared" si="83"/>
        <v>0</v>
      </c>
      <c r="O851" s="298">
        <f t="shared" si="84"/>
        <v>0</v>
      </c>
      <c r="P851" s="302"/>
    </row>
    <row r="852" spans="2:16" ht="15.75" customHeight="1">
      <c r="B852" s="172"/>
      <c r="C852" s="173"/>
      <c r="D852" s="174"/>
      <c r="E852" s="174"/>
      <c r="F852" s="175"/>
      <c r="G852" s="175">
        <f t="shared" si="80"/>
        <v>0</v>
      </c>
      <c r="H852" s="176">
        <v>0.05</v>
      </c>
      <c r="I852" s="177">
        <f t="shared" si="81"/>
        <v>0</v>
      </c>
      <c r="J852" s="177">
        <f t="shared" si="82"/>
        <v>0</v>
      </c>
      <c r="K852" s="291"/>
      <c r="L852" s="292"/>
      <c r="M852" s="293"/>
      <c r="N852" s="293">
        <f t="shared" si="83"/>
        <v>0</v>
      </c>
      <c r="O852" s="298">
        <f t="shared" si="84"/>
        <v>0</v>
      </c>
      <c r="P852" s="302"/>
    </row>
    <row r="853" spans="2:16" ht="15.75" customHeight="1">
      <c r="B853" s="172"/>
      <c r="C853" s="173"/>
      <c r="D853" s="174"/>
      <c r="E853" s="174"/>
      <c r="F853" s="175"/>
      <c r="G853" s="175">
        <f t="shared" si="80"/>
        <v>0</v>
      </c>
      <c r="H853" s="176">
        <v>0.05</v>
      </c>
      <c r="I853" s="177">
        <f t="shared" si="81"/>
        <v>0</v>
      </c>
      <c r="J853" s="177">
        <f t="shared" si="82"/>
        <v>0</v>
      </c>
      <c r="K853" s="291"/>
      <c r="L853" s="292"/>
      <c r="M853" s="293"/>
      <c r="N853" s="293">
        <f t="shared" si="83"/>
        <v>0</v>
      </c>
      <c r="O853" s="298">
        <f t="shared" si="84"/>
        <v>0</v>
      </c>
      <c r="P853" s="302"/>
    </row>
    <row r="854" spans="2:16" ht="15.75" customHeight="1">
      <c r="B854" s="172"/>
      <c r="C854" s="173"/>
      <c r="D854" s="174"/>
      <c r="E854" s="174"/>
      <c r="F854" s="175"/>
      <c r="G854" s="175">
        <f t="shared" si="80"/>
        <v>0</v>
      </c>
      <c r="H854" s="176">
        <v>0.05</v>
      </c>
      <c r="I854" s="177">
        <f t="shared" si="81"/>
        <v>0</v>
      </c>
      <c r="J854" s="177">
        <f t="shared" si="82"/>
        <v>0</v>
      </c>
      <c r="K854" s="291"/>
      <c r="L854" s="292"/>
      <c r="M854" s="293"/>
      <c r="N854" s="293">
        <f t="shared" si="83"/>
        <v>0</v>
      </c>
      <c r="O854" s="298">
        <f t="shared" si="84"/>
        <v>0</v>
      </c>
      <c r="P854" s="302"/>
    </row>
    <row r="855" spans="2:16" ht="15.75" customHeight="1">
      <c r="B855" s="172"/>
      <c r="C855" s="173"/>
      <c r="D855" s="174"/>
      <c r="E855" s="174"/>
      <c r="F855" s="175"/>
      <c r="G855" s="175">
        <f t="shared" si="80"/>
        <v>0</v>
      </c>
      <c r="H855" s="176">
        <v>0.05</v>
      </c>
      <c r="I855" s="177">
        <f t="shared" si="81"/>
        <v>0</v>
      </c>
      <c r="J855" s="177">
        <f t="shared" si="82"/>
        <v>0</v>
      </c>
      <c r="K855" s="291"/>
      <c r="L855" s="292"/>
      <c r="M855" s="293"/>
      <c r="N855" s="293">
        <f t="shared" si="83"/>
        <v>0</v>
      </c>
      <c r="O855" s="298">
        <f t="shared" si="84"/>
        <v>0</v>
      </c>
      <c r="P855" s="302"/>
    </row>
    <row r="856" spans="2:16" ht="15.75" customHeight="1">
      <c r="B856" s="172"/>
      <c r="C856" s="173"/>
      <c r="D856" s="174"/>
      <c r="E856" s="174"/>
      <c r="F856" s="175"/>
      <c r="G856" s="175">
        <f t="shared" si="80"/>
        <v>0</v>
      </c>
      <c r="H856" s="176">
        <v>0.05</v>
      </c>
      <c r="I856" s="177">
        <f t="shared" si="81"/>
        <v>0</v>
      </c>
      <c r="J856" s="177">
        <f t="shared" si="82"/>
        <v>0</v>
      </c>
      <c r="K856" s="291"/>
      <c r="L856" s="292"/>
      <c r="M856" s="293"/>
      <c r="N856" s="293">
        <f t="shared" si="83"/>
        <v>0</v>
      </c>
      <c r="O856" s="298">
        <f t="shared" si="84"/>
        <v>0</v>
      </c>
      <c r="P856" s="302"/>
    </row>
    <row r="857" spans="2:16" ht="15.75" customHeight="1">
      <c r="B857" s="172"/>
      <c r="C857" s="173"/>
      <c r="D857" s="174"/>
      <c r="E857" s="174"/>
      <c r="F857" s="175"/>
      <c r="G857" s="175">
        <f t="shared" si="80"/>
        <v>0</v>
      </c>
      <c r="H857" s="176">
        <v>0.05</v>
      </c>
      <c r="I857" s="177">
        <f t="shared" si="81"/>
        <v>0</v>
      </c>
      <c r="J857" s="177">
        <f t="shared" si="82"/>
        <v>0</v>
      </c>
      <c r="K857" s="291"/>
      <c r="L857" s="292"/>
      <c r="M857" s="293"/>
      <c r="N857" s="293">
        <f t="shared" si="83"/>
        <v>0</v>
      </c>
      <c r="O857" s="298">
        <f t="shared" si="84"/>
        <v>0</v>
      </c>
      <c r="P857" s="302"/>
    </row>
    <row r="858" spans="2:16" ht="15.75" customHeight="1">
      <c r="B858" s="172"/>
      <c r="C858" s="173"/>
      <c r="D858" s="174"/>
      <c r="E858" s="174"/>
      <c r="F858" s="175"/>
      <c r="G858" s="175">
        <f t="shared" si="80"/>
        <v>0</v>
      </c>
      <c r="H858" s="176">
        <v>0.05</v>
      </c>
      <c r="I858" s="177">
        <f t="shared" si="81"/>
        <v>0</v>
      </c>
      <c r="J858" s="177">
        <f t="shared" si="82"/>
        <v>0</v>
      </c>
      <c r="K858" s="291"/>
      <c r="L858" s="292"/>
      <c r="M858" s="293"/>
      <c r="N858" s="293">
        <f t="shared" si="83"/>
        <v>0</v>
      </c>
      <c r="O858" s="298">
        <f t="shared" si="84"/>
        <v>0</v>
      </c>
      <c r="P858" s="302"/>
    </row>
    <row r="859" spans="2:16" ht="15.75" customHeight="1">
      <c r="B859" s="172"/>
      <c r="C859" s="173"/>
      <c r="D859" s="174"/>
      <c r="E859" s="174"/>
      <c r="F859" s="175"/>
      <c r="G859" s="175">
        <f t="shared" si="80"/>
        <v>0</v>
      </c>
      <c r="H859" s="176">
        <v>0.05</v>
      </c>
      <c r="I859" s="177">
        <f t="shared" si="81"/>
        <v>0</v>
      </c>
      <c r="J859" s="177">
        <f t="shared" si="82"/>
        <v>0</v>
      </c>
      <c r="K859" s="291"/>
      <c r="L859" s="292"/>
      <c r="M859" s="293"/>
      <c r="N859" s="293">
        <f t="shared" si="83"/>
        <v>0</v>
      </c>
      <c r="O859" s="298">
        <f t="shared" si="84"/>
        <v>0</v>
      </c>
      <c r="P859" s="302"/>
    </row>
    <row r="860" spans="2:16" ht="15.75" customHeight="1">
      <c r="B860" s="172"/>
      <c r="C860" s="173"/>
      <c r="D860" s="174"/>
      <c r="E860" s="174"/>
      <c r="F860" s="175"/>
      <c r="G860" s="175">
        <f t="shared" si="80"/>
        <v>0</v>
      </c>
      <c r="H860" s="176">
        <v>0.05</v>
      </c>
      <c r="I860" s="177">
        <f t="shared" si="81"/>
        <v>0</v>
      </c>
      <c r="J860" s="177">
        <f t="shared" si="82"/>
        <v>0</v>
      </c>
      <c r="K860" s="291"/>
      <c r="L860" s="292"/>
      <c r="M860" s="293"/>
      <c r="N860" s="293">
        <f t="shared" si="83"/>
        <v>0</v>
      </c>
      <c r="O860" s="298">
        <f t="shared" si="84"/>
        <v>0</v>
      </c>
      <c r="P860" s="302"/>
    </row>
    <row r="861" spans="2:16" ht="15.75" customHeight="1">
      <c r="B861" s="172"/>
      <c r="C861" s="173"/>
      <c r="D861" s="174"/>
      <c r="E861" s="174"/>
      <c r="F861" s="175"/>
      <c r="G861" s="175">
        <f t="shared" si="80"/>
        <v>0</v>
      </c>
      <c r="H861" s="176">
        <v>0.05</v>
      </c>
      <c r="I861" s="177">
        <f t="shared" si="81"/>
        <v>0</v>
      </c>
      <c r="J861" s="177">
        <f t="shared" si="82"/>
        <v>0</v>
      </c>
      <c r="K861" s="291"/>
      <c r="L861" s="292"/>
      <c r="M861" s="293"/>
      <c r="N861" s="293">
        <f t="shared" si="83"/>
        <v>0</v>
      </c>
      <c r="O861" s="298">
        <f t="shared" si="84"/>
        <v>0</v>
      </c>
      <c r="P861" s="302"/>
    </row>
    <row r="862" spans="2:16" ht="15.75" customHeight="1">
      <c r="B862" s="172"/>
      <c r="C862" s="173"/>
      <c r="D862" s="174"/>
      <c r="E862" s="174"/>
      <c r="F862" s="175"/>
      <c r="G862" s="175">
        <f t="shared" si="80"/>
        <v>0</v>
      </c>
      <c r="H862" s="176">
        <v>0.05</v>
      </c>
      <c r="I862" s="177">
        <f t="shared" si="81"/>
        <v>0</v>
      </c>
      <c r="J862" s="177">
        <f t="shared" si="82"/>
        <v>0</v>
      </c>
      <c r="K862" s="291"/>
      <c r="L862" s="292"/>
      <c r="M862" s="293"/>
      <c r="N862" s="293">
        <f t="shared" si="83"/>
        <v>0</v>
      </c>
      <c r="O862" s="298">
        <f t="shared" si="84"/>
        <v>0</v>
      </c>
      <c r="P862" s="302"/>
    </row>
    <row r="863" spans="2:16" ht="15.75" customHeight="1">
      <c r="B863" s="172"/>
      <c r="C863" s="173"/>
      <c r="D863" s="174"/>
      <c r="E863" s="174"/>
      <c r="F863" s="175"/>
      <c r="G863" s="175">
        <f t="shared" si="80"/>
        <v>0</v>
      </c>
      <c r="H863" s="176">
        <v>0.05</v>
      </c>
      <c r="I863" s="177">
        <f t="shared" si="81"/>
        <v>0</v>
      </c>
      <c r="J863" s="177">
        <f t="shared" si="82"/>
        <v>0</v>
      </c>
      <c r="K863" s="291"/>
      <c r="L863" s="292"/>
      <c r="M863" s="293"/>
      <c r="N863" s="293">
        <f t="shared" si="83"/>
        <v>0</v>
      </c>
      <c r="O863" s="298">
        <f t="shared" si="84"/>
        <v>0</v>
      </c>
      <c r="P863" s="302"/>
    </row>
    <row r="864" spans="2:16" ht="15.75" customHeight="1">
      <c r="B864" s="172"/>
      <c r="C864" s="173"/>
      <c r="D864" s="174"/>
      <c r="E864" s="174"/>
      <c r="F864" s="175"/>
      <c r="G864" s="175">
        <f t="shared" si="80"/>
        <v>0</v>
      </c>
      <c r="H864" s="176">
        <v>0.05</v>
      </c>
      <c r="I864" s="177">
        <f t="shared" si="81"/>
        <v>0</v>
      </c>
      <c r="J864" s="177">
        <f t="shared" si="82"/>
        <v>0</v>
      </c>
      <c r="K864" s="291"/>
      <c r="L864" s="292"/>
      <c r="M864" s="293"/>
      <c r="N864" s="293">
        <f t="shared" si="83"/>
        <v>0</v>
      </c>
      <c r="O864" s="298">
        <f t="shared" si="84"/>
        <v>0</v>
      </c>
      <c r="P864" s="302"/>
    </row>
    <row r="865" spans="2:16" ht="15.75" customHeight="1">
      <c r="B865" s="172"/>
      <c r="C865" s="173"/>
      <c r="D865" s="174"/>
      <c r="E865" s="174"/>
      <c r="F865" s="175"/>
      <c r="G865" s="175">
        <f t="shared" si="80"/>
        <v>0</v>
      </c>
      <c r="H865" s="176">
        <v>0.05</v>
      </c>
      <c r="I865" s="177">
        <f t="shared" si="81"/>
        <v>0</v>
      </c>
      <c r="J865" s="177">
        <f t="shared" si="82"/>
        <v>0</v>
      </c>
      <c r="K865" s="291"/>
      <c r="L865" s="292"/>
      <c r="M865" s="293"/>
      <c r="N865" s="293">
        <f t="shared" si="83"/>
        <v>0</v>
      </c>
      <c r="O865" s="298">
        <f t="shared" si="84"/>
        <v>0</v>
      </c>
      <c r="P865" s="302"/>
    </row>
    <row r="866" spans="2:16" ht="15.75" customHeight="1">
      <c r="B866" s="172"/>
      <c r="C866" s="173"/>
      <c r="D866" s="174"/>
      <c r="E866" s="174"/>
      <c r="F866" s="175"/>
      <c r="G866" s="175">
        <f t="shared" si="80"/>
        <v>0</v>
      </c>
      <c r="H866" s="176">
        <v>0.05</v>
      </c>
      <c r="I866" s="177">
        <f t="shared" si="81"/>
        <v>0</v>
      </c>
      <c r="J866" s="177">
        <f t="shared" si="82"/>
        <v>0</v>
      </c>
      <c r="K866" s="291"/>
      <c r="L866" s="292"/>
      <c r="M866" s="293"/>
      <c r="N866" s="293">
        <f t="shared" si="83"/>
        <v>0</v>
      </c>
      <c r="O866" s="298">
        <f t="shared" si="84"/>
        <v>0</v>
      </c>
      <c r="P866" s="302"/>
    </row>
    <row r="867" spans="2:16" ht="15.75" customHeight="1">
      <c r="B867" s="172"/>
      <c r="C867" s="173"/>
      <c r="D867" s="174"/>
      <c r="E867" s="174"/>
      <c r="F867" s="175"/>
      <c r="G867" s="175">
        <f t="shared" si="80"/>
        <v>0</v>
      </c>
      <c r="H867" s="176">
        <v>0.05</v>
      </c>
      <c r="I867" s="177">
        <f t="shared" si="81"/>
        <v>0</v>
      </c>
      <c r="J867" s="177">
        <f t="shared" si="82"/>
        <v>0</v>
      </c>
      <c r="K867" s="291"/>
      <c r="L867" s="292"/>
      <c r="M867" s="293"/>
      <c r="N867" s="293">
        <f t="shared" si="83"/>
        <v>0</v>
      </c>
      <c r="O867" s="298">
        <f t="shared" si="84"/>
        <v>0</v>
      </c>
      <c r="P867" s="302"/>
    </row>
    <row r="868" spans="2:16" ht="15.75" customHeight="1">
      <c r="B868" s="172"/>
      <c r="C868" s="173"/>
      <c r="D868" s="174"/>
      <c r="E868" s="174"/>
      <c r="F868" s="175"/>
      <c r="G868" s="175">
        <f t="shared" si="80"/>
        <v>0</v>
      </c>
      <c r="H868" s="176">
        <v>0.05</v>
      </c>
      <c r="I868" s="177">
        <f t="shared" si="81"/>
        <v>0</v>
      </c>
      <c r="J868" s="177">
        <f t="shared" si="82"/>
        <v>0</v>
      </c>
      <c r="K868" s="291"/>
      <c r="L868" s="292"/>
      <c r="M868" s="293"/>
      <c r="N868" s="293">
        <f t="shared" si="83"/>
        <v>0</v>
      </c>
      <c r="O868" s="298">
        <f t="shared" si="84"/>
        <v>0</v>
      </c>
      <c r="P868" s="302"/>
    </row>
    <row r="869" spans="2:16" ht="15.75" thickBot="1">
      <c r="B869" s="184"/>
      <c r="C869" s="185"/>
      <c r="D869" s="186"/>
      <c r="E869" s="186"/>
      <c r="F869" s="187"/>
      <c r="G869" s="187">
        <f>IF(D869=0,0,(D869+E869)/F869)</f>
        <v>0</v>
      </c>
      <c r="H869" s="188">
        <v>0.05</v>
      </c>
      <c r="I869" s="189">
        <f>+G869*H869</f>
        <v>0</v>
      </c>
      <c r="J869" s="189">
        <f>+G869+I869</f>
        <v>0</v>
      </c>
      <c r="K869" s="294"/>
      <c r="L869" s="295"/>
      <c r="M869" s="296">
        <v>0.05</v>
      </c>
      <c r="N869" s="296">
        <f>IF(H869&lt;M869,H869/M869,0)</f>
        <v>0</v>
      </c>
      <c r="O869" s="299">
        <f>1.5%*N869</f>
        <v>0</v>
      </c>
      <c r="P869" s="303"/>
    </row>
    <row r="870" spans="2:16" ht="15.75" thickBot="1">
      <c r="B870" s="184"/>
      <c r="C870" s="185"/>
      <c r="D870" s="186"/>
      <c r="E870" s="186"/>
      <c r="F870" s="187"/>
      <c r="G870" s="187">
        <f t="shared" ref="G870:G933" si="85">IF(D870=0,0,(D870+E870)/F870)</f>
        <v>0</v>
      </c>
      <c r="H870" s="188">
        <v>0.05</v>
      </c>
      <c r="I870" s="189">
        <f t="shared" ref="I870:I933" si="86">+G870*H870</f>
        <v>0</v>
      </c>
      <c r="J870" s="189">
        <f t="shared" ref="J870:J933" si="87">+G870+I870</f>
        <v>0</v>
      </c>
      <c r="K870" s="294"/>
      <c r="L870" s="295"/>
      <c r="M870" s="296">
        <v>0.05</v>
      </c>
      <c r="N870" s="296">
        <f t="shared" ref="N870:N933" si="88">IF(H870&lt;M870,H870/M870,0)</f>
        <v>0</v>
      </c>
      <c r="O870" s="299">
        <f t="shared" ref="O870:O933" si="89">1.5%*N870</f>
        <v>0</v>
      </c>
      <c r="P870" s="303"/>
    </row>
    <row r="871" spans="2:16" ht="15.75" thickBot="1">
      <c r="B871" s="184"/>
      <c r="C871" s="185"/>
      <c r="D871" s="186"/>
      <c r="E871" s="186"/>
      <c r="F871" s="187"/>
      <c r="G871" s="187">
        <f t="shared" si="85"/>
        <v>0</v>
      </c>
      <c r="H871" s="188">
        <v>0.05</v>
      </c>
      <c r="I871" s="189">
        <f t="shared" si="86"/>
        <v>0</v>
      </c>
      <c r="J871" s="189">
        <f t="shared" si="87"/>
        <v>0</v>
      </c>
      <c r="K871" s="294"/>
      <c r="L871" s="295"/>
      <c r="M871" s="296">
        <v>0.05</v>
      </c>
      <c r="N871" s="296">
        <f t="shared" si="88"/>
        <v>0</v>
      </c>
      <c r="O871" s="299">
        <f t="shared" si="89"/>
        <v>0</v>
      </c>
      <c r="P871" s="303"/>
    </row>
    <row r="872" spans="2:16" ht="15.75" thickBot="1">
      <c r="B872" s="184"/>
      <c r="C872" s="185"/>
      <c r="D872" s="186"/>
      <c r="E872" s="186"/>
      <c r="F872" s="187"/>
      <c r="G872" s="187">
        <f t="shared" si="85"/>
        <v>0</v>
      </c>
      <c r="H872" s="188">
        <v>0.05</v>
      </c>
      <c r="I872" s="189">
        <f t="shared" si="86"/>
        <v>0</v>
      </c>
      <c r="J872" s="189">
        <f t="shared" si="87"/>
        <v>0</v>
      </c>
      <c r="K872" s="294"/>
      <c r="L872" s="295"/>
      <c r="M872" s="296">
        <v>0.05</v>
      </c>
      <c r="N872" s="296">
        <f t="shared" si="88"/>
        <v>0</v>
      </c>
      <c r="O872" s="299">
        <f t="shared" si="89"/>
        <v>0</v>
      </c>
      <c r="P872" s="303"/>
    </row>
    <row r="873" spans="2:16" ht="15.75" thickBot="1">
      <c r="B873" s="184"/>
      <c r="C873" s="185"/>
      <c r="D873" s="186"/>
      <c r="E873" s="186"/>
      <c r="F873" s="187"/>
      <c r="G873" s="187">
        <f t="shared" si="85"/>
        <v>0</v>
      </c>
      <c r="H873" s="188">
        <v>0.05</v>
      </c>
      <c r="I873" s="189">
        <f t="shared" si="86"/>
        <v>0</v>
      </c>
      <c r="J873" s="189">
        <f t="shared" si="87"/>
        <v>0</v>
      </c>
      <c r="K873" s="294"/>
      <c r="L873" s="295"/>
      <c r="M873" s="296">
        <v>0.05</v>
      </c>
      <c r="N873" s="296">
        <f t="shared" si="88"/>
        <v>0</v>
      </c>
      <c r="O873" s="299">
        <f t="shared" si="89"/>
        <v>0</v>
      </c>
      <c r="P873" s="303"/>
    </row>
    <row r="874" spans="2:16" ht="15.75" thickBot="1">
      <c r="B874" s="184"/>
      <c r="C874" s="185"/>
      <c r="D874" s="186"/>
      <c r="E874" s="186"/>
      <c r="F874" s="187"/>
      <c r="G874" s="187">
        <f t="shared" si="85"/>
        <v>0</v>
      </c>
      <c r="H874" s="188">
        <v>0.05</v>
      </c>
      <c r="I874" s="189">
        <f t="shared" si="86"/>
        <v>0</v>
      </c>
      <c r="J874" s="189">
        <f t="shared" si="87"/>
        <v>0</v>
      </c>
      <c r="K874" s="294"/>
      <c r="L874" s="295"/>
      <c r="M874" s="296">
        <v>0.05</v>
      </c>
      <c r="N874" s="296">
        <f t="shared" si="88"/>
        <v>0</v>
      </c>
      <c r="O874" s="299">
        <f t="shared" si="89"/>
        <v>0</v>
      </c>
      <c r="P874" s="303"/>
    </row>
    <row r="875" spans="2:16" ht="15.75" thickBot="1">
      <c r="B875" s="184"/>
      <c r="C875" s="185"/>
      <c r="D875" s="186"/>
      <c r="E875" s="186"/>
      <c r="F875" s="187"/>
      <c r="G875" s="187">
        <f t="shared" si="85"/>
        <v>0</v>
      </c>
      <c r="H875" s="188">
        <v>0.05</v>
      </c>
      <c r="I875" s="189">
        <f t="shared" si="86"/>
        <v>0</v>
      </c>
      <c r="J875" s="189">
        <f t="shared" si="87"/>
        <v>0</v>
      </c>
      <c r="K875" s="294"/>
      <c r="L875" s="295"/>
      <c r="M875" s="296">
        <v>0.05</v>
      </c>
      <c r="N875" s="296">
        <f t="shared" si="88"/>
        <v>0</v>
      </c>
      <c r="O875" s="299">
        <f t="shared" si="89"/>
        <v>0</v>
      </c>
      <c r="P875" s="303"/>
    </row>
    <row r="876" spans="2:16" ht="15.75" thickBot="1">
      <c r="B876" s="184"/>
      <c r="C876" s="185"/>
      <c r="D876" s="186"/>
      <c r="E876" s="186"/>
      <c r="F876" s="187"/>
      <c r="G876" s="187">
        <f t="shared" si="85"/>
        <v>0</v>
      </c>
      <c r="H876" s="188">
        <v>0.05</v>
      </c>
      <c r="I876" s="189">
        <f t="shared" si="86"/>
        <v>0</v>
      </c>
      <c r="J876" s="189">
        <f t="shared" si="87"/>
        <v>0</v>
      </c>
      <c r="K876" s="294"/>
      <c r="L876" s="295"/>
      <c r="M876" s="296">
        <v>0.05</v>
      </c>
      <c r="N876" s="296">
        <f t="shared" si="88"/>
        <v>0</v>
      </c>
      <c r="O876" s="299">
        <f t="shared" si="89"/>
        <v>0</v>
      </c>
      <c r="P876" s="303"/>
    </row>
    <row r="877" spans="2:16" ht="15.75" thickBot="1">
      <c r="B877" s="184"/>
      <c r="C877" s="185"/>
      <c r="D877" s="186"/>
      <c r="E877" s="186"/>
      <c r="F877" s="187"/>
      <c r="G877" s="187">
        <f t="shared" si="85"/>
        <v>0</v>
      </c>
      <c r="H877" s="188">
        <v>0.05</v>
      </c>
      <c r="I877" s="189">
        <f t="shared" si="86"/>
        <v>0</v>
      </c>
      <c r="J877" s="189">
        <f t="shared" si="87"/>
        <v>0</v>
      </c>
      <c r="K877" s="294"/>
      <c r="L877" s="295"/>
      <c r="M877" s="296">
        <v>0.05</v>
      </c>
      <c r="N877" s="296">
        <f t="shared" si="88"/>
        <v>0</v>
      </c>
      <c r="O877" s="299">
        <f t="shared" si="89"/>
        <v>0</v>
      </c>
      <c r="P877" s="303"/>
    </row>
    <row r="878" spans="2:16" ht="15.75" thickBot="1">
      <c r="B878" s="184"/>
      <c r="C878" s="185"/>
      <c r="D878" s="186"/>
      <c r="E878" s="186"/>
      <c r="F878" s="187"/>
      <c r="G878" s="187">
        <f t="shared" si="85"/>
        <v>0</v>
      </c>
      <c r="H878" s="188">
        <v>0.05</v>
      </c>
      <c r="I878" s="189">
        <f t="shared" si="86"/>
        <v>0</v>
      </c>
      <c r="J878" s="189">
        <f t="shared" si="87"/>
        <v>0</v>
      </c>
      <c r="K878" s="294"/>
      <c r="L878" s="295"/>
      <c r="M878" s="296">
        <v>0.05</v>
      </c>
      <c r="N878" s="296">
        <f t="shared" si="88"/>
        <v>0</v>
      </c>
      <c r="O878" s="299">
        <f t="shared" si="89"/>
        <v>0</v>
      </c>
      <c r="P878" s="303"/>
    </row>
    <row r="879" spans="2:16" ht="15.75" thickBot="1">
      <c r="B879" s="184"/>
      <c r="C879" s="185"/>
      <c r="D879" s="186"/>
      <c r="E879" s="186"/>
      <c r="F879" s="187"/>
      <c r="G879" s="187">
        <f t="shared" si="85"/>
        <v>0</v>
      </c>
      <c r="H879" s="188">
        <v>0.05</v>
      </c>
      <c r="I879" s="189">
        <f t="shared" si="86"/>
        <v>0</v>
      </c>
      <c r="J879" s="189">
        <f t="shared" si="87"/>
        <v>0</v>
      </c>
      <c r="K879" s="294"/>
      <c r="L879" s="295"/>
      <c r="M879" s="296">
        <v>0.05</v>
      </c>
      <c r="N879" s="296">
        <f t="shared" si="88"/>
        <v>0</v>
      </c>
      <c r="O879" s="299">
        <f t="shared" si="89"/>
        <v>0</v>
      </c>
      <c r="P879" s="303"/>
    </row>
    <row r="880" spans="2:16" ht="15.75" thickBot="1">
      <c r="B880" s="184"/>
      <c r="C880" s="185"/>
      <c r="D880" s="186"/>
      <c r="E880" s="186"/>
      <c r="F880" s="187"/>
      <c r="G880" s="187">
        <f t="shared" si="85"/>
        <v>0</v>
      </c>
      <c r="H880" s="188">
        <v>0.05</v>
      </c>
      <c r="I880" s="189">
        <f t="shared" si="86"/>
        <v>0</v>
      </c>
      <c r="J880" s="189">
        <f t="shared" si="87"/>
        <v>0</v>
      </c>
      <c r="K880" s="294"/>
      <c r="L880" s="295"/>
      <c r="M880" s="296">
        <v>0.05</v>
      </c>
      <c r="N880" s="296">
        <f t="shared" si="88"/>
        <v>0</v>
      </c>
      <c r="O880" s="299">
        <f t="shared" si="89"/>
        <v>0</v>
      </c>
      <c r="P880" s="303"/>
    </row>
    <row r="881" spans="2:16" ht="15.75" thickBot="1">
      <c r="B881" s="184"/>
      <c r="C881" s="185"/>
      <c r="D881" s="186"/>
      <c r="E881" s="186"/>
      <c r="F881" s="187"/>
      <c r="G881" s="187">
        <f t="shared" si="85"/>
        <v>0</v>
      </c>
      <c r="H881" s="188">
        <v>0.05</v>
      </c>
      <c r="I881" s="189">
        <f t="shared" si="86"/>
        <v>0</v>
      </c>
      <c r="J881" s="189">
        <f t="shared" si="87"/>
        <v>0</v>
      </c>
      <c r="K881" s="294"/>
      <c r="L881" s="295"/>
      <c r="M881" s="296">
        <v>0.05</v>
      </c>
      <c r="N881" s="296">
        <f t="shared" si="88"/>
        <v>0</v>
      </c>
      <c r="O881" s="299">
        <f t="shared" si="89"/>
        <v>0</v>
      </c>
      <c r="P881" s="303"/>
    </row>
    <row r="882" spans="2:16" ht="15.75" thickBot="1">
      <c r="B882" s="184"/>
      <c r="C882" s="185"/>
      <c r="D882" s="186"/>
      <c r="E882" s="186"/>
      <c r="F882" s="187"/>
      <c r="G882" s="187">
        <f t="shared" si="85"/>
        <v>0</v>
      </c>
      <c r="H882" s="188">
        <v>0.05</v>
      </c>
      <c r="I882" s="189">
        <f t="shared" si="86"/>
        <v>0</v>
      </c>
      <c r="J882" s="189">
        <f t="shared" si="87"/>
        <v>0</v>
      </c>
      <c r="K882" s="294"/>
      <c r="L882" s="295"/>
      <c r="M882" s="296">
        <v>0.05</v>
      </c>
      <c r="N882" s="296">
        <f t="shared" si="88"/>
        <v>0</v>
      </c>
      <c r="O882" s="299">
        <f t="shared" si="89"/>
        <v>0</v>
      </c>
      <c r="P882" s="303"/>
    </row>
    <row r="883" spans="2:16" ht="15.75" thickBot="1">
      <c r="B883" s="184"/>
      <c r="C883" s="185"/>
      <c r="D883" s="186"/>
      <c r="E883" s="186"/>
      <c r="F883" s="187"/>
      <c r="G883" s="187">
        <f t="shared" si="85"/>
        <v>0</v>
      </c>
      <c r="H883" s="188">
        <v>0.05</v>
      </c>
      <c r="I883" s="189">
        <f t="shared" si="86"/>
        <v>0</v>
      </c>
      <c r="J883" s="189">
        <f t="shared" si="87"/>
        <v>0</v>
      </c>
      <c r="K883" s="294"/>
      <c r="L883" s="295"/>
      <c r="M883" s="296">
        <v>0.05</v>
      </c>
      <c r="N883" s="296">
        <f t="shared" si="88"/>
        <v>0</v>
      </c>
      <c r="O883" s="299">
        <f t="shared" si="89"/>
        <v>0</v>
      </c>
      <c r="P883" s="303"/>
    </row>
    <row r="884" spans="2:16" ht="15.75" thickBot="1">
      <c r="B884" s="184"/>
      <c r="C884" s="185"/>
      <c r="D884" s="186"/>
      <c r="E884" s="186"/>
      <c r="F884" s="187"/>
      <c r="G884" s="187">
        <f t="shared" si="85"/>
        <v>0</v>
      </c>
      <c r="H884" s="188">
        <v>0.05</v>
      </c>
      <c r="I884" s="189">
        <f t="shared" si="86"/>
        <v>0</v>
      </c>
      <c r="J884" s="189">
        <f t="shared" si="87"/>
        <v>0</v>
      </c>
      <c r="K884" s="294"/>
      <c r="L884" s="295"/>
      <c r="M884" s="296">
        <v>0.05</v>
      </c>
      <c r="N884" s="296">
        <f t="shared" si="88"/>
        <v>0</v>
      </c>
      <c r="O884" s="299">
        <f t="shared" si="89"/>
        <v>0</v>
      </c>
      <c r="P884" s="303"/>
    </row>
    <row r="885" spans="2:16" ht="15.75" thickBot="1">
      <c r="B885" s="184"/>
      <c r="C885" s="185"/>
      <c r="D885" s="186"/>
      <c r="E885" s="186"/>
      <c r="F885" s="187"/>
      <c r="G885" s="187">
        <f t="shared" si="85"/>
        <v>0</v>
      </c>
      <c r="H885" s="188">
        <v>0.05</v>
      </c>
      <c r="I885" s="189">
        <f t="shared" si="86"/>
        <v>0</v>
      </c>
      <c r="J885" s="189">
        <f t="shared" si="87"/>
        <v>0</v>
      </c>
      <c r="K885" s="294"/>
      <c r="L885" s="295"/>
      <c r="M885" s="296">
        <v>0.05</v>
      </c>
      <c r="N885" s="296">
        <f t="shared" si="88"/>
        <v>0</v>
      </c>
      <c r="O885" s="299">
        <f t="shared" si="89"/>
        <v>0</v>
      </c>
      <c r="P885" s="303"/>
    </row>
    <row r="886" spans="2:16" ht="15.75" thickBot="1">
      <c r="B886" s="184"/>
      <c r="C886" s="185"/>
      <c r="D886" s="186"/>
      <c r="E886" s="186"/>
      <c r="F886" s="187"/>
      <c r="G886" s="187">
        <f t="shared" si="85"/>
        <v>0</v>
      </c>
      <c r="H886" s="188">
        <v>0.05</v>
      </c>
      <c r="I886" s="189">
        <f t="shared" si="86"/>
        <v>0</v>
      </c>
      <c r="J886" s="189">
        <f t="shared" si="87"/>
        <v>0</v>
      </c>
      <c r="K886" s="294"/>
      <c r="L886" s="295"/>
      <c r="M886" s="296">
        <v>0.05</v>
      </c>
      <c r="N886" s="296">
        <f t="shared" si="88"/>
        <v>0</v>
      </c>
      <c r="O886" s="299">
        <f t="shared" si="89"/>
        <v>0</v>
      </c>
      <c r="P886" s="303"/>
    </row>
    <row r="887" spans="2:16" ht="15.75" thickBot="1">
      <c r="B887" s="184"/>
      <c r="C887" s="185"/>
      <c r="D887" s="186"/>
      <c r="E887" s="186"/>
      <c r="F887" s="187"/>
      <c r="G887" s="187">
        <f t="shared" si="85"/>
        <v>0</v>
      </c>
      <c r="H887" s="188">
        <v>0.05</v>
      </c>
      <c r="I887" s="189">
        <f t="shared" si="86"/>
        <v>0</v>
      </c>
      <c r="J887" s="189">
        <f t="shared" si="87"/>
        <v>0</v>
      </c>
      <c r="K887" s="294"/>
      <c r="L887" s="295"/>
      <c r="M887" s="296">
        <v>0.05</v>
      </c>
      <c r="N887" s="296">
        <f t="shared" si="88"/>
        <v>0</v>
      </c>
      <c r="O887" s="299">
        <f t="shared" si="89"/>
        <v>0</v>
      </c>
      <c r="P887" s="303"/>
    </row>
    <row r="888" spans="2:16" ht="15.75" thickBot="1">
      <c r="B888" s="184"/>
      <c r="C888" s="185"/>
      <c r="D888" s="186"/>
      <c r="E888" s="186"/>
      <c r="F888" s="187"/>
      <c r="G888" s="187">
        <f t="shared" si="85"/>
        <v>0</v>
      </c>
      <c r="H888" s="188">
        <v>0.05</v>
      </c>
      <c r="I888" s="189">
        <f t="shared" si="86"/>
        <v>0</v>
      </c>
      <c r="J888" s="189">
        <f t="shared" si="87"/>
        <v>0</v>
      </c>
      <c r="K888" s="294"/>
      <c r="L888" s="295"/>
      <c r="M888" s="296">
        <v>0.05</v>
      </c>
      <c r="N888" s="296">
        <f t="shared" si="88"/>
        <v>0</v>
      </c>
      <c r="O888" s="299">
        <f t="shared" si="89"/>
        <v>0</v>
      </c>
      <c r="P888" s="303"/>
    </row>
    <row r="889" spans="2:16" ht="15.75" thickBot="1">
      <c r="B889" s="184"/>
      <c r="C889" s="185"/>
      <c r="D889" s="186"/>
      <c r="E889" s="186"/>
      <c r="F889" s="187"/>
      <c r="G889" s="187">
        <f t="shared" si="85"/>
        <v>0</v>
      </c>
      <c r="H889" s="188">
        <v>0.05</v>
      </c>
      <c r="I889" s="189">
        <f t="shared" si="86"/>
        <v>0</v>
      </c>
      <c r="J889" s="189">
        <f t="shared" si="87"/>
        <v>0</v>
      </c>
      <c r="K889" s="294"/>
      <c r="L889" s="295"/>
      <c r="M889" s="296">
        <v>0.05</v>
      </c>
      <c r="N889" s="296">
        <f t="shared" si="88"/>
        <v>0</v>
      </c>
      <c r="O889" s="299">
        <f t="shared" si="89"/>
        <v>0</v>
      </c>
      <c r="P889" s="303"/>
    </row>
    <row r="890" spans="2:16" ht="15.75" thickBot="1">
      <c r="B890" s="184"/>
      <c r="C890" s="185"/>
      <c r="D890" s="186"/>
      <c r="E890" s="186"/>
      <c r="F890" s="187"/>
      <c r="G890" s="187">
        <f t="shared" si="85"/>
        <v>0</v>
      </c>
      <c r="H890" s="188">
        <v>0.05</v>
      </c>
      <c r="I890" s="189">
        <f t="shared" si="86"/>
        <v>0</v>
      </c>
      <c r="J890" s="189">
        <f t="shared" si="87"/>
        <v>0</v>
      </c>
      <c r="K890" s="294"/>
      <c r="L890" s="295"/>
      <c r="M890" s="296">
        <v>0.05</v>
      </c>
      <c r="N890" s="296">
        <f t="shared" si="88"/>
        <v>0</v>
      </c>
      <c r="O890" s="299">
        <f t="shared" si="89"/>
        <v>0</v>
      </c>
      <c r="P890" s="303"/>
    </row>
    <row r="891" spans="2:16" ht="15.75" thickBot="1">
      <c r="B891" s="184"/>
      <c r="C891" s="185"/>
      <c r="D891" s="186"/>
      <c r="E891" s="186"/>
      <c r="F891" s="187"/>
      <c r="G891" s="187">
        <f t="shared" si="85"/>
        <v>0</v>
      </c>
      <c r="H891" s="188">
        <v>0.05</v>
      </c>
      <c r="I891" s="189">
        <f t="shared" si="86"/>
        <v>0</v>
      </c>
      <c r="J891" s="189">
        <f t="shared" si="87"/>
        <v>0</v>
      </c>
      <c r="K891" s="294"/>
      <c r="L891" s="295"/>
      <c r="M891" s="296">
        <v>0.05</v>
      </c>
      <c r="N891" s="296">
        <f t="shared" si="88"/>
        <v>0</v>
      </c>
      <c r="O891" s="299">
        <f t="shared" si="89"/>
        <v>0</v>
      </c>
      <c r="P891" s="303"/>
    </row>
    <row r="892" spans="2:16" ht="15.75" thickBot="1">
      <c r="B892" s="184"/>
      <c r="C892" s="185"/>
      <c r="D892" s="186"/>
      <c r="E892" s="186"/>
      <c r="F892" s="187"/>
      <c r="G892" s="187">
        <f t="shared" si="85"/>
        <v>0</v>
      </c>
      <c r="H892" s="188">
        <v>0.05</v>
      </c>
      <c r="I892" s="189">
        <f t="shared" si="86"/>
        <v>0</v>
      </c>
      <c r="J892" s="189">
        <f t="shared" si="87"/>
        <v>0</v>
      </c>
      <c r="K892" s="294"/>
      <c r="L892" s="295"/>
      <c r="M892" s="296">
        <v>0.05</v>
      </c>
      <c r="N892" s="296">
        <f t="shared" si="88"/>
        <v>0</v>
      </c>
      <c r="O892" s="299">
        <f t="shared" si="89"/>
        <v>0</v>
      </c>
      <c r="P892" s="303"/>
    </row>
    <row r="893" spans="2:16" ht="15.75" thickBot="1">
      <c r="B893" s="184"/>
      <c r="C893" s="185"/>
      <c r="D893" s="186"/>
      <c r="E893" s="186"/>
      <c r="F893" s="187"/>
      <c r="G893" s="187">
        <f t="shared" si="85"/>
        <v>0</v>
      </c>
      <c r="H893" s="188">
        <v>0.05</v>
      </c>
      <c r="I893" s="189">
        <f t="shared" si="86"/>
        <v>0</v>
      </c>
      <c r="J893" s="189">
        <f t="shared" si="87"/>
        <v>0</v>
      </c>
      <c r="K893" s="294"/>
      <c r="L893" s="295"/>
      <c r="M893" s="296">
        <v>0.05</v>
      </c>
      <c r="N893" s="296">
        <f t="shared" si="88"/>
        <v>0</v>
      </c>
      <c r="O893" s="299">
        <f t="shared" si="89"/>
        <v>0</v>
      </c>
      <c r="P893" s="303"/>
    </row>
    <row r="894" spans="2:16" ht="15.75" thickBot="1">
      <c r="B894" s="184"/>
      <c r="C894" s="185"/>
      <c r="D894" s="186"/>
      <c r="E894" s="186"/>
      <c r="F894" s="187"/>
      <c r="G894" s="187">
        <f t="shared" si="85"/>
        <v>0</v>
      </c>
      <c r="H894" s="188">
        <v>0.05</v>
      </c>
      <c r="I894" s="189">
        <f t="shared" si="86"/>
        <v>0</v>
      </c>
      <c r="J894" s="189">
        <f t="shared" si="87"/>
        <v>0</v>
      </c>
      <c r="K894" s="294"/>
      <c r="L894" s="295"/>
      <c r="M894" s="296">
        <v>0.05</v>
      </c>
      <c r="N894" s="296">
        <f t="shared" si="88"/>
        <v>0</v>
      </c>
      <c r="O894" s="299">
        <f t="shared" si="89"/>
        <v>0</v>
      </c>
      <c r="P894" s="303"/>
    </row>
    <row r="895" spans="2:16" ht="15.75" thickBot="1">
      <c r="B895" s="184"/>
      <c r="C895" s="185"/>
      <c r="D895" s="186"/>
      <c r="E895" s="186"/>
      <c r="F895" s="187"/>
      <c r="G895" s="187">
        <f t="shared" si="85"/>
        <v>0</v>
      </c>
      <c r="H895" s="188">
        <v>0.05</v>
      </c>
      <c r="I895" s="189">
        <f t="shared" si="86"/>
        <v>0</v>
      </c>
      <c r="J895" s="189">
        <f t="shared" si="87"/>
        <v>0</v>
      </c>
      <c r="K895" s="294"/>
      <c r="L895" s="295"/>
      <c r="M895" s="296">
        <v>0.05</v>
      </c>
      <c r="N895" s="296">
        <f t="shared" si="88"/>
        <v>0</v>
      </c>
      <c r="O895" s="299">
        <f t="shared" si="89"/>
        <v>0</v>
      </c>
      <c r="P895" s="303"/>
    </row>
    <row r="896" spans="2:16" ht="15.75" thickBot="1">
      <c r="B896" s="184"/>
      <c r="C896" s="185"/>
      <c r="D896" s="186"/>
      <c r="E896" s="186"/>
      <c r="F896" s="187"/>
      <c r="G896" s="187">
        <f t="shared" si="85"/>
        <v>0</v>
      </c>
      <c r="H896" s="188">
        <v>0.05</v>
      </c>
      <c r="I896" s="189">
        <f t="shared" si="86"/>
        <v>0</v>
      </c>
      <c r="J896" s="189">
        <f t="shared" si="87"/>
        <v>0</v>
      </c>
      <c r="K896" s="294"/>
      <c r="L896" s="295"/>
      <c r="M896" s="296">
        <v>0.05</v>
      </c>
      <c r="N896" s="296">
        <f t="shared" si="88"/>
        <v>0</v>
      </c>
      <c r="O896" s="299">
        <f t="shared" si="89"/>
        <v>0</v>
      </c>
      <c r="P896" s="303"/>
    </row>
    <row r="897" spans="2:16" ht="15.75" thickBot="1">
      <c r="B897" s="184"/>
      <c r="C897" s="185"/>
      <c r="D897" s="186"/>
      <c r="E897" s="186"/>
      <c r="F897" s="187"/>
      <c r="G897" s="187">
        <f t="shared" si="85"/>
        <v>0</v>
      </c>
      <c r="H897" s="188">
        <v>0.05</v>
      </c>
      <c r="I897" s="189">
        <f t="shared" si="86"/>
        <v>0</v>
      </c>
      <c r="J897" s="189">
        <f t="shared" si="87"/>
        <v>0</v>
      </c>
      <c r="K897" s="294"/>
      <c r="L897" s="295"/>
      <c r="M897" s="296">
        <v>0.05</v>
      </c>
      <c r="N897" s="296">
        <f t="shared" si="88"/>
        <v>0</v>
      </c>
      <c r="O897" s="299">
        <f t="shared" si="89"/>
        <v>0</v>
      </c>
      <c r="P897" s="303"/>
    </row>
    <row r="898" spans="2:16" ht="15.75" thickBot="1">
      <c r="B898" s="184"/>
      <c r="C898" s="185"/>
      <c r="D898" s="186"/>
      <c r="E898" s="186"/>
      <c r="F898" s="187"/>
      <c r="G898" s="187">
        <f t="shared" si="85"/>
        <v>0</v>
      </c>
      <c r="H898" s="188">
        <v>0.05</v>
      </c>
      <c r="I898" s="189">
        <f t="shared" si="86"/>
        <v>0</v>
      </c>
      <c r="J898" s="189">
        <f t="shared" si="87"/>
        <v>0</v>
      </c>
      <c r="K898" s="294"/>
      <c r="L898" s="295"/>
      <c r="M898" s="296">
        <v>0.05</v>
      </c>
      <c r="N898" s="296">
        <f t="shared" si="88"/>
        <v>0</v>
      </c>
      <c r="O898" s="299">
        <f t="shared" si="89"/>
        <v>0</v>
      </c>
      <c r="P898" s="303"/>
    </row>
    <row r="899" spans="2:16" ht="15.75" thickBot="1">
      <c r="B899" s="184"/>
      <c r="C899" s="185"/>
      <c r="D899" s="186"/>
      <c r="E899" s="186"/>
      <c r="F899" s="187"/>
      <c r="G899" s="187">
        <f t="shared" si="85"/>
        <v>0</v>
      </c>
      <c r="H899" s="188">
        <v>0.05</v>
      </c>
      <c r="I899" s="189">
        <f t="shared" si="86"/>
        <v>0</v>
      </c>
      <c r="J899" s="189">
        <f t="shared" si="87"/>
        <v>0</v>
      </c>
      <c r="K899" s="294"/>
      <c r="L899" s="295"/>
      <c r="M899" s="296">
        <v>0.05</v>
      </c>
      <c r="N899" s="296">
        <f t="shared" si="88"/>
        <v>0</v>
      </c>
      <c r="O899" s="299">
        <f t="shared" si="89"/>
        <v>0</v>
      </c>
      <c r="P899" s="303"/>
    </row>
    <row r="900" spans="2:16" ht="15.75" thickBot="1">
      <c r="B900" s="184"/>
      <c r="C900" s="185"/>
      <c r="D900" s="186"/>
      <c r="E900" s="186"/>
      <c r="F900" s="187"/>
      <c r="G900" s="187">
        <f t="shared" si="85"/>
        <v>0</v>
      </c>
      <c r="H900" s="188">
        <v>0.05</v>
      </c>
      <c r="I900" s="189">
        <f t="shared" si="86"/>
        <v>0</v>
      </c>
      <c r="J900" s="189">
        <f t="shared" si="87"/>
        <v>0</v>
      </c>
      <c r="K900" s="294"/>
      <c r="L900" s="295"/>
      <c r="M900" s="296">
        <v>0.05</v>
      </c>
      <c r="N900" s="296">
        <f t="shared" si="88"/>
        <v>0</v>
      </c>
      <c r="O900" s="299">
        <f t="shared" si="89"/>
        <v>0</v>
      </c>
      <c r="P900" s="303"/>
    </row>
    <row r="901" spans="2:16" ht="15.75" thickBot="1">
      <c r="B901" s="184"/>
      <c r="C901" s="185"/>
      <c r="D901" s="186"/>
      <c r="E901" s="186"/>
      <c r="F901" s="187"/>
      <c r="G901" s="187">
        <f t="shared" si="85"/>
        <v>0</v>
      </c>
      <c r="H901" s="188">
        <v>0.05</v>
      </c>
      <c r="I901" s="189">
        <f t="shared" si="86"/>
        <v>0</v>
      </c>
      <c r="J901" s="189">
        <f t="shared" si="87"/>
        <v>0</v>
      </c>
      <c r="K901" s="294"/>
      <c r="L901" s="295"/>
      <c r="M901" s="296">
        <v>0.05</v>
      </c>
      <c r="N901" s="296">
        <f t="shared" si="88"/>
        <v>0</v>
      </c>
      <c r="O901" s="299">
        <f t="shared" si="89"/>
        <v>0</v>
      </c>
      <c r="P901" s="303"/>
    </row>
    <row r="902" spans="2:16" ht="15.75" thickBot="1">
      <c r="B902" s="184"/>
      <c r="C902" s="185"/>
      <c r="D902" s="186"/>
      <c r="E902" s="186"/>
      <c r="F902" s="187"/>
      <c r="G902" s="187">
        <f t="shared" si="85"/>
        <v>0</v>
      </c>
      <c r="H902" s="188">
        <v>0.05</v>
      </c>
      <c r="I902" s="189">
        <f t="shared" si="86"/>
        <v>0</v>
      </c>
      <c r="J902" s="189">
        <f t="shared" si="87"/>
        <v>0</v>
      </c>
      <c r="K902" s="294"/>
      <c r="L902" s="295"/>
      <c r="M902" s="296">
        <v>0.05</v>
      </c>
      <c r="N902" s="296">
        <f t="shared" si="88"/>
        <v>0</v>
      </c>
      <c r="O902" s="299">
        <f t="shared" si="89"/>
        <v>0</v>
      </c>
      <c r="P902" s="303"/>
    </row>
    <row r="903" spans="2:16" ht="15.75" thickBot="1">
      <c r="B903" s="184"/>
      <c r="C903" s="185"/>
      <c r="D903" s="186"/>
      <c r="E903" s="186"/>
      <c r="F903" s="187"/>
      <c r="G903" s="187">
        <f t="shared" si="85"/>
        <v>0</v>
      </c>
      <c r="H903" s="188">
        <v>0.05</v>
      </c>
      <c r="I903" s="189">
        <f t="shared" si="86"/>
        <v>0</v>
      </c>
      <c r="J903" s="189">
        <f t="shared" si="87"/>
        <v>0</v>
      </c>
      <c r="K903" s="294"/>
      <c r="L903" s="295"/>
      <c r="M903" s="296">
        <v>0.05</v>
      </c>
      <c r="N903" s="296">
        <f t="shared" si="88"/>
        <v>0</v>
      </c>
      <c r="O903" s="299">
        <f t="shared" si="89"/>
        <v>0</v>
      </c>
      <c r="P903" s="303"/>
    </row>
    <row r="904" spans="2:16" ht="15.75" thickBot="1">
      <c r="B904" s="184"/>
      <c r="C904" s="185"/>
      <c r="D904" s="186"/>
      <c r="E904" s="186"/>
      <c r="F904" s="187"/>
      <c r="G904" s="187">
        <f t="shared" si="85"/>
        <v>0</v>
      </c>
      <c r="H904" s="188">
        <v>0.05</v>
      </c>
      <c r="I904" s="189">
        <f t="shared" si="86"/>
        <v>0</v>
      </c>
      <c r="J904" s="189">
        <f t="shared" si="87"/>
        <v>0</v>
      </c>
      <c r="K904" s="294"/>
      <c r="L904" s="295"/>
      <c r="M904" s="296">
        <v>0.05</v>
      </c>
      <c r="N904" s="296">
        <f t="shared" si="88"/>
        <v>0</v>
      </c>
      <c r="O904" s="299">
        <f t="shared" si="89"/>
        <v>0</v>
      </c>
      <c r="P904" s="303"/>
    </row>
    <row r="905" spans="2:16" ht="15.75" thickBot="1">
      <c r="B905" s="184"/>
      <c r="C905" s="185"/>
      <c r="D905" s="186"/>
      <c r="E905" s="186"/>
      <c r="F905" s="187"/>
      <c r="G905" s="187">
        <f t="shared" si="85"/>
        <v>0</v>
      </c>
      <c r="H905" s="188">
        <v>0.05</v>
      </c>
      <c r="I905" s="189">
        <f t="shared" si="86"/>
        <v>0</v>
      </c>
      <c r="J905" s="189">
        <f t="shared" si="87"/>
        <v>0</v>
      </c>
      <c r="K905" s="294"/>
      <c r="L905" s="295"/>
      <c r="M905" s="296">
        <v>0.05</v>
      </c>
      <c r="N905" s="296">
        <f t="shared" si="88"/>
        <v>0</v>
      </c>
      <c r="O905" s="299">
        <f t="shared" si="89"/>
        <v>0</v>
      </c>
      <c r="P905" s="303"/>
    </row>
    <row r="906" spans="2:16" ht="15.75" thickBot="1">
      <c r="B906" s="184"/>
      <c r="C906" s="185"/>
      <c r="D906" s="186"/>
      <c r="E906" s="186"/>
      <c r="F906" s="187"/>
      <c r="G906" s="187">
        <f t="shared" si="85"/>
        <v>0</v>
      </c>
      <c r="H906" s="188">
        <v>0.05</v>
      </c>
      <c r="I906" s="189">
        <f t="shared" si="86"/>
        <v>0</v>
      </c>
      <c r="J906" s="189">
        <f t="shared" si="87"/>
        <v>0</v>
      </c>
      <c r="K906" s="294"/>
      <c r="L906" s="295"/>
      <c r="M906" s="296">
        <v>0.05</v>
      </c>
      <c r="N906" s="296">
        <f t="shared" si="88"/>
        <v>0</v>
      </c>
      <c r="O906" s="299">
        <f t="shared" si="89"/>
        <v>0</v>
      </c>
      <c r="P906" s="303"/>
    </row>
    <row r="907" spans="2:16" ht="15.75" thickBot="1">
      <c r="B907" s="184"/>
      <c r="C907" s="185"/>
      <c r="D907" s="186"/>
      <c r="E907" s="186"/>
      <c r="F907" s="187"/>
      <c r="G907" s="187">
        <f t="shared" si="85"/>
        <v>0</v>
      </c>
      <c r="H907" s="188">
        <v>0.05</v>
      </c>
      <c r="I907" s="189">
        <f t="shared" si="86"/>
        <v>0</v>
      </c>
      <c r="J907" s="189">
        <f t="shared" si="87"/>
        <v>0</v>
      </c>
      <c r="K907" s="294"/>
      <c r="L907" s="295"/>
      <c r="M907" s="296">
        <v>0.05</v>
      </c>
      <c r="N907" s="296">
        <f t="shared" si="88"/>
        <v>0</v>
      </c>
      <c r="O907" s="299">
        <f t="shared" si="89"/>
        <v>0</v>
      </c>
      <c r="P907" s="303"/>
    </row>
    <row r="908" spans="2:16" ht="15.75" thickBot="1">
      <c r="B908" s="184"/>
      <c r="C908" s="185"/>
      <c r="D908" s="186"/>
      <c r="E908" s="186"/>
      <c r="F908" s="187"/>
      <c r="G908" s="187">
        <f t="shared" si="85"/>
        <v>0</v>
      </c>
      <c r="H908" s="188">
        <v>0.05</v>
      </c>
      <c r="I908" s="189">
        <f t="shared" si="86"/>
        <v>0</v>
      </c>
      <c r="J908" s="189">
        <f t="shared" si="87"/>
        <v>0</v>
      </c>
      <c r="K908" s="294"/>
      <c r="L908" s="295"/>
      <c r="M908" s="296">
        <v>0.05</v>
      </c>
      <c r="N908" s="296">
        <f t="shared" si="88"/>
        <v>0</v>
      </c>
      <c r="O908" s="299">
        <f t="shared" si="89"/>
        <v>0</v>
      </c>
      <c r="P908" s="303"/>
    </row>
    <row r="909" spans="2:16" ht="15.75" thickBot="1">
      <c r="B909" s="184"/>
      <c r="C909" s="185"/>
      <c r="D909" s="186"/>
      <c r="E909" s="186"/>
      <c r="F909" s="187"/>
      <c r="G909" s="187">
        <f t="shared" si="85"/>
        <v>0</v>
      </c>
      <c r="H909" s="188">
        <v>0.05</v>
      </c>
      <c r="I909" s="189">
        <f t="shared" si="86"/>
        <v>0</v>
      </c>
      <c r="J909" s="189">
        <f t="shared" si="87"/>
        <v>0</v>
      </c>
      <c r="K909" s="294"/>
      <c r="L909" s="295"/>
      <c r="M909" s="296">
        <v>0.05</v>
      </c>
      <c r="N909" s="296">
        <f t="shared" si="88"/>
        <v>0</v>
      </c>
      <c r="O909" s="299">
        <f t="shared" si="89"/>
        <v>0</v>
      </c>
      <c r="P909" s="303"/>
    </row>
    <row r="910" spans="2:16" ht="15.75" thickBot="1">
      <c r="B910" s="184"/>
      <c r="C910" s="185"/>
      <c r="D910" s="186"/>
      <c r="E910" s="186"/>
      <c r="F910" s="187"/>
      <c r="G910" s="187">
        <f t="shared" si="85"/>
        <v>0</v>
      </c>
      <c r="H910" s="188">
        <v>0.05</v>
      </c>
      <c r="I910" s="189">
        <f t="shared" si="86"/>
        <v>0</v>
      </c>
      <c r="J910" s="189">
        <f t="shared" si="87"/>
        <v>0</v>
      </c>
      <c r="K910" s="294"/>
      <c r="L910" s="295"/>
      <c r="M910" s="296">
        <v>0.05</v>
      </c>
      <c r="N910" s="296">
        <f t="shared" si="88"/>
        <v>0</v>
      </c>
      <c r="O910" s="299">
        <f t="shared" si="89"/>
        <v>0</v>
      </c>
      <c r="P910" s="303"/>
    </row>
    <row r="911" spans="2:16" ht="15.75" thickBot="1">
      <c r="B911" s="184"/>
      <c r="C911" s="185"/>
      <c r="D911" s="186"/>
      <c r="E911" s="186"/>
      <c r="F911" s="187"/>
      <c r="G911" s="187">
        <f t="shared" si="85"/>
        <v>0</v>
      </c>
      <c r="H911" s="188">
        <v>0.05</v>
      </c>
      <c r="I911" s="189">
        <f t="shared" si="86"/>
        <v>0</v>
      </c>
      <c r="J911" s="189">
        <f t="shared" si="87"/>
        <v>0</v>
      </c>
      <c r="K911" s="294"/>
      <c r="L911" s="295"/>
      <c r="M911" s="296">
        <v>0.05</v>
      </c>
      <c r="N911" s="296">
        <f t="shared" si="88"/>
        <v>0</v>
      </c>
      <c r="O911" s="299">
        <f t="shared" si="89"/>
        <v>0</v>
      </c>
      <c r="P911" s="303"/>
    </row>
    <row r="912" spans="2:16" ht="15.75" thickBot="1">
      <c r="B912" s="184"/>
      <c r="C912" s="185"/>
      <c r="D912" s="186"/>
      <c r="E912" s="186"/>
      <c r="F912" s="187"/>
      <c r="G912" s="187">
        <f t="shared" si="85"/>
        <v>0</v>
      </c>
      <c r="H912" s="188">
        <v>0.05</v>
      </c>
      <c r="I912" s="189">
        <f t="shared" si="86"/>
        <v>0</v>
      </c>
      <c r="J912" s="189">
        <f t="shared" si="87"/>
        <v>0</v>
      </c>
      <c r="K912" s="294"/>
      <c r="L912" s="295"/>
      <c r="M912" s="296">
        <v>0.05</v>
      </c>
      <c r="N912" s="296">
        <f t="shared" si="88"/>
        <v>0</v>
      </c>
      <c r="O912" s="299">
        <f t="shared" si="89"/>
        <v>0</v>
      </c>
      <c r="P912" s="303"/>
    </row>
    <row r="913" spans="2:16" ht="15.75" thickBot="1">
      <c r="B913" s="184"/>
      <c r="C913" s="185"/>
      <c r="D913" s="186"/>
      <c r="E913" s="186"/>
      <c r="F913" s="187"/>
      <c r="G913" s="187">
        <f t="shared" si="85"/>
        <v>0</v>
      </c>
      <c r="H913" s="188">
        <v>0.05</v>
      </c>
      <c r="I913" s="189">
        <f t="shared" si="86"/>
        <v>0</v>
      </c>
      <c r="J913" s="189">
        <f t="shared" si="87"/>
        <v>0</v>
      </c>
      <c r="K913" s="294"/>
      <c r="L913" s="295"/>
      <c r="M913" s="296">
        <v>0.05</v>
      </c>
      <c r="N913" s="296">
        <f t="shared" si="88"/>
        <v>0</v>
      </c>
      <c r="O913" s="299">
        <f t="shared" si="89"/>
        <v>0</v>
      </c>
      <c r="P913" s="303"/>
    </row>
    <row r="914" spans="2:16" ht="15.75" thickBot="1">
      <c r="B914" s="184"/>
      <c r="C914" s="185"/>
      <c r="D914" s="186"/>
      <c r="E914" s="186"/>
      <c r="F914" s="187"/>
      <c r="G914" s="187">
        <f t="shared" si="85"/>
        <v>0</v>
      </c>
      <c r="H914" s="188">
        <v>0.05</v>
      </c>
      <c r="I914" s="189">
        <f t="shared" si="86"/>
        <v>0</v>
      </c>
      <c r="J914" s="189">
        <f t="shared" si="87"/>
        <v>0</v>
      </c>
      <c r="K914" s="294"/>
      <c r="L914" s="295"/>
      <c r="M914" s="296">
        <v>0.05</v>
      </c>
      <c r="N914" s="296">
        <f t="shared" si="88"/>
        <v>0</v>
      </c>
      <c r="O914" s="299">
        <f t="shared" si="89"/>
        <v>0</v>
      </c>
      <c r="P914" s="303"/>
    </row>
    <row r="915" spans="2:16" ht="15.75" thickBot="1">
      <c r="B915" s="184"/>
      <c r="C915" s="185"/>
      <c r="D915" s="186"/>
      <c r="E915" s="186"/>
      <c r="F915" s="187"/>
      <c r="G915" s="187">
        <f t="shared" si="85"/>
        <v>0</v>
      </c>
      <c r="H915" s="188">
        <v>0.05</v>
      </c>
      <c r="I915" s="189">
        <f t="shared" si="86"/>
        <v>0</v>
      </c>
      <c r="J915" s="189">
        <f t="shared" si="87"/>
        <v>0</v>
      </c>
      <c r="K915" s="294"/>
      <c r="L915" s="295"/>
      <c r="M915" s="296">
        <v>0.05</v>
      </c>
      <c r="N915" s="296">
        <f t="shared" si="88"/>
        <v>0</v>
      </c>
      <c r="O915" s="299">
        <f t="shared" si="89"/>
        <v>0</v>
      </c>
      <c r="P915" s="303"/>
    </row>
    <row r="916" spans="2:16" ht="15.75" thickBot="1">
      <c r="B916" s="184"/>
      <c r="C916" s="185"/>
      <c r="D916" s="186"/>
      <c r="E916" s="186"/>
      <c r="F916" s="187"/>
      <c r="G916" s="187">
        <f t="shared" si="85"/>
        <v>0</v>
      </c>
      <c r="H916" s="188">
        <v>0.05</v>
      </c>
      <c r="I916" s="189">
        <f t="shared" si="86"/>
        <v>0</v>
      </c>
      <c r="J916" s="189">
        <f t="shared" si="87"/>
        <v>0</v>
      </c>
      <c r="K916" s="294"/>
      <c r="L916" s="295"/>
      <c r="M916" s="296">
        <v>0.05</v>
      </c>
      <c r="N916" s="296">
        <f t="shared" si="88"/>
        <v>0</v>
      </c>
      <c r="O916" s="299">
        <f t="shared" si="89"/>
        <v>0</v>
      </c>
      <c r="P916" s="303"/>
    </row>
    <row r="917" spans="2:16" ht="15.75" thickBot="1">
      <c r="B917" s="184"/>
      <c r="C917" s="185"/>
      <c r="D917" s="186"/>
      <c r="E917" s="186"/>
      <c r="F917" s="187"/>
      <c r="G917" s="187">
        <f t="shared" si="85"/>
        <v>0</v>
      </c>
      <c r="H917" s="188">
        <v>0.05</v>
      </c>
      <c r="I917" s="189">
        <f t="shared" si="86"/>
        <v>0</v>
      </c>
      <c r="J917" s="189">
        <f t="shared" si="87"/>
        <v>0</v>
      </c>
      <c r="K917" s="294"/>
      <c r="L917" s="295"/>
      <c r="M917" s="296">
        <v>0.05</v>
      </c>
      <c r="N917" s="296">
        <f t="shared" si="88"/>
        <v>0</v>
      </c>
      <c r="O917" s="299">
        <f t="shared" si="89"/>
        <v>0</v>
      </c>
      <c r="P917" s="303"/>
    </row>
    <row r="918" spans="2:16" ht="15.75" thickBot="1">
      <c r="B918" s="184"/>
      <c r="C918" s="185"/>
      <c r="D918" s="186"/>
      <c r="E918" s="186"/>
      <c r="F918" s="187"/>
      <c r="G918" s="187">
        <f t="shared" si="85"/>
        <v>0</v>
      </c>
      <c r="H918" s="188">
        <v>0.05</v>
      </c>
      <c r="I918" s="189">
        <f t="shared" si="86"/>
        <v>0</v>
      </c>
      <c r="J918" s="189">
        <f t="shared" si="87"/>
        <v>0</v>
      </c>
      <c r="K918" s="294"/>
      <c r="L918" s="295"/>
      <c r="M918" s="296">
        <v>0.05</v>
      </c>
      <c r="N918" s="296">
        <f t="shared" si="88"/>
        <v>0</v>
      </c>
      <c r="O918" s="299">
        <f t="shared" si="89"/>
        <v>0</v>
      </c>
      <c r="P918" s="303"/>
    </row>
    <row r="919" spans="2:16" ht="15.75" thickBot="1">
      <c r="B919" s="184"/>
      <c r="C919" s="185"/>
      <c r="D919" s="186"/>
      <c r="E919" s="186"/>
      <c r="F919" s="187"/>
      <c r="G919" s="187">
        <f t="shared" si="85"/>
        <v>0</v>
      </c>
      <c r="H919" s="188">
        <v>0.05</v>
      </c>
      <c r="I919" s="189">
        <f t="shared" si="86"/>
        <v>0</v>
      </c>
      <c r="J919" s="189">
        <f t="shared" si="87"/>
        <v>0</v>
      </c>
      <c r="K919" s="294"/>
      <c r="L919" s="295"/>
      <c r="M919" s="296">
        <v>0.05</v>
      </c>
      <c r="N919" s="296">
        <f t="shared" si="88"/>
        <v>0</v>
      </c>
      <c r="O919" s="299">
        <f t="shared" si="89"/>
        <v>0</v>
      </c>
      <c r="P919" s="303"/>
    </row>
    <row r="920" spans="2:16" ht="15.75" thickBot="1">
      <c r="B920" s="184"/>
      <c r="C920" s="185"/>
      <c r="D920" s="186"/>
      <c r="E920" s="186"/>
      <c r="F920" s="187"/>
      <c r="G920" s="187">
        <f t="shared" si="85"/>
        <v>0</v>
      </c>
      <c r="H920" s="188">
        <v>0.05</v>
      </c>
      <c r="I920" s="189">
        <f t="shared" si="86"/>
        <v>0</v>
      </c>
      <c r="J920" s="189">
        <f t="shared" si="87"/>
        <v>0</v>
      </c>
      <c r="K920" s="294"/>
      <c r="L920" s="295"/>
      <c r="M920" s="296">
        <v>0.05</v>
      </c>
      <c r="N920" s="296">
        <f t="shared" si="88"/>
        <v>0</v>
      </c>
      <c r="O920" s="299">
        <f t="shared" si="89"/>
        <v>0</v>
      </c>
      <c r="P920" s="303"/>
    </row>
    <row r="921" spans="2:16" ht="15.75" thickBot="1">
      <c r="B921" s="184"/>
      <c r="C921" s="185"/>
      <c r="D921" s="186"/>
      <c r="E921" s="186"/>
      <c r="F921" s="187"/>
      <c r="G921" s="187">
        <f t="shared" si="85"/>
        <v>0</v>
      </c>
      <c r="H921" s="188">
        <v>0.05</v>
      </c>
      <c r="I921" s="189">
        <f t="shared" si="86"/>
        <v>0</v>
      </c>
      <c r="J921" s="189">
        <f t="shared" si="87"/>
        <v>0</v>
      </c>
      <c r="K921" s="294"/>
      <c r="L921" s="295"/>
      <c r="M921" s="296">
        <v>0.05</v>
      </c>
      <c r="N921" s="296">
        <f t="shared" si="88"/>
        <v>0</v>
      </c>
      <c r="O921" s="299">
        <f t="shared" si="89"/>
        <v>0</v>
      </c>
      <c r="P921" s="303"/>
    </row>
    <row r="922" spans="2:16" ht="15.75" thickBot="1">
      <c r="B922" s="184"/>
      <c r="C922" s="185"/>
      <c r="D922" s="186"/>
      <c r="E922" s="186"/>
      <c r="F922" s="187"/>
      <c r="G922" s="187">
        <f t="shared" si="85"/>
        <v>0</v>
      </c>
      <c r="H922" s="188">
        <v>0.05</v>
      </c>
      <c r="I922" s="189">
        <f t="shared" si="86"/>
        <v>0</v>
      </c>
      <c r="J922" s="189">
        <f t="shared" si="87"/>
        <v>0</v>
      </c>
      <c r="K922" s="294"/>
      <c r="L922" s="295"/>
      <c r="M922" s="296">
        <v>0.05</v>
      </c>
      <c r="N922" s="296">
        <f t="shared" si="88"/>
        <v>0</v>
      </c>
      <c r="O922" s="299">
        <f t="shared" si="89"/>
        <v>0</v>
      </c>
      <c r="P922" s="303"/>
    </row>
    <row r="923" spans="2:16" ht="15.75" thickBot="1">
      <c r="B923" s="184"/>
      <c r="C923" s="185"/>
      <c r="D923" s="186"/>
      <c r="E923" s="186"/>
      <c r="F923" s="187"/>
      <c r="G923" s="187">
        <f t="shared" si="85"/>
        <v>0</v>
      </c>
      <c r="H923" s="188">
        <v>0.05</v>
      </c>
      <c r="I923" s="189">
        <f t="shared" si="86"/>
        <v>0</v>
      </c>
      <c r="J923" s="189">
        <f t="shared" si="87"/>
        <v>0</v>
      </c>
      <c r="K923" s="294"/>
      <c r="L923" s="295"/>
      <c r="M923" s="296">
        <v>0.05</v>
      </c>
      <c r="N923" s="296">
        <f t="shared" si="88"/>
        <v>0</v>
      </c>
      <c r="O923" s="299">
        <f t="shared" si="89"/>
        <v>0</v>
      </c>
      <c r="P923" s="303"/>
    </row>
    <row r="924" spans="2:16" ht="15.75" thickBot="1">
      <c r="B924" s="184"/>
      <c r="C924" s="185"/>
      <c r="D924" s="186"/>
      <c r="E924" s="186"/>
      <c r="F924" s="187"/>
      <c r="G924" s="187">
        <f t="shared" si="85"/>
        <v>0</v>
      </c>
      <c r="H924" s="188">
        <v>0.05</v>
      </c>
      <c r="I924" s="189">
        <f t="shared" si="86"/>
        <v>0</v>
      </c>
      <c r="J924" s="189">
        <f t="shared" si="87"/>
        <v>0</v>
      </c>
      <c r="K924" s="294"/>
      <c r="L924" s="295"/>
      <c r="M924" s="296">
        <v>0.05</v>
      </c>
      <c r="N924" s="296">
        <f t="shared" si="88"/>
        <v>0</v>
      </c>
      <c r="O924" s="299">
        <f t="shared" si="89"/>
        <v>0</v>
      </c>
      <c r="P924" s="303"/>
    </row>
    <row r="925" spans="2:16" ht="15.75" thickBot="1">
      <c r="B925" s="184"/>
      <c r="C925" s="185"/>
      <c r="D925" s="186"/>
      <c r="E925" s="186"/>
      <c r="F925" s="187"/>
      <c r="G925" s="187">
        <f t="shared" si="85"/>
        <v>0</v>
      </c>
      <c r="H925" s="188">
        <v>0.05</v>
      </c>
      <c r="I925" s="189">
        <f t="shared" si="86"/>
        <v>0</v>
      </c>
      <c r="J925" s="189">
        <f t="shared" si="87"/>
        <v>0</v>
      </c>
      <c r="K925" s="294"/>
      <c r="L925" s="295"/>
      <c r="M925" s="296">
        <v>0.05</v>
      </c>
      <c r="N925" s="296">
        <f t="shared" si="88"/>
        <v>0</v>
      </c>
      <c r="O925" s="299">
        <f t="shared" si="89"/>
        <v>0</v>
      </c>
      <c r="P925" s="303"/>
    </row>
    <row r="926" spans="2:16" ht="15.75" thickBot="1">
      <c r="B926" s="184"/>
      <c r="C926" s="185"/>
      <c r="D926" s="186"/>
      <c r="E926" s="186"/>
      <c r="F926" s="187"/>
      <c r="G926" s="187">
        <f t="shared" si="85"/>
        <v>0</v>
      </c>
      <c r="H926" s="188">
        <v>0.05</v>
      </c>
      <c r="I926" s="189">
        <f t="shared" si="86"/>
        <v>0</v>
      </c>
      <c r="J926" s="189">
        <f t="shared" si="87"/>
        <v>0</v>
      </c>
      <c r="K926" s="294"/>
      <c r="L926" s="295"/>
      <c r="M926" s="296">
        <v>0.05</v>
      </c>
      <c r="N926" s="296">
        <f t="shared" si="88"/>
        <v>0</v>
      </c>
      <c r="O926" s="299">
        <f t="shared" si="89"/>
        <v>0</v>
      </c>
      <c r="P926" s="303"/>
    </row>
    <row r="927" spans="2:16" ht="15.75" thickBot="1">
      <c r="B927" s="184"/>
      <c r="C927" s="185"/>
      <c r="D927" s="186"/>
      <c r="E927" s="186"/>
      <c r="F927" s="187"/>
      <c r="G927" s="187">
        <f t="shared" si="85"/>
        <v>0</v>
      </c>
      <c r="H927" s="188">
        <v>0.05</v>
      </c>
      <c r="I927" s="189">
        <f t="shared" si="86"/>
        <v>0</v>
      </c>
      <c r="J927" s="189">
        <f t="shared" si="87"/>
        <v>0</v>
      </c>
      <c r="K927" s="294"/>
      <c r="L927" s="295"/>
      <c r="M927" s="296">
        <v>0.05</v>
      </c>
      <c r="N927" s="296">
        <f t="shared" si="88"/>
        <v>0</v>
      </c>
      <c r="O927" s="299">
        <f t="shared" si="89"/>
        <v>0</v>
      </c>
      <c r="P927" s="303"/>
    </row>
    <row r="928" spans="2:16" ht="15.75" thickBot="1">
      <c r="B928" s="184"/>
      <c r="C928" s="185"/>
      <c r="D928" s="186"/>
      <c r="E928" s="186"/>
      <c r="F928" s="187"/>
      <c r="G928" s="187">
        <f t="shared" si="85"/>
        <v>0</v>
      </c>
      <c r="H928" s="188">
        <v>0.05</v>
      </c>
      <c r="I928" s="189">
        <f t="shared" si="86"/>
        <v>0</v>
      </c>
      <c r="J928" s="189">
        <f t="shared" si="87"/>
        <v>0</v>
      </c>
      <c r="K928" s="294"/>
      <c r="L928" s="295"/>
      <c r="M928" s="296">
        <v>0.05</v>
      </c>
      <c r="N928" s="296">
        <f t="shared" si="88"/>
        <v>0</v>
      </c>
      <c r="O928" s="299">
        <f t="shared" si="89"/>
        <v>0</v>
      </c>
      <c r="P928" s="303"/>
    </row>
    <row r="929" spans="2:16" ht="15.75" thickBot="1">
      <c r="B929" s="184"/>
      <c r="C929" s="185"/>
      <c r="D929" s="186"/>
      <c r="E929" s="186"/>
      <c r="F929" s="187"/>
      <c r="G929" s="187">
        <f t="shared" si="85"/>
        <v>0</v>
      </c>
      <c r="H929" s="188">
        <v>0.05</v>
      </c>
      <c r="I929" s="189">
        <f t="shared" si="86"/>
        <v>0</v>
      </c>
      <c r="J929" s="189">
        <f t="shared" si="87"/>
        <v>0</v>
      </c>
      <c r="K929" s="294"/>
      <c r="L929" s="295"/>
      <c r="M929" s="296">
        <v>0.05</v>
      </c>
      <c r="N929" s="296">
        <f t="shared" si="88"/>
        <v>0</v>
      </c>
      <c r="O929" s="299">
        <f t="shared" si="89"/>
        <v>0</v>
      </c>
      <c r="P929" s="303"/>
    </row>
    <row r="930" spans="2:16" ht="15.75" thickBot="1">
      <c r="B930" s="184"/>
      <c r="C930" s="185"/>
      <c r="D930" s="186"/>
      <c r="E930" s="186"/>
      <c r="F930" s="187"/>
      <c r="G930" s="187">
        <f t="shared" si="85"/>
        <v>0</v>
      </c>
      <c r="H930" s="188">
        <v>0.05</v>
      </c>
      <c r="I930" s="189">
        <f t="shared" si="86"/>
        <v>0</v>
      </c>
      <c r="J930" s="189">
        <f t="shared" si="87"/>
        <v>0</v>
      </c>
      <c r="K930" s="294"/>
      <c r="L930" s="295"/>
      <c r="M930" s="296">
        <v>0.05</v>
      </c>
      <c r="N930" s="296">
        <f t="shared" si="88"/>
        <v>0</v>
      </c>
      <c r="O930" s="299">
        <f t="shared" si="89"/>
        <v>0</v>
      </c>
      <c r="P930" s="303"/>
    </row>
    <row r="931" spans="2:16" ht="15.75" thickBot="1">
      <c r="B931" s="184"/>
      <c r="C931" s="185"/>
      <c r="D931" s="186"/>
      <c r="E931" s="186"/>
      <c r="F931" s="187"/>
      <c r="G931" s="187">
        <f t="shared" si="85"/>
        <v>0</v>
      </c>
      <c r="H931" s="188">
        <v>0.05</v>
      </c>
      <c r="I931" s="189">
        <f t="shared" si="86"/>
        <v>0</v>
      </c>
      <c r="J931" s="189">
        <f t="shared" si="87"/>
        <v>0</v>
      </c>
      <c r="K931" s="294"/>
      <c r="L931" s="295"/>
      <c r="M931" s="296">
        <v>0.05</v>
      </c>
      <c r="N931" s="296">
        <f t="shared" si="88"/>
        <v>0</v>
      </c>
      <c r="O931" s="299">
        <f t="shared" si="89"/>
        <v>0</v>
      </c>
      <c r="P931" s="303"/>
    </row>
    <row r="932" spans="2:16" ht="15.75" thickBot="1">
      <c r="B932" s="184"/>
      <c r="C932" s="185"/>
      <c r="D932" s="186"/>
      <c r="E932" s="186"/>
      <c r="F932" s="187"/>
      <c r="G932" s="187">
        <f t="shared" si="85"/>
        <v>0</v>
      </c>
      <c r="H932" s="188">
        <v>0.05</v>
      </c>
      <c r="I932" s="189">
        <f t="shared" si="86"/>
        <v>0</v>
      </c>
      <c r="J932" s="189">
        <f t="shared" si="87"/>
        <v>0</v>
      </c>
      <c r="K932" s="294"/>
      <c r="L932" s="295"/>
      <c r="M932" s="296">
        <v>0.05</v>
      </c>
      <c r="N932" s="296">
        <f t="shared" si="88"/>
        <v>0</v>
      </c>
      <c r="O932" s="299">
        <f t="shared" si="89"/>
        <v>0</v>
      </c>
      <c r="P932" s="303"/>
    </row>
    <row r="933" spans="2:16" ht="15.75" thickBot="1">
      <c r="B933" s="184"/>
      <c r="C933" s="185"/>
      <c r="D933" s="186"/>
      <c r="E933" s="186"/>
      <c r="F933" s="187"/>
      <c r="G933" s="187">
        <f t="shared" si="85"/>
        <v>0</v>
      </c>
      <c r="H933" s="188">
        <v>0.05</v>
      </c>
      <c r="I933" s="189">
        <f t="shared" si="86"/>
        <v>0</v>
      </c>
      <c r="J933" s="189">
        <f t="shared" si="87"/>
        <v>0</v>
      </c>
      <c r="K933" s="294"/>
      <c r="L933" s="295"/>
      <c r="M933" s="296">
        <v>0.05</v>
      </c>
      <c r="N933" s="296">
        <f t="shared" si="88"/>
        <v>0</v>
      </c>
      <c r="O933" s="299">
        <f t="shared" si="89"/>
        <v>0</v>
      </c>
      <c r="P933" s="303"/>
    </row>
    <row r="934" spans="2:16" ht="15.75" thickBot="1">
      <c r="B934" s="184"/>
      <c r="C934" s="185"/>
      <c r="D934" s="186"/>
      <c r="E934" s="186"/>
      <c r="F934" s="187"/>
      <c r="G934" s="187">
        <f t="shared" ref="G934:G997" si="90">IF(D934=0,0,(D934+E934)/F934)</f>
        <v>0</v>
      </c>
      <c r="H934" s="188">
        <v>0.05</v>
      </c>
      <c r="I934" s="189">
        <f t="shared" ref="I934:I997" si="91">+G934*H934</f>
        <v>0</v>
      </c>
      <c r="J934" s="189">
        <f t="shared" ref="J934:J997" si="92">+G934+I934</f>
        <v>0</v>
      </c>
      <c r="K934" s="294"/>
      <c r="L934" s="295"/>
      <c r="M934" s="296">
        <v>0.05</v>
      </c>
      <c r="N934" s="296">
        <f t="shared" ref="N934:N997" si="93">IF(H934&lt;M934,H934/M934,0)</f>
        <v>0</v>
      </c>
      <c r="O934" s="299">
        <f t="shared" ref="O934:O997" si="94">1.5%*N934</f>
        <v>0</v>
      </c>
      <c r="P934" s="303"/>
    </row>
    <row r="935" spans="2:16" ht="15" customHeight="1" thickBot="1">
      <c r="B935" s="184"/>
      <c r="C935" s="185"/>
      <c r="D935" s="186"/>
      <c r="E935" s="186"/>
      <c r="F935" s="187"/>
      <c r="G935" s="187">
        <f t="shared" si="90"/>
        <v>0</v>
      </c>
      <c r="H935" s="188">
        <v>0.05</v>
      </c>
      <c r="I935" s="189">
        <f t="shared" si="91"/>
        <v>0</v>
      </c>
      <c r="J935" s="189">
        <f t="shared" si="92"/>
        <v>0</v>
      </c>
      <c r="K935" s="294"/>
      <c r="L935" s="295"/>
      <c r="M935" s="296">
        <v>0.05</v>
      </c>
      <c r="N935" s="296">
        <f t="shared" si="93"/>
        <v>0</v>
      </c>
      <c r="O935" s="299">
        <f t="shared" si="94"/>
        <v>0</v>
      </c>
      <c r="P935" s="303"/>
    </row>
    <row r="936" spans="2:16" ht="15.75" thickBot="1">
      <c r="B936" s="184"/>
      <c r="C936" s="185"/>
      <c r="D936" s="186"/>
      <c r="E936" s="186"/>
      <c r="F936" s="187"/>
      <c r="G936" s="187">
        <f t="shared" si="90"/>
        <v>0</v>
      </c>
      <c r="H936" s="188">
        <v>0.05</v>
      </c>
      <c r="I936" s="189">
        <f t="shared" si="91"/>
        <v>0</v>
      </c>
      <c r="J936" s="189">
        <f t="shared" si="92"/>
        <v>0</v>
      </c>
      <c r="K936" s="294"/>
      <c r="L936" s="295"/>
      <c r="M936" s="296">
        <v>0.05</v>
      </c>
      <c r="N936" s="296">
        <f t="shared" si="93"/>
        <v>0</v>
      </c>
      <c r="O936" s="299">
        <f t="shared" si="94"/>
        <v>0</v>
      </c>
      <c r="P936" s="303"/>
    </row>
    <row r="937" spans="2:16" ht="15.75" thickBot="1">
      <c r="B937" s="184"/>
      <c r="C937" s="185"/>
      <c r="D937" s="186"/>
      <c r="E937" s="186"/>
      <c r="F937" s="187"/>
      <c r="G937" s="187">
        <f t="shared" si="90"/>
        <v>0</v>
      </c>
      <c r="H937" s="188">
        <v>0.05</v>
      </c>
      <c r="I937" s="189">
        <f t="shared" si="91"/>
        <v>0</v>
      </c>
      <c r="J937" s="189">
        <f t="shared" si="92"/>
        <v>0</v>
      </c>
      <c r="K937" s="294"/>
      <c r="L937" s="295"/>
      <c r="M937" s="296">
        <v>0.05</v>
      </c>
      <c r="N937" s="296">
        <f t="shared" si="93"/>
        <v>0</v>
      </c>
      <c r="O937" s="299">
        <f t="shared" si="94"/>
        <v>0</v>
      </c>
      <c r="P937" s="303"/>
    </row>
    <row r="938" spans="2:16" ht="15.75" thickBot="1">
      <c r="B938" s="184"/>
      <c r="C938" s="185"/>
      <c r="D938" s="186"/>
      <c r="E938" s="186"/>
      <c r="F938" s="187"/>
      <c r="G938" s="187">
        <f t="shared" si="90"/>
        <v>0</v>
      </c>
      <c r="H938" s="188">
        <v>0.05</v>
      </c>
      <c r="I938" s="189">
        <f t="shared" si="91"/>
        <v>0</v>
      </c>
      <c r="J938" s="189">
        <f t="shared" si="92"/>
        <v>0</v>
      </c>
      <c r="K938" s="294"/>
      <c r="L938" s="295"/>
      <c r="M938" s="296">
        <v>0.05</v>
      </c>
      <c r="N938" s="296">
        <f t="shared" si="93"/>
        <v>0</v>
      </c>
      <c r="O938" s="299">
        <f t="shared" si="94"/>
        <v>0</v>
      </c>
      <c r="P938" s="303"/>
    </row>
    <row r="939" spans="2:16" ht="15.75" thickBot="1">
      <c r="B939" s="184"/>
      <c r="C939" s="185"/>
      <c r="D939" s="186"/>
      <c r="E939" s="186"/>
      <c r="F939" s="187"/>
      <c r="G939" s="187">
        <f t="shared" si="90"/>
        <v>0</v>
      </c>
      <c r="H939" s="188">
        <v>0.05</v>
      </c>
      <c r="I939" s="189">
        <f t="shared" si="91"/>
        <v>0</v>
      </c>
      <c r="J939" s="189">
        <f t="shared" si="92"/>
        <v>0</v>
      </c>
      <c r="K939" s="294"/>
      <c r="L939" s="295"/>
      <c r="M939" s="296">
        <v>0.05</v>
      </c>
      <c r="N939" s="296">
        <f t="shared" si="93"/>
        <v>0</v>
      </c>
      <c r="O939" s="299">
        <f t="shared" si="94"/>
        <v>0</v>
      </c>
      <c r="P939" s="303"/>
    </row>
    <row r="940" spans="2:16" ht="15.75" thickBot="1">
      <c r="B940" s="184"/>
      <c r="C940" s="185"/>
      <c r="D940" s="186"/>
      <c r="E940" s="186"/>
      <c r="F940" s="187"/>
      <c r="G940" s="187">
        <f t="shared" si="90"/>
        <v>0</v>
      </c>
      <c r="H940" s="188">
        <v>0.05</v>
      </c>
      <c r="I940" s="189">
        <f t="shared" si="91"/>
        <v>0</v>
      </c>
      <c r="J940" s="189">
        <f t="shared" si="92"/>
        <v>0</v>
      </c>
      <c r="K940" s="294"/>
      <c r="L940" s="295"/>
      <c r="M940" s="296">
        <v>0.05</v>
      </c>
      <c r="N940" s="296">
        <f t="shared" si="93"/>
        <v>0</v>
      </c>
      <c r="O940" s="299">
        <f t="shared" si="94"/>
        <v>0</v>
      </c>
      <c r="P940" s="303"/>
    </row>
    <row r="941" spans="2:16" ht="15.75" thickBot="1">
      <c r="B941" s="184"/>
      <c r="C941" s="185"/>
      <c r="D941" s="186"/>
      <c r="E941" s="186"/>
      <c r="F941" s="187"/>
      <c r="G941" s="187">
        <f t="shared" si="90"/>
        <v>0</v>
      </c>
      <c r="H941" s="188">
        <v>0.05</v>
      </c>
      <c r="I941" s="189">
        <f t="shared" si="91"/>
        <v>0</v>
      </c>
      <c r="J941" s="189">
        <f t="shared" si="92"/>
        <v>0</v>
      </c>
      <c r="K941" s="294"/>
      <c r="L941" s="295"/>
      <c r="M941" s="296">
        <v>0.05</v>
      </c>
      <c r="N941" s="296">
        <f t="shared" si="93"/>
        <v>0</v>
      </c>
      <c r="O941" s="299">
        <f t="shared" si="94"/>
        <v>0</v>
      </c>
      <c r="P941" s="303"/>
    </row>
    <row r="942" spans="2:16" ht="15.75" thickBot="1">
      <c r="B942" s="184"/>
      <c r="C942" s="185"/>
      <c r="D942" s="186"/>
      <c r="E942" s="186"/>
      <c r="F942" s="187"/>
      <c r="G942" s="187">
        <f t="shared" si="90"/>
        <v>0</v>
      </c>
      <c r="H942" s="188">
        <v>0.05</v>
      </c>
      <c r="I942" s="189">
        <f t="shared" si="91"/>
        <v>0</v>
      </c>
      <c r="J942" s="189">
        <f t="shared" si="92"/>
        <v>0</v>
      </c>
      <c r="K942" s="294"/>
      <c r="L942" s="295"/>
      <c r="M942" s="296">
        <v>0.05</v>
      </c>
      <c r="N942" s="296">
        <f t="shared" si="93"/>
        <v>0</v>
      </c>
      <c r="O942" s="299">
        <f t="shared" si="94"/>
        <v>0</v>
      </c>
      <c r="P942" s="303"/>
    </row>
    <row r="943" spans="2:16" ht="15.75" thickBot="1">
      <c r="B943" s="184"/>
      <c r="C943" s="185"/>
      <c r="D943" s="186"/>
      <c r="E943" s="186"/>
      <c r="F943" s="187"/>
      <c r="G943" s="187">
        <f t="shared" si="90"/>
        <v>0</v>
      </c>
      <c r="H943" s="188">
        <v>0.05</v>
      </c>
      <c r="I943" s="189">
        <f t="shared" si="91"/>
        <v>0</v>
      </c>
      <c r="J943" s="189">
        <f t="shared" si="92"/>
        <v>0</v>
      </c>
      <c r="K943" s="294"/>
      <c r="L943" s="295"/>
      <c r="M943" s="296">
        <v>0.05</v>
      </c>
      <c r="N943" s="296">
        <f t="shared" si="93"/>
        <v>0</v>
      </c>
      <c r="O943" s="299">
        <f t="shared" si="94"/>
        <v>0</v>
      </c>
      <c r="P943" s="303"/>
    </row>
    <row r="944" spans="2:16" ht="15.75" thickBot="1">
      <c r="B944" s="184"/>
      <c r="C944" s="185"/>
      <c r="D944" s="186"/>
      <c r="E944" s="186"/>
      <c r="F944" s="187"/>
      <c r="G944" s="187">
        <f t="shared" si="90"/>
        <v>0</v>
      </c>
      <c r="H944" s="188">
        <v>0.05</v>
      </c>
      <c r="I944" s="189">
        <f t="shared" si="91"/>
        <v>0</v>
      </c>
      <c r="J944" s="189">
        <f t="shared" si="92"/>
        <v>0</v>
      </c>
      <c r="K944" s="294"/>
      <c r="L944" s="295"/>
      <c r="M944" s="296">
        <v>0.05</v>
      </c>
      <c r="N944" s="296">
        <f t="shared" si="93"/>
        <v>0</v>
      </c>
      <c r="O944" s="299">
        <f t="shared" si="94"/>
        <v>0</v>
      </c>
      <c r="P944" s="303"/>
    </row>
    <row r="945" spans="2:16" ht="15.75" thickBot="1">
      <c r="B945" s="184"/>
      <c r="C945" s="185"/>
      <c r="D945" s="186"/>
      <c r="E945" s="186"/>
      <c r="F945" s="187"/>
      <c r="G945" s="187">
        <f t="shared" si="90"/>
        <v>0</v>
      </c>
      <c r="H945" s="188">
        <v>0.05</v>
      </c>
      <c r="I945" s="189">
        <f t="shared" si="91"/>
        <v>0</v>
      </c>
      <c r="J945" s="189">
        <f t="shared" si="92"/>
        <v>0</v>
      </c>
      <c r="K945" s="294"/>
      <c r="L945" s="295"/>
      <c r="M945" s="296">
        <v>0.05</v>
      </c>
      <c r="N945" s="296">
        <f t="shared" si="93"/>
        <v>0</v>
      </c>
      <c r="O945" s="299">
        <f t="shared" si="94"/>
        <v>0</v>
      </c>
      <c r="P945" s="303"/>
    </row>
    <row r="946" spans="2:16" ht="15.75" thickBot="1">
      <c r="B946" s="184"/>
      <c r="C946" s="185"/>
      <c r="D946" s="186"/>
      <c r="E946" s="186"/>
      <c r="F946" s="187"/>
      <c r="G946" s="187">
        <f t="shared" si="90"/>
        <v>0</v>
      </c>
      <c r="H946" s="188">
        <v>0.05</v>
      </c>
      <c r="I946" s="189">
        <f t="shared" si="91"/>
        <v>0</v>
      </c>
      <c r="J946" s="189">
        <f t="shared" si="92"/>
        <v>0</v>
      </c>
      <c r="K946" s="294"/>
      <c r="L946" s="295"/>
      <c r="M946" s="296">
        <v>0.05</v>
      </c>
      <c r="N946" s="296">
        <f t="shared" si="93"/>
        <v>0</v>
      </c>
      <c r="O946" s="299">
        <f t="shared" si="94"/>
        <v>0</v>
      </c>
      <c r="P946" s="303"/>
    </row>
    <row r="947" spans="2:16" ht="15.75" thickBot="1">
      <c r="B947" s="184"/>
      <c r="C947" s="185"/>
      <c r="D947" s="186"/>
      <c r="E947" s="186"/>
      <c r="F947" s="187"/>
      <c r="G947" s="187">
        <f t="shared" si="90"/>
        <v>0</v>
      </c>
      <c r="H947" s="188">
        <v>0.05</v>
      </c>
      <c r="I947" s="189">
        <f t="shared" si="91"/>
        <v>0</v>
      </c>
      <c r="J947" s="189">
        <f t="shared" si="92"/>
        <v>0</v>
      </c>
      <c r="K947" s="294"/>
      <c r="L947" s="295"/>
      <c r="M947" s="296">
        <v>0.05</v>
      </c>
      <c r="N947" s="296">
        <f t="shared" si="93"/>
        <v>0</v>
      </c>
      <c r="O947" s="299">
        <f t="shared" si="94"/>
        <v>0</v>
      </c>
      <c r="P947" s="303"/>
    </row>
    <row r="948" spans="2:16" ht="15.75" thickBot="1">
      <c r="B948" s="184"/>
      <c r="C948" s="185"/>
      <c r="D948" s="186"/>
      <c r="E948" s="186"/>
      <c r="F948" s="187"/>
      <c r="G948" s="187">
        <f t="shared" si="90"/>
        <v>0</v>
      </c>
      <c r="H948" s="188">
        <v>0.05</v>
      </c>
      <c r="I948" s="189">
        <f t="shared" si="91"/>
        <v>0</v>
      </c>
      <c r="J948" s="189">
        <f t="shared" si="92"/>
        <v>0</v>
      </c>
      <c r="K948" s="294"/>
      <c r="L948" s="295"/>
      <c r="M948" s="296">
        <v>0.05</v>
      </c>
      <c r="N948" s="296">
        <f t="shared" si="93"/>
        <v>0</v>
      </c>
      <c r="O948" s="299">
        <f t="shared" si="94"/>
        <v>0</v>
      </c>
      <c r="P948" s="303"/>
    </row>
    <row r="949" spans="2:16" ht="15.75" thickBot="1">
      <c r="B949" s="184"/>
      <c r="C949" s="185"/>
      <c r="D949" s="186"/>
      <c r="E949" s="186"/>
      <c r="F949" s="187"/>
      <c r="G949" s="187">
        <f t="shared" si="90"/>
        <v>0</v>
      </c>
      <c r="H949" s="188">
        <v>0.05</v>
      </c>
      <c r="I949" s="189">
        <f t="shared" si="91"/>
        <v>0</v>
      </c>
      <c r="J949" s="189">
        <f t="shared" si="92"/>
        <v>0</v>
      </c>
      <c r="K949" s="294"/>
      <c r="L949" s="295"/>
      <c r="M949" s="296">
        <v>0.05</v>
      </c>
      <c r="N949" s="296">
        <f t="shared" si="93"/>
        <v>0</v>
      </c>
      <c r="O949" s="299">
        <f t="shared" si="94"/>
        <v>0</v>
      </c>
      <c r="P949" s="303"/>
    </row>
    <row r="950" spans="2:16" ht="15.75" thickBot="1">
      <c r="B950" s="184"/>
      <c r="C950" s="185"/>
      <c r="D950" s="186"/>
      <c r="E950" s="186"/>
      <c r="F950" s="187"/>
      <c r="G950" s="187">
        <f t="shared" si="90"/>
        <v>0</v>
      </c>
      <c r="H950" s="188">
        <v>0.05</v>
      </c>
      <c r="I950" s="189">
        <f t="shared" si="91"/>
        <v>0</v>
      </c>
      <c r="J950" s="189">
        <f t="shared" si="92"/>
        <v>0</v>
      </c>
      <c r="K950" s="294"/>
      <c r="L950" s="295"/>
      <c r="M950" s="296">
        <v>0.05</v>
      </c>
      <c r="N950" s="296">
        <f t="shared" si="93"/>
        <v>0</v>
      </c>
      <c r="O950" s="299">
        <f t="shared" si="94"/>
        <v>0</v>
      </c>
      <c r="P950" s="303"/>
    </row>
    <row r="951" spans="2:16" ht="15.75" thickBot="1">
      <c r="B951" s="184"/>
      <c r="C951" s="185"/>
      <c r="D951" s="186"/>
      <c r="E951" s="186"/>
      <c r="F951" s="187"/>
      <c r="G951" s="187">
        <f t="shared" si="90"/>
        <v>0</v>
      </c>
      <c r="H951" s="188">
        <v>0.05</v>
      </c>
      <c r="I951" s="189">
        <f t="shared" si="91"/>
        <v>0</v>
      </c>
      <c r="J951" s="189">
        <f t="shared" si="92"/>
        <v>0</v>
      </c>
      <c r="K951" s="294"/>
      <c r="L951" s="295"/>
      <c r="M951" s="296">
        <v>0.05</v>
      </c>
      <c r="N951" s="296">
        <f t="shared" si="93"/>
        <v>0</v>
      </c>
      <c r="O951" s="299">
        <f t="shared" si="94"/>
        <v>0</v>
      </c>
      <c r="P951" s="303"/>
    </row>
    <row r="952" spans="2:16" ht="15.75" thickBot="1">
      <c r="B952" s="184"/>
      <c r="C952" s="185"/>
      <c r="D952" s="186"/>
      <c r="E952" s="186"/>
      <c r="F952" s="187"/>
      <c r="G952" s="187">
        <f t="shared" si="90"/>
        <v>0</v>
      </c>
      <c r="H952" s="188">
        <v>0.05</v>
      </c>
      <c r="I952" s="189">
        <f t="shared" si="91"/>
        <v>0</v>
      </c>
      <c r="J952" s="189">
        <f t="shared" si="92"/>
        <v>0</v>
      </c>
      <c r="K952" s="294"/>
      <c r="L952" s="295"/>
      <c r="M952" s="296">
        <v>0.05</v>
      </c>
      <c r="N952" s="296">
        <f t="shared" si="93"/>
        <v>0</v>
      </c>
      <c r="O952" s="299">
        <f t="shared" si="94"/>
        <v>0</v>
      </c>
      <c r="P952" s="303"/>
    </row>
    <row r="953" spans="2:16" ht="15.75" thickBot="1">
      <c r="B953" s="184"/>
      <c r="C953" s="185"/>
      <c r="D953" s="186"/>
      <c r="E953" s="186"/>
      <c r="F953" s="187"/>
      <c r="G953" s="187">
        <f t="shared" si="90"/>
        <v>0</v>
      </c>
      <c r="H953" s="188">
        <v>0.05</v>
      </c>
      <c r="I953" s="189">
        <f t="shared" si="91"/>
        <v>0</v>
      </c>
      <c r="J953" s="189">
        <f t="shared" si="92"/>
        <v>0</v>
      </c>
      <c r="K953" s="294"/>
      <c r="L953" s="295"/>
      <c r="M953" s="296">
        <v>0.05</v>
      </c>
      <c r="N953" s="296">
        <f t="shared" si="93"/>
        <v>0</v>
      </c>
      <c r="O953" s="299">
        <f t="shared" si="94"/>
        <v>0</v>
      </c>
      <c r="P953" s="303"/>
    </row>
    <row r="954" spans="2:16" ht="15.75" thickBot="1">
      <c r="B954" s="184"/>
      <c r="C954" s="185"/>
      <c r="D954" s="186"/>
      <c r="E954" s="186"/>
      <c r="F954" s="187"/>
      <c r="G954" s="187">
        <f t="shared" si="90"/>
        <v>0</v>
      </c>
      <c r="H954" s="188">
        <v>0.05</v>
      </c>
      <c r="I954" s="189">
        <f t="shared" si="91"/>
        <v>0</v>
      </c>
      <c r="J954" s="189">
        <f t="shared" si="92"/>
        <v>0</v>
      </c>
      <c r="K954" s="294"/>
      <c r="L954" s="295"/>
      <c r="M954" s="296">
        <v>0.05</v>
      </c>
      <c r="N954" s="296">
        <f t="shared" si="93"/>
        <v>0</v>
      </c>
      <c r="O954" s="299">
        <f t="shared" si="94"/>
        <v>0</v>
      </c>
      <c r="P954" s="303"/>
    </row>
    <row r="955" spans="2:16" ht="15.75" thickBot="1">
      <c r="B955" s="184"/>
      <c r="C955" s="185"/>
      <c r="D955" s="186"/>
      <c r="E955" s="186"/>
      <c r="F955" s="187"/>
      <c r="G955" s="187">
        <f t="shared" si="90"/>
        <v>0</v>
      </c>
      <c r="H955" s="188">
        <v>0.05</v>
      </c>
      <c r="I955" s="189">
        <f t="shared" si="91"/>
        <v>0</v>
      </c>
      <c r="J955" s="189">
        <f t="shared" si="92"/>
        <v>0</v>
      </c>
      <c r="K955" s="294"/>
      <c r="L955" s="295"/>
      <c r="M955" s="296">
        <v>0.05</v>
      </c>
      <c r="N955" s="296">
        <f t="shared" si="93"/>
        <v>0</v>
      </c>
      <c r="O955" s="299">
        <f t="shared" si="94"/>
        <v>0</v>
      </c>
      <c r="P955" s="303"/>
    </row>
    <row r="956" spans="2:16" ht="15.75" thickBot="1">
      <c r="B956" s="184"/>
      <c r="C956" s="185"/>
      <c r="D956" s="186"/>
      <c r="E956" s="186"/>
      <c r="F956" s="187"/>
      <c r="G956" s="187">
        <f t="shared" si="90"/>
        <v>0</v>
      </c>
      <c r="H956" s="188">
        <v>0.05</v>
      </c>
      <c r="I956" s="189">
        <f t="shared" si="91"/>
        <v>0</v>
      </c>
      <c r="J956" s="189">
        <f t="shared" si="92"/>
        <v>0</v>
      </c>
      <c r="K956" s="294"/>
      <c r="L956" s="295"/>
      <c r="M956" s="296">
        <v>0.05</v>
      </c>
      <c r="N956" s="296">
        <f t="shared" si="93"/>
        <v>0</v>
      </c>
      <c r="O956" s="299">
        <f t="shared" si="94"/>
        <v>0</v>
      </c>
      <c r="P956" s="303"/>
    </row>
    <row r="957" spans="2:16" ht="15.75" thickBot="1">
      <c r="B957" s="184"/>
      <c r="C957" s="185"/>
      <c r="D957" s="186"/>
      <c r="E957" s="186"/>
      <c r="F957" s="187"/>
      <c r="G957" s="187">
        <f t="shared" si="90"/>
        <v>0</v>
      </c>
      <c r="H957" s="188">
        <v>0.05</v>
      </c>
      <c r="I957" s="189">
        <f t="shared" si="91"/>
        <v>0</v>
      </c>
      <c r="J957" s="189">
        <f t="shared" si="92"/>
        <v>0</v>
      </c>
      <c r="K957" s="294"/>
      <c r="L957" s="295"/>
      <c r="M957" s="296">
        <v>0.05</v>
      </c>
      <c r="N957" s="296">
        <f t="shared" si="93"/>
        <v>0</v>
      </c>
      <c r="O957" s="299">
        <f t="shared" si="94"/>
        <v>0</v>
      </c>
      <c r="P957" s="303"/>
    </row>
    <row r="958" spans="2:16" ht="15.75" thickBot="1">
      <c r="B958" s="184"/>
      <c r="C958" s="185"/>
      <c r="D958" s="186"/>
      <c r="E958" s="186"/>
      <c r="F958" s="187"/>
      <c r="G958" s="187">
        <f t="shared" si="90"/>
        <v>0</v>
      </c>
      <c r="H958" s="188">
        <v>0.05</v>
      </c>
      <c r="I958" s="189">
        <f t="shared" si="91"/>
        <v>0</v>
      </c>
      <c r="J958" s="189">
        <f t="shared" si="92"/>
        <v>0</v>
      </c>
      <c r="K958" s="294"/>
      <c r="L958" s="295"/>
      <c r="M958" s="296">
        <v>0.05</v>
      </c>
      <c r="N958" s="296">
        <f t="shared" si="93"/>
        <v>0</v>
      </c>
      <c r="O958" s="299">
        <f t="shared" si="94"/>
        <v>0</v>
      </c>
      <c r="P958" s="303"/>
    </row>
    <row r="959" spans="2:16" ht="15.75" thickBot="1">
      <c r="B959" s="184"/>
      <c r="C959" s="185"/>
      <c r="D959" s="186"/>
      <c r="E959" s="186"/>
      <c r="F959" s="187"/>
      <c r="G959" s="187">
        <f t="shared" si="90"/>
        <v>0</v>
      </c>
      <c r="H959" s="188">
        <v>0.05</v>
      </c>
      <c r="I959" s="189">
        <f t="shared" si="91"/>
        <v>0</v>
      </c>
      <c r="J959" s="189">
        <f t="shared" si="92"/>
        <v>0</v>
      </c>
      <c r="K959" s="294"/>
      <c r="L959" s="295"/>
      <c r="M959" s="296">
        <v>0.05</v>
      </c>
      <c r="N959" s="296">
        <f t="shared" si="93"/>
        <v>0</v>
      </c>
      <c r="O959" s="299">
        <f t="shared" si="94"/>
        <v>0</v>
      </c>
      <c r="P959" s="303"/>
    </row>
    <row r="960" spans="2:16" ht="15.75" thickBot="1">
      <c r="B960" s="184"/>
      <c r="C960" s="185"/>
      <c r="D960" s="186"/>
      <c r="E960" s="186"/>
      <c r="F960" s="187"/>
      <c r="G960" s="187">
        <f t="shared" si="90"/>
        <v>0</v>
      </c>
      <c r="H960" s="188">
        <v>0.05</v>
      </c>
      <c r="I960" s="189">
        <f t="shared" si="91"/>
        <v>0</v>
      </c>
      <c r="J960" s="189">
        <f t="shared" si="92"/>
        <v>0</v>
      </c>
      <c r="K960" s="294"/>
      <c r="L960" s="295"/>
      <c r="M960" s="296">
        <v>0.05</v>
      </c>
      <c r="N960" s="296">
        <f t="shared" si="93"/>
        <v>0</v>
      </c>
      <c r="O960" s="299">
        <f t="shared" si="94"/>
        <v>0</v>
      </c>
      <c r="P960" s="303"/>
    </row>
    <row r="961" spans="2:16" ht="15.75" thickBot="1">
      <c r="B961" s="184"/>
      <c r="C961" s="185"/>
      <c r="D961" s="186"/>
      <c r="E961" s="186"/>
      <c r="F961" s="187"/>
      <c r="G961" s="187">
        <f t="shared" si="90"/>
        <v>0</v>
      </c>
      <c r="H961" s="188">
        <v>0.05</v>
      </c>
      <c r="I961" s="189">
        <f t="shared" si="91"/>
        <v>0</v>
      </c>
      <c r="J961" s="189">
        <f t="shared" si="92"/>
        <v>0</v>
      </c>
      <c r="K961" s="294"/>
      <c r="L961" s="295"/>
      <c r="M961" s="296">
        <v>0.05</v>
      </c>
      <c r="N961" s="296">
        <f t="shared" si="93"/>
        <v>0</v>
      </c>
      <c r="O961" s="299">
        <f t="shared" si="94"/>
        <v>0</v>
      </c>
      <c r="P961" s="303"/>
    </row>
    <row r="962" spans="2:16" ht="15.75" thickBot="1">
      <c r="B962" s="184"/>
      <c r="C962" s="185"/>
      <c r="D962" s="186"/>
      <c r="E962" s="186"/>
      <c r="F962" s="187"/>
      <c r="G962" s="187">
        <f t="shared" si="90"/>
        <v>0</v>
      </c>
      <c r="H962" s="188">
        <v>0.05</v>
      </c>
      <c r="I962" s="189">
        <f t="shared" si="91"/>
        <v>0</v>
      </c>
      <c r="J962" s="189">
        <f t="shared" si="92"/>
        <v>0</v>
      </c>
      <c r="K962" s="294"/>
      <c r="L962" s="295"/>
      <c r="M962" s="296">
        <v>0.05</v>
      </c>
      <c r="N962" s="296">
        <f t="shared" si="93"/>
        <v>0</v>
      </c>
      <c r="O962" s="299">
        <f t="shared" si="94"/>
        <v>0</v>
      </c>
      <c r="P962" s="303"/>
    </row>
    <row r="963" spans="2:16" ht="15.75" thickBot="1">
      <c r="B963" s="184"/>
      <c r="C963" s="185"/>
      <c r="D963" s="186"/>
      <c r="E963" s="186"/>
      <c r="F963" s="187"/>
      <c r="G963" s="187">
        <f t="shared" si="90"/>
        <v>0</v>
      </c>
      <c r="H963" s="188">
        <v>0.05</v>
      </c>
      <c r="I963" s="189">
        <f t="shared" si="91"/>
        <v>0</v>
      </c>
      <c r="J963" s="189">
        <f t="shared" si="92"/>
        <v>0</v>
      </c>
      <c r="K963" s="294"/>
      <c r="L963" s="295"/>
      <c r="M963" s="296">
        <v>0.05</v>
      </c>
      <c r="N963" s="296">
        <f t="shared" si="93"/>
        <v>0</v>
      </c>
      <c r="O963" s="299">
        <f t="shared" si="94"/>
        <v>0</v>
      </c>
      <c r="P963" s="303"/>
    </row>
    <row r="964" spans="2:16" ht="15.75" thickBot="1">
      <c r="B964" s="184"/>
      <c r="C964" s="185"/>
      <c r="D964" s="186"/>
      <c r="E964" s="186"/>
      <c r="F964" s="187"/>
      <c r="G964" s="187">
        <f t="shared" si="90"/>
        <v>0</v>
      </c>
      <c r="H964" s="188">
        <v>0.05</v>
      </c>
      <c r="I964" s="189">
        <f t="shared" si="91"/>
        <v>0</v>
      </c>
      <c r="J964" s="189">
        <f t="shared" si="92"/>
        <v>0</v>
      </c>
      <c r="K964" s="294"/>
      <c r="L964" s="295"/>
      <c r="M964" s="296">
        <v>0.05</v>
      </c>
      <c r="N964" s="296">
        <f t="shared" si="93"/>
        <v>0</v>
      </c>
      <c r="O964" s="299">
        <f t="shared" si="94"/>
        <v>0</v>
      </c>
      <c r="P964" s="303"/>
    </row>
    <row r="965" spans="2:16" ht="15.75" thickBot="1">
      <c r="B965" s="184"/>
      <c r="C965" s="185"/>
      <c r="D965" s="186"/>
      <c r="E965" s="186"/>
      <c r="F965" s="187"/>
      <c r="G965" s="187">
        <f t="shared" si="90"/>
        <v>0</v>
      </c>
      <c r="H965" s="188">
        <v>0.05</v>
      </c>
      <c r="I965" s="189">
        <f t="shared" si="91"/>
        <v>0</v>
      </c>
      <c r="J965" s="189">
        <f t="shared" si="92"/>
        <v>0</v>
      </c>
      <c r="K965" s="294"/>
      <c r="L965" s="295"/>
      <c r="M965" s="296">
        <v>0.05</v>
      </c>
      <c r="N965" s="296">
        <f t="shared" si="93"/>
        <v>0</v>
      </c>
      <c r="O965" s="299">
        <f t="shared" si="94"/>
        <v>0</v>
      </c>
      <c r="P965" s="303"/>
    </row>
    <row r="966" spans="2:16" ht="15.75" thickBot="1">
      <c r="B966" s="184"/>
      <c r="C966" s="185"/>
      <c r="D966" s="186"/>
      <c r="E966" s="186"/>
      <c r="F966" s="187"/>
      <c r="G966" s="187">
        <f t="shared" si="90"/>
        <v>0</v>
      </c>
      <c r="H966" s="188">
        <v>0.05</v>
      </c>
      <c r="I966" s="189">
        <f t="shared" si="91"/>
        <v>0</v>
      </c>
      <c r="J966" s="189">
        <f t="shared" si="92"/>
        <v>0</v>
      </c>
      <c r="K966" s="294"/>
      <c r="L966" s="295"/>
      <c r="M966" s="296">
        <v>0.05</v>
      </c>
      <c r="N966" s="296">
        <f t="shared" si="93"/>
        <v>0</v>
      </c>
      <c r="O966" s="299">
        <f t="shared" si="94"/>
        <v>0</v>
      </c>
      <c r="P966" s="303"/>
    </row>
    <row r="967" spans="2:16" ht="15.75" thickBot="1">
      <c r="B967" s="184"/>
      <c r="C967" s="185"/>
      <c r="D967" s="186"/>
      <c r="E967" s="186"/>
      <c r="F967" s="187"/>
      <c r="G967" s="187">
        <f t="shared" si="90"/>
        <v>0</v>
      </c>
      <c r="H967" s="188">
        <v>0.05</v>
      </c>
      <c r="I967" s="189">
        <f t="shared" si="91"/>
        <v>0</v>
      </c>
      <c r="J967" s="189">
        <f t="shared" si="92"/>
        <v>0</v>
      </c>
      <c r="K967" s="294"/>
      <c r="L967" s="295"/>
      <c r="M967" s="296">
        <v>0.05</v>
      </c>
      <c r="N967" s="296">
        <f t="shared" si="93"/>
        <v>0</v>
      </c>
      <c r="O967" s="299">
        <f t="shared" si="94"/>
        <v>0</v>
      </c>
      <c r="P967" s="303"/>
    </row>
    <row r="968" spans="2:16" ht="15.75" thickBot="1">
      <c r="B968" s="184"/>
      <c r="C968" s="185"/>
      <c r="D968" s="186"/>
      <c r="E968" s="186"/>
      <c r="F968" s="187"/>
      <c r="G968" s="187">
        <f t="shared" si="90"/>
        <v>0</v>
      </c>
      <c r="H968" s="188">
        <v>0.05</v>
      </c>
      <c r="I968" s="189">
        <f t="shared" si="91"/>
        <v>0</v>
      </c>
      <c r="J968" s="189">
        <f t="shared" si="92"/>
        <v>0</v>
      </c>
      <c r="K968" s="294"/>
      <c r="L968" s="295"/>
      <c r="M968" s="296">
        <v>0.05</v>
      </c>
      <c r="N968" s="296">
        <f t="shared" si="93"/>
        <v>0</v>
      </c>
      <c r="O968" s="299">
        <f t="shared" si="94"/>
        <v>0</v>
      </c>
      <c r="P968" s="303"/>
    </row>
    <row r="969" spans="2:16" ht="15.75" thickBot="1">
      <c r="B969" s="184"/>
      <c r="C969" s="185"/>
      <c r="D969" s="186"/>
      <c r="E969" s="186"/>
      <c r="F969" s="187"/>
      <c r="G969" s="187">
        <f t="shared" si="90"/>
        <v>0</v>
      </c>
      <c r="H969" s="188">
        <v>0.05</v>
      </c>
      <c r="I969" s="189">
        <f t="shared" si="91"/>
        <v>0</v>
      </c>
      <c r="J969" s="189">
        <f t="shared" si="92"/>
        <v>0</v>
      </c>
      <c r="K969" s="294"/>
      <c r="L969" s="295"/>
      <c r="M969" s="296">
        <v>0.05</v>
      </c>
      <c r="N969" s="296">
        <f t="shared" si="93"/>
        <v>0</v>
      </c>
      <c r="O969" s="299">
        <f t="shared" si="94"/>
        <v>0</v>
      </c>
      <c r="P969" s="303"/>
    </row>
    <row r="970" spans="2:16" ht="15.75" thickBot="1">
      <c r="B970" s="184"/>
      <c r="C970" s="185"/>
      <c r="D970" s="186"/>
      <c r="E970" s="186"/>
      <c r="F970" s="187"/>
      <c r="G970" s="187">
        <f t="shared" si="90"/>
        <v>0</v>
      </c>
      <c r="H970" s="188">
        <v>0.05</v>
      </c>
      <c r="I970" s="189">
        <f t="shared" si="91"/>
        <v>0</v>
      </c>
      <c r="J970" s="189">
        <f t="shared" si="92"/>
        <v>0</v>
      </c>
      <c r="K970" s="294"/>
      <c r="L970" s="295"/>
      <c r="M970" s="296">
        <v>0.05</v>
      </c>
      <c r="N970" s="296">
        <f t="shared" si="93"/>
        <v>0</v>
      </c>
      <c r="O970" s="299">
        <f t="shared" si="94"/>
        <v>0</v>
      </c>
      <c r="P970" s="303"/>
    </row>
    <row r="971" spans="2:16" ht="15.75" thickBot="1">
      <c r="B971" s="184"/>
      <c r="C971" s="185"/>
      <c r="D971" s="186"/>
      <c r="E971" s="186"/>
      <c r="F971" s="187"/>
      <c r="G971" s="187">
        <f t="shared" si="90"/>
        <v>0</v>
      </c>
      <c r="H971" s="188">
        <v>0.05</v>
      </c>
      <c r="I971" s="189">
        <f t="shared" si="91"/>
        <v>0</v>
      </c>
      <c r="J971" s="189">
        <f t="shared" si="92"/>
        <v>0</v>
      </c>
      <c r="K971" s="294"/>
      <c r="L971" s="295"/>
      <c r="M971" s="296">
        <v>0.05</v>
      </c>
      <c r="N971" s="296">
        <f t="shared" si="93"/>
        <v>0</v>
      </c>
      <c r="O971" s="299">
        <f t="shared" si="94"/>
        <v>0</v>
      </c>
      <c r="P971" s="303"/>
    </row>
    <row r="972" spans="2:16" ht="15.75" thickBot="1">
      <c r="B972" s="184"/>
      <c r="C972" s="185"/>
      <c r="D972" s="186"/>
      <c r="E972" s="186"/>
      <c r="F972" s="187"/>
      <c r="G972" s="187">
        <f t="shared" si="90"/>
        <v>0</v>
      </c>
      <c r="H972" s="188">
        <v>0.05</v>
      </c>
      <c r="I972" s="189">
        <f t="shared" si="91"/>
        <v>0</v>
      </c>
      <c r="J972" s="189">
        <f t="shared" si="92"/>
        <v>0</v>
      </c>
      <c r="K972" s="294"/>
      <c r="L972" s="295"/>
      <c r="M972" s="296">
        <v>0.05</v>
      </c>
      <c r="N972" s="296">
        <f t="shared" si="93"/>
        <v>0</v>
      </c>
      <c r="O972" s="299">
        <f t="shared" si="94"/>
        <v>0</v>
      </c>
      <c r="P972" s="303"/>
    </row>
    <row r="973" spans="2:16" ht="15.75" thickBot="1">
      <c r="B973" s="184"/>
      <c r="C973" s="185"/>
      <c r="D973" s="186"/>
      <c r="E973" s="186"/>
      <c r="F973" s="187"/>
      <c r="G973" s="187">
        <f t="shared" si="90"/>
        <v>0</v>
      </c>
      <c r="H973" s="188">
        <v>0.05</v>
      </c>
      <c r="I973" s="189">
        <f t="shared" si="91"/>
        <v>0</v>
      </c>
      <c r="J973" s="189">
        <f t="shared" si="92"/>
        <v>0</v>
      </c>
      <c r="K973" s="294"/>
      <c r="L973" s="295"/>
      <c r="M973" s="296">
        <v>0.05</v>
      </c>
      <c r="N973" s="296">
        <f t="shared" si="93"/>
        <v>0</v>
      </c>
      <c r="O973" s="299">
        <f t="shared" si="94"/>
        <v>0</v>
      </c>
      <c r="P973" s="303"/>
    </row>
    <row r="974" spans="2:16" ht="15.75" thickBot="1">
      <c r="B974" s="184"/>
      <c r="C974" s="185"/>
      <c r="D974" s="186"/>
      <c r="E974" s="186"/>
      <c r="F974" s="187"/>
      <c r="G974" s="187">
        <f t="shared" si="90"/>
        <v>0</v>
      </c>
      <c r="H974" s="188">
        <v>0.05</v>
      </c>
      <c r="I974" s="189">
        <f t="shared" si="91"/>
        <v>0</v>
      </c>
      <c r="J974" s="189">
        <f t="shared" si="92"/>
        <v>0</v>
      </c>
      <c r="K974" s="294"/>
      <c r="L974" s="295"/>
      <c r="M974" s="296">
        <v>0.05</v>
      </c>
      <c r="N974" s="296">
        <f t="shared" si="93"/>
        <v>0</v>
      </c>
      <c r="O974" s="299">
        <f t="shared" si="94"/>
        <v>0</v>
      </c>
      <c r="P974" s="303"/>
    </row>
    <row r="975" spans="2:16" ht="15.75" thickBot="1">
      <c r="B975" s="184"/>
      <c r="C975" s="185"/>
      <c r="D975" s="186"/>
      <c r="E975" s="186"/>
      <c r="F975" s="187"/>
      <c r="G975" s="187">
        <f t="shared" si="90"/>
        <v>0</v>
      </c>
      <c r="H975" s="188">
        <v>0.05</v>
      </c>
      <c r="I975" s="189">
        <f t="shared" si="91"/>
        <v>0</v>
      </c>
      <c r="J975" s="189">
        <f t="shared" si="92"/>
        <v>0</v>
      </c>
      <c r="K975" s="294"/>
      <c r="L975" s="295"/>
      <c r="M975" s="296">
        <v>0.05</v>
      </c>
      <c r="N975" s="296">
        <f t="shared" si="93"/>
        <v>0</v>
      </c>
      <c r="O975" s="299">
        <f t="shared" si="94"/>
        <v>0</v>
      </c>
      <c r="P975" s="303"/>
    </row>
    <row r="976" spans="2:16" ht="15.75" thickBot="1">
      <c r="B976" s="184"/>
      <c r="C976" s="185"/>
      <c r="D976" s="186"/>
      <c r="E976" s="186"/>
      <c r="F976" s="187"/>
      <c r="G976" s="187">
        <f t="shared" si="90"/>
        <v>0</v>
      </c>
      <c r="H976" s="188">
        <v>0.05</v>
      </c>
      <c r="I976" s="189">
        <f t="shared" si="91"/>
        <v>0</v>
      </c>
      <c r="J976" s="189">
        <f t="shared" si="92"/>
        <v>0</v>
      </c>
      <c r="K976" s="294"/>
      <c r="L976" s="295"/>
      <c r="M976" s="296">
        <v>0.05</v>
      </c>
      <c r="N976" s="296">
        <f t="shared" si="93"/>
        <v>0</v>
      </c>
      <c r="O976" s="299">
        <f t="shared" si="94"/>
        <v>0</v>
      </c>
      <c r="P976" s="303"/>
    </row>
    <row r="977" spans="2:16" ht="15.75" thickBot="1">
      <c r="B977" s="184"/>
      <c r="C977" s="185"/>
      <c r="D977" s="186"/>
      <c r="E977" s="186"/>
      <c r="F977" s="187"/>
      <c r="G977" s="187">
        <f t="shared" si="90"/>
        <v>0</v>
      </c>
      <c r="H977" s="188">
        <v>0.05</v>
      </c>
      <c r="I977" s="189">
        <f t="shared" si="91"/>
        <v>0</v>
      </c>
      <c r="J977" s="189">
        <f t="shared" si="92"/>
        <v>0</v>
      </c>
      <c r="K977" s="294"/>
      <c r="L977" s="295"/>
      <c r="M977" s="296">
        <v>0.05</v>
      </c>
      <c r="N977" s="296">
        <f t="shared" si="93"/>
        <v>0</v>
      </c>
      <c r="O977" s="299">
        <f t="shared" si="94"/>
        <v>0</v>
      </c>
      <c r="P977" s="303"/>
    </row>
    <row r="978" spans="2:16" ht="15.75" thickBot="1">
      <c r="B978" s="184"/>
      <c r="C978" s="185"/>
      <c r="D978" s="186"/>
      <c r="E978" s="186"/>
      <c r="F978" s="187"/>
      <c r="G978" s="187">
        <f t="shared" si="90"/>
        <v>0</v>
      </c>
      <c r="H978" s="188">
        <v>0.05</v>
      </c>
      <c r="I978" s="189">
        <f t="shared" si="91"/>
        <v>0</v>
      </c>
      <c r="J978" s="189">
        <f t="shared" si="92"/>
        <v>0</v>
      </c>
      <c r="K978" s="294"/>
      <c r="L978" s="295"/>
      <c r="M978" s="296">
        <v>0.05</v>
      </c>
      <c r="N978" s="296">
        <f t="shared" si="93"/>
        <v>0</v>
      </c>
      <c r="O978" s="299">
        <f t="shared" si="94"/>
        <v>0</v>
      </c>
      <c r="P978" s="303"/>
    </row>
    <row r="979" spans="2:16" ht="15.75" thickBot="1">
      <c r="B979" s="184"/>
      <c r="C979" s="185"/>
      <c r="D979" s="186"/>
      <c r="E979" s="186"/>
      <c r="F979" s="187"/>
      <c r="G979" s="187">
        <f t="shared" si="90"/>
        <v>0</v>
      </c>
      <c r="H979" s="188">
        <v>0.05</v>
      </c>
      <c r="I979" s="189">
        <f t="shared" si="91"/>
        <v>0</v>
      </c>
      <c r="J979" s="189">
        <f t="shared" si="92"/>
        <v>0</v>
      </c>
      <c r="K979" s="294"/>
      <c r="L979" s="295"/>
      <c r="M979" s="296">
        <v>0.05</v>
      </c>
      <c r="N979" s="296">
        <f t="shared" si="93"/>
        <v>0</v>
      </c>
      <c r="O979" s="299">
        <f t="shared" si="94"/>
        <v>0</v>
      </c>
      <c r="P979" s="303"/>
    </row>
    <row r="980" spans="2:16" ht="15.75" thickBot="1">
      <c r="B980" s="184"/>
      <c r="C980" s="185"/>
      <c r="D980" s="186"/>
      <c r="E980" s="186"/>
      <c r="F980" s="187"/>
      <c r="G980" s="187">
        <f t="shared" si="90"/>
        <v>0</v>
      </c>
      <c r="H980" s="188">
        <v>0.05</v>
      </c>
      <c r="I980" s="189">
        <f t="shared" si="91"/>
        <v>0</v>
      </c>
      <c r="J980" s="189">
        <f t="shared" si="92"/>
        <v>0</v>
      </c>
      <c r="K980" s="294"/>
      <c r="L980" s="295"/>
      <c r="M980" s="296">
        <v>0.05</v>
      </c>
      <c r="N980" s="296">
        <f t="shared" si="93"/>
        <v>0</v>
      </c>
      <c r="O980" s="299">
        <f t="shared" si="94"/>
        <v>0</v>
      </c>
      <c r="P980" s="303"/>
    </row>
    <row r="981" spans="2:16" ht="15.75" thickBot="1">
      <c r="B981" s="184"/>
      <c r="C981" s="185"/>
      <c r="D981" s="186"/>
      <c r="E981" s="186"/>
      <c r="F981" s="187"/>
      <c r="G981" s="187">
        <f t="shared" si="90"/>
        <v>0</v>
      </c>
      <c r="H981" s="188">
        <v>0.05</v>
      </c>
      <c r="I981" s="189">
        <f t="shared" si="91"/>
        <v>0</v>
      </c>
      <c r="J981" s="189">
        <f t="shared" si="92"/>
        <v>0</v>
      </c>
      <c r="K981" s="294"/>
      <c r="L981" s="295"/>
      <c r="M981" s="296">
        <v>0.05</v>
      </c>
      <c r="N981" s="296">
        <f t="shared" si="93"/>
        <v>0</v>
      </c>
      <c r="O981" s="299">
        <f t="shared" si="94"/>
        <v>0</v>
      </c>
      <c r="P981" s="303"/>
    </row>
    <row r="982" spans="2:16" ht="15.75" thickBot="1">
      <c r="B982" s="184"/>
      <c r="C982" s="185"/>
      <c r="D982" s="186"/>
      <c r="E982" s="186"/>
      <c r="F982" s="187"/>
      <c r="G982" s="187">
        <f t="shared" si="90"/>
        <v>0</v>
      </c>
      <c r="H982" s="188">
        <v>0.05</v>
      </c>
      <c r="I982" s="189">
        <f t="shared" si="91"/>
        <v>0</v>
      </c>
      <c r="J982" s="189">
        <f t="shared" si="92"/>
        <v>0</v>
      </c>
      <c r="K982" s="294"/>
      <c r="L982" s="295"/>
      <c r="M982" s="296">
        <v>0.05</v>
      </c>
      <c r="N982" s="296">
        <f t="shared" si="93"/>
        <v>0</v>
      </c>
      <c r="O982" s="299">
        <f t="shared" si="94"/>
        <v>0</v>
      </c>
      <c r="P982" s="303"/>
    </row>
    <row r="983" spans="2:16" ht="15.75" thickBot="1">
      <c r="B983" s="184"/>
      <c r="C983" s="185"/>
      <c r="D983" s="186"/>
      <c r="E983" s="186"/>
      <c r="F983" s="187"/>
      <c r="G983" s="187">
        <f t="shared" si="90"/>
        <v>0</v>
      </c>
      <c r="H983" s="188">
        <v>0.05</v>
      </c>
      <c r="I983" s="189">
        <f t="shared" si="91"/>
        <v>0</v>
      </c>
      <c r="J983" s="189">
        <f t="shared" si="92"/>
        <v>0</v>
      </c>
      <c r="K983" s="294"/>
      <c r="L983" s="295"/>
      <c r="M983" s="296">
        <v>0.05</v>
      </c>
      <c r="N983" s="296">
        <f t="shared" si="93"/>
        <v>0</v>
      </c>
      <c r="O983" s="299">
        <f t="shared" si="94"/>
        <v>0</v>
      </c>
      <c r="P983" s="303"/>
    </row>
    <row r="984" spans="2:16" ht="15.75" thickBot="1">
      <c r="B984" s="184"/>
      <c r="C984" s="185"/>
      <c r="D984" s="186"/>
      <c r="E984" s="186"/>
      <c r="F984" s="187"/>
      <c r="G984" s="187">
        <f t="shared" si="90"/>
        <v>0</v>
      </c>
      <c r="H984" s="188">
        <v>0.05</v>
      </c>
      <c r="I984" s="189">
        <f t="shared" si="91"/>
        <v>0</v>
      </c>
      <c r="J984" s="189">
        <f t="shared" si="92"/>
        <v>0</v>
      </c>
      <c r="K984" s="294"/>
      <c r="L984" s="295"/>
      <c r="M984" s="296">
        <v>0.05</v>
      </c>
      <c r="N984" s="296">
        <f t="shared" si="93"/>
        <v>0</v>
      </c>
      <c r="O984" s="299">
        <f t="shared" si="94"/>
        <v>0</v>
      </c>
      <c r="P984" s="303"/>
    </row>
    <row r="985" spans="2:16" ht="15.75" thickBot="1">
      <c r="B985" s="184"/>
      <c r="C985" s="185"/>
      <c r="D985" s="186"/>
      <c r="E985" s="186"/>
      <c r="F985" s="187"/>
      <c r="G985" s="187">
        <f t="shared" si="90"/>
        <v>0</v>
      </c>
      <c r="H985" s="188">
        <v>0.05</v>
      </c>
      <c r="I985" s="189">
        <f t="shared" si="91"/>
        <v>0</v>
      </c>
      <c r="J985" s="189">
        <f t="shared" si="92"/>
        <v>0</v>
      </c>
      <c r="K985" s="294"/>
      <c r="L985" s="295"/>
      <c r="M985" s="296">
        <v>0.05</v>
      </c>
      <c r="N985" s="296">
        <f t="shared" si="93"/>
        <v>0</v>
      </c>
      <c r="O985" s="299">
        <f t="shared" si="94"/>
        <v>0</v>
      </c>
      <c r="P985" s="303"/>
    </row>
    <row r="986" spans="2:16" ht="15.75" thickBot="1">
      <c r="B986" s="184"/>
      <c r="C986" s="185"/>
      <c r="D986" s="186"/>
      <c r="E986" s="186"/>
      <c r="F986" s="187"/>
      <c r="G986" s="187">
        <f t="shared" si="90"/>
        <v>0</v>
      </c>
      <c r="H986" s="188">
        <v>0.05</v>
      </c>
      <c r="I986" s="189">
        <f t="shared" si="91"/>
        <v>0</v>
      </c>
      <c r="J986" s="189">
        <f t="shared" si="92"/>
        <v>0</v>
      </c>
      <c r="K986" s="294"/>
      <c r="L986" s="295"/>
      <c r="M986" s="296">
        <v>0.05</v>
      </c>
      <c r="N986" s="296">
        <f t="shared" si="93"/>
        <v>0</v>
      </c>
      <c r="O986" s="299">
        <f t="shared" si="94"/>
        <v>0</v>
      </c>
      <c r="P986" s="303"/>
    </row>
    <row r="987" spans="2:16" ht="15.75" thickBot="1">
      <c r="B987" s="184"/>
      <c r="C987" s="185"/>
      <c r="D987" s="186"/>
      <c r="E987" s="186"/>
      <c r="F987" s="187"/>
      <c r="G987" s="187">
        <f t="shared" si="90"/>
        <v>0</v>
      </c>
      <c r="H987" s="188">
        <v>0.05</v>
      </c>
      <c r="I987" s="189">
        <f t="shared" si="91"/>
        <v>0</v>
      </c>
      <c r="J987" s="189">
        <f t="shared" si="92"/>
        <v>0</v>
      </c>
      <c r="K987" s="294"/>
      <c r="L987" s="295"/>
      <c r="M987" s="296">
        <v>0.05</v>
      </c>
      <c r="N987" s="296">
        <f t="shared" si="93"/>
        <v>0</v>
      </c>
      <c r="O987" s="299">
        <f t="shared" si="94"/>
        <v>0</v>
      </c>
      <c r="P987" s="303"/>
    </row>
    <row r="988" spans="2:16" ht="15.75" thickBot="1">
      <c r="B988" s="184"/>
      <c r="C988" s="185"/>
      <c r="D988" s="186"/>
      <c r="E988" s="186"/>
      <c r="F988" s="187"/>
      <c r="G988" s="187">
        <f t="shared" si="90"/>
        <v>0</v>
      </c>
      <c r="H988" s="188">
        <v>0.05</v>
      </c>
      <c r="I988" s="189">
        <f t="shared" si="91"/>
        <v>0</v>
      </c>
      <c r="J988" s="189">
        <f t="shared" si="92"/>
        <v>0</v>
      </c>
      <c r="K988" s="294"/>
      <c r="L988" s="295"/>
      <c r="M988" s="296">
        <v>0.05</v>
      </c>
      <c r="N988" s="296">
        <f t="shared" si="93"/>
        <v>0</v>
      </c>
      <c r="O988" s="299">
        <f t="shared" si="94"/>
        <v>0</v>
      </c>
      <c r="P988" s="303"/>
    </row>
    <row r="989" spans="2:16" ht="15.75" thickBot="1">
      <c r="B989" s="184"/>
      <c r="C989" s="185"/>
      <c r="D989" s="186"/>
      <c r="E989" s="186"/>
      <c r="F989" s="187"/>
      <c r="G989" s="187">
        <f t="shared" si="90"/>
        <v>0</v>
      </c>
      <c r="H989" s="188">
        <v>0.05</v>
      </c>
      <c r="I989" s="189">
        <f t="shared" si="91"/>
        <v>0</v>
      </c>
      <c r="J989" s="189">
        <f t="shared" si="92"/>
        <v>0</v>
      </c>
      <c r="K989" s="294"/>
      <c r="L989" s="295"/>
      <c r="M989" s="296">
        <v>0.05</v>
      </c>
      <c r="N989" s="296">
        <f t="shared" si="93"/>
        <v>0</v>
      </c>
      <c r="O989" s="299">
        <f t="shared" si="94"/>
        <v>0</v>
      </c>
      <c r="P989" s="303"/>
    </row>
    <row r="990" spans="2:16" ht="15.75" thickBot="1">
      <c r="B990" s="184"/>
      <c r="C990" s="185"/>
      <c r="D990" s="186"/>
      <c r="E990" s="186"/>
      <c r="F990" s="187"/>
      <c r="G990" s="187">
        <f t="shared" si="90"/>
        <v>0</v>
      </c>
      <c r="H990" s="188">
        <v>0.05</v>
      </c>
      <c r="I990" s="189">
        <f t="shared" si="91"/>
        <v>0</v>
      </c>
      <c r="J990" s="189">
        <f t="shared" si="92"/>
        <v>0</v>
      </c>
      <c r="K990" s="294"/>
      <c r="L990" s="295"/>
      <c r="M990" s="296">
        <v>0.05</v>
      </c>
      <c r="N990" s="296">
        <f t="shared" si="93"/>
        <v>0</v>
      </c>
      <c r="O990" s="299">
        <f t="shared" si="94"/>
        <v>0</v>
      </c>
      <c r="P990" s="303"/>
    </row>
    <row r="991" spans="2:16" ht="15.75" thickBot="1">
      <c r="B991" s="184"/>
      <c r="C991" s="185"/>
      <c r="D991" s="186"/>
      <c r="E991" s="186"/>
      <c r="F991" s="187"/>
      <c r="G991" s="187">
        <f t="shared" si="90"/>
        <v>0</v>
      </c>
      <c r="H991" s="188">
        <v>0.05</v>
      </c>
      <c r="I991" s="189">
        <f t="shared" si="91"/>
        <v>0</v>
      </c>
      <c r="J991" s="189">
        <f t="shared" si="92"/>
        <v>0</v>
      </c>
      <c r="K991" s="294"/>
      <c r="L991" s="295"/>
      <c r="M991" s="296">
        <v>0.05</v>
      </c>
      <c r="N991" s="296">
        <f t="shared" si="93"/>
        <v>0</v>
      </c>
      <c r="O991" s="299">
        <f t="shared" si="94"/>
        <v>0</v>
      </c>
      <c r="P991" s="303"/>
    </row>
    <row r="992" spans="2:16" ht="15.75" thickBot="1">
      <c r="B992" s="184"/>
      <c r="C992" s="185"/>
      <c r="D992" s="186"/>
      <c r="E992" s="186"/>
      <c r="F992" s="187"/>
      <c r="G992" s="187">
        <f t="shared" si="90"/>
        <v>0</v>
      </c>
      <c r="H992" s="188">
        <v>0.05</v>
      </c>
      <c r="I992" s="189">
        <f t="shared" si="91"/>
        <v>0</v>
      </c>
      <c r="J992" s="189">
        <f t="shared" si="92"/>
        <v>0</v>
      </c>
      <c r="K992" s="294"/>
      <c r="L992" s="295"/>
      <c r="M992" s="296">
        <v>0.05</v>
      </c>
      <c r="N992" s="296">
        <f t="shared" si="93"/>
        <v>0</v>
      </c>
      <c r="O992" s="299">
        <f t="shared" si="94"/>
        <v>0</v>
      </c>
      <c r="P992" s="303"/>
    </row>
    <row r="993" spans="2:16" ht="15.75" thickBot="1">
      <c r="B993" s="184"/>
      <c r="C993" s="185"/>
      <c r="D993" s="186"/>
      <c r="E993" s="186"/>
      <c r="F993" s="187"/>
      <c r="G993" s="187">
        <f t="shared" si="90"/>
        <v>0</v>
      </c>
      <c r="H993" s="188">
        <v>0.05</v>
      </c>
      <c r="I993" s="189">
        <f t="shared" si="91"/>
        <v>0</v>
      </c>
      <c r="J993" s="189">
        <f t="shared" si="92"/>
        <v>0</v>
      </c>
      <c r="K993" s="294"/>
      <c r="L993" s="295"/>
      <c r="M993" s="296">
        <v>0.05</v>
      </c>
      <c r="N993" s="296">
        <f t="shared" si="93"/>
        <v>0</v>
      </c>
      <c r="O993" s="299">
        <f t="shared" si="94"/>
        <v>0</v>
      </c>
      <c r="P993" s="303"/>
    </row>
    <row r="994" spans="2:16" ht="15.75" thickBot="1">
      <c r="B994" s="184"/>
      <c r="C994" s="185"/>
      <c r="D994" s="186"/>
      <c r="E994" s="186"/>
      <c r="F994" s="187"/>
      <c r="G994" s="187">
        <f t="shared" si="90"/>
        <v>0</v>
      </c>
      <c r="H994" s="188">
        <v>0.05</v>
      </c>
      <c r="I994" s="189">
        <f t="shared" si="91"/>
        <v>0</v>
      </c>
      <c r="J994" s="189">
        <f t="shared" si="92"/>
        <v>0</v>
      </c>
      <c r="K994" s="294"/>
      <c r="L994" s="295"/>
      <c r="M994" s="296">
        <v>0.05</v>
      </c>
      <c r="N994" s="296">
        <f t="shared" si="93"/>
        <v>0</v>
      </c>
      <c r="O994" s="299">
        <f t="shared" si="94"/>
        <v>0</v>
      </c>
      <c r="P994" s="303"/>
    </row>
    <row r="995" spans="2:16" ht="15.75" thickBot="1">
      <c r="B995" s="184"/>
      <c r="C995" s="185"/>
      <c r="D995" s="186"/>
      <c r="E995" s="186"/>
      <c r="F995" s="187"/>
      <c r="G995" s="187">
        <f t="shared" si="90"/>
        <v>0</v>
      </c>
      <c r="H995" s="188">
        <v>0.05</v>
      </c>
      <c r="I995" s="189">
        <f t="shared" si="91"/>
        <v>0</v>
      </c>
      <c r="J995" s="189">
        <f t="shared" si="92"/>
        <v>0</v>
      </c>
      <c r="K995" s="294"/>
      <c r="L995" s="295"/>
      <c r="M995" s="296">
        <v>0.05</v>
      </c>
      <c r="N995" s="296">
        <f t="shared" si="93"/>
        <v>0</v>
      </c>
      <c r="O995" s="299">
        <f t="shared" si="94"/>
        <v>0</v>
      </c>
      <c r="P995" s="303"/>
    </row>
    <row r="996" spans="2:16" ht="15.75" thickBot="1">
      <c r="B996" s="184"/>
      <c r="C996" s="185"/>
      <c r="D996" s="186"/>
      <c r="E996" s="186"/>
      <c r="F996" s="187"/>
      <c r="G996" s="187">
        <f t="shared" si="90"/>
        <v>0</v>
      </c>
      <c r="H996" s="188">
        <v>0.05</v>
      </c>
      <c r="I996" s="189">
        <f t="shared" si="91"/>
        <v>0</v>
      </c>
      <c r="J996" s="189">
        <f t="shared" si="92"/>
        <v>0</v>
      </c>
      <c r="K996" s="294"/>
      <c r="L996" s="295"/>
      <c r="M996" s="296">
        <v>0.05</v>
      </c>
      <c r="N996" s="296">
        <f t="shared" si="93"/>
        <v>0</v>
      </c>
      <c r="O996" s="299">
        <f t="shared" si="94"/>
        <v>0</v>
      </c>
      <c r="P996" s="303"/>
    </row>
    <row r="997" spans="2:16" ht="15.75" thickBot="1">
      <c r="B997" s="184"/>
      <c r="C997" s="185"/>
      <c r="D997" s="186"/>
      <c r="E997" s="186"/>
      <c r="F997" s="187"/>
      <c r="G997" s="187">
        <f t="shared" si="90"/>
        <v>0</v>
      </c>
      <c r="H997" s="188">
        <v>0.05</v>
      </c>
      <c r="I997" s="189">
        <f t="shared" si="91"/>
        <v>0</v>
      </c>
      <c r="J997" s="189">
        <f t="shared" si="92"/>
        <v>0</v>
      </c>
      <c r="K997" s="294"/>
      <c r="L997" s="295"/>
      <c r="M997" s="296">
        <v>0.05</v>
      </c>
      <c r="N997" s="296">
        <f t="shared" si="93"/>
        <v>0</v>
      </c>
      <c r="O997" s="299">
        <f t="shared" si="94"/>
        <v>0</v>
      </c>
      <c r="P997" s="303"/>
    </row>
    <row r="998" spans="2:16" ht="15.75" thickBot="1">
      <c r="B998" s="184"/>
      <c r="C998" s="185"/>
      <c r="D998" s="186"/>
      <c r="E998" s="186"/>
      <c r="F998" s="187"/>
      <c r="G998" s="187">
        <f t="shared" ref="G998:G1061" si="95">IF(D998=0,0,(D998+E998)/F998)</f>
        <v>0</v>
      </c>
      <c r="H998" s="188">
        <v>0.05</v>
      </c>
      <c r="I998" s="189">
        <f t="shared" ref="I998:I1061" si="96">+G998*H998</f>
        <v>0</v>
      </c>
      <c r="J998" s="189">
        <f t="shared" ref="J998:J1061" si="97">+G998+I998</f>
        <v>0</v>
      </c>
      <c r="K998" s="294"/>
      <c r="L998" s="295"/>
      <c r="M998" s="296">
        <v>0.05</v>
      </c>
      <c r="N998" s="296">
        <f t="shared" ref="N998:N1061" si="98">IF(H998&lt;M998,H998/M998,0)</f>
        <v>0</v>
      </c>
      <c r="O998" s="299">
        <f t="shared" ref="O998:O1061" si="99">1.5%*N998</f>
        <v>0</v>
      </c>
      <c r="P998" s="303"/>
    </row>
    <row r="999" spans="2:16" ht="15.75" thickBot="1">
      <c r="B999" s="184"/>
      <c r="C999" s="185"/>
      <c r="D999" s="186"/>
      <c r="E999" s="186"/>
      <c r="F999" s="187"/>
      <c r="G999" s="187">
        <f t="shared" si="95"/>
        <v>0</v>
      </c>
      <c r="H999" s="188">
        <v>0.05</v>
      </c>
      <c r="I999" s="189">
        <f t="shared" si="96"/>
        <v>0</v>
      </c>
      <c r="J999" s="189">
        <f t="shared" si="97"/>
        <v>0</v>
      </c>
      <c r="K999" s="294"/>
      <c r="L999" s="295"/>
      <c r="M999" s="296">
        <v>0.05</v>
      </c>
      <c r="N999" s="296">
        <f t="shared" si="98"/>
        <v>0</v>
      </c>
      <c r="O999" s="299">
        <f t="shared" si="99"/>
        <v>0</v>
      </c>
      <c r="P999" s="303"/>
    </row>
    <row r="1000" spans="2:16" ht="15.75" thickBot="1">
      <c r="B1000" s="184"/>
      <c r="C1000" s="185"/>
      <c r="D1000" s="186"/>
      <c r="E1000" s="186"/>
      <c r="F1000" s="187"/>
      <c r="G1000" s="187">
        <f t="shared" si="95"/>
        <v>0</v>
      </c>
      <c r="H1000" s="188">
        <v>0.05</v>
      </c>
      <c r="I1000" s="189">
        <f t="shared" si="96"/>
        <v>0</v>
      </c>
      <c r="J1000" s="189">
        <f t="shared" si="97"/>
        <v>0</v>
      </c>
      <c r="K1000" s="294"/>
      <c r="L1000" s="295"/>
      <c r="M1000" s="296">
        <v>0.05</v>
      </c>
      <c r="N1000" s="296">
        <f t="shared" si="98"/>
        <v>0</v>
      </c>
      <c r="O1000" s="299">
        <f t="shared" si="99"/>
        <v>0</v>
      </c>
      <c r="P1000" s="303"/>
    </row>
    <row r="1001" spans="2:16" ht="15.75" thickBot="1">
      <c r="B1001" s="184"/>
      <c r="C1001" s="185"/>
      <c r="D1001" s="186"/>
      <c r="E1001" s="186"/>
      <c r="F1001" s="187"/>
      <c r="G1001" s="187">
        <f t="shared" si="95"/>
        <v>0</v>
      </c>
      <c r="H1001" s="188">
        <v>0.05</v>
      </c>
      <c r="I1001" s="189">
        <f t="shared" si="96"/>
        <v>0</v>
      </c>
      <c r="J1001" s="189">
        <f t="shared" si="97"/>
        <v>0</v>
      </c>
      <c r="K1001" s="294"/>
      <c r="L1001" s="295"/>
      <c r="M1001" s="296">
        <v>0.05</v>
      </c>
      <c r="N1001" s="296">
        <f t="shared" si="98"/>
        <v>0</v>
      </c>
      <c r="O1001" s="299">
        <f t="shared" si="99"/>
        <v>0</v>
      </c>
      <c r="P1001" s="303"/>
    </row>
    <row r="1002" spans="2:16" ht="15.75" thickBot="1">
      <c r="B1002" s="184"/>
      <c r="C1002" s="185"/>
      <c r="D1002" s="186"/>
      <c r="E1002" s="186"/>
      <c r="F1002" s="187"/>
      <c r="G1002" s="187">
        <f t="shared" si="95"/>
        <v>0</v>
      </c>
      <c r="H1002" s="188">
        <v>0.05</v>
      </c>
      <c r="I1002" s="189">
        <f t="shared" si="96"/>
        <v>0</v>
      </c>
      <c r="J1002" s="189">
        <f t="shared" si="97"/>
        <v>0</v>
      </c>
      <c r="K1002" s="294"/>
      <c r="L1002" s="295"/>
      <c r="M1002" s="296">
        <v>0.05</v>
      </c>
      <c r="N1002" s="296">
        <f t="shared" si="98"/>
        <v>0</v>
      </c>
      <c r="O1002" s="299">
        <f t="shared" si="99"/>
        <v>0</v>
      </c>
      <c r="P1002" s="303"/>
    </row>
    <row r="1003" spans="2:16" ht="15.75" thickBot="1">
      <c r="B1003" s="184"/>
      <c r="C1003" s="185"/>
      <c r="D1003" s="186"/>
      <c r="E1003" s="186"/>
      <c r="F1003" s="187"/>
      <c r="G1003" s="187">
        <f t="shared" si="95"/>
        <v>0</v>
      </c>
      <c r="H1003" s="188">
        <v>0.05</v>
      </c>
      <c r="I1003" s="189">
        <f t="shared" si="96"/>
        <v>0</v>
      </c>
      <c r="J1003" s="189">
        <f t="shared" si="97"/>
        <v>0</v>
      </c>
      <c r="K1003" s="294"/>
      <c r="L1003" s="295"/>
      <c r="M1003" s="296">
        <v>0.05</v>
      </c>
      <c r="N1003" s="296">
        <f t="shared" si="98"/>
        <v>0</v>
      </c>
      <c r="O1003" s="299">
        <f t="shared" si="99"/>
        <v>0</v>
      </c>
      <c r="P1003" s="303"/>
    </row>
    <row r="1004" spans="2:16" ht="15.75" thickBot="1">
      <c r="B1004" s="184"/>
      <c r="C1004" s="185"/>
      <c r="D1004" s="186"/>
      <c r="E1004" s="186"/>
      <c r="F1004" s="187"/>
      <c r="G1004" s="187">
        <f t="shared" si="95"/>
        <v>0</v>
      </c>
      <c r="H1004" s="188">
        <v>0.05</v>
      </c>
      <c r="I1004" s="189">
        <f t="shared" si="96"/>
        <v>0</v>
      </c>
      <c r="J1004" s="189">
        <f t="shared" si="97"/>
        <v>0</v>
      </c>
      <c r="K1004" s="294"/>
      <c r="L1004" s="295"/>
      <c r="M1004" s="296">
        <v>0.05</v>
      </c>
      <c r="N1004" s="296">
        <f t="shared" si="98"/>
        <v>0</v>
      </c>
      <c r="O1004" s="299">
        <f t="shared" si="99"/>
        <v>0</v>
      </c>
      <c r="P1004" s="303"/>
    </row>
    <row r="1005" spans="2:16" ht="15.75" thickBot="1">
      <c r="B1005" s="184"/>
      <c r="C1005" s="185"/>
      <c r="D1005" s="186"/>
      <c r="E1005" s="186"/>
      <c r="F1005" s="187"/>
      <c r="G1005" s="187">
        <f t="shared" si="95"/>
        <v>0</v>
      </c>
      <c r="H1005" s="188">
        <v>0.05</v>
      </c>
      <c r="I1005" s="189">
        <f t="shared" si="96"/>
        <v>0</v>
      </c>
      <c r="J1005" s="189">
        <f t="shared" si="97"/>
        <v>0</v>
      </c>
      <c r="K1005" s="294"/>
      <c r="L1005" s="295"/>
      <c r="M1005" s="296">
        <v>0.05</v>
      </c>
      <c r="N1005" s="296">
        <f t="shared" si="98"/>
        <v>0</v>
      </c>
      <c r="O1005" s="299">
        <f t="shared" si="99"/>
        <v>0</v>
      </c>
      <c r="P1005" s="303"/>
    </row>
    <row r="1006" spans="2:16" ht="15.75" thickBot="1">
      <c r="B1006" s="184"/>
      <c r="C1006" s="185"/>
      <c r="D1006" s="186"/>
      <c r="E1006" s="186"/>
      <c r="F1006" s="187"/>
      <c r="G1006" s="187">
        <f t="shared" si="95"/>
        <v>0</v>
      </c>
      <c r="H1006" s="188">
        <v>0.05</v>
      </c>
      <c r="I1006" s="189">
        <f t="shared" si="96"/>
        <v>0</v>
      </c>
      <c r="J1006" s="189">
        <f t="shared" si="97"/>
        <v>0</v>
      </c>
      <c r="K1006" s="294"/>
      <c r="L1006" s="295"/>
      <c r="M1006" s="296">
        <v>0.05</v>
      </c>
      <c r="N1006" s="296">
        <f t="shared" si="98"/>
        <v>0</v>
      </c>
      <c r="O1006" s="299">
        <f t="shared" si="99"/>
        <v>0</v>
      </c>
      <c r="P1006" s="303"/>
    </row>
    <row r="1007" spans="2:16" ht="15.75" thickBot="1">
      <c r="B1007" s="184"/>
      <c r="C1007" s="185"/>
      <c r="D1007" s="186"/>
      <c r="E1007" s="186"/>
      <c r="F1007" s="187"/>
      <c r="G1007" s="187">
        <f t="shared" si="95"/>
        <v>0</v>
      </c>
      <c r="H1007" s="188">
        <v>0.05</v>
      </c>
      <c r="I1007" s="189">
        <f t="shared" si="96"/>
        <v>0</v>
      </c>
      <c r="J1007" s="189">
        <f t="shared" si="97"/>
        <v>0</v>
      </c>
      <c r="K1007" s="294"/>
      <c r="L1007" s="295"/>
      <c r="M1007" s="296">
        <v>0.05</v>
      </c>
      <c r="N1007" s="296">
        <f t="shared" si="98"/>
        <v>0</v>
      </c>
      <c r="O1007" s="299">
        <f t="shared" si="99"/>
        <v>0</v>
      </c>
      <c r="P1007" s="303"/>
    </row>
    <row r="1008" spans="2:16" ht="15.75" thickBot="1">
      <c r="B1008" s="184"/>
      <c r="C1008" s="185"/>
      <c r="D1008" s="186"/>
      <c r="E1008" s="186"/>
      <c r="F1008" s="187"/>
      <c r="G1008" s="187">
        <f t="shared" si="95"/>
        <v>0</v>
      </c>
      <c r="H1008" s="188">
        <v>0.05</v>
      </c>
      <c r="I1008" s="189">
        <f t="shared" si="96"/>
        <v>0</v>
      </c>
      <c r="J1008" s="189">
        <f t="shared" si="97"/>
        <v>0</v>
      </c>
      <c r="K1008" s="294"/>
      <c r="L1008" s="295"/>
      <c r="M1008" s="296">
        <v>0.05</v>
      </c>
      <c r="N1008" s="296">
        <f t="shared" si="98"/>
        <v>0</v>
      </c>
      <c r="O1008" s="299">
        <f t="shared" si="99"/>
        <v>0</v>
      </c>
      <c r="P1008" s="303"/>
    </row>
    <row r="1009" spans="2:16" ht="15.75" thickBot="1">
      <c r="B1009" s="184"/>
      <c r="C1009" s="185"/>
      <c r="D1009" s="186"/>
      <c r="E1009" s="186"/>
      <c r="F1009" s="187"/>
      <c r="G1009" s="187">
        <f t="shared" si="95"/>
        <v>0</v>
      </c>
      <c r="H1009" s="188">
        <v>0.05</v>
      </c>
      <c r="I1009" s="189">
        <f t="shared" si="96"/>
        <v>0</v>
      </c>
      <c r="J1009" s="189">
        <f t="shared" si="97"/>
        <v>0</v>
      </c>
      <c r="K1009" s="294"/>
      <c r="L1009" s="295"/>
      <c r="M1009" s="296">
        <v>0.05</v>
      </c>
      <c r="N1009" s="296">
        <f t="shared" si="98"/>
        <v>0</v>
      </c>
      <c r="O1009" s="299">
        <f t="shared" si="99"/>
        <v>0</v>
      </c>
      <c r="P1009" s="303"/>
    </row>
    <row r="1010" spans="2:16" ht="15.75" thickBot="1">
      <c r="B1010" s="184"/>
      <c r="C1010" s="185"/>
      <c r="D1010" s="186"/>
      <c r="E1010" s="186"/>
      <c r="F1010" s="187"/>
      <c r="G1010" s="187">
        <f t="shared" si="95"/>
        <v>0</v>
      </c>
      <c r="H1010" s="188">
        <v>0.05</v>
      </c>
      <c r="I1010" s="189">
        <f t="shared" si="96"/>
        <v>0</v>
      </c>
      <c r="J1010" s="189">
        <f t="shared" si="97"/>
        <v>0</v>
      </c>
      <c r="K1010" s="294"/>
      <c r="L1010" s="295"/>
      <c r="M1010" s="296">
        <v>0.05</v>
      </c>
      <c r="N1010" s="296">
        <f t="shared" si="98"/>
        <v>0</v>
      </c>
      <c r="O1010" s="299">
        <f t="shared" si="99"/>
        <v>0</v>
      </c>
      <c r="P1010" s="303"/>
    </row>
    <row r="1011" spans="2:16" ht="15.75" thickBot="1">
      <c r="B1011" s="184"/>
      <c r="C1011" s="185"/>
      <c r="D1011" s="186"/>
      <c r="E1011" s="186"/>
      <c r="F1011" s="187"/>
      <c r="G1011" s="187">
        <f t="shared" si="95"/>
        <v>0</v>
      </c>
      <c r="H1011" s="188">
        <v>0.05</v>
      </c>
      <c r="I1011" s="189">
        <f t="shared" si="96"/>
        <v>0</v>
      </c>
      <c r="J1011" s="189">
        <f t="shared" si="97"/>
        <v>0</v>
      </c>
      <c r="K1011" s="294"/>
      <c r="L1011" s="295"/>
      <c r="M1011" s="296">
        <v>0.05</v>
      </c>
      <c r="N1011" s="296">
        <f t="shared" si="98"/>
        <v>0</v>
      </c>
      <c r="O1011" s="299">
        <f t="shared" si="99"/>
        <v>0</v>
      </c>
      <c r="P1011" s="303"/>
    </row>
    <row r="1012" spans="2:16" ht="15.75" thickBot="1">
      <c r="B1012" s="184"/>
      <c r="C1012" s="185"/>
      <c r="D1012" s="186"/>
      <c r="E1012" s="186"/>
      <c r="F1012" s="187"/>
      <c r="G1012" s="187">
        <f t="shared" si="95"/>
        <v>0</v>
      </c>
      <c r="H1012" s="188">
        <v>0.05</v>
      </c>
      <c r="I1012" s="189">
        <f t="shared" si="96"/>
        <v>0</v>
      </c>
      <c r="J1012" s="189">
        <f t="shared" si="97"/>
        <v>0</v>
      </c>
      <c r="K1012" s="294"/>
      <c r="L1012" s="295"/>
      <c r="M1012" s="296">
        <v>0.05</v>
      </c>
      <c r="N1012" s="296">
        <f t="shared" si="98"/>
        <v>0</v>
      </c>
      <c r="O1012" s="299">
        <f t="shared" si="99"/>
        <v>0</v>
      </c>
      <c r="P1012" s="303"/>
    </row>
    <row r="1013" spans="2:16" ht="15.75" thickBot="1">
      <c r="B1013" s="184"/>
      <c r="C1013" s="185"/>
      <c r="D1013" s="186"/>
      <c r="E1013" s="186"/>
      <c r="F1013" s="187"/>
      <c r="G1013" s="187">
        <f t="shared" si="95"/>
        <v>0</v>
      </c>
      <c r="H1013" s="188">
        <v>0.05</v>
      </c>
      <c r="I1013" s="189">
        <f t="shared" si="96"/>
        <v>0</v>
      </c>
      <c r="J1013" s="189">
        <f t="shared" si="97"/>
        <v>0</v>
      </c>
      <c r="K1013" s="294"/>
      <c r="L1013" s="295"/>
      <c r="M1013" s="296">
        <v>0.05</v>
      </c>
      <c r="N1013" s="296">
        <f t="shared" si="98"/>
        <v>0</v>
      </c>
      <c r="O1013" s="299">
        <f t="shared" si="99"/>
        <v>0</v>
      </c>
      <c r="P1013" s="303"/>
    </row>
    <row r="1014" spans="2:16" ht="15.75" thickBot="1">
      <c r="B1014" s="184"/>
      <c r="C1014" s="185"/>
      <c r="D1014" s="186"/>
      <c r="E1014" s="186"/>
      <c r="F1014" s="187"/>
      <c r="G1014" s="187">
        <f t="shared" si="95"/>
        <v>0</v>
      </c>
      <c r="H1014" s="188">
        <v>0.05</v>
      </c>
      <c r="I1014" s="189">
        <f t="shared" si="96"/>
        <v>0</v>
      </c>
      <c r="J1014" s="189">
        <f t="shared" si="97"/>
        <v>0</v>
      </c>
      <c r="K1014" s="294"/>
      <c r="L1014" s="295"/>
      <c r="M1014" s="296">
        <v>0.05</v>
      </c>
      <c r="N1014" s="296">
        <f t="shared" si="98"/>
        <v>0</v>
      </c>
      <c r="O1014" s="299">
        <f t="shared" si="99"/>
        <v>0</v>
      </c>
      <c r="P1014" s="303"/>
    </row>
    <row r="1015" spans="2:16" ht="15.75" thickBot="1">
      <c r="B1015" s="184"/>
      <c r="C1015" s="185"/>
      <c r="D1015" s="186"/>
      <c r="E1015" s="186"/>
      <c r="F1015" s="187"/>
      <c r="G1015" s="187">
        <f t="shared" si="95"/>
        <v>0</v>
      </c>
      <c r="H1015" s="188">
        <v>0.05</v>
      </c>
      <c r="I1015" s="189">
        <f t="shared" si="96"/>
        <v>0</v>
      </c>
      <c r="J1015" s="189">
        <f t="shared" si="97"/>
        <v>0</v>
      </c>
      <c r="K1015" s="294"/>
      <c r="L1015" s="295"/>
      <c r="M1015" s="296">
        <v>0.05</v>
      </c>
      <c r="N1015" s="296">
        <f t="shared" si="98"/>
        <v>0</v>
      </c>
      <c r="O1015" s="299">
        <f t="shared" si="99"/>
        <v>0</v>
      </c>
      <c r="P1015" s="303"/>
    </row>
    <row r="1016" spans="2:16" ht="15.75" thickBot="1">
      <c r="B1016" s="184"/>
      <c r="C1016" s="185"/>
      <c r="D1016" s="186"/>
      <c r="E1016" s="186"/>
      <c r="F1016" s="187"/>
      <c r="G1016" s="187">
        <f t="shared" si="95"/>
        <v>0</v>
      </c>
      <c r="H1016" s="188">
        <v>0.05</v>
      </c>
      <c r="I1016" s="189">
        <f t="shared" si="96"/>
        <v>0</v>
      </c>
      <c r="J1016" s="189">
        <f t="shared" si="97"/>
        <v>0</v>
      </c>
      <c r="K1016" s="294"/>
      <c r="L1016" s="295"/>
      <c r="M1016" s="296">
        <v>0.05</v>
      </c>
      <c r="N1016" s="296">
        <f t="shared" si="98"/>
        <v>0</v>
      </c>
      <c r="O1016" s="299">
        <f t="shared" si="99"/>
        <v>0</v>
      </c>
      <c r="P1016" s="303"/>
    </row>
    <row r="1017" spans="2:16" ht="15.75" thickBot="1">
      <c r="B1017" s="184"/>
      <c r="C1017" s="185"/>
      <c r="D1017" s="186"/>
      <c r="E1017" s="186"/>
      <c r="F1017" s="187"/>
      <c r="G1017" s="187">
        <f t="shared" si="95"/>
        <v>0</v>
      </c>
      <c r="H1017" s="188">
        <v>0.05</v>
      </c>
      <c r="I1017" s="189">
        <f t="shared" si="96"/>
        <v>0</v>
      </c>
      <c r="J1017" s="189">
        <f t="shared" si="97"/>
        <v>0</v>
      </c>
      <c r="K1017" s="294"/>
      <c r="L1017" s="295"/>
      <c r="M1017" s="296">
        <v>0.05</v>
      </c>
      <c r="N1017" s="296">
        <f t="shared" si="98"/>
        <v>0</v>
      </c>
      <c r="O1017" s="299">
        <f t="shared" si="99"/>
        <v>0</v>
      </c>
      <c r="P1017" s="303"/>
    </row>
    <row r="1018" spans="2:16" ht="15.75" thickBot="1">
      <c r="B1018" s="184"/>
      <c r="C1018" s="185"/>
      <c r="D1018" s="186"/>
      <c r="E1018" s="186"/>
      <c r="F1018" s="187"/>
      <c r="G1018" s="187">
        <f t="shared" si="95"/>
        <v>0</v>
      </c>
      <c r="H1018" s="188">
        <v>0.05</v>
      </c>
      <c r="I1018" s="189">
        <f t="shared" si="96"/>
        <v>0</v>
      </c>
      <c r="J1018" s="189">
        <f t="shared" si="97"/>
        <v>0</v>
      </c>
      <c r="K1018" s="294"/>
      <c r="L1018" s="295"/>
      <c r="M1018" s="296">
        <v>0.05</v>
      </c>
      <c r="N1018" s="296">
        <f t="shared" si="98"/>
        <v>0</v>
      </c>
      <c r="O1018" s="299">
        <f t="shared" si="99"/>
        <v>0</v>
      </c>
      <c r="P1018" s="303"/>
    </row>
    <row r="1019" spans="2:16" ht="15.75" thickBot="1">
      <c r="B1019" s="184"/>
      <c r="C1019" s="185"/>
      <c r="D1019" s="186"/>
      <c r="E1019" s="186"/>
      <c r="F1019" s="187"/>
      <c r="G1019" s="187">
        <f t="shared" si="95"/>
        <v>0</v>
      </c>
      <c r="H1019" s="188">
        <v>0.05</v>
      </c>
      <c r="I1019" s="189">
        <f t="shared" si="96"/>
        <v>0</v>
      </c>
      <c r="J1019" s="189">
        <f t="shared" si="97"/>
        <v>0</v>
      </c>
      <c r="K1019" s="294"/>
      <c r="L1019" s="295"/>
      <c r="M1019" s="296">
        <v>0.05</v>
      </c>
      <c r="N1019" s="296">
        <f t="shared" si="98"/>
        <v>0</v>
      </c>
      <c r="O1019" s="299">
        <f t="shared" si="99"/>
        <v>0</v>
      </c>
      <c r="P1019" s="303"/>
    </row>
    <row r="1020" spans="2:16" ht="15.75" thickBot="1">
      <c r="B1020" s="184"/>
      <c r="C1020" s="185"/>
      <c r="D1020" s="186"/>
      <c r="E1020" s="186"/>
      <c r="F1020" s="187"/>
      <c r="G1020" s="187">
        <f t="shared" si="95"/>
        <v>0</v>
      </c>
      <c r="H1020" s="188">
        <v>0.05</v>
      </c>
      <c r="I1020" s="189">
        <f t="shared" si="96"/>
        <v>0</v>
      </c>
      <c r="J1020" s="189">
        <f t="shared" si="97"/>
        <v>0</v>
      </c>
      <c r="K1020" s="294"/>
      <c r="L1020" s="295"/>
      <c r="M1020" s="296">
        <v>0.05</v>
      </c>
      <c r="N1020" s="296">
        <f t="shared" si="98"/>
        <v>0</v>
      </c>
      <c r="O1020" s="299">
        <f t="shared" si="99"/>
        <v>0</v>
      </c>
      <c r="P1020" s="303"/>
    </row>
    <row r="1021" spans="2:16" ht="15.75" thickBot="1">
      <c r="B1021" s="184"/>
      <c r="C1021" s="185"/>
      <c r="D1021" s="186"/>
      <c r="E1021" s="186"/>
      <c r="F1021" s="187"/>
      <c r="G1021" s="187">
        <f t="shared" si="95"/>
        <v>0</v>
      </c>
      <c r="H1021" s="188">
        <v>0.05</v>
      </c>
      <c r="I1021" s="189">
        <f t="shared" si="96"/>
        <v>0</v>
      </c>
      <c r="J1021" s="189">
        <f t="shared" si="97"/>
        <v>0</v>
      </c>
      <c r="K1021" s="294"/>
      <c r="L1021" s="295"/>
      <c r="M1021" s="296">
        <v>0.05</v>
      </c>
      <c r="N1021" s="296">
        <f t="shared" si="98"/>
        <v>0</v>
      </c>
      <c r="O1021" s="299">
        <f t="shared" si="99"/>
        <v>0</v>
      </c>
      <c r="P1021" s="303"/>
    </row>
    <row r="1022" spans="2:16" ht="15.75" thickBot="1">
      <c r="B1022" s="184"/>
      <c r="C1022" s="185"/>
      <c r="D1022" s="186"/>
      <c r="E1022" s="186"/>
      <c r="F1022" s="187"/>
      <c r="G1022" s="187">
        <f t="shared" si="95"/>
        <v>0</v>
      </c>
      <c r="H1022" s="188">
        <v>0.05</v>
      </c>
      <c r="I1022" s="189">
        <f t="shared" si="96"/>
        <v>0</v>
      </c>
      <c r="J1022" s="189">
        <f t="shared" si="97"/>
        <v>0</v>
      </c>
      <c r="K1022" s="294"/>
      <c r="L1022" s="295"/>
      <c r="M1022" s="296">
        <v>0.05</v>
      </c>
      <c r="N1022" s="296">
        <f t="shared" si="98"/>
        <v>0</v>
      </c>
      <c r="O1022" s="299">
        <f t="shared" si="99"/>
        <v>0</v>
      </c>
      <c r="P1022" s="303"/>
    </row>
    <row r="1023" spans="2:16" ht="15.75" thickBot="1">
      <c r="B1023" s="184"/>
      <c r="C1023" s="185"/>
      <c r="D1023" s="186"/>
      <c r="E1023" s="186"/>
      <c r="F1023" s="187"/>
      <c r="G1023" s="187">
        <f t="shared" si="95"/>
        <v>0</v>
      </c>
      <c r="H1023" s="188">
        <v>0.05</v>
      </c>
      <c r="I1023" s="189">
        <f t="shared" si="96"/>
        <v>0</v>
      </c>
      <c r="J1023" s="189">
        <f t="shared" si="97"/>
        <v>0</v>
      </c>
      <c r="K1023" s="294"/>
      <c r="L1023" s="295"/>
      <c r="M1023" s="296">
        <v>0.05</v>
      </c>
      <c r="N1023" s="296">
        <f t="shared" si="98"/>
        <v>0</v>
      </c>
      <c r="O1023" s="299">
        <f t="shared" si="99"/>
        <v>0</v>
      </c>
      <c r="P1023" s="303"/>
    </row>
    <row r="1024" spans="2:16" ht="15.75" thickBot="1">
      <c r="B1024" s="184"/>
      <c r="C1024" s="185"/>
      <c r="D1024" s="186"/>
      <c r="E1024" s="186"/>
      <c r="F1024" s="187"/>
      <c r="G1024" s="187">
        <f t="shared" si="95"/>
        <v>0</v>
      </c>
      <c r="H1024" s="188">
        <v>0.05</v>
      </c>
      <c r="I1024" s="189">
        <f t="shared" si="96"/>
        <v>0</v>
      </c>
      <c r="J1024" s="189">
        <f t="shared" si="97"/>
        <v>0</v>
      </c>
      <c r="K1024" s="294"/>
      <c r="L1024" s="295"/>
      <c r="M1024" s="296">
        <v>0.05</v>
      </c>
      <c r="N1024" s="296">
        <f t="shared" si="98"/>
        <v>0</v>
      </c>
      <c r="O1024" s="299">
        <f t="shared" si="99"/>
        <v>0</v>
      </c>
      <c r="P1024" s="303"/>
    </row>
    <row r="1025" spans="2:16" ht="15.75" thickBot="1">
      <c r="B1025" s="184"/>
      <c r="C1025" s="185"/>
      <c r="D1025" s="186"/>
      <c r="E1025" s="186"/>
      <c r="F1025" s="187"/>
      <c r="G1025" s="187">
        <f t="shared" si="95"/>
        <v>0</v>
      </c>
      <c r="H1025" s="188">
        <v>0.05</v>
      </c>
      <c r="I1025" s="189">
        <f t="shared" si="96"/>
        <v>0</v>
      </c>
      <c r="J1025" s="189">
        <f t="shared" si="97"/>
        <v>0</v>
      </c>
      <c r="K1025" s="294"/>
      <c r="L1025" s="295"/>
      <c r="M1025" s="296">
        <v>0.05</v>
      </c>
      <c r="N1025" s="296">
        <f t="shared" si="98"/>
        <v>0</v>
      </c>
      <c r="O1025" s="299">
        <f t="shared" si="99"/>
        <v>0</v>
      </c>
      <c r="P1025" s="303"/>
    </row>
    <row r="1026" spans="2:16" ht="15.75" thickBot="1">
      <c r="B1026" s="184"/>
      <c r="C1026" s="185"/>
      <c r="D1026" s="186"/>
      <c r="E1026" s="186"/>
      <c r="F1026" s="187"/>
      <c r="G1026" s="187">
        <f t="shared" si="95"/>
        <v>0</v>
      </c>
      <c r="H1026" s="188">
        <v>0.05</v>
      </c>
      <c r="I1026" s="189">
        <f t="shared" si="96"/>
        <v>0</v>
      </c>
      <c r="J1026" s="189">
        <f t="shared" si="97"/>
        <v>0</v>
      </c>
      <c r="K1026" s="294"/>
      <c r="L1026" s="295"/>
      <c r="M1026" s="296">
        <v>0.05</v>
      </c>
      <c r="N1026" s="296">
        <f t="shared" si="98"/>
        <v>0</v>
      </c>
      <c r="O1026" s="299">
        <f t="shared" si="99"/>
        <v>0</v>
      </c>
      <c r="P1026" s="303"/>
    </row>
    <row r="1027" spans="2:16" ht="15.75" thickBot="1">
      <c r="B1027" s="184"/>
      <c r="C1027" s="185"/>
      <c r="D1027" s="186"/>
      <c r="E1027" s="186"/>
      <c r="F1027" s="187"/>
      <c r="G1027" s="187">
        <f t="shared" si="95"/>
        <v>0</v>
      </c>
      <c r="H1027" s="188">
        <v>0.05</v>
      </c>
      <c r="I1027" s="189">
        <f t="shared" si="96"/>
        <v>0</v>
      </c>
      <c r="J1027" s="189">
        <f t="shared" si="97"/>
        <v>0</v>
      </c>
      <c r="K1027" s="294"/>
      <c r="L1027" s="295"/>
      <c r="M1027" s="296">
        <v>0.05</v>
      </c>
      <c r="N1027" s="296">
        <f t="shared" si="98"/>
        <v>0</v>
      </c>
      <c r="O1027" s="299">
        <f t="shared" si="99"/>
        <v>0</v>
      </c>
      <c r="P1027" s="303"/>
    </row>
    <row r="1028" spans="2:16" ht="15.75" thickBot="1">
      <c r="B1028" s="184"/>
      <c r="C1028" s="185"/>
      <c r="D1028" s="186"/>
      <c r="E1028" s="186"/>
      <c r="F1028" s="187"/>
      <c r="G1028" s="187">
        <f t="shared" si="95"/>
        <v>0</v>
      </c>
      <c r="H1028" s="188">
        <v>0.05</v>
      </c>
      <c r="I1028" s="189">
        <f t="shared" si="96"/>
        <v>0</v>
      </c>
      <c r="J1028" s="189">
        <f t="shared" si="97"/>
        <v>0</v>
      </c>
      <c r="K1028" s="294"/>
      <c r="L1028" s="295"/>
      <c r="M1028" s="296">
        <v>0.05</v>
      </c>
      <c r="N1028" s="296">
        <f t="shared" si="98"/>
        <v>0</v>
      </c>
      <c r="O1028" s="299">
        <f t="shared" si="99"/>
        <v>0</v>
      </c>
      <c r="P1028" s="303"/>
    </row>
    <row r="1029" spans="2:16" ht="15.75" thickBot="1">
      <c r="B1029" s="184"/>
      <c r="C1029" s="185"/>
      <c r="D1029" s="186"/>
      <c r="E1029" s="186"/>
      <c r="F1029" s="187"/>
      <c r="G1029" s="187">
        <f t="shared" si="95"/>
        <v>0</v>
      </c>
      <c r="H1029" s="188">
        <v>0.05</v>
      </c>
      <c r="I1029" s="189">
        <f t="shared" si="96"/>
        <v>0</v>
      </c>
      <c r="J1029" s="189">
        <f t="shared" si="97"/>
        <v>0</v>
      </c>
      <c r="K1029" s="294"/>
      <c r="L1029" s="295"/>
      <c r="M1029" s="296">
        <v>0.05</v>
      </c>
      <c r="N1029" s="296">
        <f t="shared" si="98"/>
        <v>0</v>
      </c>
      <c r="O1029" s="299">
        <f t="shared" si="99"/>
        <v>0</v>
      </c>
      <c r="P1029" s="303"/>
    </row>
    <row r="1030" spans="2:16" ht="15.75" thickBot="1">
      <c r="B1030" s="184"/>
      <c r="C1030" s="185"/>
      <c r="D1030" s="186"/>
      <c r="E1030" s="186"/>
      <c r="F1030" s="187"/>
      <c r="G1030" s="187">
        <f t="shared" si="95"/>
        <v>0</v>
      </c>
      <c r="H1030" s="188">
        <v>0.05</v>
      </c>
      <c r="I1030" s="189">
        <f t="shared" si="96"/>
        <v>0</v>
      </c>
      <c r="J1030" s="189">
        <f t="shared" si="97"/>
        <v>0</v>
      </c>
      <c r="K1030" s="294"/>
      <c r="L1030" s="295"/>
      <c r="M1030" s="296">
        <v>0.05</v>
      </c>
      <c r="N1030" s="296">
        <f t="shared" si="98"/>
        <v>0</v>
      </c>
      <c r="O1030" s="299">
        <f t="shared" si="99"/>
        <v>0</v>
      </c>
      <c r="P1030" s="303"/>
    </row>
    <row r="1031" spans="2:16" ht="15.75" thickBot="1">
      <c r="B1031" s="184"/>
      <c r="C1031" s="185"/>
      <c r="D1031" s="186"/>
      <c r="E1031" s="186"/>
      <c r="F1031" s="187"/>
      <c r="G1031" s="187">
        <f t="shared" si="95"/>
        <v>0</v>
      </c>
      <c r="H1031" s="188">
        <v>0.05</v>
      </c>
      <c r="I1031" s="189">
        <f t="shared" si="96"/>
        <v>0</v>
      </c>
      <c r="J1031" s="189">
        <f t="shared" si="97"/>
        <v>0</v>
      </c>
      <c r="K1031" s="294"/>
      <c r="L1031" s="295"/>
      <c r="M1031" s="296">
        <v>0.05</v>
      </c>
      <c r="N1031" s="296">
        <f t="shared" si="98"/>
        <v>0</v>
      </c>
      <c r="O1031" s="299">
        <f t="shared" si="99"/>
        <v>0</v>
      </c>
      <c r="P1031" s="303"/>
    </row>
    <row r="1032" spans="2:16" ht="15.75" thickBot="1">
      <c r="B1032" s="184"/>
      <c r="C1032" s="185"/>
      <c r="D1032" s="186"/>
      <c r="E1032" s="186"/>
      <c r="F1032" s="187"/>
      <c r="G1032" s="187">
        <f t="shared" si="95"/>
        <v>0</v>
      </c>
      <c r="H1032" s="188">
        <v>0.05</v>
      </c>
      <c r="I1032" s="189">
        <f t="shared" si="96"/>
        <v>0</v>
      </c>
      <c r="J1032" s="189">
        <f t="shared" si="97"/>
        <v>0</v>
      </c>
      <c r="K1032" s="294"/>
      <c r="L1032" s="295"/>
      <c r="M1032" s="296">
        <v>0.05</v>
      </c>
      <c r="N1032" s="296">
        <f t="shared" si="98"/>
        <v>0</v>
      </c>
      <c r="O1032" s="299">
        <f t="shared" si="99"/>
        <v>0</v>
      </c>
      <c r="P1032" s="303"/>
    </row>
    <row r="1033" spans="2:16" ht="15.75" thickBot="1">
      <c r="B1033" s="184"/>
      <c r="C1033" s="185"/>
      <c r="D1033" s="186"/>
      <c r="E1033" s="186"/>
      <c r="F1033" s="187"/>
      <c r="G1033" s="187">
        <f t="shared" si="95"/>
        <v>0</v>
      </c>
      <c r="H1033" s="188">
        <v>0.05</v>
      </c>
      <c r="I1033" s="189">
        <f t="shared" si="96"/>
        <v>0</v>
      </c>
      <c r="J1033" s="189">
        <f t="shared" si="97"/>
        <v>0</v>
      </c>
      <c r="K1033" s="294"/>
      <c r="L1033" s="295"/>
      <c r="M1033" s="296">
        <v>0.05</v>
      </c>
      <c r="N1033" s="296">
        <f t="shared" si="98"/>
        <v>0</v>
      </c>
      <c r="O1033" s="299">
        <f t="shared" si="99"/>
        <v>0</v>
      </c>
      <c r="P1033" s="303"/>
    </row>
    <row r="1034" spans="2:16" ht="15.75" thickBot="1">
      <c r="B1034" s="184"/>
      <c r="C1034" s="185"/>
      <c r="D1034" s="186"/>
      <c r="E1034" s="186"/>
      <c r="F1034" s="187"/>
      <c r="G1034" s="187">
        <f t="shared" si="95"/>
        <v>0</v>
      </c>
      <c r="H1034" s="188">
        <v>0.05</v>
      </c>
      <c r="I1034" s="189">
        <f t="shared" si="96"/>
        <v>0</v>
      </c>
      <c r="J1034" s="189">
        <f t="shared" si="97"/>
        <v>0</v>
      </c>
      <c r="K1034" s="294"/>
      <c r="L1034" s="295"/>
      <c r="M1034" s="296">
        <v>0.05</v>
      </c>
      <c r="N1034" s="296">
        <f t="shared" si="98"/>
        <v>0</v>
      </c>
      <c r="O1034" s="299">
        <f t="shared" si="99"/>
        <v>0</v>
      </c>
      <c r="P1034" s="303"/>
    </row>
    <row r="1035" spans="2:16" ht="15.75" thickBot="1">
      <c r="B1035" s="184"/>
      <c r="C1035" s="185"/>
      <c r="D1035" s="186"/>
      <c r="E1035" s="186"/>
      <c r="F1035" s="187"/>
      <c r="G1035" s="187">
        <f t="shared" si="95"/>
        <v>0</v>
      </c>
      <c r="H1035" s="188">
        <v>0.05</v>
      </c>
      <c r="I1035" s="189">
        <f t="shared" si="96"/>
        <v>0</v>
      </c>
      <c r="J1035" s="189">
        <f t="shared" si="97"/>
        <v>0</v>
      </c>
      <c r="K1035" s="294"/>
      <c r="L1035" s="295"/>
      <c r="M1035" s="296">
        <v>0.05</v>
      </c>
      <c r="N1035" s="296">
        <f t="shared" si="98"/>
        <v>0</v>
      </c>
      <c r="O1035" s="299">
        <f t="shared" si="99"/>
        <v>0</v>
      </c>
      <c r="P1035" s="303"/>
    </row>
    <row r="1036" spans="2:16" ht="15.75" thickBot="1">
      <c r="B1036" s="184"/>
      <c r="C1036" s="185"/>
      <c r="D1036" s="186"/>
      <c r="E1036" s="186"/>
      <c r="F1036" s="187"/>
      <c r="G1036" s="187">
        <f t="shared" si="95"/>
        <v>0</v>
      </c>
      <c r="H1036" s="188">
        <v>0.05</v>
      </c>
      <c r="I1036" s="189">
        <f t="shared" si="96"/>
        <v>0</v>
      </c>
      <c r="J1036" s="189">
        <f t="shared" si="97"/>
        <v>0</v>
      </c>
      <c r="K1036" s="294"/>
      <c r="L1036" s="295"/>
      <c r="M1036" s="296">
        <v>0.05</v>
      </c>
      <c r="N1036" s="296">
        <f t="shared" si="98"/>
        <v>0</v>
      </c>
      <c r="O1036" s="299">
        <f t="shared" si="99"/>
        <v>0</v>
      </c>
      <c r="P1036" s="303"/>
    </row>
    <row r="1037" spans="2:16" ht="15.75" thickBot="1">
      <c r="B1037" s="184"/>
      <c r="C1037" s="185"/>
      <c r="D1037" s="186"/>
      <c r="E1037" s="186"/>
      <c r="F1037" s="187"/>
      <c r="G1037" s="187">
        <f t="shared" si="95"/>
        <v>0</v>
      </c>
      <c r="H1037" s="188">
        <v>0.05</v>
      </c>
      <c r="I1037" s="189">
        <f t="shared" si="96"/>
        <v>0</v>
      </c>
      <c r="J1037" s="189">
        <f t="shared" si="97"/>
        <v>0</v>
      </c>
      <c r="K1037" s="294"/>
      <c r="L1037" s="295"/>
      <c r="M1037" s="296">
        <v>0.05</v>
      </c>
      <c r="N1037" s="296">
        <f t="shared" si="98"/>
        <v>0</v>
      </c>
      <c r="O1037" s="299">
        <f t="shared" si="99"/>
        <v>0</v>
      </c>
      <c r="P1037" s="303"/>
    </row>
    <row r="1038" spans="2:16" ht="15.75" thickBot="1">
      <c r="B1038" s="184"/>
      <c r="C1038" s="185"/>
      <c r="D1038" s="186"/>
      <c r="E1038" s="186"/>
      <c r="F1038" s="187"/>
      <c r="G1038" s="187">
        <f t="shared" si="95"/>
        <v>0</v>
      </c>
      <c r="H1038" s="188">
        <v>0.05</v>
      </c>
      <c r="I1038" s="189">
        <f t="shared" si="96"/>
        <v>0</v>
      </c>
      <c r="J1038" s="189">
        <f t="shared" si="97"/>
        <v>0</v>
      </c>
      <c r="K1038" s="294"/>
      <c r="L1038" s="295"/>
      <c r="M1038" s="296">
        <v>0.05</v>
      </c>
      <c r="N1038" s="296">
        <f t="shared" si="98"/>
        <v>0</v>
      </c>
      <c r="O1038" s="299">
        <f t="shared" si="99"/>
        <v>0</v>
      </c>
      <c r="P1038" s="303"/>
    </row>
    <row r="1039" spans="2:16" ht="15.75" thickBot="1">
      <c r="B1039" s="184"/>
      <c r="C1039" s="185"/>
      <c r="D1039" s="186"/>
      <c r="E1039" s="186"/>
      <c r="F1039" s="187"/>
      <c r="G1039" s="187">
        <f t="shared" si="95"/>
        <v>0</v>
      </c>
      <c r="H1039" s="188">
        <v>0.05</v>
      </c>
      <c r="I1039" s="189">
        <f t="shared" si="96"/>
        <v>0</v>
      </c>
      <c r="J1039" s="189">
        <f t="shared" si="97"/>
        <v>0</v>
      </c>
      <c r="K1039" s="294"/>
      <c r="L1039" s="295"/>
      <c r="M1039" s="296">
        <v>0.05</v>
      </c>
      <c r="N1039" s="296">
        <f t="shared" si="98"/>
        <v>0</v>
      </c>
      <c r="O1039" s="299">
        <f t="shared" si="99"/>
        <v>0</v>
      </c>
      <c r="P1039" s="303"/>
    </row>
    <row r="1040" spans="2:16" ht="15.75" thickBot="1">
      <c r="B1040" s="184"/>
      <c r="C1040" s="185"/>
      <c r="D1040" s="186"/>
      <c r="E1040" s="186"/>
      <c r="F1040" s="187"/>
      <c r="G1040" s="187">
        <f t="shared" si="95"/>
        <v>0</v>
      </c>
      <c r="H1040" s="188">
        <v>0.05</v>
      </c>
      <c r="I1040" s="189">
        <f t="shared" si="96"/>
        <v>0</v>
      </c>
      <c r="J1040" s="189">
        <f t="shared" si="97"/>
        <v>0</v>
      </c>
      <c r="K1040" s="294"/>
      <c r="L1040" s="295"/>
      <c r="M1040" s="296">
        <v>0.05</v>
      </c>
      <c r="N1040" s="296">
        <f t="shared" si="98"/>
        <v>0</v>
      </c>
      <c r="O1040" s="299">
        <f t="shared" si="99"/>
        <v>0</v>
      </c>
      <c r="P1040" s="303"/>
    </row>
    <row r="1041" spans="2:16" ht="15.75" thickBot="1">
      <c r="B1041" s="184"/>
      <c r="C1041" s="185"/>
      <c r="D1041" s="186"/>
      <c r="E1041" s="186"/>
      <c r="F1041" s="187"/>
      <c r="G1041" s="187">
        <f t="shared" si="95"/>
        <v>0</v>
      </c>
      <c r="H1041" s="188">
        <v>0.05</v>
      </c>
      <c r="I1041" s="189">
        <f t="shared" si="96"/>
        <v>0</v>
      </c>
      <c r="J1041" s="189">
        <f t="shared" si="97"/>
        <v>0</v>
      </c>
      <c r="K1041" s="294"/>
      <c r="L1041" s="295"/>
      <c r="M1041" s="296">
        <v>0.05</v>
      </c>
      <c r="N1041" s="296">
        <f t="shared" si="98"/>
        <v>0</v>
      </c>
      <c r="O1041" s="299">
        <f t="shared" si="99"/>
        <v>0</v>
      </c>
      <c r="P1041" s="303"/>
    </row>
    <row r="1042" spans="2:16" ht="15.75" thickBot="1">
      <c r="B1042" s="184"/>
      <c r="C1042" s="185"/>
      <c r="D1042" s="186"/>
      <c r="E1042" s="186"/>
      <c r="F1042" s="187"/>
      <c r="G1042" s="187">
        <f t="shared" si="95"/>
        <v>0</v>
      </c>
      <c r="H1042" s="188">
        <v>0.05</v>
      </c>
      <c r="I1042" s="189">
        <f t="shared" si="96"/>
        <v>0</v>
      </c>
      <c r="J1042" s="189">
        <f t="shared" si="97"/>
        <v>0</v>
      </c>
      <c r="K1042" s="294"/>
      <c r="L1042" s="295"/>
      <c r="M1042" s="296">
        <v>0.05</v>
      </c>
      <c r="N1042" s="296">
        <f t="shared" si="98"/>
        <v>0</v>
      </c>
      <c r="O1042" s="299">
        <f t="shared" si="99"/>
        <v>0</v>
      </c>
      <c r="P1042" s="303"/>
    </row>
    <row r="1043" spans="2:16" ht="15.75" thickBot="1">
      <c r="B1043" s="184"/>
      <c r="C1043" s="185"/>
      <c r="D1043" s="186"/>
      <c r="E1043" s="186"/>
      <c r="F1043" s="187"/>
      <c r="G1043" s="187">
        <f t="shared" si="95"/>
        <v>0</v>
      </c>
      <c r="H1043" s="188">
        <v>0.05</v>
      </c>
      <c r="I1043" s="189">
        <f t="shared" si="96"/>
        <v>0</v>
      </c>
      <c r="J1043" s="189">
        <f t="shared" si="97"/>
        <v>0</v>
      </c>
      <c r="K1043" s="294"/>
      <c r="L1043" s="295"/>
      <c r="M1043" s="296">
        <v>0.05</v>
      </c>
      <c r="N1043" s="296">
        <f t="shared" si="98"/>
        <v>0</v>
      </c>
      <c r="O1043" s="299">
        <f t="shared" si="99"/>
        <v>0</v>
      </c>
      <c r="P1043" s="303"/>
    </row>
    <row r="1044" spans="2:16" ht="15.75" thickBot="1">
      <c r="B1044" s="184"/>
      <c r="C1044" s="185"/>
      <c r="D1044" s="186"/>
      <c r="E1044" s="186"/>
      <c r="F1044" s="187"/>
      <c r="G1044" s="187">
        <f t="shared" si="95"/>
        <v>0</v>
      </c>
      <c r="H1044" s="188">
        <v>0.05</v>
      </c>
      <c r="I1044" s="189">
        <f t="shared" si="96"/>
        <v>0</v>
      </c>
      <c r="J1044" s="189">
        <f t="shared" si="97"/>
        <v>0</v>
      </c>
      <c r="K1044" s="294"/>
      <c r="L1044" s="295"/>
      <c r="M1044" s="296">
        <v>0.05</v>
      </c>
      <c r="N1044" s="296">
        <f t="shared" si="98"/>
        <v>0</v>
      </c>
      <c r="O1044" s="299">
        <f t="shared" si="99"/>
        <v>0</v>
      </c>
      <c r="P1044" s="303"/>
    </row>
    <row r="1045" spans="2:16" ht="15.75" thickBot="1">
      <c r="B1045" s="184"/>
      <c r="C1045" s="185"/>
      <c r="D1045" s="186"/>
      <c r="E1045" s="186"/>
      <c r="F1045" s="187"/>
      <c r="G1045" s="187">
        <f t="shared" si="95"/>
        <v>0</v>
      </c>
      <c r="H1045" s="188">
        <v>0.05</v>
      </c>
      <c r="I1045" s="189">
        <f t="shared" si="96"/>
        <v>0</v>
      </c>
      <c r="J1045" s="189">
        <f t="shared" si="97"/>
        <v>0</v>
      </c>
      <c r="K1045" s="294"/>
      <c r="L1045" s="295"/>
      <c r="M1045" s="296">
        <v>0.05</v>
      </c>
      <c r="N1045" s="296">
        <f t="shared" si="98"/>
        <v>0</v>
      </c>
      <c r="O1045" s="299">
        <f t="shared" si="99"/>
        <v>0</v>
      </c>
      <c r="P1045" s="303"/>
    </row>
    <row r="1046" spans="2:16" ht="15.75" thickBot="1">
      <c r="B1046" s="184"/>
      <c r="C1046" s="185"/>
      <c r="D1046" s="186"/>
      <c r="E1046" s="186"/>
      <c r="F1046" s="187"/>
      <c r="G1046" s="187">
        <f t="shared" si="95"/>
        <v>0</v>
      </c>
      <c r="H1046" s="188">
        <v>0.05</v>
      </c>
      <c r="I1046" s="189">
        <f t="shared" si="96"/>
        <v>0</v>
      </c>
      <c r="J1046" s="189">
        <f t="shared" si="97"/>
        <v>0</v>
      </c>
      <c r="K1046" s="294"/>
      <c r="L1046" s="295"/>
      <c r="M1046" s="296">
        <v>0.05</v>
      </c>
      <c r="N1046" s="296">
        <f t="shared" si="98"/>
        <v>0</v>
      </c>
      <c r="O1046" s="299">
        <f t="shared" si="99"/>
        <v>0</v>
      </c>
      <c r="P1046" s="303"/>
    </row>
    <row r="1047" spans="2:16" ht="15.75" thickBot="1">
      <c r="B1047" s="184"/>
      <c r="C1047" s="185"/>
      <c r="D1047" s="186"/>
      <c r="E1047" s="186"/>
      <c r="F1047" s="187"/>
      <c r="G1047" s="187">
        <f t="shared" si="95"/>
        <v>0</v>
      </c>
      <c r="H1047" s="188">
        <v>0.05</v>
      </c>
      <c r="I1047" s="189">
        <f t="shared" si="96"/>
        <v>0</v>
      </c>
      <c r="J1047" s="189">
        <f t="shared" si="97"/>
        <v>0</v>
      </c>
      <c r="K1047" s="294"/>
      <c r="L1047" s="295"/>
      <c r="M1047" s="296">
        <v>0.05</v>
      </c>
      <c r="N1047" s="296">
        <f t="shared" si="98"/>
        <v>0</v>
      </c>
      <c r="O1047" s="299">
        <f t="shared" si="99"/>
        <v>0</v>
      </c>
      <c r="P1047" s="303"/>
    </row>
    <row r="1048" spans="2:16" ht="15.75" thickBot="1">
      <c r="B1048" s="184"/>
      <c r="C1048" s="185"/>
      <c r="D1048" s="186"/>
      <c r="E1048" s="186"/>
      <c r="F1048" s="187"/>
      <c r="G1048" s="187">
        <f t="shared" si="95"/>
        <v>0</v>
      </c>
      <c r="H1048" s="188">
        <v>0.05</v>
      </c>
      <c r="I1048" s="189">
        <f t="shared" si="96"/>
        <v>0</v>
      </c>
      <c r="J1048" s="189">
        <f t="shared" si="97"/>
        <v>0</v>
      </c>
      <c r="K1048" s="294"/>
      <c r="L1048" s="295"/>
      <c r="M1048" s="296">
        <v>0.05</v>
      </c>
      <c r="N1048" s="296">
        <f t="shared" si="98"/>
        <v>0</v>
      </c>
      <c r="O1048" s="299">
        <f t="shared" si="99"/>
        <v>0</v>
      </c>
      <c r="P1048" s="303"/>
    </row>
    <row r="1049" spans="2:16" ht="15.75" thickBot="1">
      <c r="B1049" s="184"/>
      <c r="C1049" s="185"/>
      <c r="D1049" s="186"/>
      <c r="E1049" s="186"/>
      <c r="F1049" s="187"/>
      <c r="G1049" s="187">
        <f t="shared" si="95"/>
        <v>0</v>
      </c>
      <c r="H1049" s="188">
        <v>0.05</v>
      </c>
      <c r="I1049" s="189">
        <f t="shared" si="96"/>
        <v>0</v>
      </c>
      <c r="J1049" s="189">
        <f t="shared" si="97"/>
        <v>0</v>
      </c>
      <c r="K1049" s="294"/>
      <c r="L1049" s="295"/>
      <c r="M1049" s="296">
        <v>0.05</v>
      </c>
      <c r="N1049" s="296">
        <f t="shared" si="98"/>
        <v>0</v>
      </c>
      <c r="O1049" s="299">
        <f t="shared" si="99"/>
        <v>0</v>
      </c>
      <c r="P1049" s="303"/>
    </row>
    <row r="1050" spans="2:16" ht="15.75" thickBot="1">
      <c r="B1050" s="184"/>
      <c r="C1050" s="185"/>
      <c r="D1050" s="186"/>
      <c r="E1050" s="186"/>
      <c r="F1050" s="187"/>
      <c r="G1050" s="187">
        <f t="shared" si="95"/>
        <v>0</v>
      </c>
      <c r="H1050" s="188">
        <v>0.05</v>
      </c>
      <c r="I1050" s="189">
        <f t="shared" si="96"/>
        <v>0</v>
      </c>
      <c r="J1050" s="189">
        <f t="shared" si="97"/>
        <v>0</v>
      </c>
      <c r="K1050" s="294"/>
      <c r="L1050" s="295"/>
      <c r="M1050" s="296">
        <v>0.05</v>
      </c>
      <c r="N1050" s="296">
        <f t="shared" si="98"/>
        <v>0</v>
      </c>
      <c r="O1050" s="299">
        <f t="shared" si="99"/>
        <v>0</v>
      </c>
      <c r="P1050" s="303"/>
    </row>
    <row r="1051" spans="2:16" ht="15.75" thickBot="1">
      <c r="B1051" s="184"/>
      <c r="C1051" s="185"/>
      <c r="D1051" s="186"/>
      <c r="E1051" s="186"/>
      <c r="F1051" s="187"/>
      <c r="G1051" s="187">
        <f t="shared" si="95"/>
        <v>0</v>
      </c>
      <c r="H1051" s="188">
        <v>0.05</v>
      </c>
      <c r="I1051" s="189">
        <f t="shared" si="96"/>
        <v>0</v>
      </c>
      <c r="J1051" s="189">
        <f t="shared" si="97"/>
        <v>0</v>
      </c>
      <c r="K1051" s="294"/>
      <c r="L1051" s="295"/>
      <c r="M1051" s="296">
        <v>0.05</v>
      </c>
      <c r="N1051" s="296">
        <f t="shared" si="98"/>
        <v>0</v>
      </c>
      <c r="O1051" s="299">
        <f t="shared" si="99"/>
        <v>0</v>
      </c>
      <c r="P1051" s="303"/>
    </row>
    <row r="1052" spans="2:16" ht="15.75" thickBot="1">
      <c r="B1052" s="184"/>
      <c r="C1052" s="185"/>
      <c r="D1052" s="186"/>
      <c r="E1052" s="186"/>
      <c r="F1052" s="187"/>
      <c r="G1052" s="187">
        <f t="shared" si="95"/>
        <v>0</v>
      </c>
      <c r="H1052" s="188">
        <v>0.05</v>
      </c>
      <c r="I1052" s="189">
        <f t="shared" si="96"/>
        <v>0</v>
      </c>
      <c r="J1052" s="189">
        <f t="shared" si="97"/>
        <v>0</v>
      </c>
      <c r="K1052" s="294"/>
      <c r="L1052" s="295"/>
      <c r="M1052" s="296">
        <v>0.05</v>
      </c>
      <c r="N1052" s="296">
        <f t="shared" si="98"/>
        <v>0</v>
      </c>
      <c r="O1052" s="299">
        <f t="shared" si="99"/>
        <v>0</v>
      </c>
      <c r="P1052" s="303"/>
    </row>
    <row r="1053" spans="2:16" ht="15.75" thickBot="1">
      <c r="B1053" s="184"/>
      <c r="C1053" s="185"/>
      <c r="D1053" s="186"/>
      <c r="E1053" s="186"/>
      <c r="F1053" s="187"/>
      <c r="G1053" s="187">
        <f t="shared" si="95"/>
        <v>0</v>
      </c>
      <c r="H1053" s="188">
        <v>0.05</v>
      </c>
      <c r="I1053" s="189">
        <f t="shared" si="96"/>
        <v>0</v>
      </c>
      <c r="J1053" s="189">
        <f t="shared" si="97"/>
        <v>0</v>
      </c>
      <c r="K1053" s="294"/>
      <c r="L1053" s="295"/>
      <c r="M1053" s="296">
        <v>0.05</v>
      </c>
      <c r="N1053" s="296">
        <f t="shared" si="98"/>
        <v>0</v>
      </c>
      <c r="O1053" s="299">
        <f t="shared" si="99"/>
        <v>0</v>
      </c>
      <c r="P1053" s="303"/>
    </row>
    <row r="1054" spans="2:16" ht="15.75" thickBot="1">
      <c r="B1054" s="184"/>
      <c r="C1054" s="185"/>
      <c r="D1054" s="186"/>
      <c r="E1054" s="186"/>
      <c r="F1054" s="187"/>
      <c r="G1054" s="187">
        <f t="shared" si="95"/>
        <v>0</v>
      </c>
      <c r="H1054" s="188">
        <v>0.05</v>
      </c>
      <c r="I1054" s="189">
        <f t="shared" si="96"/>
        <v>0</v>
      </c>
      <c r="J1054" s="189">
        <f t="shared" si="97"/>
        <v>0</v>
      </c>
      <c r="K1054" s="294"/>
      <c r="L1054" s="295"/>
      <c r="M1054" s="296">
        <v>0.05</v>
      </c>
      <c r="N1054" s="296">
        <f t="shared" si="98"/>
        <v>0</v>
      </c>
      <c r="O1054" s="299">
        <f t="shared" si="99"/>
        <v>0</v>
      </c>
      <c r="P1054" s="303"/>
    </row>
    <row r="1055" spans="2:16" ht="15.75" thickBot="1">
      <c r="B1055" s="184"/>
      <c r="C1055" s="185"/>
      <c r="D1055" s="186"/>
      <c r="E1055" s="186"/>
      <c r="F1055" s="187"/>
      <c r="G1055" s="187">
        <f t="shared" si="95"/>
        <v>0</v>
      </c>
      <c r="H1055" s="188">
        <v>0.05</v>
      </c>
      <c r="I1055" s="189">
        <f t="shared" si="96"/>
        <v>0</v>
      </c>
      <c r="J1055" s="189">
        <f t="shared" si="97"/>
        <v>0</v>
      </c>
      <c r="K1055" s="294"/>
      <c r="L1055" s="295"/>
      <c r="M1055" s="296">
        <v>0.05</v>
      </c>
      <c r="N1055" s="296">
        <f t="shared" si="98"/>
        <v>0</v>
      </c>
      <c r="O1055" s="299">
        <f t="shared" si="99"/>
        <v>0</v>
      </c>
      <c r="P1055" s="303"/>
    </row>
    <row r="1056" spans="2:16" ht="15.75" thickBot="1">
      <c r="B1056" s="184"/>
      <c r="C1056" s="185"/>
      <c r="D1056" s="186"/>
      <c r="E1056" s="186"/>
      <c r="F1056" s="187"/>
      <c r="G1056" s="187">
        <f t="shared" si="95"/>
        <v>0</v>
      </c>
      <c r="H1056" s="188">
        <v>0.05</v>
      </c>
      <c r="I1056" s="189">
        <f t="shared" si="96"/>
        <v>0</v>
      </c>
      <c r="J1056" s="189">
        <f t="shared" si="97"/>
        <v>0</v>
      </c>
      <c r="K1056" s="294"/>
      <c r="L1056" s="295"/>
      <c r="M1056" s="296">
        <v>0.05</v>
      </c>
      <c r="N1056" s="296">
        <f t="shared" si="98"/>
        <v>0</v>
      </c>
      <c r="O1056" s="299">
        <f t="shared" si="99"/>
        <v>0</v>
      </c>
      <c r="P1056" s="303"/>
    </row>
    <row r="1057" spans="2:16" ht="15.75" thickBot="1">
      <c r="B1057" s="184"/>
      <c r="C1057" s="185"/>
      <c r="D1057" s="186"/>
      <c r="E1057" s="186"/>
      <c r="F1057" s="187"/>
      <c r="G1057" s="187">
        <f t="shared" si="95"/>
        <v>0</v>
      </c>
      <c r="H1057" s="188">
        <v>0.05</v>
      </c>
      <c r="I1057" s="189">
        <f t="shared" si="96"/>
        <v>0</v>
      </c>
      <c r="J1057" s="189">
        <f t="shared" si="97"/>
        <v>0</v>
      </c>
      <c r="K1057" s="294"/>
      <c r="L1057" s="295"/>
      <c r="M1057" s="296">
        <v>0.05</v>
      </c>
      <c r="N1057" s="296">
        <f t="shared" si="98"/>
        <v>0</v>
      </c>
      <c r="O1057" s="299">
        <f t="shared" si="99"/>
        <v>0</v>
      </c>
      <c r="P1057" s="303"/>
    </row>
    <row r="1058" spans="2:16" ht="15.75" thickBot="1">
      <c r="B1058" s="184"/>
      <c r="C1058" s="185"/>
      <c r="D1058" s="186"/>
      <c r="E1058" s="186"/>
      <c r="F1058" s="187"/>
      <c r="G1058" s="187">
        <f t="shared" si="95"/>
        <v>0</v>
      </c>
      <c r="H1058" s="188">
        <v>0.05</v>
      </c>
      <c r="I1058" s="189">
        <f t="shared" si="96"/>
        <v>0</v>
      </c>
      <c r="J1058" s="189">
        <f t="shared" si="97"/>
        <v>0</v>
      </c>
      <c r="K1058" s="294"/>
      <c r="L1058" s="295"/>
      <c r="M1058" s="296">
        <v>0.05</v>
      </c>
      <c r="N1058" s="296">
        <f t="shared" si="98"/>
        <v>0</v>
      </c>
      <c r="O1058" s="299">
        <f t="shared" si="99"/>
        <v>0</v>
      </c>
      <c r="P1058" s="303"/>
    </row>
    <row r="1059" spans="2:16" ht="15.75" thickBot="1">
      <c r="B1059" s="184"/>
      <c r="C1059" s="185"/>
      <c r="D1059" s="186"/>
      <c r="E1059" s="186"/>
      <c r="F1059" s="187"/>
      <c r="G1059" s="187">
        <f t="shared" si="95"/>
        <v>0</v>
      </c>
      <c r="H1059" s="188">
        <v>0.05</v>
      </c>
      <c r="I1059" s="189">
        <f t="shared" si="96"/>
        <v>0</v>
      </c>
      <c r="J1059" s="189">
        <f t="shared" si="97"/>
        <v>0</v>
      </c>
      <c r="K1059" s="294"/>
      <c r="L1059" s="295"/>
      <c r="M1059" s="296">
        <v>0.05</v>
      </c>
      <c r="N1059" s="296">
        <f t="shared" si="98"/>
        <v>0</v>
      </c>
      <c r="O1059" s="299">
        <f t="shared" si="99"/>
        <v>0</v>
      </c>
      <c r="P1059" s="303"/>
    </row>
    <row r="1060" spans="2:16" ht="15.75" thickBot="1">
      <c r="B1060" s="184"/>
      <c r="C1060" s="185"/>
      <c r="D1060" s="186"/>
      <c r="E1060" s="186"/>
      <c r="F1060" s="187"/>
      <c r="G1060" s="187">
        <f t="shared" si="95"/>
        <v>0</v>
      </c>
      <c r="H1060" s="188">
        <v>0.05</v>
      </c>
      <c r="I1060" s="189">
        <f t="shared" si="96"/>
        <v>0</v>
      </c>
      <c r="J1060" s="189">
        <f t="shared" si="97"/>
        <v>0</v>
      </c>
      <c r="K1060" s="294"/>
      <c r="L1060" s="295"/>
      <c r="M1060" s="296">
        <v>0.05</v>
      </c>
      <c r="N1060" s="296">
        <f t="shared" si="98"/>
        <v>0</v>
      </c>
      <c r="O1060" s="299">
        <f t="shared" si="99"/>
        <v>0</v>
      </c>
      <c r="P1060" s="303"/>
    </row>
    <row r="1061" spans="2:16" ht="15.75" thickBot="1">
      <c r="B1061" s="184"/>
      <c r="C1061" s="185"/>
      <c r="D1061" s="186"/>
      <c r="E1061" s="186"/>
      <c r="F1061" s="187"/>
      <c r="G1061" s="187">
        <f t="shared" si="95"/>
        <v>0</v>
      </c>
      <c r="H1061" s="188">
        <v>0.05</v>
      </c>
      <c r="I1061" s="189">
        <f t="shared" si="96"/>
        <v>0</v>
      </c>
      <c r="J1061" s="189">
        <f t="shared" si="97"/>
        <v>0</v>
      </c>
      <c r="K1061" s="294"/>
      <c r="L1061" s="295"/>
      <c r="M1061" s="296">
        <v>0.05</v>
      </c>
      <c r="N1061" s="296">
        <f t="shared" si="98"/>
        <v>0</v>
      </c>
      <c r="O1061" s="299">
        <f t="shared" si="99"/>
        <v>0</v>
      </c>
      <c r="P1061" s="303"/>
    </row>
    <row r="1062" spans="2:16" ht="15.75" thickBot="1">
      <c r="B1062" s="184"/>
      <c r="C1062" s="185"/>
      <c r="D1062" s="186"/>
      <c r="E1062" s="186"/>
      <c r="F1062" s="187"/>
      <c r="G1062" s="187">
        <f t="shared" ref="G1062:G1125" si="100">IF(D1062=0,0,(D1062+E1062)/F1062)</f>
        <v>0</v>
      </c>
      <c r="H1062" s="188">
        <v>0.05</v>
      </c>
      <c r="I1062" s="189">
        <f t="shared" ref="I1062:I1125" si="101">+G1062*H1062</f>
        <v>0</v>
      </c>
      <c r="J1062" s="189">
        <f t="shared" ref="J1062:J1125" si="102">+G1062+I1062</f>
        <v>0</v>
      </c>
      <c r="K1062" s="294"/>
      <c r="L1062" s="295"/>
      <c r="M1062" s="296">
        <v>0.05</v>
      </c>
      <c r="N1062" s="296">
        <f t="shared" ref="N1062:N1125" si="103">IF(H1062&lt;M1062,H1062/M1062,0)</f>
        <v>0</v>
      </c>
      <c r="O1062" s="299">
        <f t="shared" ref="O1062:O1125" si="104">1.5%*N1062</f>
        <v>0</v>
      </c>
      <c r="P1062" s="303"/>
    </row>
    <row r="1063" spans="2:16" ht="15.75" thickBot="1">
      <c r="B1063" s="184"/>
      <c r="C1063" s="185"/>
      <c r="D1063" s="186"/>
      <c r="E1063" s="186"/>
      <c r="F1063" s="187"/>
      <c r="G1063" s="187">
        <f t="shared" si="100"/>
        <v>0</v>
      </c>
      <c r="H1063" s="188">
        <v>0.05</v>
      </c>
      <c r="I1063" s="189">
        <f t="shared" si="101"/>
        <v>0</v>
      </c>
      <c r="J1063" s="189">
        <f t="shared" si="102"/>
        <v>0</v>
      </c>
      <c r="K1063" s="294"/>
      <c r="L1063" s="295"/>
      <c r="M1063" s="296">
        <v>0.05</v>
      </c>
      <c r="N1063" s="296">
        <f t="shared" si="103"/>
        <v>0</v>
      </c>
      <c r="O1063" s="299">
        <f t="shared" si="104"/>
        <v>0</v>
      </c>
      <c r="P1063" s="303"/>
    </row>
    <row r="1064" spans="2:16" ht="15.75" thickBot="1">
      <c r="B1064" s="184"/>
      <c r="C1064" s="185"/>
      <c r="D1064" s="186"/>
      <c r="E1064" s="186"/>
      <c r="F1064" s="187"/>
      <c r="G1064" s="187">
        <f t="shared" si="100"/>
        <v>0</v>
      </c>
      <c r="H1064" s="188">
        <v>0.05</v>
      </c>
      <c r="I1064" s="189">
        <f t="shared" si="101"/>
        <v>0</v>
      </c>
      <c r="J1064" s="189">
        <f t="shared" si="102"/>
        <v>0</v>
      </c>
      <c r="K1064" s="294"/>
      <c r="L1064" s="295"/>
      <c r="M1064" s="296">
        <v>0.05</v>
      </c>
      <c r="N1064" s="296">
        <f t="shared" si="103"/>
        <v>0</v>
      </c>
      <c r="O1064" s="299">
        <f t="shared" si="104"/>
        <v>0</v>
      </c>
      <c r="P1064" s="303"/>
    </row>
    <row r="1065" spans="2:16" ht="15.75" thickBot="1">
      <c r="B1065" s="184"/>
      <c r="C1065" s="185"/>
      <c r="D1065" s="186"/>
      <c r="E1065" s="186"/>
      <c r="F1065" s="187"/>
      <c r="G1065" s="187">
        <f t="shared" si="100"/>
        <v>0</v>
      </c>
      <c r="H1065" s="188">
        <v>0.05</v>
      </c>
      <c r="I1065" s="189">
        <f t="shared" si="101"/>
        <v>0</v>
      </c>
      <c r="J1065" s="189">
        <f t="shared" si="102"/>
        <v>0</v>
      </c>
      <c r="K1065" s="294"/>
      <c r="L1065" s="295"/>
      <c r="M1065" s="296">
        <v>0.05</v>
      </c>
      <c r="N1065" s="296">
        <f t="shared" si="103"/>
        <v>0</v>
      </c>
      <c r="O1065" s="299">
        <f t="shared" si="104"/>
        <v>0</v>
      </c>
      <c r="P1065" s="303"/>
    </row>
    <row r="1066" spans="2:16" ht="15.75" thickBot="1">
      <c r="B1066" s="184"/>
      <c r="C1066" s="185"/>
      <c r="D1066" s="186"/>
      <c r="E1066" s="186"/>
      <c r="F1066" s="187"/>
      <c r="G1066" s="187">
        <f t="shared" si="100"/>
        <v>0</v>
      </c>
      <c r="H1066" s="188">
        <v>0.05</v>
      </c>
      <c r="I1066" s="189">
        <f t="shared" si="101"/>
        <v>0</v>
      </c>
      <c r="J1066" s="189">
        <f t="shared" si="102"/>
        <v>0</v>
      </c>
      <c r="K1066" s="294"/>
      <c r="L1066" s="295"/>
      <c r="M1066" s="296">
        <v>0.05</v>
      </c>
      <c r="N1066" s="296">
        <f t="shared" si="103"/>
        <v>0</v>
      </c>
      <c r="O1066" s="299">
        <f t="shared" si="104"/>
        <v>0</v>
      </c>
      <c r="P1066" s="303"/>
    </row>
    <row r="1067" spans="2:16" ht="15.75" thickBot="1">
      <c r="B1067" s="184"/>
      <c r="C1067" s="185"/>
      <c r="D1067" s="186"/>
      <c r="E1067" s="186"/>
      <c r="F1067" s="187"/>
      <c r="G1067" s="187">
        <f t="shared" si="100"/>
        <v>0</v>
      </c>
      <c r="H1067" s="188">
        <v>0.05</v>
      </c>
      <c r="I1067" s="189">
        <f t="shared" si="101"/>
        <v>0</v>
      </c>
      <c r="J1067" s="189">
        <f t="shared" si="102"/>
        <v>0</v>
      </c>
      <c r="K1067" s="294"/>
      <c r="L1067" s="295"/>
      <c r="M1067" s="296">
        <v>0.05</v>
      </c>
      <c r="N1067" s="296">
        <f t="shared" si="103"/>
        <v>0</v>
      </c>
      <c r="O1067" s="299">
        <f t="shared" si="104"/>
        <v>0</v>
      </c>
      <c r="P1067" s="303"/>
    </row>
    <row r="1068" spans="2:16" ht="15.75" thickBot="1">
      <c r="B1068" s="184"/>
      <c r="C1068" s="185"/>
      <c r="D1068" s="186"/>
      <c r="E1068" s="186"/>
      <c r="F1068" s="187"/>
      <c r="G1068" s="187">
        <f t="shared" si="100"/>
        <v>0</v>
      </c>
      <c r="H1068" s="188">
        <v>0.05</v>
      </c>
      <c r="I1068" s="189">
        <f t="shared" si="101"/>
        <v>0</v>
      </c>
      <c r="J1068" s="189">
        <f t="shared" si="102"/>
        <v>0</v>
      </c>
      <c r="K1068" s="294"/>
      <c r="L1068" s="295"/>
      <c r="M1068" s="296">
        <v>0.05</v>
      </c>
      <c r="N1068" s="296">
        <f t="shared" si="103"/>
        <v>0</v>
      </c>
      <c r="O1068" s="299">
        <f t="shared" si="104"/>
        <v>0</v>
      </c>
      <c r="P1068" s="303"/>
    </row>
    <row r="1069" spans="2:16" ht="15.75" thickBot="1">
      <c r="B1069" s="184"/>
      <c r="C1069" s="185"/>
      <c r="D1069" s="186"/>
      <c r="E1069" s="186"/>
      <c r="F1069" s="187"/>
      <c r="G1069" s="187">
        <f t="shared" si="100"/>
        <v>0</v>
      </c>
      <c r="H1069" s="188">
        <v>0.05</v>
      </c>
      <c r="I1069" s="189">
        <f t="shared" si="101"/>
        <v>0</v>
      </c>
      <c r="J1069" s="189">
        <f t="shared" si="102"/>
        <v>0</v>
      </c>
      <c r="K1069" s="294"/>
      <c r="L1069" s="295"/>
      <c r="M1069" s="296">
        <v>0.05</v>
      </c>
      <c r="N1069" s="296">
        <f t="shared" si="103"/>
        <v>0</v>
      </c>
      <c r="O1069" s="299">
        <f t="shared" si="104"/>
        <v>0</v>
      </c>
      <c r="P1069" s="303"/>
    </row>
    <row r="1070" spans="2:16" ht="15.75" thickBot="1">
      <c r="B1070" s="184"/>
      <c r="C1070" s="185"/>
      <c r="D1070" s="186"/>
      <c r="E1070" s="186"/>
      <c r="F1070" s="187"/>
      <c r="G1070" s="187">
        <f t="shared" si="100"/>
        <v>0</v>
      </c>
      <c r="H1070" s="188">
        <v>0.05</v>
      </c>
      <c r="I1070" s="189">
        <f t="shared" si="101"/>
        <v>0</v>
      </c>
      <c r="J1070" s="189">
        <f t="shared" si="102"/>
        <v>0</v>
      </c>
      <c r="K1070" s="294"/>
      <c r="L1070" s="295"/>
      <c r="M1070" s="296">
        <v>0.05</v>
      </c>
      <c r="N1070" s="296">
        <f t="shared" si="103"/>
        <v>0</v>
      </c>
      <c r="O1070" s="299">
        <f t="shared" si="104"/>
        <v>0</v>
      </c>
      <c r="P1070" s="303"/>
    </row>
    <row r="1071" spans="2:16" ht="15.75" thickBot="1">
      <c r="B1071" s="184"/>
      <c r="C1071" s="185"/>
      <c r="D1071" s="186"/>
      <c r="E1071" s="186"/>
      <c r="F1071" s="187"/>
      <c r="G1071" s="187">
        <f t="shared" si="100"/>
        <v>0</v>
      </c>
      <c r="H1071" s="188">
        <v>0.05</v>
      </c>
      <c r="I1071" s="189">
        <f t="shared" si="101"/>
        <v>0</v>
      </c>
      <c r="J1071" s="189">
        <f t="shared" si="102"/>
        <v>0</v>
      </c>
      <c r="K1071" s="294"/>
      <c r="L1071" s="295"/>
      <c r="M1071" s="296">
        <v>0.05</v>
      </c>
      <c r="N1071" s="296">
        <f t="shared" si="103"/>
        <v>0</v>
      </c>
      <c r="O1071" s="299">
        <f t="shared" si="104"/>
        <v>0</v>
      </c>
      <c r="P1071" s="303"/>
    </row>
    <row r="1072" spans="2:16" ht="15.75" thickBot="1">
      <c r="B1072" s="184"/>
      <c r="C1072" s="185"/>
      <c r="D1072" s="186"/>
      <c r="E1072" s="186"/>
      <c r="F1072" s="187"/>
      <c r="G1072" s="187">
        <f t="shared" si="100"/>
        <v>0</v>
      </c>
      <c r="H1072" s="188">
        <v>0.05</v>
      </c>
      <c r="I1072" s="189">
        <f t="shared" si="101"/>
        <v>0</v>
      </c>
      <c r="J1072" s="189">
        <f t="shared" si="102"/>
        <v>0</v>
      </c>
      <c r="K1072" s="294"/>
      <c r="L1072" s="295"/>
      <c r="M1072" s="296">
        <v>0.05</v>
      </c>
      <c r="N1072" s="296">
        <f t="shared" si="103"/>
        <v>0</v>
      </c>
      <c r="O1072" s="299">
        <f t="shared" si="104"/>
        <v>0</v>
      </c>
      <c r="P1072" s="303"/>
    </row>
    <row r="1073" spans="2:16" ht="15.75" thickBot="1">
      <c r="B1073" s="184"/>
      <c r="C1073" s="185"/>
      <c r="D1073" s="186"/>
      <c r="E1073" s="186"/>
      <c r="F1073" s="187"/>
      <c r="G1073" s="187">
        <f t="shared" si="100"/>
        <v>0</v>
      </c>
      <c r="H1073" s="188">
        <v>0.05</v>
      </c>
      <c r="I1073" s="189">
        <f t="shared" si="101"/>
        <v>0</v>
      </c>
      <c r="J1073" s="189">
        <f t="shared" si="102"/>
        <v>0</v>
      </c>
      <c r="K1073" s="294"/>
      <c r="L1073" s="295"/>
      <c r="M1073" s="296">
        <v>0.05</v>
      </c>
      <c r="N1073" s="296">
        <f t="shared" si="103"/>
        <v>0</v>
      </c>
      <c r="O1073" s="299">
        <f t="shared" si="104"/>
        <v>0</v>
      </c>
      <c r="P1073" s="303"/>
    </row>
    <row r="1074" spans="2:16" ht="15.75" thickBot="1">
      <c r="B1074" s="184"/>
      <c r="C1074" s="185"/>
      <c r="D1074" s="186"/>
      <c r="E1074" s="186"/>
      <c r="F1074" s="187"/>
      <c r="G1074" s="187">
        <f t="shared" si="100"/>
        <v>0</v>
      </c>
      <c r="H1074" s="188">
        <v>0.05</v>
      </c>
      <c r="I1074" s="189">
        <f t="shared" si="101"/>
        <v>0</v>
      </c>
      <c r="J1074" s="189">
        <f t="shared" si="102"/>
        <v>0</v>
      </c>
      <c r="K1074" s="294"/>
      <c r="L1074" s="295"/>
      <c r="M1074" s="296">
        <v>0.05</v>
      </c>
      <c r="N1074" s="296">
        <f t="shared" si="103"/>
        <v>0</v>
      </c>
      <c r="O1074" s="299">
        <f t="shared" si="104"/>
        <v>0</v>
      </c>
      <c r="P1074" s="303"/>
    </row>
    <row r="1075" spans="2:16" ht="15.75" thickBot="1">
      <c r="B1075" s="184"/>
      <c r="C1075" s="185"/>
      <c r="D1075" s="186"/>
      <c r="E1075" s="186"/>
      <c r="F1075" s="187"/>
      <c r="G1075" s="187">
        <f t="shared" si="100"/>
        <v>0</v>
      </c>
      <c r="H1075" s="188">
        <v>0.05</v>
      </c>
      <c r="I1075" s="189">
        <f t="shared" si="101"/>
        <v>0</v>
      </c>
      <c r="J1075" s="189">
        <f t="shared" si="102"/>
        <v>0</v>
      </c>
      <c r="K1075" s="294"/>
      <c r="L1075" s="295"/>
      <c r="M1075" s="296">
        <v>0.05</v>
      </c>
      <c r="N1075" s="296">
        <f t="shared" si="103"/>
        <v>0</v>
      </c>
      <c r="O1075" s="299">
        <f t="shared" si="104"/>
        <v>0</v>
      </c>
      <c r="P1075" s="303"/>
    </row>
    <row r="1076" spans="2:16" ht="15.75" thickBot="1">
      <c r="B1076" s="184"/>
      <c r="C1076" s="185"/>
      <c r="D1076" s="186"/>
      <c r="E1076" s="186"/>
      <c r="F1076" s="187"/>
      <c r="G1076" s="187">
        <f t="shared" si="100"/>
        <v>0</v>
      </c>
      <c r="H1076" s="188">
        <v>0.05</v>
      </c>
      <c r="I1076" s="189">
        <f t="shared" si="101"/>
        <v>0</v>
      </c>
      <c r="J1076" s="189">
        <f t="shared" si="102"/>
        <v>0</v>
      </c>
      <c r="K1076" s="294"/>
      <c r="L1076" s="295"/>
      <c r="M1076" s="296">
        <v>0.05</v>
      </c>
      <c r="N1076" s="296">
        <f t="shared" si="103"/>
        <v>0</v>
      </c>
      <c r="O1076" s="299">
        <f t="shared" si="104"/>
        <v>0</v>
      </c>
      <c r="P1076" s="303"/>
    </row>
    <row r="1077" spans="2:16" ht="15.75" thickBot="1">
      <c r="B1077" s="184"/>
      <c r="C1077" s="185"/>
      <c r="D1077" s="186"/>
      <c r="E1077" s="186"/>
      <c r="F1077" s="187"/>
      <c r="G1077" s="187">
        <f t="shared" si="100"/>
        <v>0</v>
      </c>
      <c r="H1077" s="188">
        <v>0.05</v>
      </c>
      <c r="I1077" s="189">
        <f t="shared" si="101"/>
        <v>0</v>
      </c>
      <c r="J1077" s="189">
        <f t="shared" si="102"/>
        <v>0</v>
      </c>
      <c r="K1077" s="294"/>
      <c r="L1077" s="295"/>
      <c r="M1077" s="296">
        <v>0.05</v>
      </c>
      <c r="N1077" s="296">
        <f t="shared" si="103"/>
        <v>0</v>
      </c>
      <c r="O1077" s="299">
        <f t="shared" si="104"/>
        <v>0</v>
      </c>
      <c r="P1077" s="303"/>
    </row>
    <row r="1078" spans="2:16" ht="15.75" thickBot="1">
      <c r="B1078" s="184"/>
      <c r="C1078" s="185"/>
      <c r="D1078" s="186"/>
      <c r="E1078" s="186"/>
      <c r="F1078" s="187"/>
      <c r="G1078" s="187">
        <f t="shared" si="100"/>
        <v>0</v>
      </c>
      <c r="H1078" s="188">
        <v>0.05</v>
      </c>
      <c r="I1078" s="189">
        <f t="shared" si="101"/>
        <v>0</v>
      </c>
      <c r="J1078" s="189">
        <f t="shared" si="102"/>
        <v>0</v>
      </c>
      <c r="K1078" s="294"/>
      <c r="L1078" s="295"/>
      <c r="M1078" s="296">
        <v>0.05</v>
      </c>
      <c r="N1078" s="296">
        <f t="shared" si="103"/>
        <v>0</v>
      </c>
      <c r="O1078" s="299">
        <f t="shared" si="104"/>
        <v>0</v>
      </c>
      <c r="P1078" s="303"/>
    </row>
    <row r="1079" spans="2:16" ht="15.75" thickBot="1">
      <c r="B1079" s="184"/>
      <c r="C1079" s="185"/>
      <c r="D1079" s="186"/>
      <c r="E1079" s="186"/>
      <c r="F1079" s="187"/>
      <c r="G1079" s="187">
        <f t="shared" si="100"/>
        <v>0</v>
      </c>
      <c r="H1079" s="188">
        <v>0.05</v>
      </c>
      <c r="I1079" s="189">
        <f t="shared" si="101"/>
        <v>0</v>
      </c>
      <c r="J1079" s="189">
        <f t="shared" si="102"/>
        <v>0</v>
      </c>
      <c r="K1079" s="294"/>
      <c r="L1079" s="295"/>
      <c r="M1079" s="296">
        <v>0.05</v>
      </c>
      <c r="N1079" s="296">
        <f t="shared" si="103"/>
        <v>0</v>
      </c>
      <c r="O1079" s="299">
        <f t="shared" si="104"/>
        <v>0</v>
      </c>
      <c r="P1079" s="303"/>
    </row>
    <row r="1080" spans="2:16" ht="15.75" thickBot="1">
      <c r="B1080" s="184"/>
      <c r="C1080" s="185"/>
      <c r="D1080" s="186"/>
      <c r="E1080" s="186"/>
      <c r="F1080" s="187"/>
      <c r="G1080" s="187">
        <f t="shared" si="100"/>
        <v>0</v>
      </c>
      <c r="H1080" s="188">
        <v>0.05</v>
      </c>
      <c r="I1080" s="189">
        <f t="shared" si="101"/>
        <v>0</v>
      </c>
      <c r="J1080" s="189">
        <f t="shared" si="102"/>
        <v>0</v>
      </c>
      <c r="K1080" s="294"/>
      <c r="L1080" s="295"/>
      <c r="M1080" s="296">
        <v>0.05</v>
      </c>
      <c r="N1080" s="296">
        <f t="shared" si="103"/>
        <v>0</v>
      </c>
      <c r="O1080" s="299">
        <f t="shared" si="104"/>
        <v>0</v>
      </c>
      <c r="P1080" s="303"/>
    </row>
    <row r="1081" spans="2:16" ht="15.75" thickBot="1">
      <c r="B1081" s="184"/>
      <c r="C1081" s="185"/>
      <c r="D1081" s="186"/>
      <c r="E1081" s="186"/>
      <c r="F1081" s="187"/>
      <c r="G1081" s="187">
        <f t="shared" si="100"/>
        <v>0</v>
      </c>
      <c r="H1081" s="188">
        <v>0.05</v>
      </c>
      <c r="I1081" s="189">
        <f t="shared" si="101"/>
        <v>0</v>
      </c>
      <c r="J1081" s="189">
        <f t="shared" si="102"/>
        <v>0</v>
      </c>
      <c r="K1081" s="294"/>
      <c r="L1081" s="295"/>
      <c r="M1081" s="296">
        <v>0.05</v>
      </c>
      <c r="N1081" s="296">
        <f t="shared" si="103"/>
        <v>0</v>
      </c>
      <c r="O1081" s="299">
        <f t="shared" si="104"/>
        <v>0</v>
      </c>
      <c r="P1081" s="303"/>
    </row>
    <row r="1082" spans="2:16" ht="15.75" thickBot="1">
      <c r="B1082" s="184"/>
      <c r="C1082" s="185"/>
      <c r="D1082" s="186"/>
      <c r="E1082" s="186"/>
      <c r="F1082" s="187"/>
      <c r="G1082" s="187">
        <f t="shared" si="100"/>
        <v>0</v>
      </c>
      <c r="H1082" s="188">
        <v>0.05</v>
      </c>
      <c r="I1082" s="189">
        <f t="shared" si="101"/>
        <v>0</v>
      </c>
      <c r="J1082" s="189">
        <f t="shared" si="102"/>
        <v>0</v>
      </c>
      <c r="K1082" s="294"/>
      <c r="L1082" s="295"/>
      <c r="M1082" s="296">
        <v>0.05</v>
      </c>
      <c r="N1082" s="296">
        <f t="shared" si="103"/>
        <v>0</v>
      </c>
      <c r="O1082" s="299">
        <f t="shared" si="104"/>
        <v>0</v>
      </c>
      <c r="P1082" s="303"/>
    </row>
    <row r="1083" spans="2:16" ht="15.75" thickBot="1">
      <c r="B1083" s="184"/>
      <c r="C1083" s="185"/>
      <c r="D1083" s="186"/>
      <c r="E1083" s="186"/>
      <c r="F1083" s="187"/>
      <c r="G1083" s="187">
        <f t="shared" si="100"/>
        <v>0</v>
      </c>
      <c r="H1083" s="188">
        <v>0.05</v>
      </c>
      <c r="I1083" s="189">
        <f t="shared" si="101"/>
        <v>0</v>
      </c>
      <c r="J1083" s="189">
        <f t="shared" si="102"/>
        <v>0</v>
      </c>
      <c r="K1083" s="294"/>
      <c r="L1083" s="295"/>
      <c r="M1083" s="296">
        <v>0.05</v>
      </c>
      <c r="N1083" s="296">
        <f t="shared" si="103"/>
        <v>0</v>
      </c>
      <c r="O1083" s="299">
        <f t="shared" si="104"/>
        <v>0</v>
      </c>
      <c r="P1083" s="303"/>
    </row>
    <row r="1084" spans="2:16" ht="15.75" thickBot="1">
      <c r="B1084" s="184"/>
      <c r="C1084" s="185"/>
      <c r="D1084" s="186"/>
      <c r="E1084" s="186"/>
      <c r="F1084" s="187"/>
      <c r="G1084" s="187">
        <f t="shared" si="100"/>
        <v>0</v>
      </c>
      <c r="H1084" s="188">
        <v>0.05</v>
      </c>
      <c r="I1084" s="189">
        <f t="shared" si="101"/>
        <v>0</v>
      </c>
      <c r="J1084" s="189">
        <f t="shared" si="102"/>
        <v>0</v>
      </c>
      <c r="K1084" s="294"/>
      <c r="L1084" s="295"/>
      <c r="M1084" s="296">
        <v>0.05</v>
      </c>
      <c r="N1084" s="296">
        <f t="shared" si="103"/>
        <v>0</v>
      </c>
      <c r="O1084" s="299">
        <f t="shared" si="104"/>
        <v>0</v>
      </c>
      <c r="P1084" s="303"/>
    </row>
    <row r="1085" spans="2:16" ht="15.75" thickBot="1">
      <c r="B1085" s="184"/>
      <c r="C1085" s="185"/>
      <c r="D1085" s="186"/>
      <c r="E1085" s="186"/>
      <c r="F1085" s="187"/>
      <c r="G1085" s="187">
        <f t="shared" si="100"/>
        <v>0</v>
      </c>
      <c r="H1085" s="188">
        <v>0.05</v>
      </c>
      <c r="I1085" s="189">
        <f t="shared" si="101"/>
        <v>0</v>
      </c>
      <c r="J1085" s="189">
        <f t="shared" si="102"/>
        <v>0</v>
      </c>
      <c r="K1085" s="294"/>
      <c r="L1085" s="295"/>
      <c r="M1085" s="296">
        <v>0.05</v>
      </c>
      <c r="N1085" s="296">
        <f t="shared" si="103"/>
        <v>0</v>
      </c>
      <c r="O1085" s="299">
        <f t="shared" si="104"/>
        <v>0</v>
      </c>
      <c r="P1085" s="303"/>
    </row>
    <row r="1086" spans="2:16" ht="15.75" thickBot="1">
      <c r="B1086" s="184"/>
      <c r="C1086" s="185"/>
      <c r="D1086" s="186"/>
      <c r="E1086" s="186"/>
      <c r="F1086" s="187"/>
      <c r="G1086" s="187">
        <f t="shared" si="100"/>
        <v>0</v>
      </c>
      <c r="H1086" s="188">
        <v>0.05</v>
      </c>
      <c r="I1086" s="189">
        <f t="shared" si="101"/>
        <v>0</v>
      </c>
      <c r="J1086" s="189">
        <f t="shared" si="102"/>
        <v>0</v>
      </c>
      <c r="K1086" s="294"/>
      <c r="L1086" s="295"/>
      <c r="M1086" s="296">
        <v>0.05</v>
      </c>
      <c r="N1086" s="296">
        <f t="shared" si="103"/>
        <v>0</v>
      </c>
      <c r="O1086" s="299">
        <f t="shared" si="104"/>
        <v>0</v>
      </c>
      <c r="P1086" s="303"/>
    </row>
    <row r="1087" spans="2:16" ht="15.75" thickBot="1">
      <c r="B1087" s="184"/>
      <c r="C1087" s="185"/>
      <c r="D1087" s="186"/>
      <c r="E1087" s="186"/>
      <c r="F1087" s="187"/>
      <c r="G1087" s="187">
        <f t="shared" si="100"/>
        <v>0</v>
      </c>
      <c r="H1087" s="188">
        <v>0.05</v>
      </c>
      <c r="I1087" s="189">
        <f t="shared" si="101"/>
        <v>0</v>
      </c>
      <c r="J1087" s="189">
        <f t="shared" si="102"/>
        <v>0</v>
      </c>
      <c r="K1087" s="294"/>
      <c r="L1087" s="295"/>
      <c r="M1087" s="296">
        <v>0.05</v>
      </c>
      <c r="N1087" s="296">
        <f t="shared" si="103"/>
        <v>0</v>
      </c>
      <c r="O1087" s="299">
        <f t="shared" si="104"/>
        <v>0</v>
      </c>
      <c r="P1087" s="303"/>
    </row>
    <row r="1088" spans="2:16" ht="15.75" thickBot="1">
      <c r="B1088" s="184"/>
      <c r="C1088" s="185"/>
      <c r="D1088" s="186"/>
      <c r="E1088" s="186"/>
      <c r="F1088" s="187"/>
      <c r="G1088" s="187">
        <f t="shared" si="100"/>
        <v>0</v>
      </c>
      <c r="H1088" s="188">
        <v>0.05</v>
      </c>
      <c r="I1088" s="189">
        <f t="shared" si="101"/>
        <v>0</v>
      </c>
      <c r="J1088" s="189">
        <f t="shared" si="102"/>
        <v>0</v>
      </c>
      <c r="K1088" s="294"/>
      <c r="L1088" s="295"/>
      <c r="M1088" s="296">
        <v>0.05</v>
      </c>
      <c r="N1088" s="296">
        <f t="shared" si="103"/>
        <v>0</v>
      </c>
      <c r="O1088" s="299">
        <f t="shared" si="104"/>
        <v>0</v>
      </c>
      <c r="P1088" s="303"/>
    </row>
    <row r="1089" spans="2:16" ht="15.75" thickBot="1">
      <c r="B1089" s="184"/>
      <c r="C1089" s="185"/>
      <c r="D1089" s="186"/>
      <c r="E1089" s="186"/>
      <c r="F1089" s="187"/>
      <c r="G1089" s="187">
        <f t="shared" si="100"/>
        <v>0</v>
      </c>
      <c r="H1089" s="188">
        <v>0.05</v>
      </c>
      <c r="I1089" s="189">
        <f t="shared" si="101"/>
        <v>0</v>
      </c>
      <c r="J1089" s="189">
        <f t="shared" si="102"/>
        <v>0</v>
      </c>
      <c r="K1089" s="294"/>
      <c r="L1089" s="295"/>
      <c r="M1089" s="296">
        <v>0.05</v>
      </c>
      <c r="N1089" s="296">
        <f t="shared" si="103"/>
        <v>0</v>
      </c>
      <c r="O1089" s="299">
        <f t="shared" si="104"/>
        <v>0</v>
      </c>
      <c r="P1089" s="303"/>
    </row>
    <row r="1090" spans="2:16" ht="15.75" thickBot="1">
      <c r="B1090" s="184"/>
      <c r="C1090" s="185"/>
      <c r="D1090" s="186"/>
      <c r="E1090" s="186"/>
      <c r="F1090" s="187"/>
      <c r="G1090" s="187">
        <f t="shared" si="100"/>
        <v>0</v>
      </c>
      <c r="H1090" s="188">
        <v>0.05</v>
      </c>
      <c r="I1090" s="189">
        <f t="shared" si="101"/>
        <v>0</v>
      </c>
      <c r="J1090" s="189">
        <f t="shared" si="102"/>
        <v>0</v>
      </c>
      <c r="K1090" s="294"/>
      <c r="L1090" s="295"/>
      <c r="M1090" s="296">
        <v>0.05</v>
      </c>
      <c r="N1090" s="296">
        <f t="shared" si="103"/>
        <v>0</v>
      </c>
      <c r="O1090" s="299">
        <f t="shared" si="104"/>
        <v>0</v>
      </c>
      <c r="P1090" s="303"/>
    </row>
    <row r="1091" spans="2:16" ht="15.75" thickBot="1">
      <c r="B1091" s="184"/>
      <c r="C1091" s="185"/>
      <c r="D1091" s="186"/>
      <c r="E1091" s="186"/>
      <c r="F1091" s="187"/>
      <c r="G1091" s="187">
        <f t="shared" si="100"/>
        <v>0</v>
      </c>
      <c r="H1091" s="188">
        <v>0.05</v>
      </c>
      <c r="I1091" s="189">
        <f t="shared" si="101"/>
        <v>0</v>
      </c>
      <c r="J1091" s="189">
        <f t="shared" si="102"/>
        <v>0</v>
      </c>
      <c r="K1091" s="294"/>
      <c r="L1091" s="295"/>
      <c r="M1091" s="296">
        <v>0.05</v>
      </c>
      <c r="N1091" s="296">
        <f t="shared" si="103"/>
        <v>0</v>
      </c>
      <c r="O1091" s="299">
        <f t="shared" si="104"/>
        <v>0</v>
      </c>
      <c r="P1091" s="303"/>
    </row>
    <row r="1092" spans="2:16" ht="15.75" thickBot="1">
      <c r="B1092" s="184"/>
      <c r="C1092" s="185"/>
      <c r="D1092" s="186"/>
      <c r="E1092" s="186"/>
      <c r="F1092" s="187"/>
      <c r="G1092" s="187">
        <f t="shared" si="100"/>
        <v>0</v>
      </c>
      <c r="H1092" s="188">
        <v>0.05</v>
      </c>
      <c r="I1092" s="189">
        <f t="shared" si="101"/>
        <v>0</v>
      </c>
      <c r="J1092" s="189">
        <f t="shared" si="102"/>
        <v>0</v>
      </c>
      <c r="K1092" s="294"/>
      <c r="L1092" s="295"/>
      <c r="M1092" s="296">
        <v>0.05</v>
      </c>
      <c r="N1092" s="296">
        <f t="shared" si="103"/>
        <v>0</v>
      </c>
      <c r="O1092" s="299">
        <f t="shared" si="104"/>
        <v>0</v>
      </c>
      <c r="P1092" s="303"/>
    </row>
    <row r="1093" spans="2:16" ht="15.75" thickBot="1">
      <c r="B1093" s="184"/>
      <c r="C1093" s="185"/>
      <c r="D1093" s="186"/>
      <c r="E1093" s="186"/>
      <c r="F1093" s="187"/>
      <c r="G1093" s="187">
        <f t="shared" si="100"/>
        <v>0</v>
      </c>
      <c r="H1093" s="188">
        <v>0.05</v>
      </c>
      <c r="I1093" s="189">
        <f t="shared" si="101"/>
        <v>0</v>
      </c>
      <c r="J1093" s="189">
        <f t="shared" si="102"/>
        <v>0</v>
      </c>
      <c r="K1093" s="294"/>
      <c r="L1093" s="295"/>
      <c r="M1093" s="296">
        <v>0.05</v>
      </c>
      <c r="N1093" s="296">
        <f t="shared" si="103"/>
        <v>0</v>
      </c>
      <c r="O1093" s="299">
        <f t="shared" si="104"/>
        <v>0</v>
      </c>
      <c r="P1093" s="303"/>
    </row>
    <row r="1094" spans="2:16" ht="15.75" thickBot="1">
      <c r="B1094" s="184"/>
      <c r="C1094" s="185"/>
      <c r="D1094" s="186"/>
      <c r="E1094" s="186"/>
      <c r="F1094" s="187"/>
      <c r="G1094" s="187">
        <f t="shared" si="100"/>
        <v>0</v>
      </c>
      <c r="H1094" s="188">
        <v>0.05</v>
      </c>
      <c r="I1094" s="189">
        <f t="shared" si="101"/>
        <v>0</v>
      </c>
      <c r="J1094" s="189">
        <f t="shared" si="102"/>
        <v>0</v>
      </c>
      <c r="K1094" s="294"/>
      <c r="L1094" s="295"/>
      <c r="M1094" s="296">
        <v>0.05</v>
      </c>
      <c r="N1094" s="296">
        <f t="shared" si="103"/>
        <v>0</v>
      </c>
      <c r="O1094" s="299">
        <f t="shared" si="104"/>
        <v>0</v>
      </c>
      <c r="P1094" s="303"/>
    </row>
    <row r="1095" spans="2:16" ht="15.75" thickBot="1">
      <c r="B1095" s="184"/>
      <c r="C1095" s="185"/>
      <c r="D1095" s="186"/>
      <c r="E1095" s="186"/>
      <c r="F1095" s="187"/>
      <c r="G1095" s="187">
        <f t="shared" si="100"/>
        <v>0</v>
      </c>
      <c r="H1095" s="188">
        <v>0.05</v>
      </c>
      <c r="I1095" s="189">
        <f t="shared" si="101"/>
        <v>0</v>
      </c>
      <c r="J1095" s="189">
        <f t="shared" si="102"/>
        <v>0</v>
      </c>
      <c r="K1095" s="294"/>
      <c r="L1095" s="295"/>
      <c r="M1095" s="296">
        <v>0.05</v>
      </c>
      <c r="N1095" s="296">
        <f t="shared" si="103"/>
        <v>0</v>
      </c>
      <c r="O1095" s="299">
        <f t="shared" si="104"/>
        <v>0</v>
      </c>
      <c r="P1095" s="303"/>
    </row>
    <row r="1096" spans="2:16" ht="15.75" thickBot="1">
      <c r="B1096" s="184"/>
      <c r="C1096" s="185"/>
      <c r="D1096" s="186"/>
      <c r="E1096" s="186"/>
      <c r="F1096" s="187"/>
      <c r="G1096" s="187">
        <f t="shared" si="100"/>
        <v>0</v>
      </c>
      <c r="H1096" s="188">
        <v>0.05</v>
      </c>
      <c r="I1096" s="189">
        <f t="shared" si="101"/>
        <v>0</v>
      </c>
      <c r="J1096" s="189">
        <f t="shared" si="102"/>
        <v>0</v>
      </c>
      <c r="K1096" s="294"/>
      <c r="L1096" s="295"/>
      <c r="M1096" s="296">
        <v>0.05</v>
      </c>
      <c r="N1096" s="296">
        <f t="shared" si="103"/>
        <v>0</v>
      </c>
      <c r="O1096" s="299">
        <f t="shared" si="104"/>
        <v>0</v>
      </c>
      <c r="P1096" s="303"/>
    </row>
    <row r="1097" spans="2:16" ht="15.75" thickBot="1">
      <c r="B1097" s="184"/>
      <c r="C1097" s="185"/>
      <c r="D1097" s="186"/>
      <c r="E1097" s="186"/>
      <c r="F1097" s="187"/>
      <c r="G1097" s="187">
        <f t="shared" si="100"/>
        <v>0</v>
      </c>
      <c r="H1097" s="188">
        <v>0.05</v>
      </c>
      <c r="I1097" s="189">
        <f t="shared" si="101"/>
        <v>0</v>
      </c>
      <c r="J1097" s="189">
        <f t="shared" si="102"/>
        <v>0</v>
      </c>
      <c r="K1097" s="294"/>
      <c r="L1097" s="295"/>
      <c r="M1097" s="296">
        <v>0.05</v>
      </c>
      <c r="N1097" s="296">
        <f t="shared" si="103"/>
        <v>0</v>
      </c>
      <c r="O1097" s="299">
        <f t="shared" si="104"/>
        <v>0</v>
      </c>
      <c r="P1097" s="303"/>
    </row>
    <row r="1098" spans="2:16" ht="15.75" thickBot="1">
      <c r="B1098" s="184"/>
      <c r="C1098" s="185"/>
      <c r="D1098" s="186"/>
      <c r="E1098" s="186"/>
      <c r="F1098" s="187"/>
      <c r="G1098" s="187">
        <f t="shared" si="100"/>
        <v>0</v>
      </c>
      <c r="H1098" s="188">
        <v>0.05</v>
      </c>
      <c r="I1098" s="189">
        <f t="shared" si="101"/>
        <v>0</v>
      </c>
      <c r="J1098" s="189">
        <f t="shared" si="102"/>
        <v>0</v>
      </c>
      <c r="K1098" s="294"/>
      <c r="L1098" s="295"/>
      <c r="M1098" s="296">
        <v>0.05</v>
      </c>
      <c r="N1098" s="296">
        <f t="shared" si="103"/>
        <v>0</v>
      </c>
      <c r="O1098" s="299">
        <f t="shared" si="104"/>
        <v>0</v>
      </c>
      <c r="P1098" s="303"/>
    </row>
    <row r="1099" spans="2:16" ht="15.75" thickBot="1">
      <c r="B1099" s="184"/>
      <c r="C1099" s="185"/>
      <c r="D1099" s="186"/>
      <c r="E1099" s="186"/>
      <c r="F1099" s="187"/>
      <c r="G1099" s="187">
        <f t="shared" si="100"/>
        <v>0</v>
      </c>
      <c r="H1099" s="188">
        <v>0.05</v>
      </c>
      <c r="I1099" s="189">
        <f t="shared" si="101"/>
        <v>0</v>
      </c>
      <c r="J1099" s="189">
        <f t="shared" si="102"/>
        <v>0</v>
      </c>
      <c r="K1099" s="294"/>
      <c r="L1099" s="295"/>
      <c r="M1099" s="296">
        <v>0.05</v>
      </c>
      <c r="N1099" s="296">
        <f t="shared" si="103"/>
        <v>0</v>
      </c>
      <c r="O1099" s="299">
        <f t="shared" si="104"/>
        <v>0</v>
      </c>
      <c r="P1099" s="303"/>
    </row>
    <row r="1100" spans="2:16" ht="15.75" thickBot="1">
      <c r="B1100" s="184"/>
      <c r="C1100" s="185"/>
      <c r="D1100" s="186"/>
      <c r="E1100" s="186"/>
      <c r="F1100" s="187"/>
      <c r="G1100" s="187">
        <f t="shared" si="100"/>
        <v>0</v>
      </c>
      <c r="H1100" s="188">
        <v>0.05</v>
      </c>
      <c r="I1100" s="189">
        <f t="shared" si="101"/>
        <v>0</v>
      </c>
      <c r="J1100" s="189">
        <f t="shared" si="102"/>
        <v>0</v>
      </c>
      <c r="K1100" s="294"/>
      <c r="L1100" s="295"/>
      <c r="M1100" s="296">
        <v>0.05</v>
      </c>
      <c r="N1100" s="296">
        <f t="shared" si="103"/>
        <v>0</v>
      </c>
      <c r="O1100" s="299">
        <f t="shared" si="104"/>
        <v>0</v>
      </c>
      <c r="P1100" s="303"/>
    </row>
    <row r="1101" spans="2:16" ht="15.75" thickBot="1">
      <c r="B1101" s="184"/>
      <c r="C1101" s="185"/>
      <c r="D1101" s="186"/>
      <c r="E1101" s="186"/>
      <c r="F1101" s="187"/>
      <c r="G1101" s="187">
        <f t="shared" si="100"/>
        <v>0</v>
      </c>
      <c r="H1101" s="188">
        <v>0.05</v>
      </c>
      <c r="I1101" s="189">
        <f t="shared" si="101"/>
        <v>0</v>
      </c>
      <c r="J1101" s="189">
        <f t="shared" si="102"/>
        <v>0</v>
      </c>
      <c r="K1101" s="294"/>
      <c r="L1101" s="295"/>
      <c r="M1101" s="296">
        <v>0.05</v>
      </c>
      <c r="N1101" s="296">
        <f t="shared" si="103"/>
        <v>0</v>
      </c>
      <c r="O1101" s="299">
        <f t="shared" si="104"/>
        <v>0</v>
      </c>
      <c r="P1101" s="303"/>
    </row>
    <row r="1102" spans="2:16" ht="15.75" thickBot="1">
      <c r="B1102" s="184"/>
      <c r="C1102" s="185"/>
      <c r="D1102" s="186"/>
      <c r="E1102" s="186"/>
      <c r="F1102" s="187"/>
      <c r="G1102" s="187">
        <f t="shared" si="100"/>
        <v>0</v>
      </c>
      <c r="H1102" s="188">
        <v>0.05</v>
      </c>
      <c r="I1102" s="189">
        <f t="shared" si="101"/>
        <v>0</v>
      </c>
      <c r="J1102" s="189">
        <f t="shared" si="102"/>
        <v>0</v>
      </c>
      <c r="K1102" s="294"/>
      <c r="L1102" s="295"/>
      <c r="M1102" s="296">
        <v>0.05</v>
      </c>
      <c r="N1102" s="296">
        <f t="shared" si="103"/>
        <v>0</v>
      </c>
      <c r="O1102" s="299">
        <f t="shared" si="104"/>
        <v>0</v>
      </c>
      <c r="P1102" s="303"/>
    </row>
    <row r="1103" spans="2:16" ht="15.75" thickBot="1">
      <c r="B1103" s="184"/>
      <c r="C1103" s="185"/>
      <c r="D1103" s="186"/>
      <c r="E1103" s="186"/>
      <c r="F1103" s="187"/>
      <c r="G1103" s="187">
        <f t="shared" si="100"/>
        <v>0</v>
      </c>
      <c r="H1103" s="188">
        <v>0.05</v>
      </c>
      <c r="I1103" s="189">
        <f t="shared" si="101"/>
        <v>0</v>
      </c>
      <c r="J1103" s="189">
        <f t="shared" si="102"/>
        <v>0</v>
      </c>
      <c r="K1103" s="294"/>
      <c r="L1103" s="295"/>
      <c r="M1103" s="296">
        <v>0.05</v>
      </c>
      <c r="N1103" s="296">
        <f t="shared" si="103"/>
        <v>0</v>
      </c>
      <c r="O1103" s="299">
        <f t="shared" si="104"/>
        <v>0</v>
      </c>
      <c r="P1103" s="303"/>
    </row>
    <row r="1104" spans="2:16" ht="15.75" thickBot="1">
      <c r="B1104" s="184"/>
      <c r="C1104" s="185"/>
      <c r="D1104" s="186"/>
      <c r="E1104" s="186"/>
      <c r="F1104" s="187"/>
      <c r="G1104" s="187">
        <f t="shared" si="100"/>
        <v>0</v>
      </c>
      <c r="H1104" s="188">
        <v>0.05</v>
      </c>
      <c r="I1104" s="189">
        <f t="shared" si="101"/>
        <v>0</v>
      </c>
      <c r="J1104" s="189">
        <f t="shared" si="102"/>
        <v>0</v>
      </c>
      <c r="K1104" s="294"/>
      <c r="L1104" s="295"/>
      <c r="M1104" s="296">
        <v>0.05</v>
      </c>
      <c r="N1104" s="296">
        <f t="shared" si="103"/>
        <v>0</v>
      </c>
      <c r="O1104" s="299">
        <f t="shared" si="104"/>
        <v>0</v>
      </c>
      <c r="P1104" s="303"/>
    </row>
    <row r="1105" spans="2:16" ht="15.75" thickBot="1">
      <c r="B1105" s="184"/>
      <c r="C1105" s="185"/>
      <c r="D1105" s="186"/>
      <c r="E1105" s="186"/>
      <c r="F1105" s="187"/>
      <c r="G1105" s="187">
        <f t="shared" si="100"/>
        <v>0</v>
      </c>
      <c r="H1105" s="188">
        <v>0.05</v>
      </c>
      <c r="I1105" s="189">
        <f t="shared" si="101"/>
        <v>0</v>
      </c>
      <c r="J1105" s="189">
        <f t="shared" si="102"/>
        <v>0</v>
      </c>
      <c r="K1105" s="294"/>
      <c r="L1105" s="295"/>
      <c r="M1105" s="296">
        <v>0.05</v>
      </c>
      <c r="N1105" s="296">
        <f t="shared" si="103"/>
        <v>0</v>
      </c>
      <c r="O1105" s="299">
        <f t="shared" si="104"/>
        <v>0</v>
      </c>
      <c r="P1105" s="303"/>
    </row>
    <row r="1106" spans="2:16" ht="15.75" thickBot="1">
      <c r="B1106" s="184"/>
      <c r="C1106" s="185"/>
      <c r="D1106" s="186"/>
      <c r="E1106" s="186"/>
      <c r="F1106" s="187"/>
      <c r="G1106" s="187">
        <f t="shared" si="100"/>
        <v>0</v>
      </c>
      <c r="H1106" s="188">
        <v>0.05</v>
      </c>
      <c r="I1106" s="189">
        <f t="shared" si="101"/>
        <v>0</v>
      </c>
      <c r="J1106" s="189">
        <f t="shared" si="102"/>
        <v>0</v>
      </c>
      <c r="K1106" s="294"/>
      <c r="L1106" s="295"/>
      <c r="M1106" s="296">
        <v>0.05</v>
      </c>
      <c r="N1106" s="296">
        <f t="shared" si="103"/>
        <v>0</v>
      </c>
      <c r="O1106" s="299">
        <f t="shared" si="104"/>
        <v>0</v>
      </c>
      <c r="P1106" s="303"/>
    </row>
    <row r="1107" spans="2:16" ht="15.75" thickBot="1">
      <c r="B1107" s="184"/>
      <c r="C1107" s="185"/>
      <c r="D1107" s="186"/>
      <c r="E1107" s="186"/>
      <c r="F1107" s="187"/>
      <c r="G1107" s="187">
        <f t="shared" si="100"/>
        <v>0</v>
      </c>
      <c r="H1107" s="188">
        <v>0.05</v>
      </c>
      <c r="I1107" s="189">
        <f t="shared" si="101"/>
        <v>0</v>
      </c>
      <c r="J1107" s="189">
        <f t="shared" si="102"/>
        <v>0</v>
      </c>
      <c r="K1107" s="294"/>
      <c r="L1107" s="295"/>
      <c r="M1107" s="296">
        <v>0.05</v>
      </c>
      <c r="N1107" s="296">
        <f t="shared" si="103"/>
        <v>0</v>
      </c>
      <c r="O1107" s="299">
        <f t="shared" si="104"/>
        <v>0</v>
      </c>
      <c r="P1107" s="303"/>
    </row>
    <row r="1108" spans="2:16" ht="15.75" thickBot="1">
      <c r="B1108" s="184"/>
      <c r="C1108" s="185"/>
      <c r="D1108" s="186"/>
      <c r="E1108" s="186"/>
      <c r="F1108" s="187"/>
      <c r="G1108" s="187">
        <f t="shared" si="100"/>
        <v>0</v>
      </c>
      <c r="H1108" s="188">
        <v>0.05</v>
      </c>
      <c r="I1108" s="189">
        <f t="shared" si="101"/>
        <v>0</v>
      </c>
      <c r="J1108" s="189">
        <f t="shared" si="102"/>
        <v>0</v>
      </c>
      <c r="K1108" s="294"/>
      <c r="L1108" s="295"/>
      <c r="M1108" s="296">
        <v>0.05</v>
      </c>
      <c r="N1108" s="296">
        <f t="shared" si="103"/>
        <v>0</v>
      </c>
      <c r="O1108" s="299">
        <f t="shared" si="104"/>
        <v>0</v>
      </c>
      <c r="P1108" s="303"/>
    </row>
    <row r="1109" spans="2:16" ht="15.75" thickBot="1">
      <c r="B1109" s="184"/>
      <c r="C1109" s="185"/>
      <c r="D1109" s="186"/>
      <c r="E1109" s="186"/>
      <c r="F1109" s="187"/>
      <c r="G1109" s="187">
        <f t="shared" si="100"/>
        <v>0</v>
      </c>
      <c r="H1109" s="188">
        <v>0.05</v>
      </c>
      <c r="I1109" s="189">
        <f t="shared" si="101"/>
        <v>0</v>
      </c>
      <c r="J1109" s="189">
        <f t="shared" si="102"/>
        <v>0</v>
      </c>
      <c r="K1109" s="294"/>
      <c r="L1109" s="295"/>
      <c r="M1109" s="296">
        <v>0.05</v>
      </c>
      <c r="N1109" s="296">
        <f t="shared" si="103"/>
        <v>0</v>
      </c>
      <c r="O1109" s="299">
        <f t="shared" si="104"/>
        <v>0</v>
      </c>
      <c r="P1109" s="303"/>
    </row>
    <row r="1110" spans="2:16" ht="15.75" thickBot="1">
      <c r="B1110" s="184"/>
      <c r="C1110" s="185"/>
      <c r="D1110" s="186"/>
      <c r="E1110" s="186"/>
      <c r="F1110" s="187"/>
      <c r="G1110" s="187">
        <f t="shared" si="100"/>
        <v>0</v>
      </c>
      <c r="H1110" s="188">
        <v>0.05</v>
      </c>
      <c r="I1110" s="189">
        <f t="shared" si="101"/>
        <v>0</v>
      </c>
      <c r="J1110" s="189">
        <f t="shared" si="102"/>
        <v>0</v>
      </c>
      <c r="K1110" s="294"/>
      <c r="L1110" s="295"/>
      <c r="M1110" s="296">
        <v>0.05</v>
      </c>
      <c r="N1110" s="296">
        <f t="shared" si="103"/>
        <v>0</v>
      </c>
      <c r="O1110" s="299">
        <f t="shared" si="104"/>
        <v>0</v>
      </c>
      <c r="P1110" s="303"/>
    </row>
    <row r="1111" spans="2:16" ht="15.75" thickBot="1">
      <c r="B1111" s="184"/>
      <c r="C1111" s="185"/>
      <c r="D1111" s="186"/>
      <c r="E1111" s="186"/>
      <c r="F1111" s="187"/>
      <c r="G1111" s="187">
        <f t="shared" si="100"/>
        <v>0</v>
      </c>
      <c r="H1111" s="188">
        <v>0.05</v>
      </c>
      <c r="I1111" s="189">
        <f t="shared" si="101"/>
        <v>0</v>
      </c>
      <c r="J1111" s="189">
        <f t="shared" si="102"/>
        <v>0</v>
      </c>
      <c r="K1111" s="294"/>
      <c r="L1111" s="295"/>
      <c r="M1111" s="296">
        <v>0.05</v>
      </c>
      <c r="N1111" s="296">
        <f t="shared" si="103"/>
        <v>0</v>
      </c>
      <c r="O1111" s="299">
        <f t="shared" si="104"/>
        <v>0</v>
      </c>
      <c r="P1111" s="303"/>
    </row>
    <row r="1112" spans="2:16" ht="15.75" thickBot="1">
      <c r="B1112" s="184"/>
      <c r="C1112" s="185"/>
      <c r="D1112" s="186"/>
      <c r="E1112" s="186"/>
      <c r="F1112" s="187"/>
      <c r="G1112" s="187">
        <f t="shared" si="100"/>
        <v>0</v>
      </c>
      <c r="H1112" s="188">
        <v>0.05</v>
      </c>
      <c r="I1112" s="189">
        <f t="shared" si="101"/>
        <v>0</v>
      </c>
      <c r="J1112" s="189">
        <f t="shared" si="102"/>
        <v>0</v>
      </c>
      <c r="K1112" s="294"/>
      <c r="L1112" s="295"/>
      <c r="M1112" s="296">
        <v>0.05</v>
      </c>
      <c r="N1112" s="296">
        <f t="shared" si="103"/>
        <v>0</v>
      </c>
      <c r="O1112" s="299">
        <f t="shared" si="104"/>
        <v>0</v>
      </c>
      <c r="P1112" s="303"/>
    </row>
    <row r="1113" spans="2:16" ht="15.75" thickBot="1">
      <c r="B1113" s="184"/>
      <c r="C1113" s="185"/>
      <c r="D1113" s="186"/>
      <c r="E1113" s="186"/>
      <c r="F1113" s="187"/>
      <c r="G1113" s="187">
        <f t="shared" si="100"/>
        <v>0</v>
      </c>
      <c r="H1113" s="188">
        <v>0.05</v>
      </c>
      <c r="I1113" s="189">
        <f t="shared" si="101"/>
        <v>0</v>
      </c>
      <c r="J1113" s="189">
        <f t="shared" si="102"/>
        <v>0</v>
      </c>
      <c r="K1113" s="294"/>
      <c r="L1113" s="295"/>
      <c r="M1113" s="296">
        <v>0.05</v>
      </c>
      <c r="N1113" s="296">
        <f t="shared" si="103"/>
        <v>0</v>
      </c>
      <c r="O1113" s="299">
        <f t="shared" si="104"/>
        <v>0</v>
      </c>
      <c r="P1113" s="303"/>
    </row>
    <row r="1114" spans="2:16" ht="15.75" thickBot="1">
      <c r="B1114" s="184"/>
      <c r="C1114" s="185"/>
      <c r="D1114" s="186"/>
      <c r="E1114" s="186"/>
      <c r="F1114" s="187"/>
      <c r="G1114" s="187">
        <f t="shared" si="100"/>
        <v>0</v>
      </c>
      <c r="H1114" s="188">
        <v>0.05</v>
      </c>
      <c r="I1114" s="189">
        <f t="shared" si="101"/>
        <v>0</v>
      </c>
      <c r="J1114" s="189">
        <f t="shared" si="102"/>
        <v>0</v>
      </c>
      <c r="K1114" s="294"/>
      <c r="L1114" s="295"/>
      <c r="M1114" s="296">
        <v>0.05</v>
      </c>
      <c r="N1114" s="296">
        <f t="shared" si="103"/>
        <v>0</v>
      </c>
      <c r="O1114" s="299">
        <f t="shared" si="104"/>
        <v>0</v>
      </c>
      <c r="P1114" s="303"/>
    </row>
    <row r="1115" spans="2:16" ht="15.75" thickBot="1">
      <c r="B1115" s="184"/>
      <c r="C1115" s="185"/>
      <c r="D1115" s="186"/>
      <c r="E1115" s="186"/>
      <c r="F1115" s="187"/>
      <c r="G1115" s="187">
        <f t="shared" si="100"/>
        <v>0</v>
      </c>
      <c r="H1115" s="188">
        <v>0.05</v>
      </c>
      <c r="I1115" s="189">
        <f t="shared" si="101"/>
        <v>0</v>
      </c>
      <c r="J1115" s="189">
        <f t="shared" si="102"/>
        <v>0</v>
      </c>
      <c r="K1115" s="294"/>
      <c r="L1115" s="295"/>
      <c r="M1115" s="296">
        <v>0.05</v>
      </c>
      <c r="N1115" s="296">
        <f t="shared" si="103"/>
        <v>0</v>
      </c>
      <c r="O1115" s="299">
        <f t="shared" si="104"/>
        <v>0</v>
      </c>
      <c r="P1115" s="303"/>
    </row>
    <row r="1116" spans="2:16" ht="15.75" thickBot="1">
      <c r="B1116" s="184"/>
      <c r="C1116" s="185"/>
      <c r="D1116" s="186"/>
      <c r="E1116" s="186"/>
      <c r="F1116" s="187"/>
      <c r="G1116" s="187">
        <f t="shared" si="100"/>
        <v>0</v>
      </c>
      <c r="H1116" s="188">
        <v>0.05</v>
      </c>
      <c r="I1116" s="189">
        <f t="shared" si="101"/>
        <v>0</v>
      </c>
      <c r="J1116" s="189">
        <f t="shared" si="102"/>
        <v>0</v>
      </c>
      <c r="K1116" s="294"/>
      <c r="L1116" s="295"/>
      <c r="M1116" s="296">
        <v>0.05</v>
      </c>
      <c r="N1116" s="296">
        <f t="shared" si="103"/>
        <v>0</v>
      </c>
      <c r="O1116" s="299">
        <f t="shared" si="104"/>
        <v>0</v>
      </c>
      <c r="P1116" s="303"/>
    </row>
    <row r="1117" spans="2:16" ht="15.75" thickBot="1">
      <c r="B1117" s="184"/>
      <c r="C1117" s="185"/>
      <c r="D1117" s="186"/>
      <c r="E1117" s="186"/>
      <c r="F1117" s="187"/>
      <c r="G1117" s="187">
        <f t="shared" si="100"/>
        <v>0</v>
      </c>
      <c r="H1117" s="188">
        <v>0.05</v>
      </c>
      <c r="I1117" s="189">
        <f t="shared" si="101"/>
        <v>0</v>
      </c>
      <c r="J1117" s="189">
        <f t="shared" si="102"/>
        <v>0</v>
      </c>
      <c r="K1117" s="294"/>
      <c r="L1117" s="295"/>
      <c r="M1117" s="296">
        <v>0.05</v>
      </c>
      <c r="N1117" s="296">
        <f t="shared" si="103"/>
        <v>0</v>
      </c>
      <c r="O1117" s="299">
        <f t="shared" si="104"/>
        <v>0</v>
      </c>
      <c r="P1117" s="303"/>
    </row>
    <row r="1118" spans="2:16" ht="15.75" thickBot="1">
      <c r="B1118" s="184"/>
      <c r="C1118" s="185"/>
      <c r="D1118" s="186"/>
      <c r="E1118" s="186"/>
      <c r="F1118" s="187"/>
      <c r="G1118" s="187">
        <f t="shared" si="100"/>
        <v>0</v>
      </c>
      <c r="H1118" s="188">
        <v>0.05</v>
      </c>
      <c r="I1118" s="189">
        <f t="shared" si="101"/>
        <v>0</v>
      </c>
      <c r="J1118" s="189">
        <f t="shared" si="102"/>
        <v>0</v>
      </c>
      <c r="K1118" s="294"/>
      <c r="L1118" s="295"/>
      <c r="M1118" s="296">
        <v>0.05</v>
      </c>
      <c r="N1118" s="296">
        <f t="shared" si="103"/>
        <v>0</v>
      </c>
      <c r="O1118" s="299">
        <f t="shared" si="104"/>
        <v>0</v>
      </c>
      <c r="P1118" s="303"/>
    </row>
    <row r="1119" spans="2:16" ht="15.75" thickBot="1">
      <c r="B1119" s="184"/>
      <c r="C1119" s="185"/>
      <c r="D1119" s="186"/>
      <c r="E1119" s="186"/>
      <c r="F1119" s="187"/>
      <c r="G1119" s="187">
        <f t="shared" si="100"/>
        <v>0</v>
      </c>
      <c r="H1119" s="188">
        <v>0.05</v>
      </c>
      <c r="I1119" s="189">
        <f t="shared" si="101"/>
        <v>0</v>
      </c>
      <c r="J1119" s="189">
        <f t="shared" si="102"/>
        <v>0</v>
      </c>
      <c r="K1119" s="294"/>
      <c r="L1119" s="295"/>
      <c r="M1119" s="296">
        <v>0.05</v>
      </c>
      <c r="N1119" s="296">
        <f t="shared" si="103"/>
        <v>0</v>
      </c>
      <c r="O1119" s="299">
        <f t="shared" si="104"/>
        <v>0</v>
      </c>
      <c r="P1119" s="303"/>
    </row>
    <row r="1120" spans="2:16" ht="15.75" thickBot="1">
      <c r="B1120" s="184"/>
      <c r="C1120" s="185"/>
      <c r="D1120" s="186"/>
      <c r="E1120" s="186"/>
      <c r="F1120" s="187"/>
      <c r="G1120" s="187">
        <f t="shared" si="100"/>
        <v>0</v>
      </c>
      <c r="H1120" s="188">
        <v>0.05</v>
      </c>
      <c r="I1120" s="189">
        <f t="shared" si="101"/>
        <v>0</v>
      </c>
      <c r="J1120" s="189">
        <f t="shared" si="102"/>
        <v>0</v>
      </c>
      <c r="K1120" s="294"/>
      <c r="L1120" s="295"/>
      <c r="M1120" s="296">
        <v>0.05</v>
      </c>
      <c r="N1120" s="296">
        <f t="shared" si="103"/>
        <v>0</v>
      </c>
      <c r="O1120" s="299">
        <f t="shared" si="104"/>
        <v>0</v>
      </c>
      <c r="P1120" s="303"/>
    </row>
    <row r="1121" spans="2:16" ht="15.75" thickBot="1">
      <c r="B1121" s="184"/>
      <c r="C1121" s="185"/>
      <c r="D1121" s="186"/>
      <c r="E1121" s="186"/>
      <c r="F1121" s="187"/>
      <c r="G1121" s="187">
        <f t="shared" si="100"/>
        <v>0</v>
      </c>
      <c r="H1121" s="188">
        <v>0.05</v>
      </c>
      <c r="I1121" s="189">
        <f t="shared" si="101"/>
        <v>0</v>
      </c>
      <c r="J1121" s="189">
        <f t="shared" si="102"/>
        <v>0</v>
      </c>
      <c r="K1121" s="294"/>
      <c r="L1121" s="295"/>
      <c r="M1121" s="296">
        <v>0.05</v>
      </c>
      <c r="N1121" s="296">
        <f t="shared" si="103"/>
        <v>0</v>
      </c>
      <c r="O1121" s="299">
        <f t="shared" si="104"/>
        <v>0</v>
      </c>
      <c r="P1121" s="303"/>
    </row>
    <row r="1122" spans="2:16" ht="15.75" thickBot="1">
      <c r="B1122" s="184"/>
      <c r="C1122" s="185"/>
      <c r="D1122" s="186"/>
      <c r="E1122" s="186"/>
      <c r="F1122" s="187"/>
      <c r="G1122" s="187">
        <f t="shared" si="100"/>
        <v>0</v>
      </c>
      <c r="H1122" s="188">
        <v>0.05</v>
      </c>
      <c r="I1122" s="189">
        <f t="shared" si="101"/>
        <v>0</v>
      </c>
      <c r="J1122" s="189">
        <f t="shared" si="102"/>
        <v>0</v>
      </c>
      <c r="K1122" s="294"/>
      <c r="L1122" s="295"/>
      <c r="M1122" s="296">
        <v>0.05</v>
      </c>
      <c r="N1122" s="296">
        <f t="shared" si="103"/>
        <v>0</v>
      </c>
      <c r="O1122" s="299">
        <f t="shared" si="104"/>
        <v>0</v>
      </c>
      <c r="P1122" s="303"/>
    </row>
    <row r="1123" spans="2:16" ht="15.75" thickBot="1">
      <c r="B1123" s="184"/>
      <c r="C1123" s="185"/>
      <c r="D1123" s="186"/>
      <c r="E1123" s="186"/>
      <c r="F1123" s="187"/>
      <c r="G1123" s="187">
        <f t="shared" si="100"/>
        <v>0</v>
      </c>
      <c r="H1123" s="188">
        <v>0.05</v>
      </c>
      <c r="I1123" s="189">
        <f t="shared" si="101"/>
        <v>0</v>
      </c>
      <c r="J1123" s="189">
        <f t="shared" si="102"/>
        <v>0</v>
      </c>
      <c r="K1123" s="294"/>
      <c r="L1123" s="295"/>
      <c r="M1123" s="296">
        <v>0.05</v>
      </c>
      <c r="N1123" s="296">
        <f t="shared" si="103"/>
        <v>0</v>
      </c>
      <c r="O1123" s="299">
        <f t="shared" si="104"/>
        <v>0</v>
      </c>
      <c r="P1123" s="303"/>
    </row>
    <row r="1124" spans="2:16" ht="15.75" thickBot="1">
      <c r="B1124" s="184"/>
      <c r="C1124" s="185"/>
      <c r="D1124" s="186"/>
      <c r="E1124" s="186"/>
      <c r="F1124" s="187"/>
      <c r="G1124" s="187">
        <f t="shared" si="100"/>
        <v>0</v>
      </c>
      <c r="H1124" s="188">
        <v>0.05</v>
      </c>
      <c r="I1124" s="189">
        <f t="shared" si="101"/>
        <v>0</v>
      </c>
      <c r="J1124" s="189">
        <f t="shared" si="102"/>
        <v>0</v>
      </c>
      <c r="K1124" s="294"/>
      <c r="L1124" s="295"/>
      <c r="M1124" s="296">
        <v>0.05</v>
      </c>
      <c r="N1124" s="296">
        <f t="shared" si="103"/>
        <v>0</v>
      </c>
      <c r="O1124" s="299">
        <f t="shared" si="104"/>
        <v>0</v>
      </c>
      <c r="P1124" s="303"/>
    </row>
    <row r="1125" spans="2:16" ht="15.75" thickBot="1">
      <c r="B1125" s="184"/>
      <c r="C1125" s="185"/>
      <c r="D1125" s="186"/>
      <c r="E1125" s="186"/>
      <c r="F1125" s="187"/>
      <c r="G1125" s="187">
        <f t="shared" si="100"/>
        <v>0</v>
      </c>
      <c r="H1125" s="188">
        <v>0.05</v>
      </c>
      <c r="I1125" s="189">
        <f t="shared" si="101"/>
        <v>0</v>
      </c>
      <c r="J1125" s="189">
        <f t="shared" si="102"/>
        <v>0</v>
      </c>
      <c r="K1125" s="294"/>
      <c r="L1125" s="295"/>
      <c r="M1125" s="296">
        <v>0.05</v>
      </c>
      <c r="N1125" s="296">
        <f t="shared" si="103"/>
        <v>0</v>
      </c>
      <c r="O1125" s="299">
        <f t="shared" si="104"/>
        <v>0</v>
      </c>
      <c r="P1125" s="303"/>
    </row>
    <row r="1126" spans="2:16" ht="15.75" thickBot="1">
      <c r="B1126" s="184"/>
      <c r="C1126" s="185"/>
      <c r="D1126" s="186"/>
      <c r="E1126" s="186"/>
      <c r="F1126" s="187"/>
      <c r="G1126" s="187">
        <f t="shared" ref="G1126:G1189" si="105">IF(D1126=0,0,(D1126+E1126)/F1126)</f>
        <v>0</v>
      </c>
      <c r="H1126" s="188">
        <v>0.05</v>
      </c>
      <c r="I1126" s="189">
        <f t="shared" ref="I1126:I1189" si="106">+G1126*H1126</f>
        <v>0</v>
      </c>
      <c r="J1126" s="189">
        <f t="shared" ref="J1126:J1189" si="107">+G1126+I1126</f>
        <v>0</v>
      </c>
      <c r="K1126" s="294"/>
      <c r="L1126" s="295"/>
      <c r="M1126" s="296">
        <v>0.05</v>
      </c>
      <c r="N1126" s="296">
        <f t="shared" ref="N1126:N1189" si="108">IF(H1126&lt;M1126,H1126/M1126,0)</f>
        <v>0</v>
      </c>
      <c r="O1126" s="299">
        <f t="shared" ref="O1126:O1189" si="109">1.5%*N1126</f>
        <v>0</v>
      </c>
      <c r="P1126" s="303"/>
    </row>
    <row r="1127" spans="2:16" ht="15.75" thickBot="1">
      <c r="B1127" s="184"/>
      <c r="C1127" s="185"/>
      <c r="D1127" s="186"/>
      <c r="E1127" s="186"/>
      <c r="F1127" s="187"/>
      <c r="G1127" s="187">
        <f t="shared" si="105"/>
        <v>0</v>
      </c>
      <c r="H1127" s="188">
        <v>0.05</v>
      </c>
      <c r="I1127" s="189">
        <f t="shared" si="106"/>
        <v>0</v>
      </c>
      <c r="J1127" s="189">
        <f t="shared" si="107"/>
        <v>0</v>
      </c>
      <c r="K1127" s="294"/>
      <c r="L1127" s="295"/>
      <c r="M1127" s="296">
        <v>0.05</v>
      </c>
      <c r="N1127" s="296">
        <f t="shared" si="108"/>
        <v>0</v>
      </c>
      <c r="O1127" s="299">
        <f t="shared" si="109"/>
        <v>0</v>
      </c>
      <c r="P1127" s="303"/>
    </row>
    <row r="1128" spans="2:16" ht="15.75" thickBot="1">
      <c r="B1128" s="184"/>
      <c r="C1128" s="185"/>
      <c r="D1128" s="186"/>
      <c r="E1128" s="186"/>
      <c r="F1128" s="187"/>
      <c r="G1128" s="187">
        <f t="shared" si="105"/>
        <v>0</v>
      </c>
      <c r="H1128" s="188">
        <v>0.05</v>
      </c>
      <c r="I1128" s="189">
        <f t="shared" si="106"/>
        <v>0</v>
      </c>
      <c r="J1128" s="189">
        <f t="shared" si="107"/>
        <v>0</v>
      </c>
      <c r="K1128" s="294"/>
      <c r="L1128" s="295"/>
      <c r="M1128" s="296">
        <v>0.05</v>
      </c>
      <c r="N1128" s="296">
        <f t="shared" si="108"/>
        <v>0</v>
      </c>
      <c r="O1128" s="299">
        <f t="shared" si="109"/>
        <v>0</v>
      </c>
      <c r="P1128" s="303"/>
    </row>
    <row r="1129" spans="2:16" ht="15.75" thickBot="1">
      <c r="B1129" s="184"/>
      <c r="C1129" s="185"/>
      <c r="D1129" s="186"/>
      <c r="E1129" s="186"/>
      <c r="F1129" s="187"/>
      <c r="G1129" s="187">
        <f t="shared" si="105"/>
        <v>0</v>
      </c>
      <c r="H1129" s="188">
        <v>0.05</v>
      </c>
      <c r="I1129" s="189">
        <f t="shared" si="106"/>
        <v>0</v>
      </c>
      <c r="J1129" s="189">
        <f t="shared" si="107"/>
        <v>0</v>
      </c>
      <c r="K1129" s="294"/>
      <c r="L1129" s="295"/>
      <c r="M1129" s="296">
        <v>0.05</v>
      </c>
      <c r="N1129" s="296">
        <f t="shared" si="108"/>
        <v>0</v>
      </c>
      <c r="O1129" s="299">
        <f t="shared" si="109"/>
        <v>0</v>
      </c>
      <c r="P1129" s="303"/>
    </row>
    <row r="1130" spans="2:16" ht="15.75" thickBot="1">
      <c r="B1130" s="184"/>
      <c r="C1130" s="185"/>
      <c r="D1130" s="186"/>
      <c r="E1130" s="186"/>
      <c r="F1130" s="187"/>
      <c r="G1130" s="187">
        <f t="shared" si="105"/>
        <v>0</v>
      </c>
      <c r="H1130" s="188">
        <v>0.05</v>
      </c>
      <c r="I1130" s="189">
        <f t="shared" si="106"/>
        <v>0</v>
      </c>
      <c r="J1130" s="189">
        <f t="shared" si="107"/>
        <v>0</v>
      </c>
      <c r="K1130" s="294"/>
      <c r="L1130" s="295"/>
      <c r="M1130" s="296">
        <v>0.05</v>
      </c>
      <c r="N1130" s="296">
        <f t="shared" si="108"/>
        <v>0</v>
      </c>
      <c r="O1130" s="299">
        <f t="shared" si="109"/>
        <v>0</v>
      </c>
      <c r="P1130" s="303"/>
    </row>
    <row r="1131" spans="2:16" ht="15.75" thickBot="1">
      <c r="B1131" s="184"/>
      <c r="C1131" s="185"/>
      <c r="D1131" s="186"/>
      <c r="E1131" s="186"/>
      <c r="F1131" s="187"/>
      <c r="G1131" s="187">
        <f t="shared" si="105"/>
        <v>0</v>
      </c>
      <c r="H1131" s="188">
        <v>0.05</v>
      </c>
      <c r="I1131" s="189">
        <f t="shared" si="106"/>
        <v>0</v>
      </c>
      <c r="J1131" s="189">
        <f t="shared" si="107"/>
        <v>0</v>
      </c>
      <c r="K1131" s="294"/>
      <c r="L1131" s="295"/>
      <c r="M1131" s="296">
        <v>0.05</v>
      </c>
      <c r="N1131" s="296">
        <f t="shared" si="108"/>
        <v>0</v>
      </c>
      <c r="O1131" s="299">
        <f t="shared" si="109"/>
        <v>0</v>
      </c>
      <c r="P1131" s="303"/>
    </row>
    <row r="1132" spans="2:16" ht="15.75" thickBot="1">
      <c r="B1132" s="184"/>
      <c r="C1132" s="185"/>
      <c r="D1132" s="186"/>
      <c r="E1132" s="186"/>
      <c r="F1132" s="187"/>
      <c r="G1132" s="187">
        <f t="shared" si="105"/>
        <v>0</v>
      </c>
      <c r="H1132" s="188">
        <v>0.05</v>
      </c>
      <c r="I1132" s="189">
        <f t="shared" si="106"/>
        <v>0</v>
      </c>
      <c r="J1132" s="189">
        <f t="shared" si="107"/>
        <v>0</v>
      </c>
      <c r="K1132" s="294"/>
      <c r="L1132" s="295"/>
      <c r="M1132" s="296">
        <v>0.05</v>
      </c>
      <c r="N1132" s="296">
        <f t="shared" si="108"/>
        <v>0</v>
      </c>
      <c r="O1132" s="299">
        <f t="shared" si="109"/>
        <v>0</v>
      </c>
      <c r="P1132" s="303"/>
    </row>
    <row r="1133" spans="2:16" ht="15.75" thickBot="1">
      <c r="B1133" s="184"/>
      <c r="C1133" s="185"/>
      <c r="D1133" s="186"/>
      <c r="E1133" s="186"/>
      <c r="F1133" s="187"/>
      <c r="G1133" s="187">
        <f t="shared" si="105"/>
        <v>0</v>
      </c>
      <c r="H1133" s="188">
        <v>0.05</v>
      </c>
      <c r="I1133" s="189">
        <f t="shared" si="106"/>
        <v>0</v>
      </c>
      <c r="J1133" s="189">
        <f t="shared" si="107"/>
        <v>0</v>
      </c>
      <c r="K1133" s="294"/>
      <c r="L1133" s="295"/>
      <c r="M1133" s="296">
        <v>0.05</v>
      </c>
      <c r="N1133" s="296">
        <f t="shared" si="108"/>
        <v>0</v>
      </c>
      <c r="O1133" s="299">
        <f t="shared" si="109"/>
        <v>0</v>
      </c>
      <c r="P1133" s="303"/>
    </row>
    <row r="1134" spans="2:16" ht="15.75" thickBot="1">
      <c r="B1134" s="184"/>
      <c r="C1134" s="185"/>
      <c r="D1134" s="186"/>
      <c r="E1134" s="186"/>
      <c r="F1134" s="187"/>
      <c r="G1134" s="187">
        <f t="shared" si="105"/>
        <v>0</v>
      </c>
      <c r="H1134" s="188">
        <v>0.05</v>
      </c>
      <c r="I1134" s="189">
        <f t="shared" si="106"/>
        <v>0</v>
      </c>
      <c r="J1134" s="189">
        <f t="shared" si="107"/>
        <v>0</v>
      </c>
      <c r="K1134" s="294"/>
      <c r="L1134" s="295"/>
      <c r="M1134" s="296">
        <v>0.05</v>
      </c>
      <c r="N1134" s="296">
        <f t="shared" si="108"/>
        <v>0</v>
      </c>
      <c r="O1134" s="299">
        <f t="shared" si="109"/>
        <v>0</v>
      </c>
      <c r="P1134" s="303"/>
    </row>
    <row r="1135" spans="2:16" ht="15.75" thickBot="1">
      <c r="B1135" s="184"/>
      <c r="C1135" s="185"/>
      <c r="D1135" s="186"/>
      <c r="E1135" s="186"/>
      <c r="F1135" s="187"/>
      <c r="G1135" s="187">
        <f t="shared" si="105"/>
        <v>0</v>
      </c>
      <c r="H1135" s="188">
        <v>0.05</v>
      </c>
      <c r="I1135" s="189">
        <f t="shared" si="106"/>
        <v>0</v>
      </c>
      <c r="J1135" s="189">
        <f t="shared" si="107"/>
        <v>0</v>
      </c>
      <c r="K1135" s="294"/>
      <c r="L1135" s="295"/>
      <c r="M1135" s="296">
        <v>0.05</v>
      </c>
      <c r="N1135" s="296">
        <f t="shared" si="108"/>
        <v>0</v>
      </c>
      <c r="O1135" s="299">
        <f t="shared" si="109"/>
        <v>0</v>
      </c>
      <c r="P1135" s="303"/>
    </row>
    <row r="1136" spans="2:16" ht="15.75" thickBot="1">
      <c r="B1136" s="184"/>
      <c r="C1136" s="185"/>
      <c r="D1136" s="186"/>
      <c r="E1136" s="186"/>
      <c r="F1136" s="187"/>
      <c r="G1136" s="187">
        <f t="shared" si="105"/>
        <v>0</v>
      </c>
      <c r="H1136" s="188">
        <v>0.05</v>
      </c>
      <c r="I1136" s="189">
        <f t="shared" si="106"/>
        <v>0</v>
      </c>
      <c r="J1136" s="189">
        <f t="shared" si="107"/>
        <v>0</v>
      </c>
      <c r="K1136" s="294"/>
      <c r="L1136" s="295"/>
      <c r="M1136" s="296">
        <v>0.05</v>
      </c>
      <c r="N1136" s="296">
        <f t="shared" si="108"/>
        <v>0</v>
      </c>
      <c r="O1136" s="299">
        <f t="shared" si="109"/>
        <v>0</v>
      </c>
      <c r="P1136" s="303"/>
    </row>
    <row r="1137" spans="2:16" ht="15.75" thickBot="1">
      <c r="B1137" s="184"/>
      <c r="C1137" s="185"/>
      <c r="D1137" s="186"/>
      <c r="E1137" s="186"/>
      <c r="F1137" s="187"/>
      <c r="G1137" s="187">
        <f t="shared" si="105"/>
        <v>0</v>
      </c>
      <c r="H1137" s="188">
        <v>0.05</v>
      </c>
      <c r="I1137" s="189">
        <f t="shared" si="106"/>
        <v>0</v>
      </c>
      <c r="J1137" s="189">
        <f t="shared" si="107"/>
        <v>0</v>
      </c>
      <c r="K1137" s="294"/>
      <c r="L1137" s="295"/>
      <c r="M1137" s="296">
        <v>0.05</v>
      </c>
      <c r="N1137" s="296">
        <f t="shared" si="108"/>
        <v>0</v>
      </c>
      <c r="O1137" s="299">
        <f t="shared" si="109"/>
        <v>0</v>
      </c>
      <c r="P1137" s="303"/>
    </row>
    <row r="1138" spans="2:16" ht="15.75" thickBot="1">
      <c r="B1138" s="184"/>
      <c r="C1138" s="185"/>
      <c r="D1138" s="186"/>
      <c r="E1138" s="186"/>
      <c r="F1138" s="187"/>
      <c r="G1138" s="187">
        <f t="shared" si="105"/>
        <v>0</v>
      </c>
      <c r="H1138" s="188">
        <v>0.05</v>
      </c>
      <c r="I1138" s="189">
        <f t="shared" si="106"/>
        <v>0</v>
      </c>
      <c r="J1138" s="189">
        <f t="shared" si="107"/>
        <v>0</v>
      </c>
      <c r="K1138" s="294"/>
      <c r="L1138" s="295"/>
      <c r="M1138" s="296">
        <v>0.05</v>
      </c>
      <c r="N1138" s="296">
        <f t="shared" si="108"/>
        <v>0</v>
      </c>
      <c r="O1138" s="299">
        <f t="shared" si="109"/>
        <v>0</v>
      </c>
      <c r="P1138" s="303"/>
    </row>
    <row r="1139" spans="2:16" ht="15.75" thickBot="1">
      <c r="B1139" s="184"/>
      <c r="C1139" s="185"/>
      <c r="D1139" s="186"/>
      <c r="E1139" s="186"/>
      <c r="F1139" s="187"/>
      <c r="G1139" s="187">
        <f t="shared" si="105"/>
        <v>0</v>
      </c>
      <c r="H1139" s="188">
        <v>0.05</v>
      </c>
      <c r="I1139" s="189">
        <f t="shared" si="106"/>
        <v>0</v>
      </c>
      <c r="J1139" s="189">
        <f t="shared" si="107"/>
        <v>0</v>
      </c>
      <c r="K1139" s="294"/>
      <c r="L1139" s="295"/>
      <c r="M1139" s="296">
        <v>0.05</v>
      </c>
      <c r="N1139" s="296">
        <f t="shared" si="108"/>
        <v>0</v>
      </c>
      <c r="O1139" s="299">
        <f t="shared" si="109"/>
        <v>0</v>
      </c>
      <c r="P1139" s="303"/>
    </row>
    <row r="1140" spans="2:16" ht="15.75" thickBot="1">
      <c r="B1140" s="184"/>
      <c r="C1140" s="185"/>
      <c r="D1140" s="186"/>
      <c r="E1140" s="186"/>
      <c r="F1140" s="187"/>
      <c r="G1140" s="187">
        <f t="shared" si="105"/>
        <v>0</v>
      </c>
      <c r="H1140" s="188">
        <v>0.05</v>
      </c>
      <c r="I1140" s="189">
        <f t="shared" si="106"/>
        <v>0</v>
      </c>
      <c r="J1140" s="189">
        <f t="shared" si="107"/>
        <v>0</v>
      </c>
      <c r="K1140" s="294"/>
      <c r="L1140" s="295"/>
      <c r="M1140" s="296">
        <v>0.05</v>
      </c>
      <c r="N1140" s="296">
        <f t="shared" si="108"/>
        <v>0</v>
      </c>
      <c r="O1140" s="299">
        <f t="shared" si="109"/>
        <v>0</v>
      </c>
      <c r="P1140" s="303"/>
    </row>
    <row r="1141" spans="2:16" ht="15.75" thickBot="1">
      <c r="B1141" s="184"/>
      <c r="C1141" s="185"/>
      <c r="D1141" s="186"/>
      <c r="E1141" s="186"/>
      <c r="F1141" s="187"/>
      <c r="G1141" s="187">
        <f t="shared" si="105"/>
        <v>0</v>
      </c>
      <c r="H1141" s="188">
        <v>0.05</v>
      </c>
      <c r="I1141" s="189">
        <f t="shared" si="106"/>
        <v>0</v>
      </c>
      <c r="J1141" s="189">
        <f t="shared" si="107"/>
        <v>0</v>
      </c>
      <c r="K1141" s="294"/>
      <c r="L1141" s="295"/>
      <c r="M1141" s="296">
        <v>0.05</v>
      </c>
      <c r="N1141" s="296">
        <f t="shared" si="108"/>
        <v>0</v>
      </c>
      <c r="O1141" s="299">
        <f t="shared" si="109"/>
        <v>0</v>
      </c>
      <c r="P1141" s="303"/>
    </row>
    <row r="1142" spans="2:16" ht="15.75" thickBot="1">
      <c r="B1142" s="184"/>
      <c r="C1142" s="185"/>
      <c r="D1142" s="186"/>
      <c r="E1142" s="186"/>
      <c r="F1142" s="187"/>
      <c r="G1142" s="187">
        <f t="shared" si="105"/>
        <v>0</v>
      </c>
      <c r="H1142" s="188">
        <v>0.05</v>
      </c>
      <c r="I1142" s="189">
        <f t="shared" si="106"/>
        <v>0</v>
      </c>
      <c r="J1142" s="189">
        <f t="shared" si="107"/>
        <v>0</v>
      </c>
      <c r="K1142" s="294"/>
      <c r="L1142" s="295"/>
      <c r="M1142" s="296">
        <v>0.05</v>
      </c>
      <c r="N1142" s="296">
        <f t="shared" si="108"/>
        <v>0</v>
      </c>
      <c r="O1142" s="299">
        <f t="shared" si="109"/>
        <v>0</v>
      </c>
      <c r="P1142" s="303"/>
    </row>
    <row r="1143" spans="2:16" ht="15.75" thickBot="1">
      <c r="B1143" s="184"/>
      <c r="C1143" s="185"/>
      <c r="D1143" s="186"/>
      <c r="E1143" s="186"/>
      <c r="F1143" s="187"/>
      <c r="G1143" s="187">
        <f t="shared" si="105"/>
        <v>0</v>
      </c>
      <c r="H1143" s="188">
        <v>0.05</v>
      </c>
      <c r="I1143" s="189">
        <f t="shared" si="106"/>
        <v>0</v>
      </c>
      <c r="J1143" s="189">
        <f t="shared" si="107"/>
        <v>0</v>
      </c>
      <c r="K1143" s="294"/>
      <c r="L1143" s="295"/>
      <c r="M1143" s="296">
        <v>0.05</v>
      </c>
      <c r="N1143" s="296">
        <f t="shared" si="108"/>
        <v>0</v>
      </c>
      <c r="O1143" s="299">
        <f t="shared" si="109"/>
        <v>0</v>
      </c>
      <c r="P1143" s="303"/>
    </row>
    <row r="1144" spans="2:16" ht="15.75" thickBot="1">
      <c r="B1144" s="184"/>
      <c r="C1144" s="185"/>
      <c r="D1144" s="186"/>
      <c r="E1144" s="186"/>
      <c r="F1144" s="187"/>
      <c r="G1144" s="187">
        <f t="shared" si="105"/>
        <v>0</v>
      </c>
      <c r="H1144" s="188">
        <v>0.05</v>
      </c>
      <c r="I1144" s="189">
        <f t="shared" si="106"/>
        <v>0</v>
      </c>
      <c r="J1144" s="189">
        <f t="shared" si="107"/>
        <v>0</v>
      </c>
      <c r="K1144" s="294"/>
      <c r="L1144" s="295"/>
      <c r="M1144" s="296">
        <v>0.05</v>
      </c>
      <c r="N1144" s="296">
        <f t="shared" si="108"/>
        <v>0</v>
      </c>
      <c r="O1144" s="299">
        <f t="shared" si="109"/>
        <v>0</v>
      </c>
      <c r="P1144" s="303"/>
    </row>
    <row r="1145" spans="2:16" ht="15.75" thickBot="1">
      <c r="B1145" s="184"/>
      <c r="C1145" s="185"/>
      <c r="D1145" s="186"/>
      <c r="E1145" s="186"/>
      <c r="F1145" s="187"/>
      <c r="G1145" s="187">
        <f t="shared" si="105"/>
        <v>0</v>
      </c>
      <c r="H1145" s="188">
        <v>0.05</v>
      </c>
      <c r="I1145" s="189">
        <f t="shared" si="106"/>
        <v>0</v>
      </c>
      <c r="J1145" s="189">
        <f t="shared" si="107"/>
        <v>0</v>
      </c>
      <c r="K1145" s="294"/>
      <c r="L1145" s="295"/>
      <c r="M1145" s="296">
        <v>0.05</v>
      </c>
      <c r="N1145" s="296">
        <f t="shared" si="108"/>
        <v>0</v>
      </c>
      <c r="O1145" s="299">
        <f t="shared" si="109"/>
        <v>0</v>
      </c>
      <c r="P1145" s="303"/>
    </row>
    <row r="1146" spans="2:16" ht="15.75" thickBot="1">
      <c r="B1146" s="184"/>
      <c r="C1146" s="185"/>
      <c r="D1146" s="186"/>
      <c r="E1146" s="186"/>
      <c r="F1146" s="187"/>
      <c r="G1146" s="187">
        <f t="shared" si="105"/>
        <v>0</v>
      </c>
      <c r="H1146" s="188">
        <v>0.05</v>
      </c>
      <c r="I1146" s="189">
        <f t="shared" si="106"/>
        <v>0</v>
      </c>
      <c r="J1146" s="189">
        <f t="shared" si="107"/>
        <v>0</v>
      </c>
      <c r="K1146" s="294"/>
      <c r="L1146" s="295"/>
      <c r="M1146" s="296">
        <v>0.05</v>
      </c>
      <c r="N1146" s="296">
        <f t="shared" si="108"/>
        <v>0</v>
      </c>
      <c r="O1146" s="299">
        <f t="shared" si="109"/>
        <v>0</v>
      </c>
      <c r="P1146" s="303"/>
    </row>
    <row r="1147" spans="2:16" ht="15.75" thickBot="1">
      <c r="B1147" s="184"/>
      <c r="C1147" s="185"/>
      <c r="D1147" s="186"/>
      <c r="E1147" s="186"/>
      <c r="F1147" s="187"/>
      <c r="G1147" s="187">
        <f t="shared" si="105"/>
        <v>0</v>
      </c>
      <c r="H1147" s="188">
        <v>0.05</v>
      </c>
      <c r="I1147" s="189">
        <f t="shared" si="106"/>
        <v>0</v>
      </c>
      <c r="J1147" s="189">
        <f t="shared" si="107"/>
        <v>0</v>
      </c>
      <c r="K1147" s="294"/>
      <c r="L1147" s="295"/>
      <c r="M1147" s="296">
        <v>0.05</v>
      </c>
      <c r="N1147" s="296">
        <f t="shared" si="108"/>
        <v>0</v>
      </c>
      <c r="O1147" s="299">
        <f t="shared" si="109"/>
        <v>0</v>
      </c>
      <c r="P1147" s="303"/>
    </row>
    <row r="1148" spans="2:16" ht="15.75" thickBot="1">
      <c r="B1148" s="184"/>
      <c r="C1148" s="185"/>
      <c r="D1148" s="186"/>
      <c r="E1148" s="186"/>
      <c r="F1148" s="187"/>
      <c r="G1148" s="187">
        <f t="shared" si="105"/>
        <v>0</v>
      </c>
      <c r="H1148" s="188">
        <v>0.05</v>
      </c>
      <c r="I1148" s="189">
        <f t="shared" si="106"/>
        <v>0</v>
      </c>
      <c r="J1148" s="189">
        <f t="shared" si="107"/>
        <v>0</v>
      </c>
      <c r="K1148" s="294"/>
      <c r="L1148" s="295"/>
      <c r="M1148" s="296">
        <v>0.05</v>
      </c>
      <c r="N1148" s="296">
        <f t="shared" si="108"/>
        <v>0</v>
      </c>
      <c r="O1148" s="299">
        <f t="shared" si="109"/>
        <v>0</v>
      </c>
      <c r="P1148" s="303"/>
    </row>
    <row r="1149" spans="2:16" ht="15.75" thickBot="1">
      <c r="B1149" s="184"/>
      <c r="C1149" s="185"/>
      <c r="D1149" s="186"/>
      <c r="E1149" s="186"/>
      <c r="F1149" s="187"/>
      <c r="G1149" s="187">
        <f t="shared" si="105"/>
        <v>0</v>
      </c>
      <c r="H1149" s="188">
        <v>0.05</v>
      </c>
      <c r="I1149" s="189">
        <f t="shared" si="106"/>
        <v>0</v>
      </c>
      <c r="J1149" s="189">
        <f t="shared" si="107"/>
        <v>0</v>
      </c>
      <c r="K1149" s="294"/>
      <c r="L1149" s="295"/>
      <c r="M1149" s="296">
        <v>0.05</v>
      </c>
      <c r="N1149" s="296">
        <f t="shared" si="108"/>
        <v>0</v>
      </c>
      <c r="O1149" s="299">
        <f t="shared" si="109"/>
        <v>0</v>
      </c>
      <c r="P1149" s="303"/>
    </row>
    <row r="1150" spans="2:16" ht="15.75" thickBot="1">
      <c r="B1150" s="184"/>
      <c r="C1150" s="185"/>
      <c r="D1150" s="186"/>
      <c r="E1150" s="186"/>
      <c r="F1150" s="187"/>
      <c r="G1150" s="187">
        <f t="shared" si="105"/>
        <v>0</v>
      </c>
      <c r="H1150" s="188">
        <v>0.05</v>
      </c>
      <c r="I1150" s="189">
        <f t="shared" si="106"/>
        <v>0</v>
      </c>
      <c r="J1150" s="189">
        <f t="shared" si="107"/>
        <v>0</v>
      </c>
      <c r="K1150" s="294"/>
      <c r="L1150" s="295"/>
      <c r="M1150" s="296">
        <v>0.05</v>
      </c>
      <c r="N1150" s="296">
        <f t="shared" si="108"/>
        <v>0</v>
      </c>
      <c r="O1150" s="299">
        <f t="shared" si="109"/>
        <v>0</v>
      </c>
      <c r="P1150" s="303"/>
    </row>
    <row r="1151" spans="2:16" ht="15.75" thickBot="1">
      <c r="B1151" s="184"/>
      <c r="C1151" s="185"/>
      <c r="D1151" s="186"/>
      <c r="E1151" s="186"/>
      <c r="F1151" s="187"/>
      <c r="G1151" s="187">
        <f t="shared" si="105"/>
        <v>0</v>
      </c>
      <c r="H1151" s="188">
        <v>0.05</v>
      </c>
      <c r="I1151" s="189">
        <f t="shared" si="106"/>
        <v>0</v>
      </c>
      <c r="J1151" s="189">
        <f t="shared" si="107"/>
        <v>0</v>
      </c>
      <c r="K1151" s="294"/>
      <c r="L1151" s="295"/>
      <c r="M1151" s="296">
        <v>0.05</v>
      </c>
      <c r="N1151" s="296">
        <f t="shared" si="108"/>
        <v>0</v>
      </c>
      <c r="O1151" s="299">
        <f t="shared" si="109"/>
        <v>0</v>
      </c>
      <c r="P1151" s="303"/>
    </row>
    <row r="1152" spans="2:16" ht="15.75" thickBot="1">
      <c r="B1152" s="184"/>
      <c r="C1152" s="185"/>
      <c r="D1152" s="186"/>
      <c r="E1152" s="186"/>
      <c r="F1152" s="187"/>
      <c r="G1152" s="187">
        <f t="shared" si="105"/>
        <v>0</v>
      </c>
      <c r="H1152" s="188">
        <v>0.05</v>
      </c>
      <c r="I1152" s="189">
        <f t="shared" si="106"/>
        <v>0</v>
      </c>
      <c r="J1152" s="189">
        <f t="shared" si="107"/>
        <v>0</v>
      </c>
      <c r="K1152" s="294"/>
      <c r="L1152" s="295"/>
      <c r="M1152" s="296">
        <v>0.05</v>
      </c>
      <c r="N1152" s="296">
        <f t="shared" si="108"/>
        <v>0</v>
      </c>
      <c r="O1152" s="299">
        <f t="shared" si="109"/>
        <v>0</v>
      </c>
      <c r="P1152" s="303"/>
    </row>
    <row r="1153" spans="2:16" ht="15.75" thickBot="1">
      <c r="B1153" s="184"/>
      <c r="C1153" s="185"/>
      <c r="D1153" s="186"/>
      <c r="E1153" s="186"/>
      <c r="F1153" s="187"/>
      <c r="G1153" s="187">
        <f t="shared" si="105"/>
        <v>0</v>
      </c>
      <c r="H1153" s="188">
        <v>0.05</v>
      </c>
      <c r="I1153" s="189">
        <f t="shared" si="106"/>
        <v>0</v>
      </c>
      <c r="J1153" s="189">
        <f t="shared" si="107"/>
        <v>0</v>
      </c>
      <c r="K1153" s="294"/>
      <c r="L1153" s="295"/>
      <c r="M1153" s="296">
        <v>0.05</v>
      </c>
      <c r="N1153" s="296">
        <f t="shared" si="108"/>
        <v>0</v>
      </c>
      <c r="O1153" s="299">
        <f t="shared" si="109"/>
        <v>0</v>
      </c>
      <c r="P1153" s="303"/>
    </row>
    <row r="1154" spans="2:16" ht="15.75" thickBot="1">
      <c r="B1154" s="184"/>
      <c r="C1154" s="185"/>
      <c r="D1154" s="186"/>
      <c r="E1154" s="186"/>
      <c r="F1154" s="187"/>
      <c r="G1154" s="187">
        <f t="shared" si="105"/>
        <v>0</v>
      </c>
      <c r="H1154" s="188">
        <v>0.05</v>
      </c>
      <c r="I1154" s="189">
        <f t="shared" si="106"/>
        <v>0</v>
      </c>
      <c r="J1154" s="189">
        <f t="shared" si="107"/>
        <v>0</v>
      </c>
      <c r="K1154" s="294"/>
      <c r="L1154" s="295"/>
      <c r="M1154" s="296">
        <v>0.05</v>
      </c>
      <c r="N1154" s="296">
        <f t="shared" si="108"/>
        <v>0</v>
      </c>
      <c r="O1154" s="299">
        <f t="shared" si="109"/>
        <v>0</v>
      </c>
      <c r="P1154" s="303"/>
    </row>
    <row r="1155" spans="2:16" ht="15.75" thickBot="1">
      <c r="B1155" s="184"/>
      <c r="C1155" s="185"/>
      <c r="D1155" s="186"/>
      <c r="E1155" s="186"/>
      <c r="F1155" s="187"/>
      <c r="G1155" s="187">
        <f t="shared" si="105"/>
        <v>0</v>
      </c>
      <c r="H1155" s="188">
        <v>0.05</v>
      </c>
      <c r="I1155" s="189">
        <f t="shared" si="106"/>
        <v>0</v>
      </c>
      <c r="J1155" s="189">
        <f t="shared" si="107"/>
        <v>0</v>
      </c>
      <c r="K1155" s="294"/>
      <c r="L1155" s="295"/>
      <c r="M1155" s="296">
        <v>0.05</v>
      </c>
      <c r="N1155" s="296">
        <f t="shared" si="108"/>
        <v>0</v>
      </c>
      <c r="O1155" s="299">
        <f t="shared" si="109"/>
        <v>0</v>
      </c>
      <c r="P1155" s="303"/>
    </row>
    <row r="1156" spans="2:16" ht="15.75" thickBot="1">
      <c r="B1156" s="184"/>
      <c r="C1156" s="185"/>
      <c r="D1156" s="186"/>
      <c r="E1156" s="186"/>
      <c r="F1156" s="187"/>
      <c r="G1156" s="187">
        <f t="shared" si="105"/>
        <v>0</v>
      </c>
      <c r="H1156" s="188">
        <v>0.05</v>
      </c>
      <c r="I1156" s="189">
        <f t="shared" si="106"/>
        <v>0</v>
      </c>
      <c r="J1156" s="189">
        <f t="shared" si="107"/>
        <v>0</v>
      </c>
      <c r="K1156" s="294"/>
      <c r="L1156" s="295"/>
      <c r="M1156" s="296">
        <v>0.05</v>
      </c>
      <c r="N1156" s="296">
        <f t="shared" si="108"/>
        <v>0</v>
      </c>
      <c r="O1156" s="299">
        <f t="shared" si="109"/>
        <v>0</v>
      </c>
      <c r="P1156" s="303"/>
    </row>
    <row r="1157" spans="2:16" ht="15.75" thickBot="1">
      <c r="B1157" s="184"/>
      <c r="C1157" s="185"/>
      <c r="D1157" s="186"/>
      <c r="E1157" s="186"/>
      <c r="F1157" s="187"/>
      <c r="G1157" s="187">
        <f t="shared" si="105"/>
        <v>0</v>
      </c>
      <c r="H1157" s="188">
        <v>0.05</v>
      </c>
      <c r="I1157" s="189">
        <f t="shared" si="106"/>
        <v>0</v>
      </c>
      <c r="J1157" s="189">
        <f t="shared" si="107"/>
        <v>0</v>
      </c>
      <c r="K1157" s="294"/>
      <c r="L1157" s="295"/>
      <c r="M1157" s="296">
        <v>0.05</v>
      </c>
      <c r="N1157" s="296">
        <f t="shared" si="108"/>
        <v>0</v>
      </c>
      <c r="O1157" s="299">
        <f t="shared" si="109"/>
        <v>0</v>
      </c>
      <c r="P1157" s="303"/>
    </row>
    <row r="1158" spans="2:16" ht="15.75" thickBot="1">
      <c r="B1158" s="184"/>
      <c r="C1158" s="185"/>
      <c r="D1158" s="186"/>
      <c r="E1158" s="186"/>
      <c r="F1158" s="187"/>
      <c r="G1158" s="187">
        <f t="shared" si="105"/>
        <v>0</v>
      </c>
      <c r="H1158" s="188">
        <v>0.05</v>
      </c>
      <c r="I1158" s="189">
        <f t="shared" si="106"/>
        <v>0</v>
      </c>
      <c r="J1158" s="189">
        <f t="shared" si="107"/>
        <v>0</v>
      </c>
      <c r="K1158" s="294"/>
      <c r="L1158" s="295"/>
      <c r="M1158" s="296">
        <v>0.05</v>
      </c>
      <c r="N1158" s="296">
        <f t="shared" si="108"/>
        <v>0</v>
      </c>
      <c r="O1158" s="299">
        <f t="shared" si="109"/>
        <v>0</v>
      </c>
      <c r="P1158" s="303"/>
    </row>
    <row r="1159" spans="2:16" ht="15.75" thickBot="1">
      <c r="B1159" s="184"/>
      <c r="C1159" s="185"/>
      <c r="D1159" s="186"/>
      <c r="E1159" s="186"/>
      <c r="F1159" s="187"/>
      <c r="G1159" s="187">
        <f t="shared" si="105"/>
        <v>0</v>
      </c>
      <c r="H1159" s="188">
        <v>0.05</v>
      </c>
      <c r="I1159" s="189">
        <f t="shared" si="106"/>
        <v>0</v>
      </c>
      <c r="J1159" s="189">
        <f t="shared" si="107"/>
        <v>0</v>
      </c>
      <c r="K1159" s="294"/>
      <c r="L1159" s="295"/>
      <c r="M1159" s="296">
        <v>0.05</v>
      </c>
      <c r="N1159" s="296">
        <f t="shared" si="108"/>
        <v>0</v>
      </c>
      <c r="O1159" s="299">
        <f t="shared" si="109"/>
        <v>0</v>
      </c>
      <c r="P1159" s="303"/>
    </row>
    <row r="1160" spans="2:16" ht="15.75" thickBot="1">
      <c r="B1160" s="184"/>
      <c r="C1160" s="185"/>
      <c r="D1160" s="186"/>
      <c r="E1160" s="186"/>
      <c r="F1160" s="187"/>
      <c r="G1160" s="187">
        <f t="shared" si="105"/>
        <v>0</v>
      </c>
      <c r="H1160" s="188">
        <v>0.05</v>
      </c>
      <c r="I1160" s="189">
        <f t="shared" si="106"/>
        <v>0</v>
      </c>
      <c r="J1160" s="189">
        <f t="shared" si="107"/>
        <v>0</v>
      </c>
      <c r="K1160" s="294"/>
      <c r="L1160" s="295"/>
      <c r="M1160" s="296">
        <v>0.05</v>
      </c>
      <c r="N1160" s="296">
        <f t="shared" si="108"/>
        <v>0</v>
      </c>
      <c r="O1160" s="299">
        <f t="shared" si="109"/>
        <v>0</v>
      </c>
      <c r="P1160" s="303"/>
    </row>
    <row r="1161" spans="2:16" ht="15.75" thickBot="1">
      <c r="B1161" s="184"/>
      <c r="C1161" s="185"/>
      <c r="D1161" s="186"/>
      <c r="E1161" s="186"/>
      <c r="F1161" s="187"/>
      <c r="G1161" s="187">
        <f t="shared" si="105"/>
        <v>0</v>
      </c>
      <c r="H1161" s="188">
        <v>0.05</v>
      </c>
      <c r="I1161" s="189">
        <f t="shared" si="106"/>
        <v>0</v>
      </c>
      <c r="J1161" s="189">
        <f t="shared" si="107"/>
        <v>0</v>
      </c>
      <c r="K1161" s="294"/>
      <c r="L1161" s="295"/>
      <c r="M1161" s="296">
        <v>0.05</v>
      </c>
      <c r="N1161" s="296">
        <f t="shared" si="108"/>
        <v>0</v>
      </c>
      <c r="O1161" s="299">
        <f t="shared" si="109"/>
        <v>0</v>
      </c>
      <c r="P1161" s="303"/>
    </row>
    <row r="1162" spans="2:16" ht="15.75" thickBot="1">
      <c r="B1162" s="184"/>
      <c r="C1162" s="185"/>
      <c r="D1162" s="186"/>
      <c r="E1162" s="186"/>
      <c r="F1162" s="187"/>
      <c r="G1162" s="187">
        <f t="shared" si="105"/>
        <v>0</v>
      </c>
      <c r="H1162" s="188">
        <v>0.05</v>
      </c>
      <c r="I1162" s="189">
        <f t="shared" si="106"/>
        <v>0</v>
      </c>
      <c r="J1162" s="189">
        <f t="shared" si="107"/>
        <v>0</v>
      </c>
      <c r="K1162" s="294"/>
      <c r="L1162" s="295"/>
      <c r="M1162" s="296">
        <v>0.05</v>
      </c>
      <c r="N1162" s="296">
        <f t="shared" si="108"/>
        <v>0</v>
      </c>
      <c r="O1162" s="299">
        <f t="shared" si="109"/>
        <v>0</v>
      </c>
      <c r="P1162" s="303"/>
    </row>
    <row r="1163" spans="2:16" ht="15.75" thickBot="1">
      <c r="B1163" s="184"/>
      <c r="C1163" s="185"/>
      <c r="D1163" s="186"/>
      <c r="E1163" s="186"/>
      <c r="F1163" s="187"/>
      <c r="G1163" s="187">
        <f t="shared" si="105"/>
        <v>0</v>
      </c>
      <c r="H1163" s="188">
        <v>0.05</v>
      </c>
      <c r="I1163" s="189">
        <f t="shared" si="106"/>
        <v>0</v>
      </c>
      <c r="J1163" s="189">
        <f t="shared" si="107"/>
        <v>0</v>
      </c>
      <c r="K1163" s="294"/>
      <c r="L1163" s="295"/>
      <c r="M1163" s="296">
        <v>0.05</v>
      </c>
      <c r="N1163" s="296">
        <f t="shared" si="108"/>
        <v>0</v>
      </c>
      <c r="O1163" s="299">
        <f t="shared" si="109"/>
        <v>0</v>
      </c>
      <c r="P1163" s="303"/>
    </row>
    <row r="1164" spans="2:16" ht="15.75" thickBot="1">
      <c r="B1164" s="184"/>
      <c r="C1164" s="185"/>
      <c r="D1164" s="186"/>
      <c r="E1164" s="186"/>
      <c r="F1164" s="187"/>
      <c r="G1164" s="187">
        <f t="shared" si="105"/>
        <v>0</v>
      </c>
      <c r="H1164" s="188">
        <v>0.05</v>
      </c>
      <c r="I1164" s="189">
        <f t="shared" si="106"/>
        <v>0</v>
      </c>
      <c r="J1164" s="189">
        <f t="shared" si="107"/>
        <v>0</v>
      </c>
      <c r="K1164" s="294"/>
      <c r="L1164" s="295"/>
      <c r="M1164" s="296">
        <v>0.05</v>
      </c>
      <c r="N1164" s="296">
        <f t="shared" si="108"/>
        <v>0</v>
      </c>
      <c r="O1164" s="299">
        <f t="shared" si="109"/>
        <v>0</v>
      </c>
      <c r="P1164" s="303"/>
    </row>
    <row r="1165" spans="2:16" ht="15.75" thickBot="1">
      <c r="B1165" s="184"/>
      <c r="C1165" s="185"/>
      <c r="D1165" s="186"/>
      <c r="E1165" s="186"/>
      <c r="F1165" s="187"/>
      <c r="G1165" s="187">
        <f t="shared" si="105"/>
        <v>0</v>
      </c>
      <c r="H1165" s="188">
        <v>0.05</v>
      </c>
      <c r="I1165" s="189">
        <f t="shared" si="106"/>
        <v>0</v>
      </c>
      <c r="J1165" s="189">
        <f t="shared" si="107"/>
        <v>0</v>
      </c>
      <c r="K1165" s="294"/>
      <c r="L1165" s="295"/>
      <c r="M1165" s="296">
        <v>0.05</v>
      </c>
      <c r="N1165" s="296">
        <f t="shared" si="108"/>
        <v>0</v>
      </c>
      <c r="O1165" s="299">
        <f t="shared" si="109"/>
        <v>0</v>
      </c>
      <c r="P1165" s="303"/>
    </row>
    <row r="1166" spans="2:16" ht="15.75" thickBot="1">
      <c r="B1166" s="184"/>
      <c r="C1166" s="185"/>
      <c r="D1166" s="186"/>
      <c r="E1166" s="186"/>
      <c r="F1166" s="187"/>
      <c r="G1166" s="187">
        <f t="shared" si="105"/>
        <v>0</v>
      </c>
      <c r="H1166" s="188">
        <v>0.05</v>
      </c>
      <c r="I1166" s="189">
        <f t="shared" si="106"/>
        <v>0</v>
      </c>
      <c r="J1166" s="189">
        <f t="shared" si="107"/>
        <v>0</v>
      </c>
      <c r="K1166" s="294"/>
      <c r="L1166" s="295"/>
      <c r="M1166" s="296">
        <v>0.05</v>
      </c>
      <c r="N1166" s="296">
        <f t="shared" si="108"/>
        <v>0</v>
      </c>
      <c r="O1166" s="299">
        <f t="shared" si="109"/>
        <v>0</v>
      </c>
      <c r="P1166" s="303"/>
    </row>
    <row r="1167" spans="2:16" ht="15.75" thickBot="1">
      <c r="B1167" s="184"/>
      <c r="C1167" s="185"/>
      <c r="D1167" s="186"/>
      <c r="E1167" s="186"/>
      <c r="F1167" s="187"/>
      <c r="G1167" s="187">
        <f t="shared" si="105"/>
        <v>0</v>
      </c>
      <c r="H1167" s="188">
        <v>0.05</v>
      </c>
      <c r="I1167" s="189">
        <f t="shared" si="106"/>
        <v>0</v>
      </c>
      <c r="J1167" s="189">
        <f t="shared" si="107"/>
        <v>0</v>
      </c>
      <c r="K1167" s="294"/>
      <c r="L1167" s="295"/>
      <c r="M1167" s="296">
        <v>0.05</v>
      </c>
      <c r="N1167" s="296">
        <f t="shared" si="108"/>
        <v>0</v>
      </c>
      <c r="O1167" s="299">
        <f t="shared" si="109"/>
        <v>0</v>
      </c>
      <c r="P1167" s="303"/>
    </row>
    <row r="1168" spans="2:16" ht="15.75" thickBot="1">
      <c r="B1168" s="184"/>
      <c r="C1168" s="185"/>
      <c r="D1168" s="186"/>
      <c r="E1168" s="186"/>
      <c r="F1168" s="187"/>
      <c r="G1168" s="187">
        <f t="shared" si="105"/>
        <v>0</v>
      </c>
      <c r="H1168" s="188">
        <v>0.05</v>
      </c>
      <c r="I1168" s="189">
        <f t="shared" si="106"/>
        <v>0</v>
      </c>
      <c r="J1168" s="189">
        <f t="shared" si="107"/>
        <v>0</v>
      </c>
      <c r="K1168" s="294"/>
      <c r="L1168" s="295"/>
      <c r="M1168" s="296">
        <v>0.05</v>
      </c>
      <c r="N1168" s="296">
        <f t="shared" si="108"/>
        <v>0</v>
      </c>
      <c r="O1168" s="299">
        <f t="shared" si="109"/>
        <v>0</v>
      </c>
      <c r="P1168" s="303"/>
    </row>
    <row r="1169" spans="2:16" ht="15.75" thickBot="1">
      <c r="B1169" s="184"/>
      <c r="C1169" s="185"/>
      <c r="D1169" s="186"/>
      <c r="E1169" s="186"/>
      <c r="F1169" s="187"/>
      <c r="G1169" s="187">
        <f t="shared" si="105"/>
        <v>0</v>
      </c>
      <c r="H1169" s="188">
        <v>0.05</v>
      </c>
      <c r="I1169" s="189">
        <f t="shared" si="106"/>
        <v>0</v>
      </c>
      <c r="J1169" s="189">
        <f t="shared" si="107"/>
        <v>0</v>
      </c>
      <c r="K1169" s="294"/>
      <c r="L1169" s="295"/>
      <c r="M1169" s="296">
        <v>0.05</v>
      </c>
      <c r="N1169" s="296">
        <f t="shared" si="108"/>
        <v>0</v>
      </c>
      <c r="O1169" s="299">
        <f t="shared" si="109"/>
        <v>0</v>
      </c>
      <c r="P1169" s="303"/>
    </row>
    <row r="1170" spans="2:16" ht="15.75" thickBot="1">
      <c r="B1170" s="184"/>
      <c r="C1170" s="185"/>
      <c r="D1170" s="186"/>
      <c r="E1170" s="186"/>
      <c r="F1170" s="187"/>
      <c r="G1170" s="187">
        <f t="shared" si="105"/>
        <v>0</v>
      </c>
      <c r="H1170" s="188">
        <v>0.05</v>
      </c>
      <c r="I1170" s="189">
        <f t="shared" si="106"/>
        <v>0</v>
      </c>
      <c r="J1170" s="189">
        <f t="shared" si="107"/>
        <v>0</v>
      </c>
      <c r="K1170" s="294"/>
      <c r="L1170" s="295"/>
      <c r="M1170" s="296">
        <v>0.05</v>
      </c>
      <c r="N1170" s="296">
        <f t="shared" si="108"/>
        <v>0</v>
      </c>
      <c r="O1170" s="299">
        <f t="shared" si="109"/>
        <v>0</v>
      </c>
      <c r="P1170" s="303"/>
    </row>
    <row r="1171" spans="2:16" ht="15.75" thickBot="1">
      <c r="B1171" s="184"/>
      <c r="C1171" s="185"/>
      <c r="D1171" s="186"/>
      <c r="E1171" s="186"/>
      <c r="F1171" s="187"/>
      <c r="G1171" s="187">
        <f t="shared" si="105"/>
        <v>0</v>
      </c>
      <c r="H1171" s="188">
        <v>0.05</v>
      </c>
      <c r="I1171" s="189">
        <f t="shared" si="106"/>
        <v>0</v>
      </c>
      <c r="J1171" s="189">
        <f t="shared" si="107"/>
        <v>0</v>
      </c>
      <c r="K1171" s="294"/>
      <c r="L1171" s="295"/>
      <c r="M1171" s="296">
        <v>0.05</v>
      </c>
      <c r="N1171" s="296">
        <f t="shared" si="108"/>
        <v>0</v>
      </c>
      <c r="O1171" s="299">
        <f t="shared" si="109"/>
        <v>0</v>
      </c>
      <c r="P1171" s="303"/>
    </row>
    <row r="1172" spans="2:16" ht="15.75" thickBot="1">
      <c r="B1172" s="184"/>
      <c r="C1172" s="185"/>
      <c r="D1172" s="186"/>
      <c r="E1172" s="186"/>
      <c r="F1172" s="187"/>
      <c r="G1172" s="187">
        <f t="shared" si="105"/>
        <v>0</v>
      </c>
      <c r="H1172" s="188">
        <v>0.05</v>
      </c>
      <c r="I1172" s="189">
        <f t="shared" si="106"/>
        <v>0</v>
      </c>
      <c r="J1172" s="189">
        <f t="shared" si="107"/>
        <v>0</v>
      </c>
      <c r="K1172" s="294"/>
      <c r="L1172" s="295"/>
      <c r="M1172" s="296">
        <v>0.05</v>
      </c>
      <c r="N1172" s="296">
        <f t="shared" si="108"/>
        <v>0</v>
      </c>
      <c r="O1172" s="299">
        <f t="shared" si="109"/>
        <v>0</v>
      </c>
      <c r="P1172" s="303"/>
    </row>
    <row r="1173" spans="2:16" ht="15.75" thickBot="1">
      <c r="B1173" s="184"/>
      <c r="C1173" s="185"/>
      <c r="D1173" s="186"/>
      <c r="E1173" s="186"/>
      <c r="F1173" s="187"/>
      <c r="G1173" s="187">
        <f t="shared" si="105"/>
        <v>0</v>
      </c>
      <c r="H1173" s="188">
        <v>0.05</v>
      </c>
      <c r="I1173" s="189">
        <f t="shared" si="106"/>
        <v>0</v>
      </c>
      <c r="J1173" s="189">
        <f t="shared" si="107"/>
        <v>0</v>
      </c>
      <c r="K1173" s="294"/>
      <c r="L1173" s="295"/>
      <c r="M1173" s="296">
        <v>0.05</v>
      </c>
      <c r="N1173" s="296">
        <f t="shared" si="108"/>
        <v>0</v>
      </c>
      <c r="O1173" s="299">
        <f t="shared" si="109"/>
        <v>0</v>
      </c>
      <c r="P1173" s="303"/>
    </row>
    <row r="1174" spans="2:16" ht="15.75" thickBot="1">
      <c r="B1174" s="184"/>
      <c r="C1174" s="185"/>
      <c r="D1174" s="186"/>
      <c r="E1174" s="186"/>
      <c r="F1174" s="187"/>
      <c r="G1174" s="187">
        <f t="shared" si="105"/>
        <v>0</v>
      </c>
      <c r="H1174" s="188">
        <v>0.05</v>
      </c>
      <c r="I1174" s="189">
        <f t="shared" si="106"/>
        <v>0</v>
      </c>
      <c r="J1174" s="189">
        <f t="shared" si="107"/>
        <v>0</v>
      </c>
      <c r="K1174" s="294"/>
      <c r="L1174" s="295"/>
      <c r="M1174" s="296">
        <v>0.05</v>
      </c>
      <c r="N1174" s="296">
        <f t="shared" si="108"/>
        <v>0</v>
      </c>
      <c r="O1174" s="299">
        <f t="shared" si="109"/>
        <v>0</v>
      </c>
      <c r="P1174" s="303"/>
    </row>
    <row r="1175" spans="2:16" ht="15.75" thickBot="1">
      <c r="B1175" s="184"/>
      <c r="C1175" s="185"/>
      <c r="D1175" s="186"/>
      <c r="E1175" s="186"/>
      <c r="F1175" s="187"/>
      <c r="G1175" s="187">
        <f t="shared" si="105"/>
        <v>0</v>
      </c>
      <c r="H1175" s="188">
        <v>0.05</v>
      </c>
      <c r="I1175" s="189">
        <f t="shared" si="106"/>
        <v>0</v>
      </c>
      <c r="J1175" s="189">
        <f t="shared" si="107"/>
        <v>0</v>
      </c>
      <c r="K1175" s="294"/>
      <c r="L1175" s="295"/>
      <c r="M1175" s="296">
        <v>0.05</v>
      </c>
      <c r="N1175" s="296">
        <f t="shared" si="108"/>
        <v>0</v>
      </c>
      <c r="O1175" s="299">
        <f t="shared" si="109"/>
        <v>0</v>
      </c>
      <c r="P1175" s="303"/>
    </row>
    <row r="1176" spans="2:16" ht="15.75" thickBot="1">
      <c r="B1176" s="184"/>
      <c r="C1176" s="185"/>
      <c r="D1176" s="186"/>
      <c r="E1176" s="186"/>
      <c r="F1176" s="187"/>
      <c r="G1176" s="187">
        <f t="shared" si="105"/>
        <v>0</v>
      </c>
      <c r="H1176" s="188">
        <v>0.05</v>
      </c>
      <c r="I1176" s="189">
        <f t="shared" si="106"/>
        <v>0</v>
      </c>
      <c r="J1176" s="189">
        <f t="shared" si="107"/>
        <v>0</v>
      </c>
      <c r="K1176" s="294"/>
      <c r="L1176" s="295"/>
      <c r="M1176" s="296">
        <v>0.05</v>
      </c>
      <c r="N1176" s="296">
        <f t="shared" si="108"/>
        <v>0</v>
      </c>
      <c r="O1176" s="299">
        <f t="shared" si="109"/>
        <v>0</v>
      </c>
      <c r="P1176" s="303"/>
    </row>
    <row r="1177" spans="2:16" ht="15.75" thickBot="1">
      <c r="B1177" s="184"/>
      <c r="C1177" s="185"/>
      <c r="D1177" s="186"/>
      <c r="E1177" s="186"/>
      <c r="F1177" s="187"/>
      <c r="G1177" s="187">
        <f t="shared" si="105"/>
        <v>0</v>
      </c>
      <c r="H1177" s="188">
        <v>0.05</v>
      </c>
      <c r="I1177" s="189">
        <f t="shared" si="106"/>
        <v>0</v>
      </c>
      <c r="J1177" s="189">
        <f t="shared" si="107"/>
        <v>0</v>
      </c>
      <c r="K1177" s="294"/>
      <c r="L1177" s="295"/>
      <c r="M1177" s="296">
        <v>0.05</v>
      </c>
      <c r="N1177" s="296">
        <f t="shared" si="108"/>
        <v>0</v>
      </c>
      <c r="O1177" s="299">
        <f t="shared" si="109"/>
        <v>0</v>
      </c>
      <c r="P1177" s="303"/>
    </row>
    <row r="1178" spans="2:16" ht="15.75" thickBot="1">
      <c r="B1178" s="184"/>
      <c r="C1178" s="185"/>
      <c r="D1178" s="186"/>
      <c r="E1178" s="186"/>
      <c r="F1178" s="187"/>
      <c r="G1178" s="187">
        <f t="shared" si="105"/>
        <v>0</v>
      </c>
      <c r="H1178" s="188">
        <v>0.05</v>
      </c>
      <c r="I1178" s="189">
        <f t="shared" si="106"/>
        <v>0</v>
      </c>
      <c r="J1178" s="189">
        <f t="shared" si="107"/>
        <v>0</v>
      </c>
      <c r="K1178" s="294"/>
      <c r="L1178" s="295"/>
      <c r="M1178" s="296">
        <v>0.05</v>
      </c>
      <c r="N1178" s="296">
        <f t="shared" si="108"/>
        <v>0</v>
      </c>
      <c r="O1178" s="299">
        <f t="shared" si="109"/>
        <v>0</v>
      </c>
      <c r="P1178" s="303"/>
    </row>
    <row r="1179" spans="2:16" ht="15.75" thickBot="1">
      <c r="B1179" s="184"/>
      <c r="C1179" s="185"/>
      <c r="D1179" s="186"/>
      <c r="E1179" s="186"/>
      <c r="F1179" s="187"/>
      <c r="G1179" s="187">
        <f t="shared" si="105"/>
        <v>0</v>
      </c>
      <c r="H1179" s="188">
        <v>0.05</v>
      </c>
      <c r="I1179" s="189">
        <f t="shared" si="106"/>
        <v>0</v>
      </c>
      <c r="J1179" s="189">
        <f t="shared" si="107"/>
        <v>0</v>
      </c>
      <c r="K1179" s="294"/>
      <c r="L1179" s="295"/>
      <c r="M1179" s="296">
        <v>0.05</v>
      </c>
      <c r="N1179" s="296">
        <f t="shared" si="108"/>
        <v>0</v>
      </c>
      <c r="O1179" s="299">
        <f t="shared" si="109"/>
        <v>0</v>
      </c>
      <c r="P1179" s="303"/>
    </row>
    <row r="1180" spans="2:16" ht="15.75" thickBot="1">
      <c r="B1180" s="184"/>
      <c r="C1180" s="185"/>
      <c r="D1180" s="186"/>
      <c r="E1180" s="186"/>
      <c r="F1180" s="187"/>
      <c r="G1180" s="187">
        <f t="shared" si="105"/>
        <v>0</v>
      </c>
      <c r="H1180" s="188">
        <v>0.05</v>
      </c>
      <c r="I1180" s="189">
        <f t="shared" si="106"/>
        <v>0</v>
      </c>
      <c r="J1180" s="189">
        <f t="shared" si="107"/>
        <v>0</v>
      </c>
      <c r="K1180" s="294"/>
      <c r="L1180" s="295"/>
      <c r="M1180" s="296">
        <v>0.05</v>
      </c>
      <c r="N1180" s="296">
        <f t="shared" si="108"/>
        <v>0</v>
      </c>
      <c r="O1180" s="299">
        <f t="shared" si="109"/>
        <v>0</v>
      </c>
      <c r="P1180" s="303"/>
    </row>
    <row r="1181" spans="2:16" ht="15.75" thickBot="1">
      <c r="B1181" s="184"/>
      <c r="C1181" s="185"/>
      <c r="D1181" s="186"/>
      <c r="E1181" s="186"/>
      <c r="F1181" s="187"/>
      <c r="G1181" s="187">
        <f t="shared" si="105"/>
        <v>0</v>
      </c>
      <c r="H1181" s="188">
        <v>0.05</v>
      </c>
      <c r="I1181" s="189">
        <f t="shared" si="106"/>
        <v>0</v>
      </c>
      <c r="J1181" s="189">
        <f t="shared" si="107"/>
        <v>0</v>
      </c>
      <c r="K1181" s="294"/>
      <c r="L1181" s="295"/>
      <c r="M1181" s="296">
        <v>0.05</v>
      </c>
      <c r="N1181" s="296">
        <f t="shared" si="108"/>
        <v>0</v>
      </c>
      <c r="O1181" s="299">
        <f t="shared" si="109"/>
        <v>0</v>
      </c>
      <c r="P1181" s="303"/>
    </row>
    <row r="1182" spans="2:16" ht="15.75" thickBot="1">
      <c r="B1182" s="184"/>
      <c r="C1182" s="185"/>
      <c r="D1182" s="186"/>
      <c r="E1182" s="186"/>
      <c r="F1182" s="187"/>
      <c r="G1182" s="187">
        <f t="shared" si="105"/>
        <v>0</v>
      </c>
      <c r="H1182" s="188">
        <v>0.05</v>
      </c>
      <c r="I1182" s="189">
        <f t="shared" si="106"/>
        <v>0</v>
      </c>
      <c r="J1182" s="189">
        <f t="shared" si="107"/>
        <v>0</v>
      </c>
      <c r="K1182" s="294"/>
      <c r="L1182" s="295"/>
      <c r="M1182" s="296">
        <v>0.05</v>
      </c>
      <c r="N1182" s="296">
        <f t="shared" si="108"/>
        <v>0</v>
      </c>
      <c r="O1182" s="299">
        <f t="shared" si="109"/>
        <v>0</v>
      </c>
      <c r="P1182" s="303"/>
    </row>
    <row r="1183" spans="2:16" ht="15.75" thickBot="1">
      <c r="B1183" s="184"/>
      <c r="C1183" s="185"/>
      <c r="D1183" s="186"/>
      <c r="E1183" s="186"/>
      <c r="F1183" s="187"/>
      <c r="G1183" s="187">
        <f t="shared" si="105"/>
        <v>0</v>
      </c>
      <c r="H1183" s="188">
        <v>0.05</v>
      </c>
      <c r="I1183" s="189">
        <f t="shared" si="106"/>
        <v>0</v>
      </c>
      <c r="J1183" s="189">
        <f t="shared" si="107"/>
        <v>0</v>
      </c>
      <c r="K1183" s="294"/>
      <c r="L1183" s="295"/>
      <c r="M1183" s="296">
        <v>0.05</v>
      </c>
      <c r="N1183" s="296">
        <f t="shared" si="108"/>
        <v>0</v>
      </c>
      <c r="O1183" s="299">
        <f t="shared" si="109"/>
        <v>0</v>
      </c>
      <c r="P1183" s="303"/>
    </row>
    <row r="1184" spans="2:16" ht="15.75" thickBot="1">
      <c r="B1184" s="184"/>
      <c r="C1184" s="185"/>
      <c r="D1184" s="186"/>
      <c r="E1184" s="186"/>
      <c r="F1184" s="187"/>
      <c r="G1184" s="187">
        <f t="shared" si="105"/>
        <v>0</v>
      </c>
      <c r="H1184" s="188">
        <v>0.05</v>
      </c>
      <c r="I1184" s="189">
        <f t="shared" si="106"/>
        <v>0</v>
      </c>
      <c r="J1184" s="189">
        <f t="shared" si="107"/>
        <v>0</v>
      </c>
      <c r="K1184" s="294"/>
      <c r="L1184" s="295"/>
      <c r="M1184" s="296">
        <v>0.05</v>
      </c>
      <c r="N1184" s="296">
        <f t="shared" si="108"/>
        <v>0</v>
      </c>
      <c r="O1184" s="299">
        <f t="shared" si="109"/>
        <v>0</v>
      </c>
      <c r="P1184" s="303"/>
    </row>
    <row r="1185" spans="2:16" ht="15.75" thickBot="1">
      <c r="B1185" s="184"/>
      <c r="C1185" s="185"/>
      <c r="D1185" s="186"/>
      <c r="E1185" s="186"/>
      <c r="F1185" s="187"/>
      <c r="G1185" s="187">
        <f t="shared" si="105"/>
        <v>0</v>
      </c>
      <c r="H1185" s="188">
        <v>0.05</v>
      </c>
      <c r="I1185" s="189">
        <f t="shared" si="106"/>
        <v>0</v>
      </c>
      <c r="J1185" s="189">
        <f t="shared" si="107"/>
        <v>0</v>
      </c>
      <c r="K1185" s="294"/>
      <c r="L1185" s="295"/>
      <c r="M1185" s="296">
        <v>0.05</v>
      </c>
      <c r="N1185" s="296">
        <f t="shared" si="108"/>
        <v>0</v>
      </c>
      <c r="O1185" s="299">
        <f t="shared" si="109"/>
        <v>0</v>
      </c>
      <c r="P1185" s="303"/>
    </row>
    <row r="1186" spans="2:16" ht="15.75" thickBot="1">
      <c r="B1186" s="184"/>
      <c r="C1186" s="185"/>
      <c r="D1186" s="186"/>
      <c r="E1186" s="186"/>
      <c r="F1186" s="187"/>
      <c r="G1186" s="187">
        <f t="shared" si="105"/>
        <v>0</v>
      </c>
      <c r="H1186" s="188">
        <v>0.05</v>
      </c>
      <c r="I1186" s="189">
        <f t="shared" si="106"/>
        <v>0</v>
      </c>
      <c r="J1186" s="189">
        <f t="shared" si="107"/>
        <v>0</v>
      </c>
      <c r="K1186" s="294"/>
      <c r="L1186" s="295"/>
      <c r="M1186" s="296">
        <v>0.05</v>
      </c>
      <c r="N1186" s="296">
        <f t="shared" si="108"/>
        <v>0</v>
      </c>
      <c r="O1186" s="299">
        <f t="shared" si="109"/>
        <v>0</v>
      </c>
      <c r="P1186" s="303"/>
    </row>
    <row r="1187" spans="2:16" ht="15.75" thickBot="1">
      <c r="B1187" s="184"/>
      <c r="C1187" s="185"/>
      <c r="D1187" s="186"/>
      <c r="E1187" s="186"/>
      <c r="F1187" s="187"/>
      <c r="G1187" s="187">
        <f t="shared" si="105"/>
        <v>0</v>
      </c>
      <c r="H1187" s="188">
        <v>0.05</v>
      </c>
      <c r="I1187" s="189">
        <f t="shared" si="106"/>
        <v>0</v>
      </c>
      <c r="J1187" s="189">
        <f t="shared" si="107"/>
        <v>0</v>
      </c>
      <c r="K1187" s="294"/>
      <c r="L1187" s="295"/>
      <c r="M1187" s="296">
        <v>0.05</v>
      </c>
      <c r="N1187" s="296">
        <f t="shared" si="108"/>
        <v>0</v>
      </c>
      <c r="O1187" s="299">
        <f t="shared" si="109"/>
        <v>0</v>
      </c>
      <c r="P1187" s="303"/>
    </row>
    <row r="1188" spans="2:16" ht="15.75" thickBot="1">
      <c r="B1188" s="184"/>
      <c r="C1188" s="185"/>
      <c r="D1188" s="186"/>
      <c r="E1188" s="186"/>
      <c r="F1188" s="187"/>
      <c r="G1188" s="187">
        <f t="shared" si="105"/>
        <v>0</v>
      </c>
      <c r="H1188" s="188">
        <v>0.05</v>
      </c>
      <c r="I1188" s="189">
        <f t="shared" si="106"/>
        <v>0</v>
      </c>
      <c r="J1188" s="189">
        <f t="shared" si="107"/>
        <v>0</v>
      </c>
      <c r="K1188" s="294"/>
      <c r="L1188" s="295"/>
      <c r="M1188" s="296">
        <v>0.05</v>
      </c>
      <c r="N1188" s="296">
        <f t="shared" si="108"/>
        <v>0</v>
      </c>
      <c r="O1188" s="299">
        <f t="shared" si="109"/>
        <v>0</v>
      </c>
      <c r="P1188" s="303"/>
    </row>
    <row r="1189" spans="2:16" ht="15.75" thickBot="1">
      <c r="B1189" s="184"/>
      <c r="C1189" s="185"/>
      <c r="D1189" s="186"/>
      <c r="E1189" s="186"/>
      <c r="F1189" s="187"/>
      <c r="G1189" s="187">
        <f t="shared" si="105"/>
        <v>0</v>
      </c>
      <c r="H1189" s="188">
        <v>0.05</v>
      </c>
      <c r="I1189" s="189">
        <f t="shared" si="106"/>
        <v>0</v>
      </c>
      <c r="J1189" s="189">
        <f t="shared" si="107"/>
        <v>0</v>
      </c>
      <c r="K1189" s="294"/>
      <c r="L1189" s="295"/>
      <c r="M1189" s="296">
        <v>0.05</v>
      </c>
      <c r="N1189" s="296">
        <f t="shared" si="108"/>
        <v>0</v>
      </c>
      <c r="O1189" s="299">
        <f t="shared" si="109"/>
        <v>0</v>
      </c>
      <c r="P1189" s="303"/>
    </row>
    <row r="1190" spans="2:16" ht="15.75" thickBot="1">
      <c r="B1190" s="184"/>
      <c r="C1190" s="185"/>
      <c r="D1190" s="186"/>
      <c r="E1190" s="186"/>
      <c r="F1190" s="187"/>
      <c r="G1190" s="187">
        <f t="shared" ref="G1190:G1253" si="110">IF(D1190=0,0,(D1190+E1190)/F1190)</f>
        <v>0</v>
      </c>
      <c r="H1190" s="188">
        <v>0.05</v>
      </c>
      <c r="I1190" s="189">
        <f t="shared" ref="I1190:I1253" si="111">+G1190*H1190</f>
        <v>0</v>
      </c>
      <c r="J1190" s="189">
        <f t="shared" ref="J1190:J1253" si="112">+G1190+I1190</f>
        <v>0</v>
      </c>
      <c r="K1190" s="294"/>
      <c r="L1190" s="295"/>
      <c r="M1190" s="296">
        <v>0.05</v>
      </c>
      <c r="N1190" s="296">
        <f t="shared" ref="N1190:N1253" si="113">IF(H1190&lt;M1190,H1190/M1190,0)</f>
        <v>0</v>
      </c>
      <c r="O1190" s="299">
        <f t="shared" ref="O1190:O1253" si="114">1.5%*N1190</f>
        <v>0</v>
      </c>
      <c r="P1190" s="303"/>
    </row>
    <row r="1191" spans="2:16" ht="15.75" thickBot="1">
      <c r="B1191" s="184"/>
      <c r="C1191" s="185"/>
      <c r="D1191" s="186"/>
      <c r="E1191" s="186"/>
      <c r="F1191" s="187"/>
      <c r="G1191" s="187">
        <f t="shared" si="110"/>
        <v>0</v>
      </c>
      <c r="H1191" s="188">
        <v>0.05</v>
      </c>
      <c r="I1191" s="189">
        <f t="shared" si="111"/>
        <v>0</v>
      </c>
      <c r="J1191" s="189">
        <f t="shared" si="112"/>
        <v>0</v>
      </c>
      <c r="K1191" s="294"/>
      <c r="L1191" s="295"/>
      <c r="M1191" s="296">
        <v>0.05</v>
      </c>
      <c r="N1191" s="296">
        <f t="shared" si="113"/>
        <v>0</v>
      </c>
      <c r="O1191" s="299">
        <f t="shared" si="114"/>
        <v>0</v>
      </c>
      <c r="P1191" s="303"/>
    </row>
    <row r="1192" spans="2:16" ht="15.75" thickBot="1">
      <c r="B1192" s="184"/>
      <c r="C1192" s="185"/>
      <c r="D1192" s="186"/>
      <c r="E1192" s="186"/>
      <c r="F1192" s="187"/>
      <c r="G1192" s="187">
        <f t="shared" si="110"/>
        <v>0</v>
      </c>
      <c r="H1192" s="188">
        <v>0.05</v>
      </c>
      <c r="I1192" s="189">
        <f t="shared" si="111"/>
        <v>0</v>
      </c>
      <c r="J1192" s="189">
        <f t="shared" si="112"/>
        <v>0</v>
      </c>
      <c r="K1192" s="294"/>
      <c r="L1192" s="295"/>
      <c r="M1192" s="296">
        <v>0.05</v>
      </c>
      <c r="N1192" s="296">
        <f t="shared" si="113"/>
        <v>0</v>
      </c>
      <c r="O1192" s="299">
        <f t="shared" si="114"/>
        <v>0</v>
      </c>
      <c r="P1192" s="303"/>
    </row>
    <row r="1193" spans="2:16" ht="15.75" thickBot="1">
      <c r="B1193" s="184"/>
      <c r="C1193" s="185"/>
      <c r="D1193" s="186"/>
      <c r="E1193" s="186"/>
      <c r="F1193" s="187"/>
      <c r="G1193" s="187">
        <f t="shared" si="110"/>
        <v>0</v>
      </c>
      <c r="H1193" s="188">
        <v>0.05</v>
      </c>
      <c r="I1193" s="189">
        <f t="shared" si="111"/>
        <v>0</v>
      </c>
      <c r="J1193" s="189">
        <f t="shared" si="112"/>
        <v>0</v>
      </c>
      <c r="K1193" s="294"/>
      <c r="L1193" s="295"/>
      <c r="M1193" s="296">
        <v>0.05</v>
      </c>
      <c r="N1193" s="296">
        <f t="shared" si="113"/>
        <v>0</v>
      </c>
      <c r="O1193" s="299">
        <f t="shared" si="114"/>
        <v>0</v>
      </c>
      <c r="P1193" s="303"/>
    </row>
    <row r="1194" spans="2:16" ht="15.75" thickBot="1">
      <c r="B1194" s="184"/>
      <c r="C1194" s="185"/>
      <c r="D1194" s="186"/>
      <c r="E1194" s="186"/>
      <c r="F1194" s="187"/>
      <c r="G1194" s="187">
        <f t="shared" si="110"/>
        <v>0</v>
      </c>
      <c r="H1194" s="188">
        <v>0.05</v>
      </c>
      <c r="I1194" s="189">
        <f t="shared" si="111"/>
        <v>0</v>
      </c>
      <c r="J1194" s="189">
        <f t="shared" si="112"/>
        <v>0</v>
      </c>
      <c r="K1194" s="294"/>
      <c r="L1194" s="295"/>
      <c r="M1194" s="296">
        <v>0.05</v>
      </c>
      <c r="N1194" s="296">
        <f t="shared" si="113"/>
        <v>0</v>
      </c>
      <c r="O1194" s="299">
        <f t="shared" si="114"/>
        <v>0</v>
      </c>
      <c r="P1194" s="303"/>
    </row>
    <row r="1195" spans="2:16" ht="15.75" thickBot="1">
      <c r="B1195" s="184"/>
      <c r="C1195" s="185"/>
      <c r="D1195" s="186"/>
      <c r="E1195" s="186"/>
      <c r="F1195" s="187"/>
      <c r="G1195" s="187">
        <f t="shared" si="110"/>
        <v>0</v>
      </c>
      <c r="H1195" s="188">
        <v>0.05</v>
      </c>
      <c r="I1195" s="189">
        <f t="shared" si="111"/>
        <v>0</v>
      </c>
      <c r="J1195" s="189">
        <f t="shared" si="112"/>
        <v>0</v>
      </c>
      <c r="K1195" s="294"/>
      <c r="L1195" s="295"/>
      <c r="M1195" s="296">
        <v>0.05</v>
      </c>
      <c r="N1195" s="296">
        <f t="shared" si="113"/>
        <v>0</v>
      </c>
      <c r="O1195" s="299">
        <f t="shared" si="114"/>
        <v>0</v>
      </c>
      <c r="P1195" s="303"/>
    </row>
    <row r="1196" spans="2:16" ht="15.75" thickBot="1">
      <c r="B1196" s="184"/>
      <c r="C1196" s="185"/>
      <c r="D1196" s="186"/>
      <c r="E1196" s="186"/>
      <c r="F1196" s="187"/>
      <c r="G1196" s="187">
        <f t="shared" si="110"/>
        <v>0</v>
      </c>
      <c r="H1196" s="188">
        <v>0.05</v>
      </c>
      <c r="I1196" s="189">
        <f t="shared" si="111"/>
        <v>0</v>
      </c>
      <c r="J1196" s="189">
        <f t="shared" si="112"/>
        <v>0</v>
      </c>
      <c r="K1196" s="294"/>
      <c r="L1196" s="295"/>
      <c r="M1196" s="296">
        <v>0.05</v>
      </c>
      <c r="N1196" s="296">
        <f t="shared" si="113"/>
        <v>0</v>
      </c>
      <c r="O1196" s="299">
        <f t="shared" si="114"/>
        <v>0</v>
      </c>
      <c r="P1196" s="303"/>
    </row>
    <row r="1197" spans="2:16" ht="15.75" thickBot="1">
      <c r="B1197" s="184"/>
      <c r="C1197" s="185"/>
      <c r="D1197" s="186"/>
      <c r="E1197" s="186"/>
      <c r="F1197" s="187"/>
      <c r="G1197" s="187">
        <f t="shared" si="110"/>
        <v>0</v>
      </c>
      <c r="H1197" s="188">
        <v>0.05</v>
      </c>
      <c r="I1197" s="189">
        <f t="shared" si="111"/>
        <v>0</v>
      </c>
      <c r="J1197" s="189">
        <f t="shared" si="112"/>
        <v>0</v>
      </c>
      <c r="K1197" s="294"/>
      <c r="L1197" s="295"/>
      <c r="M1197" s="296">
        <v>0.05</v>
      </c>
      <c r="N1197" s="296">
        <f t="shared" si="113"/>
        <v>0</v>
      </c>
      <c r="O1197" s="299">
        <f t="shared" si="114"/>
        <v>0</v>
      </c>
      <c r="P1197" s="303"/>
    </row>
    <row r="1198" spans="2:16" ht="15.75" thickBot="1">
      <c r="B1198" s="184"/>
      <c r="C1198" s="185"/>
      <c r="D1198" s="186"/>
      <c r="E1198" s="186"/>
      <c r="F1198" s="187"/>
      <c r="G1198" s="187">
        <f t="shared" si="110"/>
        <v>0</v>
      </c>
      <c r="H1198" s="188">
        <v>0.05</v>
      </c>
      <c r="I1198" s="189">
        <f t="shared" si="111"/>
        <v>0</v>
      </c>
      <c r="J1198" s="189">
        <f t="shared" si="112"/>
        <v>0</v>
      </c>
      <c r="K1198" s="294"/>
      <c r="L1198" s="295"/>
      <c r="M1198" s="296">
        <v>0.05</v>
      </c>
      <c r="N1198" s="296">
        <f t="shared" si="113"/>
        <v>0</v>
      </c>
      <c r="O1198" s="299">
        <f t="shared" si="114"/>
        <v>0</v>
      </c>
      <c r="P1198" s="303"/>
    </row>
    <row r="1199" spans="2:16" ht="15.75" thickBot="1">
      <c r="B1199" s="184"/>
      <c r="C1199" s="185"/>
      <c r="D1199" s="186"/>
      <c r="E1199" s="186"/>
      <c r="F1199" s="187"/>
      <c r="G1199" s="187">
        <f t="shared" si="110"/>
        <v>0</v>
      </c>
      <c r="H1199" s="188">
        <v>0.05</v>
      </c>
      <c r="I1199" s="189">
        <f t="shared" si="111"/>
        <v>0</v>
      </c>
      <c r="J1199" s="189">
        <f t="shared" si="112"/>
        <v>0</v>
      </c>
      <c r="K1199" s="294"/>
      <c r="L1199" s="295"/>
      <c r="M1199" s="296">
        <v>0.05</v>
      </c>
      <c r="N1199" s="296">
        <f t="shared" si="113"/>
        <v>0</v>
      </c>
      <c r="O1199" s="299">
        <f t="shared" si="114"/>
        <v>0</v>
      </c>
      <c r="P1199" s="303"/>
    </row>
    <row r="1200" spans="2:16" ht="15.75" thickBot="1">
      <c r="B1200" s="184"/>
      <c r="C1200" s="185"/>
      <c r="D1200" s="186"/>
      <c r="E1200" s="186"/>
      <c r="F1200" s="187"/>
      <c r="G1200" s="187">
        <f t="shared" si="110"/>
        <v>0</v>
      </c>
      <c r="H1200" s="188">
        <v>0.05</v>
      </c>
      <c r="I1200" s="189">
        <f t="shared" si="111"/>
        <v>0</v>
      </c>
      <c r="J1200" s="189">
        <f t="shared" si="112"/>
        <v>0</v>
      </c>
      <c r="K1200" s="294"/>
      <c r="L1200" s="295"/>
      <c r="M1200" s="296">
        <v>0.05</v>
      </c>
      <c r="N1200" s="296">
        <f t="shared" si="113"/>
        <v>0</v>
      </c>
      <c r="O1200" s="299">
        <f t="shared" si="114"/>
        <v>0</v>
      </c>
      <c r="P1200" s="303"/>
    </row>
    <row r="1201" spans="2:16" ht="15.75" thickBot="1">
      <c r="B1201" s="184"/>
      <c r="C1201" s="185"/>
      <c r="D1201" s="186"/>
      <c r="E1201" s="186"/>
      <c r="F1201" s="187"/>
      <c r="G1201" s="187">
        <f t="shared" si="110"/>
        <v>0</v>
      </c>
      <c r="H1201" s="188">
        <v>0.05</v>
      </c>
      <c r="I1201" s="189">
        <f t="shared" si="111"/>
        <v>0</v>
      </c>
      <c r="J1201" s="189">
        <f t="shared" si="112"/>
        <v>0</v>
      </c>
      <c r="K1201" s="294"/>
      <c r="L1201" s="295"/>
      <c r="M1201" s="296">
        <v>0.05</v>
      </c>
      <c r="N1201" s="296">
        <f t="shared" si="113"/>
        <v>0</v>
      </c>
      <c r="O1201" s="299">
        <f t="shared" si="114"/>
        <v>0</v>
      </c>
      <c r="P1201" s="303"/>
    </row>
    <row r="1202" spans="2:16" ht="15.75" thickBot="1">
      <c r="B1202" s="184"/>
      <c r="C1202" s="185"/>
      <c r="D1202" s="186"/>
      <c r="E1202" s="186"/>
      <c r="F1202" s="187"/>
      <c r="G1202" s="187">
        <f t="shared" si="110"/>
        <v>0</v>
      </c>
      <c r="H1202" s="188">
        <v>0.05</v>
      </c>
      <c r="I1202" s="189">
        <f t="shared" si="111"/>
        <v>0</v>
      </c>
      <c r="J1202" s="189">
        <f t="shared" si="112"/>
        <v>0</v>
      </c>
      <c r="K1202" s="294"/>
      <c r="L1202" s="295"/>
      <c r="M1202" s="296">
        <v>0.05</v>
      </c>
      <c r="N1202" s="296">
        <f t="shared" si="113"/>
        <v>0</v>
      </c>
      <c r="O1202" s="299">
        <f t="shared" si="114"/>
        <v>0</v>
      </c>
      <c r="P1202" s="303"/>
    </row>
    <row r="1203" spans="2:16" ht="15.75" thickBot="1">
      <c r="B1203" s="184"/>
      <c r="C1203" s="185"/>
      <c r="D1203" s="186"/>
      <c r="E1203" s="186"/>
      <c r="F1203" s="187"/>
      <c r="G1203" s="187">
        <f t="shared" si="110"/>
        <v>0</v>
      </c>
      <c r="H1203" s="188">
        <v>0.05</v>
      </c>
      <c r="I1203" s="189">
        <f t="shared" si="111"/>
        <v>0</v>
      </c>
      <c r="J1203" s="189">
        <f t="shared" si="112"/>
        <v>0</v>
      </c>
      <c r="K1203" s="294"/>
      <c r="L1203" s="295"/>
      <c r="M1203" s="296">
        <v>0.05</v>
      </c>
      <c r="N1203" s="296">
        <f t="shared" si="113"/>
        <v>0</v>
      </c>
      <c r="O1203" s="299">
        <f t="shared" si="114"/>
        <v>0</v>
      </c>
      <c r="P1203" s="303"/>
    </row>
    <row r="1204" spans="2:16" ht="15.75" thickBot="1">
      <c r="B1204" s="184"/>
      <c r="C1204" s="185"/>
      <c r="D1204" s="186"/>
      <c r="E1204" s="186"/>
      <c r="F1204" s="187"/>
      <c r="G1204" s="187">
        <f t="shared" si="110"/>
        <v>0</v>
      </c>
      <c r="H1204" s="188">
        <v>0.05</v>
      </c>
      <c r="I1204" s="189">
        <f t="shared" si="111"/>
        <v>0</v>
      </c>
      <c r="J1204" s="189">
        <f t="shared" si="112"/>
        <v>0</v>
      </c>
      <c r="K1204" s="294"/>
      <c r="L1204" s="295"/>
      <c r="M1204" s="296">
        <v>0.05</v>
      </c>
      <c r="N1204" s="296">
        <f t="shared" si="113"/>
        <v>0</v>
      </c>
      <c r="O1204" s="299">
        <f t="shared" si="114"/>
        <v>0</v>
      </c>
      <c r="P1204" s="303"/>
    </row>
    <row r="1205" spans="2:16" ht="15.75" thickBot="1">
      <c r="B1205" s="184"/>
      <c r="C1205" s="185"/>
      <c r="D1205" s="186"/>
      <c r="E1205" s="186"/>
      <c r="F1205" s="187"/>
      <c r="G1205" s="187">
        <f t="shared" si="110"/>
        <v>0</v>
      </c>
      <c r="H1205" s="188">
        <v>0.05</v>
      </c>
      <c r="I1205" s="189">
        <f t="shared" si="111"/>
        <v>0</v>
      </c>
      <c r="J1205" s="189">
        <f t="shared" si="112"/>
        <v>0</v>
      </c>
      <c r="K1205" s="294"/>
      <c r="L1205" s="295"/>
      <c r="M1205" s="296">
        <v>0.05</v>
      </c>
      <c r="N1205" s="296">
        <f t="shared" si="113"/>
        <v>0</v>
      </c>
      <c r="O1205" s="299">
        <f t="shared" si="114"/>
        <v>0</v>
      </c>
      <c r="P1205" s="303"/>
    </row>
    <row r="1206" spans="2:16" ht="15.75" thickBot="1">
      <c r="B1206" s="184"/>
      <c r="C1206" s="185"/>
      <c r="D1206" s="186"/>
      <c r="E1206" s="186"/>
      <c r="F1206" s="187"/>
      <c r="G1206" s="187">
        <f t="shared" si="110"/>
        <v>0</v>
      </c>
      <c r="H1206" s="188">
        <v>0.05</v>
      </c>
      <c r="I1206" s="189">
        <f t="shared" si="111"/>
        <v>0</v>
      </c>
      <c r="J1206" s="189">
        <f t="shared" si="112"/>
        <v>0</v>
      </c>
      <c r="K1206" s="294"/>
      <c r="L1206" s="295"/>
      <c r="M1206" s="296">
        <v>0.05</v>
      </c>
      <c r="N1206" s="296">
        <f t="shared" si="113"/>
        <v>0</v>
      </c>
      <c r="O1206" s="299">
        <f t="shared" si="114"/>
        <v>0</v>
      </c>
      <c r="P1206" s="303"/>
    </row>
    <row r="1207" spans="2:16" ht="15.75" thickBot="1">
      <c r="B1207" s="184"/>
      <c r="C1207" s="185"/>
      <c r="D1207" s="186"/>
      <c r="E1207" s="186"/>
      <c r="F1207" s="187"/>
      <c r="G1207" s="187">
        <f t="shared" si="110"/>
        <v>0</v>
      </c>
      <c r="H1207" s="188">
        <v>0.05</v>
      </c>
      <c r="I1207" s="189">
        <f t="shared" si="111"/>
        <v>0</v>
      </c>
      <c r="J1207" s="189">
        <f t="shared" si="112"/>
        <v>0</v>
      </c>
      <c r="K1207" s="294"/>
      <c r="L1207" s="295"/>
      <c r="M1207" s="296">
        <v>0.05</v>
      </c>
      <c r="N1207" s="296">
        <f t="shared" si="113"/>
        <v>0</v>
      </c>
      <c r="O1207" s="299">
        <f t="shared" si="114"/>
        <v>0</v>
      </c>
      <c r="P1207" s="303"/>
    </row>
    <row r="1208" spans="2:16" ht="15.75" thickBot="1">
      <c r="B1208" s="184"/>
      <c r="C1208" s="185"/>
      <c r="D1208" s="186"/>
      <c r="E1208" s="186"/>
      <c r="F1208" s="187"/>
      <c r="G1208" s="187">
        <f t="shared" si="110"/>
        <v>0</v>
      </c>
      <c r="H1208" s="188">
        <v>0.05</v>
      </c>
      <c r="I1208" s="189">
        <f t="shared" si="111"/>
        <v>0</v>
      </c>
      <c r="J1208" s="189">
        <f t="shared" si="112"/>
        <v>0</v>
      </c>
      <c r="K1208" s="294"/>
      <c r="L1208" s="295"/>
      <c r="M1208" s="296">
        <v>0.05</v>
      </c>
      <c r="N1208" s="296">
        <f t="shared" si="113"/>
        <v>0</v>
      </c>
      <c r="O1208" s="299">
        <f t="shared" si="114"/>
        <v>0</v>
      </c>
      <c r="P1208" s="303"/>
    </row>
    <row r="1209" spans="2:16" ht="15.75" thickBot="1">
      <c r="B1209" s="184"/>
      <c r="C1209" s="185"/>
      <c r="D1209" s="186"/>
      <c r="E1209" s="186"/>
      <c r="F1209" s="187"/>
      <c r="G1209" s="187">
        <f t="shared" si="110"/>
        <v>0</v>
      </c>
      <c r="H1209" s="188">
        <v>0.05</v>
      </c>
      <c r="I1209" s="189">
        <f t="shared" si="111"/>
        <v>0</v>
      </c>
      <c r="J1209" s="189">
        <f t="shared" si="112"/>
        <v>0</v>
      </c>
      <c r="K1209" s="294"/>
      <c r="L1209" s="295"/>
      <c r="M1209" s="296">
        <v>0.05</v>
      </c>
      <c r="N1209" s="296">
        <f t="shared" si="113"/>
        <v>0</v>
      </c>
      <c r="O1209" s="299">
        <f t="shared" si="114"/>
        <v>0</v>
      </c>
      <c r="P1209" s="303"/>
    </row>
    <row r="1210" spans="2:16" ht="15.75" thickBot="1">
      <c r="B1210" s="184"/>
      <c r="C1210" s="185"/>
      <c r="D1210" s="186"/>
      <c r="E1210" s="186"/>
      <c r="F1210" s="187"/>
      <c r="G1210" s="187">
        <f t="shared" si="110"/>
        <v>0</v>
      </c>
      <c r="H1210" s="188">
        <v>0.05</v>
      </c>
      <c r="I1210" s="189">
        <f t="shared" si="111"/>
        <v>0</v>
      </c>
      <c r="J1210" s="189">
        <f t="shared" si="112"/>
        <v>0</v>
      </c>
      <c r="K1210" s="294"/>
      <c r="L1210" s="295"/>
      <c r="M1210" s="296">
        <v>0.05</v>
      </c>
      <c r="N1210" s="296">
        <f t="shared" si="113"/>
        <v>0</v>
      </c>
      <c r="O1210" s="299">
        <f t="shared" si="114"/>
        <v>0</v>
      </c>
      <c r="P1210" s="303"/>
    </row>
    <row r="1211" spans="2:16" ht="15.75" thickBot="1">
      <c r="B1211" s="184"/>
      <c r="C1211" s="185"/>
      <c r="D1211" s="186"/>
      <c r="E1211" s="186"/>
      <c r="F1211" s="187"/>
      <c r="G1211" s="187">
        <f t="shared" si="110"/>
        <v>0</v>
      </c>
      <c r="H1211" s="188">
        <v>0.05</v>
      </c>
      <c r="I1211" s="189">
        <f t="shared" si="111"/>
        <v>0</v>
      </c>
      <c r="J1211" s="189">
        <f t="shared" si="112"/>
        <v>0</v>
      </c>
      <c r="K1211" s="294"/>
      <c r="L1211" s="295"/>
      <c r="M1211" s="296">
        <v>0.05</v>
      </c>
      <c r="N1211" s="296">
        <f t="shared" si="113"/>
        <v>0</v>
      </c>
      <c r="O1211" s="299">
        <f t="shared" si="114"/>
        <v>0</v>
      </c>
      <c r="P1211" s="303"/>
    </row>
    <row r="1212" spans="2:16" ht="15.75" thickBot="1">
      <c r="B1212" s="184"/>
      <c r="C1212" s="185"/>
      <c r="D1212" s="186"/>
      <c r="E1212" s="186"/>
      <c r="F1212" s="187"/>
      <c r="G1212" s="187">
        <f t="shared" si="110"/>
        <v>0</v>
      </c>
      <c r="H1212" s="188">
        <v>0.05</v>
      </c>
      <c r="I1212" s="189">
        <f t="shared" si="111"/>
        <v>0</v>
      </c>
      <c r="J1212" s="189">
        <f t="shared" si="112"/>
        <v>0</v>
      </c>
      <c r="K1212" s="294"/>
      <c r="L1212" s="295"/>
      <c r="M1212" s="296">
        <v>0.05</v>
      </c>
      <c r="N1212" s="296">
        <f t="shared" si="113"/>
        <v>0</v>
      </c>
      <c r="O1212" s="299">
        <f t="shared" si="114"/>
        <v>0</v>
      </c>
      <c r="P1212" s="303"/>
    </row>
    <row r="1213" spans="2:16" ht="15.75" thickBot="1">
      <c r="B1213" s="184"/>
      <c r="C1213" s="185"/>
      <c r="D1213" s="186"/>
      <c r="E1213" s="186"/>
      <c r="F1213" s="187"/>
      <c r="G1213" s="187">
        <f t="shared" si="110"/>
        <v>0</v>
      </c>
      <c r="H1213" s="188">
        <v>0.05</v>
      </c>
      <c r="I1213" s="189">
        <f t="shared" si="111"/>
        <v>0</v>
      </c>
      <c r="J1213" s="189">
        <f t="shared" si="112"/>
        <v>0</v>
      </c>
      <c r="K1213" s="294"/>
      <c r="L1213" s="295"/>
      <c r="M1213" s="296">
        <v>0.05</v>
      </c>
      <c r="N1213" s="296">
        <f t="shared" si="113"/>
        <v>0</v>
      </c>
      <c r="O1213" s="299">
        <f t="shared" si="114"/>
        <v>0</v>
      </c>
      <c r="P1213" s="303"/>
    </row>
    <row r="1214" spans="2:16" ht="15.75" thickBot="1">
      <c r="B1214" s="184"/>
      <c r="C1214" s="185"/>
      <c r="D1214" s="186"/>
      <c r="E1214" s="186"/>
      <c r="F1214" s="187"/>
      <c r="G1214" s="187">
        <f t="shared" si="110"/>
        <v>0</v>
      </c>
      <c r="H1214" s="188">
        <v>0.05</v>
      </c>
      <c r="I1214" s="189">
        <f t="shared" si="111"/>
        <v>0</v>
      </c>
      <c r="J1214" s="189">
        <f t="shared" si="112"/>
        <v>0</v>
      </c>
      <c r="K1214" s="294"/>
      <c r="L1214" s="295"/>
      <c r="M1214" s="296">
        <v>0.05</v>
      </c>
      <c r="N1214" s="296">
        <f t="shared" si="113"/>
        <v>0</v>
      </c>
      <c r="O1214" s="299">
        <f t="shared" si="114"/>
        <v>0</v>
      </c>
      <c r="P1214" s="303"/>
    </row>
    <row r="1215" spans="2:16" ht="15.75" thickBot="1">
      <c r="B1215" s="184"/>
      <c r="C1215" s="185"/>
      <c r="D1215" s="186"/>
      <c r="E1215" s="186"/>
      <c r="F1215" s="187"/>
      <c r="G1215" s="187">
        <f t="shared" si="110"/>
        <v>0</v>
      </c>
      <c r="H1215" s="188">
        <v>0.05</v>
      </c>
      <c r="I1215" s="189">
        <f t="shared" si="111"/>
        <v>0</v>
      </c>
      <c r="J1215" s="189">
        <f t="shared" si="112"/>
        <v>0</v>
      </c>
      <c r="K1215" s="294"/>
      <c r="L1215" s="295"/>
      <c r="M1215" s="296">
        <v>0.05</v>
      </c>
      <c r="N1215" s="296">
        <f t="shared" si="113"/>
        <v>0</v>
      </c>
      <c r="O1215" s="299">
        <f t="shared" si="114"/>
        <v>0</v>
      </c>
      <c r="P1215" s="303"/>
    </row>
    <row r="1216" spans="2:16" ht="15.75" thickBot="1">
      <c r="B1216" s="184"/>
      <c r="C1216" s="185"/>
      <c r="D1216" s="186"/>
      <c r="E1216" s="186"/>
      <c r="F1216" s="187"/>
      <c r="G1216" s="187">
        <f t="shared" si="110"/>
        <v>0</v>
      </c>
      <c r="H1216" s="188">
        <v>0.05</v>
      </c>
      <c r="I1216" s="189">
        <f t="shared" si="111"/>
        <v>0</v>
      </c>
      <c r="J1216" s="189">
        <f t="shared" si="112"/>
        <v>0</v>
      </c>
      <c r="K1216" s="294"/>
      <c r="L1216" s="295"/>
      <c r="M1216" s="296">
        <v>0.05</v>
      </c>
      <c r="N1216" s="296">
        <f t="shared" si="113"/>
        <v>0</v>
      </c>
      <c r="O1216" s="299">
        <f t="shared" si="114"/>
        <v>0</v>
      </c>
      <c r="P1216" s="303"/>
    </row>
    <row r="1217" spans="2:16" ht="15.75" thickBot="1">
      <c r="B1217" s="184"/>
      <c r="C1217" s="185"/>
      <c r="D1217" s="186"/>
      <c r="E1217" s="186"/>
      <c r="F1217" s="187"/>
      <c r="G1217" s="187">
        <f t="shared" si="110"/>
        <v>0</v>
      </c>
      <c r="H1217" s="188">
        <v>0.05</v>
      </c>
      <c r="I1217" s="189">
        <f t="shared" si="111"/>
        <v>0</v>
      </c>
      <c r="J1217" s="189">
        <f t="shared" si="112"/>
        <v>0</v>
      </c>
      <c r="K1217" s="294"/>
      <c r="L1217" s="295"/>
      <c r="M1217" s="296">
        <v>0.05</v>
      </c>
      <c r="N1217" s="296">
        <f t="shared" si="113"/>
        <v>0</v>
      </c>
      <c r="O1217" s="299">
        <f t="shared" si="114"/>
        <v>0</v>
      </c>
      <c r="P1217" s="303"/>
    </row>
    <row r="1218" spans="2:16" ht="15.75" thickBot="1">
      <c r="B1218" s="184"/>
      <c r="C1218" s="185"/>
      <c r="D1218" s="186"/>
      <c r="E1218" s="186"/>
      <c r="F1218" s="187"/>
      <c r="G1218" s="187">
        <f t="shared" si="110"/>
        <v>0</v>
      </c>
      <c r="H1218" s="188">
        <v>0.05</v>
      </c>
      <c r="I1218" s="189">
        <f t="shared" si="111"/>
        <v>0</v>
      </c>
      <c r="J1218" s="189">
        <f t="shared" si="112"/>
        <v>0</v>
      </c>
      <c r="K1218" s="294"/>
      <c r="L1218" s="295"/>
      <c r="M1218" s="296">
        <v>0.05</v>
      </c>
      <c r="N1218" s="296">
        <f t="shared" si="113"/>
        <v>0</v>
      </c>
      <c r="O1218" s="299">
        <f t="shared" si="114"/>
        <v>0</v>
      </c>
      <c r="P1218" s="303"/>
    </row>
    <row r="1219" spans="2:16" ht="15.75" thickBot="1">
      <c r="B1219" s="184"/>
      <c r="C1219" s="185"/>
      <c r="D1219" s="186"/>
      <c r="E1219" s="186"/>
      <c r="F1219" s="187"/>
      <c r="G1219" s="187">
        <f t="shared" si="110"/>
        <v>0</v>
      </c>
      <c r="H1219" s="188">
        <v>0.05</v>
      </c>
      <c r="I1219" s="189">
        <f t="shared" si="111"/>
        <v>0</v>
      </c>
      <c r="J1219" s="189">
        <f t="shared" si="112"/>
        <v>0</v>
      </c>
      <c r="K1219" s="294"/>
      <c r="L1219" s="295"/>
      <c r="M1219" s="296">
        <v>0.05</v>
      </c>
      <c r="N1219" s="296">
        <f t="shared" si="113"/>
        <v>0</v>
      </c>
      <c r="O1219" s="299">
        <f t="shared" si="114"/>
        <v>0</v>
      </c>
      <c r="P1219" s="303"/>
    </row>
    <row r="1220" spans="2:16" ht="15.75" thickBot="1">
      <c r="B1220" s="184"/>
      <c r="C1220" s="185"/>
      <c r="D1220" s="186"/>
      <c r="E1220" s="186"/>
      <c r="F1220" s="187"/>
      <c r="G1220" s="187">
        <f t="shared" si="110"/>
        <v>0</v>
      </c>
      <c r="H1220" s="188">
        <v>0.05</v>
      </c>
      <c r="I1220" s="189">
        <f t="shared" si="111"/>
        <v>0</v>
      </c>
      <c r="J1220" s="189">
        <f t="shared" si="112"/>
        <v>0</v>
      </c>
      <c r="K1220" s="294"/>
      <c r="L1220" s="295"/>
      <c r="M1220" s="296">
        <v>0.05</v>
      </c>
      <c r="N1220" s="296">
        <f t="shared" si="113"/>
        <v>0</v>
      </c>
      <c r="O1220" s="299">
        <f t="shared" si="114"/>
        <v>0</v>
      </c>
      <c r="P1220" s="303"/>
    </row>
    <row r="1221" spans="2:16" ht="15.75" thickBot="1">
      <c r="B1221" s="184"/>
      <c r="C1221" s="185"/>
      <c r="D1221" s="186"/>
      <c r="E1221" s="186"/>
      <c r="F1221" s="187"/>
      <c r="G1221" s="187">
        <f t="shared" si="110"/>
        <v>0</v>
      </c>
      <c r="H1221" s="188">
        <v>0.05</v>
      </c>
      <c r="I1221" s="189">
        <f t="shared" si="111"/>
        <v>0</v>
      </c>
      <c r="J1221" s="189">
        <f t="shared" si="112"/>
        <v>0</v>
      </c>
      <c r="K1221" s="294"/>
      <c r="L1221" s="295"/>
      <c r="M1221" s="296">
        <v>0.05</v>
      </c>
      <c r="N1221" s="296">
        <f t="shared" si="113"/>
        <v>0</v>
      </c>
      <c r="O1221" s="299">
        <f t="shared" si="114"/>
        <v>0</v>
      </c>
      <c r="P1221" s="303"/>
    </row>
    <row r="1222" spans="2:16" ht="15.75" thickBot="1">
      <c r="B1222" s="184"/>
      <c r="C1222" s="185"/>
      <c r="D1222" s="186"/>
      <c r="E1222" s="186"/>
      <c r="F1222" s="187"/>
      <c r="G1222" s="187">
        <f t="shared" si="110"/>
        <v>0</v>
      </c>
      <c r="H1222" s="188">
        <v>0.05</v>
      </c>
      <c r="I1222" s="189">
        <f t="shared" si="111"/>
        <v>0</v>
      </c>
      <c r="J1222" s="189">
        <f t="shared" si="112"/>
        <v>0</v>
      </c>
      <c r="K1222" s="294"/>
      <c r="L1222" s="295"/>
      <c r="M1222" s="296">
        <v>0.05</v>
      </c>
      <c r="N1222" s="296">
        <f t="shared" si="113"/>
        <v>0</v>
      </c>
      <c r="O1222" s="299">
        <f t="shared" si="114"/>
        <v>0</v>
      </c>
      <c r="P1222" s="303"/>
    </row>
    <row r="1223" spans="2:16" ht="15.75" thickBot="1">
      <c r="B1223" s="184"/>
      <c r="C1223" s="185"/>
      <c r="D1223" s="186"/>
      <c r="E1223" s="186"/>
      <c r="F1223" s="187"/>
      <c r="G1223" s="187">
        <f t="shared" si="110"/>
        <v>0</v>
      </c>
      <c r="H1223" s="188">
        <v>0.05</v>
      </c>
      <c r="I1223" s="189">
        <f t="shared" si="111"/>
        <v>0</v>
      </c>
      <c r="J1223" s="189">
        <f t="shared" si="112"/>
        <v>0</v>
      </c>
      <c r="K1223" s="294"/>
      <c r="L1223" s="295"/>
      <c r="M1223" s="296">
        <v>0.05</v>
      </c>
      <c r="N1223" s="296">
        <f t="shared" si="113"/>
        <v>0</v>
      </c>
      <c r="O1223" s="299">
        <f t="shared" si="114"/>
        <v>0</v>
      </c>
      <c r="P1223" s="303"/>
    </row>
    <row r="1224" spans="2:16" ht="15.75" thickBot="1">
      <c r="B1224" s="184"/>
      <c r="C1224" s="185"/>
      <c r="D1224" s="186"/>
      <c r="E1224" s="186"/>
      <c r="F1224" s="187"/>
      <c r="G1224" s="187">
        <f t="shared" si="110"/>
        <v>0</v>
      </c>
      <c r="H1224" s="188">
        <v>0.05</v>
      </c>
      <c r="I1224" s="189">
        <f t="shared" si="111"/>
        <v>0</v>
      </c>
      <c r="J1224" s="189">
        <f t="shared" si="112"/>
        <v>0</v>
      </c>
      <c r="K1224" s="294"/>
      <c r="L1224" s="295"/>
      <c r="M1224" s="296">
        <v>0.05</v>
      </c>
      <c r="N1224" s="296">
        <f t="shared" si="113"/>
        <v>0</v>
      </c>
      <c r="O1224" s="299">
        <f t="shared" si="114"/>
        <v>0</v>
      </c>
      <c r="P1224" s="303"/>
    </row>
    <row r="1225" spans="2:16" ht="15.75" thickBot="1">
      <c r="B1225" s="184"/>
      <c r="C1225" s="185"/>
      <c r="D1225" s="186"/>
      <c r="E1225" s="186"/>
      <c r="F1225" s="187"/>
      <c r="G1225" s="187">
        <f t="shared" si="110"/>
        <v>0</v>
      </c>
      <c r="H1225" s="188">
        <v>0.05</v>
      </c>
      <c r="I1225" s="189">
        <f t="shared" si="111"/>
        <v>0</v>
      </c>
      <c r="J1225" s="189">
        <f t="shared" si="112"/>
        <v>0</v>
      </c>
      <c r="K1225" s="294"/>
      <c r="L1225" s="295"/>
      <c r="M1225" s="296">
        <v>0.05</v>
      </c>
      <c r="N1225" s="296">
        <f t="shared" si="113"/>
        <v>0</v>
      </c>
      <c r="O1225" s="299">
        <f t="shared" si="114"/>
        <v>0</v>
      </c>
      <c r="P1225" s="303"/>
    </row>
    <row r="1226" spans="2:16" ht="15.75" thickBot="1">
      <c r="B1226" s="184"/>
      <c r="C1226" s="185"/>
      <c r="D1226" s="186"/>
      <c r="E1226" s="186"/>
      <c r="F1226" s="187"/>
      <c r="G1226" s="187">
        <f t="shared" si="110"/>
        <v>0</v>
      </c>
      <c r="H1226" s="188">
        <v>0.05</v>
      </c>
      <c r="I1226" s="189">
        <f t="shared" si="111"/>
        <v>0</v>
      </c>
      <c r="J1226" s="189">
        <f t="shared" si="112"/>
        <v>0</v>
      </c>
      <c r="K1226" s="294"/>
      <c r="L1226" s="295"/>
      <c r="M1226" s="296">
        <v>0.05</v>
      </c>
      <c r="N1226" s="296">
        <f t="shared" si="113"/>
        <v>0</v>
      </c>
      <c r="O1226" s="299">
        <f t="shared" si="114"/>
        <v>0</v>
      </c>
      <c r="P1226" s="303"/>
    </row>
    <row r="1227" spans="2:16" ht="15.75" thickBot="1">
      <c r="B1227" s="184"/>
      <c r="C1227" s="185"/>
      <c r="D1227" s="186"/>
      <c r="E1227" s="186"/>
      <c r="F1227" s="187"/>
      <c r="G1227" s="187">
        <f t="shared" si="110"/>
        <v>0</v>
      </c>
      <c r="H1227" s="188">
        <v>0.05</v>
      </c>
      <c r="I1227" s="189">
        <f t="shared" si="111"/>
        <v>0</v>
      </c>
      <c r="J1227" s="189">
        <f t="shared" si="112"/>
        <v>0</v>
      </c>
      <c r="K1227" s="294"/>
      <c r="L1227" s="295"/>
      <c r="M1227" s="296">
        <v>0.05</v>
      </c>
      <c r="N1227" s="296">
        <f t="shared" si="113"/>
        <v>0</v>
      </c>
      <c r="O1227" s="299">
        <f t="shared" si="114"/>
        <v>0</v>
      </c>
      <c r="P1227" s="303"/>
    </row>
    <row r="1228" spans="2:16" ht="15.75" thickBot="1">
      <c r="B1228" s="184"/>
      <c r="C1228" s="185"/>
      <c r="D1228" s="186"/>
      <c r="E1228" s="186"/>
      <c r="F1228" s="187"/>
      <c r="G1228" s="187">
        <f t="shared" si="110"/>
        <v>0</v>
      </c>
      <c r="H1228" s="188">
        <v>0.05</v>
      </c>
      <c r="I1228" s="189">
        <f t="shared" si="111"/>
        <v>0</v>
      </c>
      <c r="J1228" s="189">
        <f t="shared" si="112"/>
        <v>0</v>
      </c>
      <c r="K1228" s="294"/>
      <c r="L1228" s="295"/>
      <c r="M1228" s="296">
        <v>0.05</v>
      </c>
      <c r="N1228" s="296">
        <f t="shared" si="113"/>
        <v>0</v>
      </c>
      <c r="O1228" s="299">
        <f t="shared" si="114"/>
        <v>0</v>
      </c>
      <c r="P1228" s="303"/>
    </row>
    <row r="1229" spans="2:16" ht="15.75" thickBot="1">
      <c r="B1229" s="184"/>
      <c r="C1229" s="185"/>
      <c r="D1229" s="186"/>
      <c r="E1229" s="186"/>
      <c r="F1229" s="187"/>
      <c r="G1229" s="187">
        <f t="shared" si="110"/>
        <v>0</v>
      </c>
      <c r="H1229" s="188">
        <v>0.05</v>
      </c>
      <c r="I1229" s="189">
        <f t="shared" si="111"/>
        <v>0</v>
      </c>
      <c r="J1229" s="189">
        <f t="shared" si="112"/>
        <v>0</v>
      </c>
      <c r="K1229" s="294"/>
      <c r="L1229" s="295"/>
      <c r="M1229" s="296">
        <v>0.05</v>
      </c>
      <c r="N1229" s="296">
        <f t="shared" si="113"/>
        <v>0</v>
      </c>
      <c r="O1229" s="299">
        <f t="shared" si="114"/>
        <v>0</v>
      </c>
      <c r="P1229" s="303"/>
    </row>
    <row r="1230" spans="2:16" ht="15.75" thickBot="1">
      <c r="B1230" s="184"/>
      <c r="C1230" s="185"/>
      <c r="D1230" s="186"/>
      <c r="E1230" s="186"/>
      <c r="F1230" s="187"/>
      <c r="G1230" s="187">
        <f t="shared" si="110"/>
        <v>0</v>
      </c>
      <c r="H1230" s="188">
        <v>0.05</v>
      </c>
      <c r="I1230" s="189">
        <f t="shared" si="111"/>
        <v>0</v>
      </c>
      <c r="J1230" s="189">
        <f t="shared" si="112"/>
        <v>0</v>
      </c>
      <c r="K1230" s="294"/>
      <c r="L1230" s="295"/>
      <c r="M1230" s="296">
        <v>0.05</v>
      </c>
      <c r="N1230" s="296">
        <f t="shared" si="113"/>
        <v>0</v>
      </c>
      <c r="O1230" s="299">
        <f t="shared" si="114"/>
        <v>0</v>
      </c>
      <c r="P1230" s="303"/>
    </row>
    <row r="1231" spans="2:16" ht="15.75" thickBot="1">
      <c r="B1231" s="184"/>
      <c r="C1231" s="185"/>
      <c r="D1231" s="186"/>
      <c r="E1231" s="186"/>
      <c r="F1231" s="187"/>
      <c r="G1231" s="187">
        <f t="shared" si="110"/>
        <v>0</v>
      </c>
      <c r="H1231" s="188">
        <v>0.05</v>
      </c>
      <c r="I1231" s="189">
        <f t="shared" si="111"/>
        <v>0</v>
      </c>
      <c r="J1231" s="189">
        <f t="shared" si="112"/>
        <v>0</v>
      </c>
      <c r="K1231" s="294"/>
      <c r="L1231" s="295"/>
      <c r="M1231" s="296">
        <v>0.05</v>
      </c>
      <c r="N1231" s="296">
        <f t="shared" si="113"/>
        <v>0</v>
      </c>
      <c r="O1231" s="299">
        <f t="shared" si="114"/>
        <v>0</v>
      </c>
      <c r="P1231" s="303"/>
    </row>
    <row r="1232" spans="2:16" ht="15.75" thickBot="1">
      <c r="B1232" s="184"/>
      <c r="C1232" s="185"/>
      <c r="D1232" s="186"/>
      <c r="E1232" s="186"/>
      <c r="F1232" s="187"/>
      <c r="G1232" s="187">
        <f t="shared" si="110"/>
        <v>0</v>
      </c>
      <c r="H1232" s="188">
        <v>0.05</v>
      </c>
      <c r="I1232" s="189">
        <f t="shared" si="111"/>
        <v>0</v>
      </c>
      <c r="J1232" s="189">
        <f t="shared" si="112"/>
        <v>0</v>
      </c>
      <c r="K1232" s="294"/>
      <c r="L1232" s="295"/>
      <c r="M1232" s="296">
        <v>0.05</v>
      </c>
      <c r="N1232" s="296">
        <f t="shared" si="113"/>
        <v>0</v>
      </c>
      <c r="O1232" s="299">
        <f t="shared" si="114"/>
        <v>0</v>
      </c>
      <c r="P1232" s="303"/>
    </row>
    <row r="1233" spans="2:16" ht="15.75" thickBot="1">
      <c r="B1233" s="184"/>
      <c r="C1233" s="185"/>
      <c r="D1233" s="186"/>
      <c r="E1233" s="186"/>
      <c r="F1233" s="187"/>
      <c r="G1233" s="187">
        <f t="shared" si="110"/>
        <v>0</v>
      </c>
      <c r="H1233" s="188">
        <v>0.05</v>
      </c>
      <c r="I1233" s="189">
        <f t="shared" si="111"/>
        <v>0</v>
      </c>
      <c r="J1233" s="189">
        <f t="shared" si="112"/>
        <v>0</v>
      </c>
      <c r="K1233" s="294"/>
      <c r="L1233" s="295"/>
      <c r="M1233" s="296">
        <v>0.05</v>
      </c>
      <c r="N1233" s="296">
        <f t="shared" si="113"/>
        <v>0</v>
      </c>
      <c r="O1233" s="299">
        <f t="shared" si="114"/>
        <v>0</v>
      </c>
      <c r="P1233" s="303"/>
    </row>
    <row r="1234" spans="2:16" ht="15.75" thickBot="1">
      <c r="B1234" s="184"/>
      <c r="C1234" s="185"/>
      <c r="D1234" s="186"/>
      <c r="E1234" s="186"/>
      <c r="F1234" s="187"/>
      <c r="G1234" s="187">
        <f t="shared" si="110"/>
        <v>0</v>
      </c>
      <c r="H1234" s="188">
        <v>0.05</v>
      </c>
      <c r="I1234" s="189">
        <f t="shared" si="111"/>
        <v>0</v>
      </c>
      <c r="J1234" s="189">
        <f t="shared" si="112"/>
        <v>0</v>
      </c>
      <c r="K1234" s="294"/>
      <c r="L1234" s="295"/>
      <c r="M1234" s="296">
        <v>0.05</v>
      </c>
      <c r="N1234" s="296">
        <f t="shared" si="113"/>
        <v>0</v>
      </c>
      <c r="O1234" s="299">
        <f t="shared" si="114"/>
        <v>0</v>
      </c>
      <c r="P1234" s="303"/>
    </row>
    <row r="1235" spans="2:16" ht="15.75" thickBot="1">
      <c r="B1235" s="184"/>
      <c r="C1235" s="185"/>
      <c r="D1235" s="186"/>
      <c r="E1235" s="186"/>
      <c r="F1235" s="187"/>
      <c r="G1235" s="187">
        <f t="shared" si="110"/>
        <v>0</v>
      </c>
      <c r="H1235" s="188">
        <v>0.05</v>
      </c>
      <c r="I1235" s="189">
        <f t="shared" si="111"/>
        <v>0</v>
      </c>
      <c r="J1235" s="189">
        <f t="shared" si="112"/>
        <v>0</v>
      </c>
      <c r="K1235" s="294"/>
      <c r="L1235" s="295"/>
      <c r="M1235" s="296">
        <v>0.05</v>
      </c>
      <c r="N1235" s="296">
        <f t="shared" si="113"/>
        <v>0</v>
      </c>
      <c r="O1235" s="299">
        <f t="shared" si="114"/>
        <v>0</v>
      </c>
      <c r="P1235" s="303"/>
    </row>
    <row r="1236" spans="2:16" ht="15.75" thickBot="1">
      <c r="B1236" s="184"/>
      <c r="C1236" s="185"/>
      <c r="D1236" s="186"/>
      <c r="E1236" s="186"/>
      <c r="F1236" s="187"/>
      <c r="G1236" s="187">
        <f t="shared" si="110"/>
        <v>0</v>
      </c>
      <c r="H1236" s="188">
        <v>0.05</v>
      </c>
      <c r="I1236" s="189">
        <f t="shared" si="111"/>
        <v>0</v>
      </c>
      <c r="J1236" s="189">
        <f t="shared" si="112"/>
        <v>0</v>
      </c>
      <c r="K1236" s="294"/>
      <c r="L1236" s="295"/>
      <c r="M1236" s="296">
        <v>0.05</v>
      </c>
      <c r="N1236" s="296">
        <f t="shared" si="113"/>
        <v>0</v>
      </c>
      <c r="O1236" s="299">
        <f t="shared" si="114"/>
        <v>0</v>
      </c>
      <c r="P1236" s="303"/>
    </row>
    <row r="1237" spans="2:16" ht="15.75" thickBot="1">
      <c r="B1237" s="184"/>
      <c r="C1237" s="185"/>
      <c r="D1237" s="186"/>
      <c r="E1237" s="186"/>
      <c r="F1237" s="187"/>
      <c r="G1237" s="187">
        <f t="shared" si="110"/>
        <v>0</v>
      </c>
      <c r="H1237" s="188">
        <v>0.05</v>
      </c>
      <c r="I1237" s="189">
        <f t="shared" si="111"/>
        <v>0</v>
      </c>
      <c r="J1237" s="189">
        <f t="shared" si="112"/>
        <v>0</v>
      </c>
      <c r="K1237" s="294"/>
      <c r="L1237" s="295"/>
      <c r="M1237" s="296">
        <v>0.05</v>
      </c>
      <c r="N1237" s="296">
        <f t="shared" si="113"/>
        <v>0</v>
      </c>
      <c r="O1237" s="299">
        <f t="shared" si="114"/>
        <v>0</v>
      </c>
      <c r="P1237" s="303"/>
    </row>
    <row r="1238" spans="2:16" ht="15.75" thickBot="1">
      <c r="B1238" s="184"/>
      <c r="C1238" s="185"/>
      <c r="D1238" s="186"/>
      <c r="E1238" s="186"/>
      <c r="F1238" s="187"/>
      <c r="G1238" s="187">
        <f t="shared" si="110"/>
        <v>0</v>
      </c>
      <c r="H1238" s="188">
        <v>0.05</v>
      </c>
      <c r="I1238" s="189">
        <f t="shared" si="111"/>
        <v>0</v>
      </c>
      <c r="J1238" s="189">
        <f t="shared" si="112"/>
        <v>0</v>
      </c>
      <c r="K1238" s="294"/>
      <c r="L1238" s="295"/>
      <c r="M1238" s="296">
        <v>0.05</v>
      </c>
      <c r="N1238" s="296">
        <f t="shared" si="113"/>
        <v>0</v>
      </c>
      <c r="O1238" s="299">
        <f t="shared" si="114"/>
        <v>0</v>
      </c>
      <c r="P1238" s="303"/>
    </row>
    <row r="1239" spans="2:16" ht="15.75" thickBot="1">
      <c r="B1239" s="184"/>
      <c r="C1239" s="185"/>
      <c r="D1239" s="186"/>
      <c r="E1239" s="186"/>
      <c r="F1239" s="187"/>
      <c r="G1239" s="187">
        <f t="shared" si="110"/>
        <v>0</v>
      </c>
      <c r="H1239" s="188">
        <v>0.05</v>
      </c>
      <c r="I1239" s="189">
        <f t="shared" si="111"/>
        <v>0</v>
      </c>
      <c r="J1239" s="189">
        <f t="shared" si="112"/>
        <v>0</v>
      </c>
      <c r="K1239" s="294"/>
      <c r="L1239" s="295"/>
      <c r="M1239" s="296">
        <v>0.05</v>
      </c>
      <c r="N1239" s="296">
        <f t="shared" si="113"/>
        <v>0</v>
      </c>
      <c r="O1239" s="299">
        <f t="shared" si="114"/>
        <v>0</v>
      </c>
      <c r="P1239" s="303"/>
    </row>
    <row r="1240" spans="2:16" ht="15.75" thickBot="1">
      <c r="B1240" s="184"/>
      <c r="C1240" s="185"/>
      <c r="D1240" s="186"/>
      <c r="E1240" s="186"/>
      <c r="F1240" s="187"/>
      <c r="G1240" s="187">
        <f t="shared" si="110"/>
        <v>0</v>
      </c>
      <c r="H1240" s="188">
        <v>0.05</v>
      </c>
      <c r="I1240" s="189">
        <f t="shared" si="111"/>
        <v>0</v>
      </c>
      <c r="J1240" s="189">
        <f t="shared" si="112"/>
        <v>0</v>
      </c>
      <c r="K1240" s="294"/>
      <c r="L1240" s="295"/>
      <c r="M1240" s="296">
        <v>0.05</v>
      </c>
      <c r="N1240" s="296">
        <f t="shared" si="113"/>
        <v>0</v>
      </c>
      <c r="O1240" s="299">
        <f t="shared" si="114"/>
        <v>0</v>
      </c>
      <c r="P1240" s="303"/>
    </row>
    <row r="1241" spans="2:16" ht="15.75" thickBot="1">
      <c r="B1241" s="184"/>
      <c r="C1241" s="185"/>
      <c r="D1241" s="186"/>
      <c r="E1241" s="186"/>
      <c r="F1241" s="187"/>
      <c r="G1241" s="187">
        <f t="shared" si="110"/>
        <v>0</v>
      </c>
      <c r="H1241" s="188">
        <v>0.05</v>
      </c>
      <c r="I1241" s="189">
        <f t="shared" si="111"/>
        <v>0</v>
      </c>
      <c r="J1241" s="189">
        <f t="shared" si="112"/>
        <v>0</v>
      </c>
      <c r="K1241" s="294"/>
      <c r="L1241" s="295"/>
      <c r="M1241" s="296">
        <v>0.05</v>
      </c>
      <c r="N1241" s="296">
        <f t="shared" si="113"/>
        <v>0</v>
      </c>
      <c r="O1241" s="299">
        <f t="shared" si="114"/>
        <v>0</v>
      </c>
      <c r="P1241" s="303"/>
    </row>
    <row r="1242" spans="2:16" ht="15.75" thickBot="1">
      <c r="B1242" s="184"/>
      <c r="C1242" s="185"/>
      <c r="D1242" s="186"/>
      <c r="E1242" s="186"/>
      <c r="F1242" s="187"/>
      <c r="G1242" s="187">
        <f t="shared" si="110"/>
        <v>0</v>
      </c>
      <c r="H1242" s="188">
        <v>0.05</v>
      </c>
      <c r="I1242" s="189">
        <f t="shared" si="111"/>
        <v>0</v>
      </c>
      <c r="J1242" s="189">
        <f t="shared" si="112"/>
        <v>0</v>
      </c>
      <c r="K1242" s="294"/>
      <c r="L1242" s="295"/>
      <c r="M1242" s="296">
        <v>0.05</v>
      </c>
      <c r="N1242" s="296">
        <f t="shared" si="113"/>
        <v>0</v>
      </c>
      <c r="O1242" s="299">
        <f t="shared" si="114"/>
        <v>0</v>
      </c>
      <c r="P1242" s="303"/>
    </row>
    <row r="1243" spans="2:16" ht="15.75" thickBot="1">
      <c r="B1243" s="184"/>
      <c r="C1243" s="185"/>
      <c r="D1243" s="186"/>
      <c r="E1243" s="186"/>
      <c r="F1243" s="187"/>
      <c r="G1243" s="187">
        <f t="shared" si="110"/>
        <v>0</v>
      </c>
      <c r="H1243" s="188">
        <v>0.05</v>
      </c>
      <c r="I1243" s="189">
        <f t="shared" si="111"/>
        <v>0</v>
      </c>
      <c r="J1243" s="189">
        <f t="shared" si="112"/>
        <v>0</v>
      </c>
      <c r="K1243" s="294"/>
      <c r="L1243" s="295"/>
      <c r="M1243" s="296">
        <v>0.05</v>
      </c>
      <c r="N1243" s="296">
        <f t="shared" si="113"/>
        <v>0</v>
      </c>
      <c r="O1243" s="299">
        <f t="shared" si="114"/>
        <v>0</v>
      </c>
      <c r="P1243" s="303"/>
    </row>
    <row r="1244" spans="2:16" ht="15.75" thickBot="1">
      <c r="B1244" s="184"/>
      <c r="C1244" s="185"/>
      <c r="D1244" s="186"/>
      <c r="E1244" s="186"/>
      <c r="F1244" s="187"/>
      <c r="G1244" s="187">
        <f t="shared" si="110"/>
        <v>0</v>
      </c>
      <c r="H1244" s="188">
        <v>0.05</v>
      </c>
      <c r="I1244" s="189">
        <f t="shared" si="111"/>
        <v>0</v>
      </c>
      <c r="J1244" s="189">
        <f t="shared" si="112"/>
        <v>0</v>
      </c>
      <c r="K1244" s="294"/>
      <c r="L1244" s="295"/>
      <c r="M1244" s="296">
        <v>0.05</v>
      </c>
      <c r="N1244" s="296">
        <f t="shared" si="113"/>
        <v>0</v>
      </c>
      <c r="O1244" s="299">
        <f t="shared" si="114"/>
        <v>0</v>
      </c>
      <c r="P1244" s="303"/>
    </row>
    <row r="1245" spans="2:16" ht="15.75" thickBot="1">
      <c r="B1245" s="184"/>
      <c r="C1245" s="185"/>
      <c r="D1245" s="186"/>
      <c r="E1245" s="186"/>
      <c r="F1245" s="187"/>
      <c r="G1245" s="187">
        <f t="shared" si="110"/>
        <v>0</v>
      </c>
      <c r="H1245" s="188">
        <v>0.05</v>
      </c>
      <c r="I1245" s="189">
        <f t="shared" si="111"/>
        <v>0</v>
      </c>
      <c r="J1245" s="189">
        <f t="shared" si="112"/>
        <v>0</v>
      </c>
      <c r="K1245" s="294"/>
      <c r="L1245" s="295"/>
      <c r="M1245" s="296">
        <v>0.05</v>
      </c>
      <c r="N1245" s="296">
        <f t="shared" si="113"/>
        <v>0</v>
      </c>
      <c r="O1245" s="299">
        <f t="shared" si="114"/>
        <v>0</v>
      </c>
      <c r="P1245" s="303"/>
    </row>
    <row r="1246" spans="2:16" ht="15.75" thickBot="1">
      <c r="B1246" s="184"/>
      <c r="C1246" s="185"/>
      <c r="D1246" s="186"/>
      <c r="E1246" s="186"/>
      <c r="F1246" s="187"/>
      <c r="G1246" s="187">
        <f t="shared" si="110"/>
        <v>0</v>
      </c>
      <c r="H1246" s="188">
        <v>0.05</v>
      </c>
      <c r="I1246" s="189">
        <f t="shared" si="111"/>
        <v>0</v>
      </c>
      <c r="J1246" s="189">
        <f t="shared" si="112"/>
        <v>0</v>
      </c>
      <c r="K1246" s="294"/>
      <c r="L1246" s="295"/>
      <c r="M1246" s="296">
        <v>0.05</v>
      </c>
      <c r="N1246" s="296">
        <f t="shared" si="113"/>
        <v>0</v>
      </c>
      <c r="O1246" s="299">
        <f t="shared" si="114"/>
        <v>0</v>
      </c>
      <c r="P1246" s="303"/>
    </row>
    <row r="1247" spans="2:16" ht="15.75" thickBot="1">
      <c r="B1247" s="184"/>
      <c r="C1247" s="185"/>
      <c r="D1247" s="186"/>
      <c r="E1247" s="186"/>
      <c r="F1247" s="187"/>
      <c r="G1247" s="187">
        <f t="shared" si="110"/>
        <v>0</v>
      </c>
      <c r="H1247" s="188">
        <v>0.05</v>
      </c>
      <c r="I1247" s="189">
        <f t="shared" si="111"/>
        <v>0</v>
      </c>
      <c r="J1247" s="189">
        <f t="shared" si="112"/>
        <v>0</v>
      </c>
      <c r="K1247" s="294"/>
      <c r="L1247" s="295"/>
      <c r="M1247" s="296">
        <v>0.05</v>
      </c>
      <c r="N1247" s="296">
        <f t="shared" si="113"/>
        <v>0</v>
      </c>
      <c r="O1247" s="299">
        <f t="shared" si="114"/>
        <v>0</v>
      </c>
      <c r="P1247" s="303"/>
    </row>
    <row r="1248" spans="2:16" ht="15.75" thickBot="1">
      <c r="B1248" s="184"/>
      <c r="C1248" s="185"/>
      <c r="D1248" s="186"/>
      <c r="E1248" s="186"/>
      <c r="F1248" s="187"/>
      <c r="G1248" s="187">
        <f t="shared" si="110"/>
        <v>0</v>
      </c>
      <c r="H1248" s="188">
        <v>0.05</v>
      </c>
      <c r="I1248" s="189">
        <f t="shared" si="111"/>
        <v>0</v>
      </c>
      <c r="J1248" s="189">
        <f t="shared" si="112"/>
        <v>0</v>
      </c>
      <c r="K1248" s="294"/>
      <c r="L1248" s="295"/>
      <c r="M1248" s="296">
        <v>0.05</v>
      </c>
      <c r="N1248" s="296">
        <f t="shared" si="113"/>
        <v>0</v>
      </c>
      <c r="O1248" s="299">
        <f t="shared" si="114"/>
        <v>0</v>
      </c>
      <c r="P1248" s="303"/>
    </row>
    <row r="1249" spans="2:16" ht="15.75" thickBot="1">
      <c r="B1249" s="184"/>
      <c r="C1249" s="185"/>
      <c r="D1249" s="186"/>
      <c r="E1249" s="186"/>
      <c r="F1249" s="187"/>
      <c r="G1249" s="187">
        <f t="shared" si="110"/>
        <v>0</v>
      </c>
      <c r="H1249" s="188">
        <v>0.05</v>
      </c>
      <c r="I1249" s="189">
        <f t="shared" si="111"/>
        <v>0</v>
      </c>
      <c r="J1249" s="189">
        <f t="shared" si="112"/>
        <v>0</v>
      </c>
      <c r="K1249" s="294"/>
      <c r="L1249" s="295"/>
      <c r="M1249" s="296">
        <v>0.05</v>
      </c>
      <c r="N1249" s="296">
        <f t="shared" si="113"/>
        <v>0</v>
      </c>
      <c r="O1249" s="299">
        <f t="shared" si="114"/>
        <v>0</v>
      </c>
      <c r="P1249" s="303"/>
    </row>
    <row r="1250" spans="2:16" ht="15.75" thickBot="1">
      <c r="B1250" s="184"/>
      <c r="C1250" s="185"/>
      <c r="D1250" s="186"/>
      <c r="E1250" s="186"/>
      <c r="F1250" s="187"/>
      <c r="G1250" s="187">
        <f t="shared" si="110"/>
        <v>0</v>
      </c>
      <c r="H1250" s="188">
        <v>0.05</v>
      </c>
      <c r="I1250" s="189">
        <f t="shared" si="111"/>
        <v>0</v>
      </c>
      <c r="J1250" s="189">
        <f t="shared" si="112"/>
        <v>0</v>
      </c>
      <c r="K1250" s="294"/>
      <c r="L1250" s="295"/>
      <c r="M1250" s="296">
        <v>0.05</v>
      </c>
      <c r="N1250" s="296">
        <f t="shared" si="113"/>
        <v>0</v>
      </c>
      <c r="O1250" s="299">
        <f t="shared" si="114"/>
        <v>0</v>
      </c>
      <c r="P1250" s="303"/>
    </row>
    <row r="1251" spans="2:16" ht="15.75" thickBot="1">
      <c r="B1251" s="184"/>
      <c r="C1251" s="185"/>
      <c r="D1251" s="186"/>
      <c r="E1251" s="186"/>
      <c r="F1251" s="187"/>
      <c r="G1251" s="187">
        <f t="shared" si="110"/>
        <v>0</v>
      </c>
      <c r="H1251" s="188">
        <v>0.05</v>
      </c>
      <c r="I1251" s="189">
        <f t="shared" si="111"/>
        <v>0</v>
      </c>
      <c r="J1251" s="189">
        <f t="shared" si="112"/>
        <v>0</v>
      </c>
      <c r="K1251" s="294"/>
      <c r="L1251" s="295"/>
      <c r="M1251" s="296">
        <v>0.05</v>
      </c>
      <c r="N1251" s="296">
        <f t="shared" si="113"/>
        <v>0</v>
      </c>
      <c r="O1251" s="299">
        <f t="shared" si="114"/>
        <v>0</v>
      </c>
      <c r="P1251" s="303"/>
    </row>
    <row r="1252" spans="2:16" ht="15.75" thickBot="1">
      <c r="B1252" s="184"/>
      <c r="C1252" s="185"/>
      <c r="D1252" s="186"/>
      <c r="E1252" s="186"/>
      <c r="F1252" s="187"/>
      <c r="G1252" s="187">
        <f t="shared" si="110"/>
        <v>0</v>
      </c>
      <c r="H1252" s="188">
        <v>0.05</v>
      </c>
      <c r="I1252" s="189">
        <f t="shared" si="111"/>
        <v>0</v>
      </c>
      <c r="J1252" s="189">
        <f t="shared" si="112"/>
        <v>0</v>
      </c>
      <c r="K1252" s="294"/>
      <c r="L1252" s="295"/>
      <c r="M1252" s="296">
        <v>0.05</v>
      </c>
      <c r="N1252" s="296">
        <f t="shared" si="113"/>
        <v>0</v>
      </c>
      <c r="O1252" s="299">
        <f t="shared" si="114"/>
        <v>0</v>
      </c>
      <c r="P1252" s="303"/>
    </row>
    <row r="1253" spans="2:16" ht="15.75" thickBot="1">
      <c r="B1253" s="184"/>
      <c r="C1253" s="185"/>
      <c r="D1253" s="186"/>
      <c r="E1253" s="186"/>
      <c r="F1253" s="187"/>
      <c r="G1253" s="187">
        <f t="shared" si="110"/>
        <v>0</v>
      </c>
      <c r="H1253" s="188">
        <v>0.05</v>
      </c>
      <c r="I1253" s="189">
        <f t="shared" si="111"/>
        <v>0</v>
      </c>
      <c r="J1253" s="189">
        <f t="shared" si="112"/>
        <v>0</v>
      </c>
      <c r="K1253" s="294"/>
      <c r="L1253" s="295"/>
      <c r="M1253" s="296">
        <v>0.05</v>
      </c>
      <c r="N1253" s="296">
        <f t="shared" si="113"/>
        <v>0</v>
      </c>
      <c r="O1253" s="299">
        <f t="shared" si="114"/>
        <v>0</v>
      </c>
      <c r="P1253" s="303"/>
    </row>
    <row r="1254" spans="2:16" ht="15.75" thickBot="1">
      <c r="B1254" s="184"/>
      <c r="C1254" s="185"/>
      <c r="D1254" s="186"/>
      <c r="E1254" s="186"/>
      <c r="F1254" s="187"/>
      <c r="G1254" s="187">
        <f t="shared" ref="G1254:G1317" si="115">IF(D1254=0,0,(D1254+E1254)/F1254)</f>
        <v>0</v>
      </c>
      <c r="H1254" s="188">
        <v>0.05</v>
      </c>
      <c r="I1254" s="189">
        <f t="shared" ref="I1254:I1317" si="116">+G1254*H1254</f>
        <v>0</v>
      </c>
      <c r="J1254" s="189">
        <f t="shared" ref="J1254:J1317" si="117">+G1254+I1254</f>
        <v>0</v>
      </c>
      <c r="K1254" s="294"/>
      <c r="L1254" s="295"/>
      <c r="M1254" s="296">
        <v>0.05</v>
      </c>
      <c r="N1254" s="296">
        <f t="shared" ref="N1254:N1317" si="118">IF(H1254&lt;M1254,H1254/M1254,0)</f>
        <v>0</v>
      </c>
      <c r="O1254" s="299">
        <f t="shared" ref="O1254:O1317" si="119">1.5%*N1254</f>
        <v>0</v>
      </c>
      <c r="P1254" s="303"/>
    </row>
    <row r="1255" spans="2:16" ht="15.75" thickBot="1">
      <c r="B1255" s="184"/>
      <c r="C1255" s="185"/>
      <c r="D1255" s="186"/>
      <c r="E1255" s="186"/>
      <c r="F1255" s="187"/>
      <c r="G1255" s="187">
        <f t="shared" si="115"/>
        <v>0</v>
      </c>
      <c r="H1255" s="188">
        <v>0.05</v>
      </c>
      <c r="I1255" s="189">
        <f t="shared" si="116"/>
        <v>0</v>
      </c>
      <c r="J1255" s="189">
        <f t="shared" si="117"/>
        <v>0</v>
      </c>
      <c r="K1255" s="294"/>
      <c r="L1255" s="295"/>
      <c r="M1255" s="296">
        <v>0.05</v>
      </c>
      <c r="N1255" s="296">
        <f t="shared" si="118"/>
        <v>0</v>
      </c>
      <c r="O1255" s="299">
        <f t="shared" si="119"/>
        <v>0</v>
      </c>
      <c r="P1255" s="303"/>
    </row>
    <row r="1256" spans="2:16" ht="15.75" thickBot="1">
      <c r="B1256" s="184"/>
      <c r="C1256" s="185"/>
      <c r="D1256" s="186"/>
      <c r="E1256" s="186"/>
      <c r="F1256" s="187"/>
      <c r="G1256" s="187">
        <f t="shared" si="115"/>
        <v>0</v>
      </c>
      <c r="H1256" s="188">
        <v>0.05</v>
      </c>
      <c r="I1256" s="189">
        <f t="shared" si="116"/>
        <v>0</v>
      </c>
      <c r="J1256" s="189">
        <f t="shared" si="117"/>
        <v>0</v>
      </c>
      <c r="K1256" s="294"/>
      <c r="L1256" s="295"/>
      <c r="M1256" s="296">
        <v>0.05</v>
      </c>
      <c r="N1256" s="296">
        <f t="shared" si="118"/>
        <v>0</v>
      </c>
      <c r="O1256" s="299">
        <f t="shared" si="119"/>
        <v>0</v>
      </c>
      <c r="P1256" s="303"/>
    </row>
    <row r="1257" spans="2:16" ht="15.75" thickBot="1">
      <c r="B1257" s="184"/>
      <c r="C1257" s="185"/>
      <c r="D1257" s="186"/>
      <c r="E1257" s="186"/>
      <c r="F1257" s="187"/>
      <c r="G1257" s="187">
        <f t="shared" si="115"/>
        <v>0</v>
      </c>
      <c r="H1257" s="188">
        <v>0.05</v>
      </c>
      <c r="I1257" s="189">
        <f t="shared" si="116"/>
        <v>0</v>
      </c>
      <c r="J1257" s="189">
        <f t="shared" si="117"/>
        <v>0</v>
      </c>
      <c r="K1257" s="294"/>
      <c r="L1257" s="295"/>
      <c r="M1257" s="296">
        <v>0.05</v>
      </c>
      <c r="N1257" s="296">
        <f t="shared" si="118"/>
        <v>0</v>
      </c>
      <c r="O1257" s="299">
        <f t="shared" si="119"/>
        <v>0</v>
      </c>
      <c r="P1257" s="303"/>
    </row>
    <row r="1258" spans="2:16" ht="15.75" thickBot="1">
      <c r="B1258" s="184"/>
      <c r="C1258" s="185"/>
      <c r="D1258" s="186"/>
      <c r="E1258" s="186"/>
      <c r="F1258" s="187"/>
      <c r="G1258" s="187">
        <f t="shared" si="115"/>
        <v>0</v>
      </c>
      <c r="H1258" s="188">
        <v>0.05</v>
      </c>
      <c r="I1258" s="189">
        <f t="shared" si="116"/>
        <v>0</v>
      </c>
      <c r="J1258" s="189">
        <f t="shared" si="117"/>
        <v>0</v>
      </c>
      <c r="K1258" s="294"/>
      <c r="L1258" s="295"/>
      <c r="M1258" s="296">
        <v>0.05</v>
      </c>
      <c r="N1258" s="296">
        <f t="shared" si="118"/>
        <v>0</v>
      </c>
      <c r="O1258" s="299">
        <f t="shared" si="119"/>
        <v>0</v>
      </c>
      <c r="P1258" s="303"/>
    </row>
    <row r="1259" spans="2:16" ht="15.75" thickBot="1">
      <c r="B1259" s="184"/>
      <c r="C1259" s="185"/>
      <c r="D1259" s="186"/>
      <c r="E1259" s="186"/>
      <c r="F1259" s="187"/>
      <c r="G1259" s="187">
        <f t="shared" si="115"/>
        <v>0</v>
      </c>
      <c r="H1259" s="188">
        <v>0.05</v>
      </c>
      <c r="I1259" s="189">
        <f t="shared" si="116"/>
        <v>0</v>
      </c>
      <c r="J1259" s="189">
        <f t="shared" si="117"/>
        <v>0</v>
      </c>
      <c r="K1259" s="294"/>
      <c r="L1259" s="295"/>
      <c r="M1259" s="296">
        <v>0.05</v>
      </c>
      <c r="N1259" s="296">
        <f t="shared" si="118"/>
        <v>0</v>
      </c>
      <c r="O1259" s="299">
        <f t="shared" si="119"/>
        <v>0</v>
      </c>
      <c r="P1259" s="303"/>
    </row>
    <row r="1260" spans="2:16" ht="15.75" thickBot="1">
      <c r="B1260" s="184"/>
      <c r="C1260" s="185"/>
      <c r="D1260" s="186"/>
      <c r="E1260" s="186"/>
      <c r="F1260" s="187"/>
      <c r="G1260" s="187">
        <f t="shared" si="115"/>
        <v>0</v>
      </c>
      <c r="H1260" s="188">
        <v>0.05</v>
      </c>
      <c r="I1260" s="189">
        <f t="shared" si="116"/>
        <v>0</v>
      </c>
      <c r="J1260" s="189">
        <f t="shared" si="117"/>
        <v>0</v>
      </c>
      <c r="K1260" s="294"/>
      <c r="L1260" s="295"/>
      <c r="M1260" s="296">
        <v>0.05</v>
      </c>
      <c r="N1260" s="296">
        <f t="shared" si="118"/>
        <v>0</v>
      </c>
      <c r="O1260" s="299">
        <f t="shared" si="119"/>
        <v>0</v>
      </c>
      <c r="P1260" s="303"/>
    </row>
    <row r="1261" spans="2:16" ht="15.75" thickBot="1">
      <c r="B1261" s="184"/>
      <c r="C1261" s="185"/>
      <c r="D1261" s="186"/>
      <c r="E1261" s="186"/>
      <c r="F1261" s="187"/>
      <c r="G1261" s="187">
        <f t="shared" si="115"/>
        <v>0</v>
      </c>
      <c r="H1261" s="188">
        <v>0.05</v>
      </c>
      <c r="I1261" s="189">
        <f t="shared" si="116"/>
        <v>0</v>
      </c>
      <c r="J1261" s="189">
        <f t="shared" si="117"/>
        <v>0</v>
      </c>
      <c r="K1261" s="294"/>
      <c r="L1261" s="295"/>
      <c r="M1261" s="296">
        <v>0.05</v>
      </c>
      <c r="N1261" s="296">
        <f t="shared" si="118"/>
        <v>0</v>
      </c>
      <c r="O1261" s="299">
        <f t="shared" si="119"/>
        <v>0</v>
      </c>
      <c r="P1261" s="303"/>
    </row>
    <row r="1262" spans="2:16" ht="15.75" thickBot="1">
      <c r="B1262" s="184"/>
      <c r="C1262" s="185"/>
      <c r="D1262" s="186"/>
      <c r="E1262" s="186"/>
      <c r="F1262" s="187"/>
      <c r="G1262" s="187">
        <f t="shared" si="115"/>
        <v>0</v>
      </c>
      <c r="H1262" s="188">
        <v>0.05</v>
      </c>
      <c r="I1262" s="189">
        <f t="shared" si="116"/>
        <v>0</v>
      </c>
      <c r="J1262" s="189">
        <f t="shared" si="117"/>
        <v>0</v>
      </c>
      <c r="K1262" s="294"/>
      <c r="L1262" s="295"/>
      <c r="M1262" s="296">
        <v>0.05</v>
      </c>
      <c r="N1262" s="296">
        <f t="shared" si="118"/>
        <v>0</v>
      </c>
      <c r="O1262" s="299">
        <f t="shared" si="119"/>
        <v>0</v>
      </c>
      <c r="P1262" s="303"/>
    </row>
    <row r="1263" spans="2:16" ht="15.75" thickBot="1">
      <c r="B1263" s="184"/>
      <c r="C1263" s="185"/>
      <c r="D1263" s="186"/>
      <c r="E1263" s="186"/>
      <c r="F1263" s="187"/>
      <c r="G1263" s="187">
        <f t="shared" si="115"/>
        <v>0</v>
      </c>
      <c r="H1263" s="188">
        <v>0.05</v>
      </c>
      <c r="I1263" s="189">
        <f t="shared" si="116"/>
        <v>0</v>
      </c>
      <c r="J1263" s="189">
        <f t="shared" si="117"/>
        <v>0</v>
      </c>
      <c r="K1263" s="294"/>
      <c r="L1263" s="295"/>
      <c r="M1263" s="296">
        <v>0.05</v>
      </c>
      <c r="N1263" s="296">
        <f t="shared" si="118"/>
        <v>0</v>
      </c>
      <c r="O1263" s="299">
        <f t="shared" si="119"/>
        <v>0</v>
      </c>
      <c r="P1263" s="303"/>
    </row>
    <row r="1264" spans="2:16" ht="15.75" thickBot="1">
      <c r="B1264" s="184"/>
      <c r="C1264" s="185"/>
      <c r="D1264" s="186"/>
      <c r="E1264" s="186"/>
      <c r="F1264" s="187"/>
      <c r="G1264" s="187">
        <f t="shared" si="115"/>
        <v>0</v>
      </c>
      <c r="H1264" s="188">
        <v>0.05</v>
      </c>
      <c r="I1264" s="189">
        <f t="shared" si="116"/>
        <v>0</v>
      </c>
      <c r="J1264" s="189">
        <f t="shared" si="117"/>
        <v>0</v>
      </c>
      <c r="K1264" s="294"/>
      <c r="L1264" s="295"/>
      <c r="M1264" s="296">
        <v>0.05</v>
      </c>
      <c r="N1264" s="296">
        <f t="shared" si="118"/>
        <v>0</v>
      </c>
      <c r="O1264" s="299">
        <f t="shared" si="119"/>
        <v>0</v>
      </c>
      <c r="P1264" s="303"/>
    </row>
    <row r="1265" spans="2:16" ht="15.75" thickBot="1">
      <c r="B1265" s="184"/>
      <c r="C1265" s="185"/>
      <c r="D1265" s="186"/>
      <c r="E1265" s="186"/>
      <c r="F1265" s="187"/>
      <c r="G1265" s="187">
        <f t="shared" si="115"/>
        <v>0</v>
      </c>
      <c r="H1265" s="188">
        <v>0.05</v>
      </c>
      <c r="I1265" s="189">
        <f t="shared" si="116"/>
        <v>0</v>
      </c>
      <c r="J1265" s="189">
        <f t="shared" si="117"/>
        <v>0</v>
      </c>
      <c r="K1265" s="294"/>
      <c r="L1265" s="295"/>
      <c r="M1265" s="296">
        <v>0.05</v>
      </c>
      <c r="N1265" s="296">
        <f t="shared" si="118"/>
        <v>0</v>
      </c>
      <c r="O1265" s="299">
        <f t="shared" si="119"/>
        <v>0</v>
      </c>
      <c r="P1265" s="303"/>
    </row>
    <row r="1266" spans="2:16" ht="15.75" thickBot="1">
      <c r="B1266" s="184"/>
      <c r="C1266" s="185"/>
      <c r="D1266" s="186"/>
      <c r="E1266" s="186"/>
      <c r="F1266" s="187"/>
      <c r="G1266" s="187">
        <f t="shared" si="115"/>
        <v>0</v>
      </c>
      <c r="H1266" s="188">
        <v>0.05</v>
      </c>
      <c r="I1266" s="189">
        <f t="shared" si="116"/>
        <v>0</v>
      </c>
      <c r="J1266" s="189">
        <f t="shared" si="117"/>
        <v>0</v>
      </c>
      <c r="K1266" s="294"/>
      <c r="L1266" s="295"/>
      <c r="M1266" s="296">
        <v>0.05</v>
      </c>
      <c r="N1266" s="296">
        <f t="shared" si="118"/>
        <v>0</v>
      </c>
      <c r="O1266" s="299">
        <f t="shared" si="119"/>
        <v>0</v>
      </c>
      <c r="P1266" s="303"/>
    </row>
    <row r="1267" spans="2:16" ht="15.75" thickBot="1">
      <c r="B1267" s="184"/>
      <c r="C1267" s="185"/>
      <c r="D1267" s="186"/>
      <c r="E1267" s="186"/>
      <c r="F1267" s="187"/>
      <c r="G1267" s="187">
        <f t="shared" si="115"/>
        <v>0</v>
      </c>
      <c r="H1267" s="188">
        <v>0.05</v>
      </c>
      <c r="I1267" s="189">
        <f t="shared" si="116"/>
        <v>0</v>
      </c>
      <c r="J1267" s="189">
        <f t="shared" si="117"/>
        <v>0</v>
      </c>
      <c r="K1267" s="294"/>
      <c r="L1267" s="295"/>
      <c r="M1267" s="296">
        <v>0.05</v>
      </c>
      <c r="N1267" s="296">
        <f t="shared" si="118"/>
        <v>0</v>
      </c>
      <c r="O1267" s="299">
        <f t="shared" si="119"/>
        <v>0</v>
      </c>
      <c r="P1267" s="303"/>
    </row>
    <row r="1268" spans="2:16" ht="15.75" thickBot="1">
      <c r="B1268" s="184"/>
      <c r="C1268" s="185"/>
      <c r="D1268" s="186"/>
      <c r="E1268" s="186"/>
      <c r="F1268" s="187"/>
      <c r="G1268" s="187">
        <f t="shared" si="115"/>
        <v>0</v>
      </c>
      <c r="H1268" s="188">
        <v>0.05</v>
      </c>
      <c r="I1268" s="189">
        <f t="shared" si="116"/>
        <v>0</v>
      </c>
      <c r="J1268" s="189">
        <f t="shared" si="117"/>
        <v>0</v>
      </c>
      <c r="K1268" s="294"/>
      <c r="L1268" s="295"/>
      <c r="M1268" s="296">
        <v>0.05</v>
      </c>
      <c r="N1268" s="296">
        <f t="shared" si="118"/>
        <v>0</v>
      </c>
      <c r="O1268" s="299">
        <f t="shared" si="119"/>
        <v>0</v>
      </c>
      <c r="P1268" s="303"/>
    </row>
    <row r="1269" spans="2:16" ht="15.75" thickBot="1">
      <c r="B1269" s="184"/>
      <c r="C1269" s="185"/>
      <c r="D1269" s="186"/>
      <c r="E1269" s="186"/>
      <c r="F1269" s="187"/>
      <c r="G1269" s="187">
        <f t="shared" si="115"/>
        <v>0</v>
      </c>
      <c r="H1269" s="188">
        <v>0.05</v>
      </c>
      <c r="I1269" s="189">
        <f t="shared" si="116"/>
        <v>0</v>
      </c>
      <c r="J1269" s="189">
        <f t="shared" si="117"/>
        <v>0</v>
      </c>
      <c r="K1269" s="294"/>
      <c r="L1269" s="295"/>
      <c r="M1269" s="296">
        <v>0.05</v>
      </c>
      <c r="N1269" s="296">
        <f t="shared" si="118"/>
        <v>0</v>
      </c>
      <c r="O1269" s="299">
        <f t="shared" si="119"/>
        <v>0</v>
      </c>
      <c r="P1269" s="303"/>
    </row>
    <row r="1270" spans="2:16" ht="15.75" thickBot="1">
      <c r="B1270" s="184"/>
      <c r="C1270" s="185"/>
      <c r="D1270" s="186"/>
      <c r="E1270" s="186"/>
      <c r="F1270" s="187"/>
      <c r="G1270" s="187">
        <f t="shared" si="115"/>
        <v>0</v>
      </c>
      <c r="H1270" s="188">
        <v>0.05</v>
      </c>
      <c r="I1270" s="189">
        <f t="shared" si="116"/>
        <v>0</v>
      </c>
      <c r="J1270" s="189">
        <f t="shared" si="117"/>
        <v>0</v>
      </c>
      <c r="K1270" s="294"/>
      <c r="L1270" s="295"/>
      <c r="M1270" s="296">
        <v>0.05</v>
      </c>
      <c r="N1270" s="296">
        <f t="shared" si="118"/>
        <v>0</v>
      </c>
      <c r="O1270" s="299">
        <f t="shared" si="119"/>
        <v>0</v>
      </c>
      <c r="P1270" s="303"/>
    </row>
    <row r="1271" spans="2:16" ht="15.75" thickBot="1">
      <c r="B1271" s="184"/>
      <c r="C1271" s="185"/>
      <c r="D1271" s="186"/>
      <c r="E1271" s="186"/>
      <c r="F1271" s="187"/>
      <c r="G1271" s="187">
        <f t="shared" si="115"/>
        <v>0</v>
      </c>
      <c r="H1271" s="188">
        <v>0.05</v>
      </c>
      <c r="I1271" s="189">
        <f t="shared" si="116"/>
        <v>0</v>
      </c>
      <c r="J1271" s="189">
        <f t="shared" si="117"/>
        <v>0</v>
      </c>
      <c r="K1271" s="294"/>
      <c r="L1271" s="295"/>
      <c r="M1271" s="296">
        <v>0.05</v>
      </c>
      <c r="N1271" s="296">
        <f t="shared" si="118"/>
        <v>0</v>
      </c>
      <c r="O1271" s="299">
        <f t="shared" si="119"/>
        <v>0</v>
      </c>
      <c r="P1271" s="303"/>
    </row>
    <row r="1272" spans="2:16" ht="15.75" thickBot="1">
      <c r="B1272" s="184"/>
      <c r="C1272" s="185"/>
      <c r="D1272" s="186"/>
      <c r="E1272" s="186"/>
      <c r="F1272" s="187"/>
      <c r="G1272" s="187">
        <f t="shared" si="115"/>
        <v>0</v>
      </c>
      <c r="H1272" s="188">
        <v>0.05</v>
      </c>
      <c r="I1272" s="189">
        <f t="shared" si="116"/>
        <v>0</v>
      </c>
      <c r="J1272" s="189">
        <f t="shared" si="117"/>
        <v>0</v>
      </c>
      <c r="K1272" s="294"/>
      <c r="L1272" s="295"/>
      <c r="M1272" s="296">
        <v>0.05</v>
      </c>
      <c r="N1272" s="296">
        <f t="shared" si="118"/>
        <v>0</v>
      </c>
      <c r="O1272" s="299">
        <f t="shared" si="119"/>
        <v>0</v>
      </c>
      <c r="P1272" s="303"/>
    </row>
    <row r="1273" spans="2:16" ht="15.75" thickBot="1">
      <c r="B1273" s="184"/>
      <c r="C1273" s="185"/>
      <c r="D1273" s="186"/>
      <c r="E1273" s="186"/>
      <c r="F1273" s="187"/>
      <c r="G1273" s="187">
        <f t="shared" si="115"/>
        <v>0</v>
      </c>
      <c r="H1273" s="188">
        <v>0.05</v>
      </c>
      <c r="I1273" s="189">
        <f t="shared" si="116"/>
        <v>0</v>
      </c>
      <c r="J1273" s="189">
        <f t="shared" si="117"/>
        <v>0</v>
      </c>
      <c r="K1273" s="294"/>
      <c r="L1273" s="295"/>
      <c r="M1273" s="296">
        <v>0.05</v>
      </c>
      <c r="N1273" s="296">
        <f t="shared" si="118"/>
        <v>0</v>
      </c>
      <c r="O1273" s="299">
        <f t="shared" si="119"/>
        <v>0</v>
      </c>
      <c r="P1273" s="303"/>
    </row>
    <row r="1274" spans="2:16" ht="15.75" thickBot="1">
      <c r="B1274" s="184"/>
      <c r="C1274" s="185"/>
      <c r="D1274" s="186"/>
      <c r="E1274" s="186"/>
      <c r="F1274" s="187"/>
      <c r="G1274" s="187">
        <f t="shared" si="115"/>
        <v>0</v>
      </c>
      <c r="H1274" s="188">
        <v>0.05</v>
      </c>
      <c r="I1274" s="189">
        <f t="shared" si="116"/>
        <v>0</v>
      </c>
      <c r="J1274" s="189">
        <f t="shared" si="117"/>
        <v>0</v>
      </c>
      <c r="K1274" s="294"/>
      <c r="L1274" s="295"/>
      <c r="M1274" s="296">
        <v>0.05</v>
      </c>
      <c r="N1274" s="296">
        <f t="shared" si="118"/>
        <v>0</v>
      </c>
      <c r="O1274" s="299">
        <f t="shared" si="119"/>
        <v>0</v>
      </c>
      <c r="P1274" s="303"/>
    </row>
    <row r="1275" spans="2:16" ht="15.75" thickBot="1">
      <c r="B1275" s="184"/>
      <c r="C1275" s="185"/>
      <c r="D1275" s="186"/>
      <c r="E1275" s="186"/>
      <c r="F1275" s="187"/>
      <c r="G1275" s="187">
        <f t="shared" si="115"/>
        <v>0</v>
      </c>
      <c r="H1275" s="188">
        <v>0.05</v>
      </c>
      <c r="I1275" s="189">
        <f t="shared" si="116"/>
        <v>0</v>
      </c>
      <c r="J1275" s="189">
        <f t="shared" si="117"/>
        <v>0</v>
      </c>
      <c r="K1275" s="294"/>
      <c r="L1275" s="295"/>
      <c r="M1275" s="296">
        <v>0.05</v>
      </c>
      <c r="N1275" s="296">
        <f t="shared" si="118"/>
        <v>0</v>
      </c>
      <c r="O1275" s="299">
        <f t="shared" si="119"/>
        <v>0</v>
      </c>
      <c r="P1275" s="303"/>
    </row>
    <row r="1276" spans="2:16" ht="15.75" thickBot="1">
      <c r="B1276" s="184"/>
      <c r="C1276" s="185"/>
      <c r="D1276" s="186"/>
      <c r="E1276" s="186"/>
      <c r="F1276" s="187"/>
      <c r="G1276" s="187">
        <f t="shared" si="115"/>
        <v>0</v>
      </c>
      <c r="H1276" s="188">
        <v>0.05</v>
      </c>
      <c r="I1276" s="189">
        <f t="shared" si="116"/>
        <v>0</v>
      </c>
      <c r="J1276" s="189">
        <f t="shared" si="117"/>
        <v>0</v>
      </c>
      <c r="K1276" s="294"/>
      <c r="L1276" s="295"/>
      <c r="M1276" s="296">
        <v>0.05</v>
      </c>
      <c r="N1276" s="296">
        <f t="shared" si="118"/>
        <v>0</v>
      </c>
      <c r="O1276" s="299">
        <f t="shared" si="119"/>
        <v>0</v>
      </c>
      <c r="P1276" s="303"/>
    </row>
    <row r="1277" spans="2:16" ht="15.75" thickBot="1">
      <c r="B1277" s="184"/>
      <c r="C1277" s="185"/>
      <c r="D1277" s="186"/>
      <c r="E1277" s="186"/>
      <c r="F1277" s="187"/>
      <c r="G1277" s="187">
        <f t="shared" si="115"/>
        <v>0</v>
      </c>
      <c r="H1277" s="188">
        <v>0.05</v>
      </c>
      <c r="I1277" s="189">
        <f t="shared" si="116"/>
        <v>0</v>
      </c>
      <c r="J1277" s="189">
        <f t="shared" si="117"/>
        <v>0</v>
      </c>
      <c r="K1277" s="294"/>
      <c r="L1277" s="295"/>
      <c r="M1277" s="296">
        <v>0.05</v>
      </c>
      <c r="N1277" s="296">
        <f t="shared" si="118"/>
        <v>0</v>
      </c>
      <c r="O1277" s="299">
        <f t="shared" si="119"/>
        <v>0</v>
      </c>
      <c r="P1277" s="303"/>
    </row>
    <row r="1278" spans="2:16" ht="15.75" thickBot="1">
      <c r="B1278" s="184"/>
      <c r="C1278" s="185"/>
      <c r="D1278" s="186"/>
      <c r="E1278" s="186"/>
      <c r="F1278" s="187"/>
      <c r="G1278" s="187">
        <f t="shared" si="115"/>
        <v>0</v>
      </c>
      <c r="H1278" s="188">
        <v>0.05</v>
      </c>
      <c r="I1278" s="189">
        <f t="shared" si="116"/>
        <v>0</v>
      </c>
      <c r="J1278" s="189">
        <f t="shared" si="117"/>
        <v>0</v>
      </c>
      <c r="K1278" s="294"/>
      <c r="L1278" s="295"/>
      <c r="M1278" s="296">
        <v>0.05</v>
      </c>
      <c r="N1278" s="296">
        <f t="shared" si="118"/>
        <v>0</v>
      </c>
      <c r="O1278" s="299">
        <f t="shared" si="119"/>
        <v>0</v>
      </c>
      <c r="P1278" s="303"/>
    </row>
    <row r="1279" spans="2:16" ht="15.75" thickBot="1">
      <c r="B1279" s="184"/>
      <c r="C1279" s="185"/>
      <c r="D1279" s="186"/>
      <c r="E1279" s="186"/>
      <c r="F1279" s="187"/>
      <c r="G1279" s="187">
        <f t="shared" si="115"/>
        <v>0</v>
      </c>
      <c r="H1279" s="188">
        <v>0.05</v>
      </c>
      <c r="I1279" s="189">
        <f t="shared" si="116"/>
        <v>0</v>
      </c>
      <c r="J1279" s="189">
        <f t="shared" si="117"/>
        <v>0</v>
      </c>
      <c r="K1279" s="294"/>
      <c r="L1279" s="295"/>
      <c r="M1279" s="296">
        <v>0.05</v>
      </c>
      <c r="N1279" s="296">
        <f t="shared" si="118"/>
        <v>0</v>
      </c>
      <c r="O1279" s="299">
        <f t="shared" si="119"/>
        <v>0</v>
      </c>
      <c r="P1279" s="303"/>
    </row>
    <row r="1280" spans="2:16" ht="15.75" thickBot="1">
      <c r="B1280" s="184"/>
      <c r="C1280" s="185"/>
      <c r="D1280" s="186"/>
      <c r="E1280" s="186"/>
      <c r="F1280" s="187"/>
      <c r="G1280" s="187">
        <f t="shared" si="115"/>
        <v>0</v>
      </c>
      <c r="H1280" s="188">
        <v>0.05</v>
      </c>
      <c r="I1280" s="189">
        <f t="shared" si="116"/>
        <v>0</v>
      </c>
      <c r="J1280" s="189">
        <f t="shared" si="117"/>
        <v>0</v>
      </c>
      <c r="K1280" s="294"/>
      <c r="L1280" s="295"/>
      <c r="M1280" s="296">
        <v>0.05</v>
      </c>
      <c r="N1280" s="296">
        <f t="shared" si="118"/>
        <v>0</v>
      </c>
      <c r="O1280" s="299">
        <f t="shared" si="119"/>
        <v>0</v>
      </c>
      <c r="P1280" s="303"/>
    </row>
    <row r="1281" spans="2:16" ht="15.75" thickBot="1">
      <c r="B1281" s="184"/>
      <c r="C1281" s="185"/>
      <c r="D1281" s="186"/>
      <c r="E1281" s="186"/>
      <c r="F1281" s="187"/>
      <c r="G1281" s="187">
        <f t="shared" si="115"/>
        <v>0</v>
      </c>
      <c r="H1281" s="188">
        <v>0.05</v>
      </c>
      <c r="I1281" s="189">
        <f t="shared" si="116"/>
        <v>0</v>
      </c>
      <c r="J1281" s="189">
        <f t="shared" si="117"/>
        <v>0</v>
      </c>
      <c r="K1281" s="294"/>
      <c r="L1281" s="295"/>
      <c r="M1281" s="296">
        <v>0.05</v>
      </c>
      <c r="N1281" s="296">
        <f t="shared" si="118"/>
        <v>0</v>
      </c>
      <c r="O1281" s="299">
        <f t="shared" si="119"/>
        <v>0</v>
      </c>
      <c r="P1281" s="303"/>
    </row>
    <row r="1282" spans="2:16" ht="15.75" thickBot="1">
      <c r="B1282" s="184"/>
      <c r="C1282" s="185"/>
      <c r="D1282" s="186"/>
      <c r="E1282" s="186"/>
      <c r="F1282" s="187"/>
      <c r="G1282" s="187">
        <f t="shared" si="115"/>
        <v>0</v>
      </c>
      <c r="H1282" s="188">
        <v>0.05</v>
      </c>
      <c r="I1282" s="189">
        <f t="shared" si="116"/>
        <v>0</v>
      </c>
      <c r="J1282" s="189">
        <f t="shared" si="117"/>
        <v>0</v>
      </c>
      <c r="K1282" s="294"/>
      <c r="L1282" s="295"/>
      <c r="M1282" s="296">
        <v>0.05</v>
      </c>
      <c r="N1282" s="296">
        <f t="shared" si="118"/>
        <v>0</v>
      </c>
      <c r="O1282" s="299">
        <f t="shared" si="119"/>
        <v>0</v>
      </c>
      <c r="P1282" s="303"/>
    </row>
    <row r="1283" spans="2:16" ht="15.75" thickBot="1">
      <c r="B1283" s="184"/>
      <c r="C1283" s="185"/>
      <c r="D1283" s="186"/>
      <c r="E1283" s="186"/>
      <c r="F1283" s="187"/>
      <c r="G1283" s="187">
        <f t="shared" si="115"/>
        <v>0</v>
      </c>
      <c r="H1283" s="188">
        <v>0.05</v>
      </c>
      <c r="I1283" s="189">
        <f t="shared" si="116"/>
        <v>0</v>
      </c>
      <c r="J1283" s="189">
        <f t="shared" si="117"/>
        <v>0</v>
      </c>
      <c r="K1283" s="294"/>
      <c r="L1283" s="295"/>
      <c r="M1283" s="296">
        <v>0.05</v>
      </c>
      <c r="N1283" s="296">
        <f t="shared" si="118"/>
        <v>0</v>
      </c>
      <c r="O1283" s="299">
        <f t="shared" si="119"/>
        <v>0</v>
      </c>
      <c r="P1283" s="303"/>
    </row>
    <row r="1284" spans="2:16" ht="15.75" thickBot="1">
      <c r="B1284" s="184"/>
      <c r="C1284" s="185"/>
      <c r="D1284" s="186"/>
      <c r="E1284" s="186"/>
      <c r="F1284" s="187"/>
      <c r="G1284" s="187">
        <f t="shared" si="115"/>
        <v>0</v>
      </c>
      <c r="H1284" s="188">
        <v>0.05</v>
      </c>
      <c r="I1284" s="189">
        <f t="shared" si="116"/>
        <v>0</v>
      </c>
      <c r="J1284" s="189">
        <f t="shared" si="117"/>
        <v>0</v>
      </c>
      <c r="K1284" s="294"/>
      <c r="L1284" s="295"/>
      <c r="M1284" s="296">
        <v>0.05</v>
      </c>
      <c r="N1284" s="296">
        <f t="shared" si="118"/>
        <v>0</v>
      </c>
      <c r="O1284" s="299">
        <f t="shared" si="119"/>
        <v>0</v>
      </c>
      <c r="P1284" s="303"/>
    </row>
    <row r="1285" spans="2:16" ht="15.75" thickBot="1">
      <c r="B1285" s="184"/>
      <c r="C1285" s="185"/>
      <c r="D1285" s="186"/>
      <c r="E1285" s="186"/>
      <c r="F1285" s="187"/>
      <c r="G1285" s="187">
        <f t="shared" si="115"/>
        <v>0</v>
      </c>
      <c r="H1285" s="188">
        <v>0.05</v>
      </c>
      <c r="I1285" s="189">
        <f t="shared" si="116"/>
        <v>0</v>
      </c>
      <c r="J1285" s="189">
        <f t="shared" si="117"/>
        <v>0</v>
      </c>
      <c r="K1285" s="294"/>
      <c r="L1285" s="295"/>
      <c r="M1285" s="296">
        <v>0.05</v>
      </c>
      <c r="N1285" s="296">
        <f t="shared" si="118"/>
        <v>0</v>
      </c>
      <c r="O1285" s="299">
        <f t="shared" si="119"/>
        <v>0</v>
      </c>
      <c r="P1285" s="303"/>
    </row>
    <row r="1286" spans="2:16" ht="15.75" thickBot="1">
      <c r="B1286" s="184"/>
      <c r="C1286" s="185"/>
      <c r="D1286" s="186"/>
      <c r="E1286" s="186"/>
      <c r="F1286" s="187"/>
      <c r="G1286" s="187">
        <f t="shared" si="115"/>
        <v>0</v>
      </c>
      <c r="H1286" s="188">
        <v>0.05</v>
      </c>
      <c r="I1286" s="189">
        <f t="shared" si="116"/>
        <v>0</v>
      </c>
      <c r="J1286" s="189">
        <f t="shared" si="117"/>
        <v>0</v>
      </c>
      <c r="K1286" s="294"/>
      <c r="L1286" s="295"/>
      <c r="M1286" s="296">
        <v>0.05</v>
      </c>
      <c r="N1286" s="296">
        <f t="shared" si="118"/>
        <v>0</v>
      </c>
      <c r="O1286" s="299">
        <f t="shared" si="119"/>
        <v>0</v>
      </c>
      <c r="P1286" s="303"/>
    </row>
    <row r="1287" spans="2:16" ht="15.75" thickBot="1">
      <c r="B1287" s="184"/>
      <c r="C1287" s="185"/>
      <c r="D1287" s="186"/>
      <c r="E1287" s="186"/>
      <c r="F1287" s="187"/>
      <c r="G1287" s="187">
        <f t="shared" si="115"/>
        <v>0</v>
      </c>
      <c r="H1287" s="188">
        <v>0.05</v>
      </c>
      <c r="I1287" s="189">
        <f t="shared" si="116"/>
        <v>0</v>
      </c>
      <c r="J1287" s="189">
        <f t="shared" si="117"/>
        <v>0</v>
      </c>
      <c r="K1287" s="294"/>
      <c r="L1287" s="295"/>
      <c r="M1287" s="296">
        <v>0.05</v>
      </c>
      <c r="N1287" s="296">
        <f t="shared" si="118"/>
        <v>0</v>
      </c>
      <c r="O1287" s="299">
        <f t="shared" si="119"/>
        <v>0</v>
      </c>
      <c r="P1287" s="303"/>
    </row>
    <row r="1288" spans="2:16" ht="15.75" thickBot="1">
      <c r="B1288" s="184"/>
      <c r="C1288" s="185"/>
      <c r="D1288" s="186"/>
      <c r="E1288" s="186"/>
      <c r="F1288" s="187"/>
      <c r="G1288" s="187">
        <f t="shared" si="115"/>
        <v>0</v>
      </c>
      <c r="H1288" s="188">
        <v>0.05</v>
      </c>
      <c r="I1288" s="189">
        <f t="shared" si="116"/>
        <v>0</v>
      </c>
      <c r="J1288" s="189">
        <f t="shared" si="117"/>
        <v>0</v>
      </c>
      <c r="K1288" s="294"/>
      <c r="L1288" s="295"/>
      <c r="M1288" s="296">
        <v>0.05</v>
      </c>
      <c r="N1288" s="296">
        <f t="shared" si="118"/>
        <v>0</v>
      </c>
      <c r="O1288" s="299">
        <f t="shared" si="119"/>
        <v>0</v>
      </c>
      <c r="P1288" s="303"/>
    </row>
    <row r="1289" spans="2:16" ht="15.75" thickBot="1">
      <c r="B1289" s="184"/>
      <c r="C1289" s="185"/>
      <c r="D1289" s="186"/>
      <c r="E1289" s="186"/>
      <c r="F1289" s="187"/>
      <c r="G1289" s="187">
        <f t="shared" si="115"/>
        <v>0</v>
      </c>
      <c r="H1289" s="188">
        <v>0.05</v>
      </c>
      <c r="I1289" s="189">
        <f t="shared" si="116"/>
        <v>0</v>
      </c>
      <c r="J1289" s="189">
        <f t="shared" si="117"/>
        <v>0</v>
      </c>
      <c r="K1289" s="294"/>
      <c r="L1289" s="295"/>
      <c r="M1289" s="296">
        <v>0.05</v>
      </c>
      <c r="N1289" s="296">
        <f t="shared" si="118"/>
        <v>0</v>
      </c>
      <c r="O1289" s="299">
        <f t="shared" si="119"/>
        <v>0</v>
      </c>
      <c r="P1289" s="303"/>
    </row>
    <row r="1290" spans="2:16" ht="15.75" thickBot="1">
      <c r="B1290" s="184"/>
      <c r="C1290" s="185"/>
      <c r="D1290" s="186"/>
      <c r="E1290" s="186"/>
      <c r="F1290" s="187"/>
      <c r="G1290" s="187">
        <f t="shared" si="115"/>
        <v>0</v>
      </c>
      <c r="H1290" s="188">
        <v>0.05</v>
      </c>
      <c r="I1290" s="189">
        <f t="shared" si="116"/>
        <v>0</v>
      </c>
      <c r="J1290" s="189">
        <f t="shared" si="117"/>
        <v>0</v>
      </c>
      <c r="K1290" s="294"/>
      <c r="L1290" s="295"/>
      <c r="M1290" s="296">
        <v>0.05</v>
      </c>
      <c r="N1290" s="296">
        <f t="shared" si="118"/>
        <v>0</v>
      </c>
      <c r="O1290" s="299">
        <f t="shared" si="119"/>
        <v>0</v>
      </c>
      <c r="P1290" s="303"/>
    </row>
    <row r="1291" spans="2:16" ht="15.75" thickBot="1">
      <c r="B1291" s="184"/>
      <c r="C1291" s="185"/>
      <c r="D1291" s="186"/>
      <c r="E1291" s="186"/>
      <c r="F1291" s="187"/>
      <c r="G1291" s="187">
        <f t="shared" si="115"/>
        <v>0</v>
      </c>
      <c r="H1291" s="188">
        <v>0.05</v>
      </c>
      <c r="I1291" s="189">
        <f t="shared" si="116"/>
        <v>0</v>
      </c>
      <c r="J1291" s="189">
        <f t="shared" si="117"/>
        <v>0</v>
      </c>
      <c r="K1291" s="294"/>
      <c r="L1291" s="295"/>
      <c r="M1291" s="296">
        <v>0.05</v>
      </c>
      <c r="N1291" s="296">
        <f t="shared" si="118"/>
        <v>0</v>
      </c>
      <c r="O1291" s="299">
        <f t="shared" si="119"/>
        <v>0</v>
      </c>
      <c r="P1291" s="303"/>
    </row>
    <row r="1292" spans="2:16" ht="15.75" thickBot="1">
      <c r="B1292" s="184"/>
      <c r="C1292" s="185"/>
      <c r="D1292" s="186"/>
      <c r="E1292" s="186"/>
      <c r="F1292" s="187"/>
      <c r="G1292" s="187">
        <f t="shared" si="115"/>
        <v>0</v>
      </c>
      <c r="H1292" s="188">
        <v>0.05</v>
      </c>
      <c r="I1292" s="189">
        <f t="shared" si="116"/>
        <v>0</v>
      </c>
      <c r="J1292" s="189">
        <f t="shared" si="117"/>
        <v>0</v>
      </c>
      <c r="K1292" s="294"/>
      <c r="L1292" s="295"/>
      <c r="M1292" s="296">
        <v>0.05</v>
      </c>
      <c r="N1292" s="296">
        <f t="shared" si="118"/>
        <v>0</v>
      </c>
      <c r="O1292" s="299">
        <f t="shared" si="119"/>
        <v>0</v>
      </c>
      <c r="P1292" s="303"/>
    </row>
    <row r="1293" spans="2:16" ht="15.75" thickBot="1">
      <c r="B1293" s="184"/>
      <c r="C1293" s="185"/>
      <c r="D1293" s="186"/>
      <c r="E1293" s="186"/>
      <c r="F1293" s="187"/>
      <c r="G1293" s="187">
        <f t="shared" si="115"/>
        <v>0</v>
      </c>
      <c r="H1293" s="188">
        <v>0.05</v>
      </c>
      <c r="I1293" s="189">
        <f t="shared" si="116"/>
        <v>0</v>
      </c>
      <c r="J1293" s="189">
        <f t="shared" si="117"/>
        <v>0</v>
      </c>
      <c r="K1293" s="294"/>
      <c r="L1293" s="295"/>
      <c r="M1293" s="296">
        <v>0.05</v>
      </c>
      <c r="N1293" s="296">
        <f t="shared" si="118"/>
        <v>0</v>
      </c>
      <c r="O1293" s="299">
        <f t="shared" si="119"/>
        <v>0</v>
      </c>
      <c r="P1293" s="303"/>
    </row>
    <row r="1294" spans="2:16" ht="15.75" thickBot="1">
      <c r="B1294" s="184"/>
      <c r="C1294" s="185"/>
      <c r="D1294" s="186"/>
      <c r="E1294" s="186"/>
      <c r="F1294" s="187"/>
      <c r="G1294" s="187">
        <f t="shared" si="115"/>
        <v>0</v>
      </c>
      <c r="H1294" s="188">
        <v>0.05</v>
      </c>
      <c r="I1294" s="189">
        <f t="shared" si="116"/>
        <v>0</v>
      </c>
      <c r="J1294" s="189">
        <f t="shared" si="117"/>
        <v>0</v>
      </c>
      <c r="K1294" s="294"/>
      <c r="L1294" s="295"/>
      <c r="M1294" s="296">
        <v>0.05</v>
      </c>
      <c r="N1294" s="296">
        <f t="shared" si="118"/>
        <v>0</v>
      </c>
      <c r="O1294" s="299">
        <f t="shared" si="119"/>
        <v>0</v>
      </c>
      <c r="P1294" s="303"/>
    </row>
    <row r="1295" spans="2:16" ht="15.75" thickBot="1">
      <c r="B1295" s="184"/>
      <c r="C1295" s="185"/>
      <c r="D1295" s="186"/>
      <c r="E1295" s="186"/>
      <c r="F1295" s="187"/>
      <c r="G1295" s="187">
        <f t="shared" si="115"/>
        <v>0</v>
      </c>
      <c r="H1295" s="188">
        <v>0.05</v>
      </c>
      <c r="I1295" s="189">
        <f t="shared" si="116"/>
        <v>0</v>
      </c>
      <c r="J1295" s="189">
        <f t="shared" si="117"/>
        <v>0</v>
      </c>
      <c r="K1295" s="294"/>
      <c r="L1295" s="295"/>
      <c r="M1295" s="296">
        <v>0.05</v>
      </c>
      <c r="N1295" s="296">
        <f t="shared" si="118"/>
        <v>0</v>
      </c>
      <c r="O1295" s="299">
        <f t="shared" si="119"/>
        <v>0</v>
      </c>
      <c r="P1295" s="303"/>
    </row>
    <row r="1296" spans="2:16" ht="15.75" thickBot="1">
      <c r="B1296" s="184"/>
      <c r="C1296" s="185"/>
      <c r="D1296" s="186"/>
      <c r="E1296" s="186"/>
      <c r="F1296" s="187"/>
      <c r="G1296" s="187">
        <f t="shared" si="115"/>
        <v>0</v>
      </c>
      <c r="H1296" s="188">
        <v>0.05</v>
      </c>
      <c r="I1296" s="189">
        <f t="shared" si="116"/>
        <v>0</v>
      </c>
      <c r="J1296" s="189">
        <f t="shared" si="117"/>
        <v>0</v>
      </c>
      <c r="K1296" s="294"/>
      <c r="L1296" s="295"/>
      <c r="M1296" s="296">
        <v>0.05</v>
      </c>
      <c r="N1296" s="296">
        <f t="shared" si="118"/>
        <v>0</v>
      </c>
      <c r="O1296" s="299">
        <f t="shared" si="119"/>
        <v>0</v>
      </c>
      <c r="P1296" s="303"/>
    </row>
    <row r="1297" spans="2:16" ht="15.75" thickBot="1">
      <c r="B1297" s="184"/>
      <c r="C1297" s="185"/>
      <c r="D1297" s="186"/>
      <c r="E1297" s="186"/>
      <c r="F1297" s="187"/>
      <c r="G1297" s="187">
        <f t="shared" si="115"/>
        <v>0</v>
      </c>
      <c r="H1297" s="188">
        <v>0.05</v>
      </c>
      <c r="I1297" s="189">
        <f t="shared" si="116"/>
        <v>0</v>
      </c>
      <c r="J1297" s="189">
        <f t="shared" si="117"/>
        <v>0</v>
      </c>
      <c r="K1297" s="294"/>
      <c r="L1297" s="295"/>
      <c r="M1297" s="296">
        <v>0.05</v>
      </c>
      <c r="N1297" s="296">
        <f t="shared" si="118"/>
        <v>0</v>
      </c>
      <c r="O1297" s="299">
        <f t="shared" si="119"/>
        <v>0</v>
      </c>
      <c r="P1297" s="303"/>
    </row>
    <row r="1298" spans="2:16" ht="15.75" thickBot="1">
      <c r="B1298" s="184"/>
      <c r="C1298" s="185"/>
      <c r="D1298" s="186"/>
      <c r="E1298" s="186"/>
      <c r="F1298" s="187"/>
      <c r="G1298" s="187">
        <f t="shared" si="115"/>
        <v>0</v>
      </c>
      <c r="H1298" s="188">
        <v>0.05</v>
      </c>
      <c r="I1298" s="189">
        <f t="shared" si="116"/>
        <v>0</v>
      </c>
      <c r="J1298" s="189">
        <f t="shared" si="117"/>
        <v>0</v>
      </c>
      <c r="K1298" s="294"/>
      <c r="L1298" s="295"/>
      <c r="M1298" s="296">
        <v>0.05</v>
      </c>
      <c r="N1298" s="296">
        <f t="shared" si="118"/>
        <v>0</v>
      </c>
      <c r="O1298" s="299">
        <f t="shared" si="119"/>
        <v>0</v>
      </c>
      <c r="P1298" s="303"/>
    </row>
    <row r="1299" spans="2:16" ht="15.75" thickBot="1">
      <c r="B1299" s="184"/>
      <c r="C1299" s="185"/>
      <c r="D1299" s="186"/>
      <c r="E1299" s="186"/>
      <c r="F1299" s="187"/>
      <c r="G1299" s="187">
        <f t="shared" si="115"/>
        <v>0</v>
      </c>
      <c r="H1299" s="188">
        <v>0.05</v>
      </c>
      <c r="I1299" s="189">
        <f t="shared" si="116"/>
        <v>0</v>
      </c>
      <c r="J1299" s="189">
        <f t="shared" si="117"/>
        <v>0</v>
      </c>
      <c r="K1299" s="294"/>
      <c r="L1299" s="295"/>
      <c r="M1299" s="296">
        <v>0.05</v>
      </c>
      <c r="N1299" s="296">
        <f t="shared" si="118"/>
        <v>0</v>
      </c>
      <c r="O1299" s="299">
        <f t="shared" si="119"/>
        <v>0</v>
      </c>
      <c r="P1299" s="303"/>
    </row>
    <row r="1300" spans="2:16" ht="15.75" thickBot="1">
      <c r="B1300" s="184"/>
      <c r="C1300" s="185"/>
      <c r="D1300" s="186"/>
      <c r="E1300" s="186"/>
      <c r="F1300" s="187"/>
      <c r="G1300" s="187">
        <f t="shared" si="115"/>
        <v>0</v>
      </c>
      <c r="H1300" s="188">
        <v>0.05</v>
      </c>
      <c r="I1300" s="189">
        <f t="shared" si="116"/>
        <v>0</v>
      </c>
      <c r="J1300" s="189">
        <f t="shared" si="117"/>
        <v>0</v>
      </c>
      <c r="K1300" s="294"/>
      <c r="L1300" s="295"/>
      <c r="M1300" s="296">
        <v>0.05</v>
      </c>
      <c r="N1300" s="296">
        <f t="shared" si="118"/>
        <v>0</v>
      </c>
      <c r="O1300" s="299">
        <f t="shared" si="119"/>
        <v>0</v>
      </c>
      <c r="P1300" s="303"/>
    </row>
    <row r="1301" spans="2:16" ht="15.75" thickBot="1">
      <c r="B1301" s="184"/>
      <c r="C1301" s="185"/>
      <c r="D1301" s="186"/>
      <c r="E1301" s="186"/>
      <c r="F1301" s="187"/>
      <c r="G1301" s="187">
        <f t="shared" si="115"/>
        <v>0</v>
      </c>
      <c r="H1301" s="188">
        <v>0.05</v>
      </c>
      <c r="I1301" s="189">
        <f t="shared" si="116"/>
        <v>0</v>
      </c>
      <c r="J1301" s="189">
        <f t="shared" si="117"/>
        <v>0</v>
      </c>
      <c r="K1301" s="294"/>
      <c r="L1301" s="295"/>
      <c r="M1301" s="296">
        <v>0.05</v>
      </c>
      <c r="N1301" s="296">
        <f t="shared" si="118"/>
        <v>0</v>
      </c>
      <c r="O1301" s="299">
        <f t="shared" si="119"/>
        <v>0</v>
      </c>
      <c r="P1301" s="303"/>
    </row>
    <row r="1302" spans="2:16" ht="15.75" thickBot="1">
      <c r="B1302" s="184"/>
      <c r="C1302" s="185"/>
      <c r="D1302" s="186"/>
      <c r="E1302" s="186"/>
      <c r="F1302" s="187"/>
      <c r="G1302" s="187">
        <f t="shared" si="115"/>
        <v>0</v>
      </c>
      <c r="H1302" s="188">
        <v>0.05</v>
      </c>
      <c r="I1302" s="189">
        <f t="shared" si="116"/>
        <v>0</v>
      </c>
      <c r="J1302" s="189">
        <f t="shared" si="117"/>
        <v>0</v>
      </c>
      <c r="K1302" s="294"/>
      <c r="L1302" s="295"/>
      <c r="M1302" s="296">
        <v>0.05</v>
      </c>
      <c r="N1302" s="296">
        <f t="shared" si="118"/>
        <v>0</v>
      </c>
      <c r="O1302" s="299">
        <f t="shared" si="119"/>
        <v>0</v>
      </c>
      <c r="P1302" s="303"/>
    </row>
    <row r="1303" spans="2:16" ht="15.75" thickBot="1">
      <c r="B1303" s="184"/>
      <c r="C1303" s="185"/>
      <c r="D1303" s="186"/>
      <c r="E1303" s="186"/>
      <c r="F1303" s="187"/>
      <c r="G1303" s="187">
        <f t="shared" si="115"/>
        <v>0</v>
      </c>
      <c r="H1303" s="188">
        <v>0.05</v>
      </c>
      <c r="I1303" s="189">
        <f t="shared" si="116"/>
        <v>0</v>
      </c>
      <c r="J1303" s="189">
        <f t="shared" si="117"/>
        <v>0</v>
      </c>
      <c r="K1303" s="294"/>
      <c r="L1303" s="295"/>
      <c r="M1303" s="296">
        <v>0.05</v>
      </c>
      <c r="N1303" s="296">
        <f t="shared" si="118"/>
        <v>0</v>
      </c>
      <c r="O1303" s="299">
        <f t="shared" si="119"/>
        <v>0</v>
      </c>
      <c r="P1303" s="303"/>
    </row>
    <row r="1304" spans="2:16" ht="15.75" thickBot="1">
      <c r="B1304" s="184"/>
      <c r="C1304" s="185"/>
      <c r="D1304" s="186"/>
      <c r="E1304" s="186"/>
      <c r="F1304" s="187"/>
      <c r="G1304" s="187">
        <f t="shared" si="115"/>
        <v>0</v>
      </c>
      <c r="H1304" s="188">
        <v>0.05</v>
      </c>
      <c r="I1304" s="189">
        <f t="shared" si="116"/>
        <v>0</v>
      </c>
      <c r="J1304" s="189">
        <f t="shared" si="117"/>
        <v>0</v>
      </c>
      <c r="K1304" s="294"/>
      <c r="L1304" s="295"/>
      <c r="M1304" s="296">
        <v>0.05</v>
      </c>
      <c r="N1304" s="296">
        <f t="shared" si="118"/>
        <v>0</v>
      </c>
      <c r="O1304" s="299">
        <f t="shared" si="119"/>
        <v>0</v>
      </c>
      <c r="P1304" s="303"/>
    </row>
    <row r="1305" spans="2:16" ht="15.75" thickBot="1">
      <c r="B1305" s="184"/>
      <c r="C1305" s="185"/>
      <c r="D1305" s="186"/>
      <c r="E1305" s="186"/>
      <c r="F1305" s="187"/>
      <c r="G1305" s="187">
        <f t="shared" si="115"/>
        <v>0</v>
      </c>
      <c r="H1305" s="188">
        <v>0.05</v>
      </c>
      <c r="I1305" s="189">
        <f t="shared" si="116"/>
        <v>0</v>
      </c>
      <c r="J1305" s="189">
        <f t="shared" si="117"/>
        <v>0</v>
      </c>
      <c r="K1305" s="294"/>
      <c r="L1305" s="295"/>
      <c r="M1305" s="296">
        <v>0.05</v>
      </c>
      <c r="N1305" s="296">
        <f t="shared" si="118"/>
        <v>0</v>
      </c>
      <c r="O1305" s="299">
        <f t="shared" si="119"/>
        <v>0</v>
      </c>
      <c r="P1305" s="303"/>
    </row>
    <row r="1306" spans="2:16" ht="15.75" thickBot="1">
      <c r="B1306" s="184"/>
      <c r="C1306" s="185"/>
      <c r="D1306" s="186"/>
      <c r="E1306" s="186"/>
      <c r="F1306" s="187"/>
      <c r="G1306" s="187">
        <f t="shared" si="115"/>
        <v>0</v>
      </c>
      <c r="H1306" s="188">
        <v>0.05</v>
      </c>
      <c r="I1306" s="189">
        <f t="shared" si="116"/>
        <v>0</v>
      </c>
      <c r="J1306" s="189">
        <f t="shared" si="117"/>
        <v>0</v>
      </c>
      <c r="K1306" s="294"/>
      <c r="L1306" s="295"/>
      <c r="M1306" s="296">
        <v>0.05</v>
      </c>
      <c r="N1306" s="296">
        <f t="shared" si="118"/>
        <v>0</v>
      </c>
      <c r="O1306" s="299">
        <f t="shared" si="119"/>
        <v>0</v>
      </c>
      <c r="P1306" s="303"/>
    </row>
    <row r="1307" spans="2:16" ht="15.75" thickBot="1">
      <c r="B1307" s="184"/>
      <c r="C1307" s="185"/>
      <c r="D1307" s="186"/>
      <c r="E1307" s="186"/>
      <c r="F1307" s="187"/>
      <c r="G1307" s="187">
        <f t="shared" si="115"/>
        <v>0</v>
      </c>
      <c r="H1307" s="188">
        <v>0.05</v>
      </c>
      <c r="I1307" s="189">
        <f t="shared" si="116"/>
        <v>0</v>
      </c>
      <c r="J1307" s="189">
        <f t="shared" si="117"/>
        <v>0</v>
      </c>
      <c r="K1307" s="294"/>
      <c r="L1307" s="295"/>
      <c r="M1307" s="296">
        <v>0.05</v>
      </c>
      <c r="N1307" s="296">
        <f t="shared" si="118"/>
        <v>0</v>
      </c>
      <c r="O1307" s="299">
        <f t="shared" si="119"/>
        <v>0</v>
      </c>
      <c r="P1307" s="303"/>
    </row>
    <row r="1308" spans="2:16" ht="15.75" thickBot="1">
      <c r="B1308" s="184"/>
      <c r="C1308" s="185"/>
      <c r="D1308" s="186"/>
      <c r="E1308" s="186"/>
      <c r="F1308" s="187"/>
      <c r="G1308" s="187">
        <f t="shared" si="115"/>
        <v>0</v>
      </c>
      <c r="H1308" s="188">
        <v>0.05</v>
      </c>
      <c r="I1308" s="189">
        <f t="shared" si="116"/>
        <v>0</v>
      </c>
      <c r="J1308" s="189">
        <f t="shared" si="117"/>
        <v>0</v>
      </c>
      <c r="K1308" s="294"/>
      <c r="L1308" s="295"/>
      <c r="M1308" s="296">
        <v>0.05</v>
      </c>
      <c r="N1308" s="296">
        <f t="shared" si="118"/>
        <v>0</v>
      </c>
      <c r="O1308" s="299">
        <f t="shared" si="119"/>
        <v>0</v>
      </c>
      <c r="P1308" s="303"/>
    </row>
    <row r="1309" spans="2:16" ht="15.75" thickBot="1">
      <c r="B1309" s="184"/>
      <c r="C1309" s="185"/>
      <c r="D1309" s="186"/>
      <c r="E1309" s="186"/>
      <c r="F1309" s="187"/>
      <c r="G1309" s="187">
        <f t="shared" si="115"/>
        <v>0</v>
      </c>
      <c r="H1309" s="188">
        <v>0.05</v>
      </c>
      <c r="I1309" s="189">
        <f t="shared" si="116"/>
        <v>0</v>
      </c>
      <c r="J1309" s="189">
        <f t="shared" si="117"/>
        <v>0</v>
      </c>
      <c r="K1309" s="294"/>
      <c r="L1309" s="295"/>
      <c r="M1309" s="296">
        <v>0.05</v>
      </c>
      <c r="N1309" s="296">
        <f t="shared" si="118"/>
        <v>0</v>
      </c>
      <c r="O1309" s="299">
        <f t="shared" si="119"/>
        <v>0</v>
      </c>
      <c r="P1309" s="303"/>
    </row>
    <row r="1310" spans="2:16" ht="15.75" thickBot="1">
      <c r="B1310" s="184"/>
      <c r="C1310" s="185"/>
      <c r="D1310" s="186"/>
      <c r="E1310" s="186"/>
      <c r="F1310" s="187"/>
      <c r="G1310" s="187">
        <f t="shared" si="115"/>
        <v>0</v>
      </c>
      <c r="H1310" s="188">
        <v>0.05</v>
      </c>
      <c r="I1310" s="189">
        <f t="shared" si="116"/>
        <v>0</v>
      </c>
      <c r="J1310" s="189">
        <f t="shared" si="117"/>
        <v>0</v>
      </c>
      <c r="K1310" s="294"/>
      <c r="L1310" s="295"/>
      <c r="M1310" s="296">
        <v>0.05</v>
      </c>
      <c r="N1310" s="296">
        <f t="shared" si="118"/>
        <v>0</v>
      </c>
      <c r="O1310" s="299">
        <f t="shared" si="119"/>
        <v>0</v>
      </c>
      <c r="P1310" s="303"/>
    </row>
    <row r="1311" spans="2:16" ht="15.75" thickBot="1">
      <c r="B1311" s="184"/>
      <c r="C1311" s="185"/>
      <c r="D1311" s="186"/>
      <c r="E1311" s="186"/>
      <c r="F1311" s="187"/>
      <c r="G1311" s="187">
        <f t="shared" si="115"/>
        <v>0</v>
      </c>
      <c r="H1311" s="188">
        <v>0.05</v>
      </c>
      <c r="I1311" s="189">
        <f t="shared" si="116"/>
        <v>0</v>
      </c>
      <c r="J1311" s="189">
        <f t="shared" si="117"/>
        <v>0</v>
      </c>
      <c r="K1311" s="294"/>
      <c r="L1311" s="295"/>
      <c r="M1311" s="296">
        <v>0.05</v>
      </c>
      <c r="N1311" s="296">
        <f t="shared" si="118"/>
        <v>0</v>
      </c>
      <c r="O1311" s="299">
        <f t="shared" si="119"/>
        <v>0</v>
      </c>
      <c r="P1311" s="303"/>
    </row>
    <row r="1312" spans="2:16" ht="15.75" thickBot="1">
      <c r="B1312" s="184"/>
      <c r="C1312" s="185"/>
      <c r="D1312" s="186"/>
      <c r="E1312" s="186"/>
      <c r="F1312" s="187"/>
      <c r="G1312" s="187">
        <f t="shared" si="115"/>
        <v>0</v>
      </c>
      <c r="H1312" s="188">
        <v>0.05</v>
      </c>
      <c r="I1312" s="189">
        <f t="shared" si="116"/>
        <v>0</v>
      </c>
      <c r="J1312" s="189">
        <f t="shared" si="117"/>
        <v>0</v>
      </c>
      <c r="K1312" s="294"/>
      <c r="L1312" s="295"/>
      <c r="M1312" s="296">
        <v>0.05</v>
      </c>
      <c r="N1312" s="296">
        <f t="shared" si="118"/>
        <v>0</v>
      </c>
      <c r="O1312" s="299">
        <f t="shared" si="119"/>
        <v>0</v>
      </c>
      <c r="P1312" s="303"/>
    </row>
    <row r="1313" spans="2:16" ht="15.75" thickBot="1">
      <c r="B1313" s="184"/>
      <c r="C1313" s="185"/>
      <c r="D1313" s="186"/>
      <c r="E1313" s="186"/>
      <c r="F1313" s="187"/>
      <c r="G1313" s="187">
        <f t="shared" si="115"/>
        <v>0</v>
      </c>
      <c r="H1313" s="188">
        <v>0.05</v>
      </c>
      <c r="I1313" s="189">
        <f t="shared" si="116"/>
        <v>0</v>
      </c>
      <c r="J1313" s="189">
        <f t="shared" si="117"/>
        <v>0</v>
      </c>
      <c r="K1313" s="294"/>
      <c r="L1313" s="295"/>
      <c r="M1313" s="296">
        <v>0.05</v>
      </c>
      <c r="N1313" s="296">
        <f t="shared" si="118"/>
        <v>0</v>
      </c>
      <c r="O1313" s="299">
        <f t="shared" si="119"/>
        <v>0</v>
      </c>
      <c r="P1313" s="303"/>
    </row>
    <row r="1314" spans="2:16" ht="15.75" thickBot="1">
      <c r="B1314" s="184"/>
      <c r="C1314" s="185"/>
      <c r="D1314" s="186"/>
      <c r="E1314" s="186"/>
      <c r="F1314" s="187"/>
      <c r="G1314" s="187">
        <f t="shared" si="115"/>
        <v>0</v>
      </c>
      <c r="H1314" s="188">
        <v>0.05</v>
      </c>
      <c r="I1314" s="189">
        <f t="shared" si="116"/>
        <v>0</v>
      </c>
      <c r="J1314" s="189">
        <f t="shared" si="117"/>
        <v>0</v>
      </c>
      <c r="K1314" s="294"/>
      <c r="L1314" s="295"/>
      <c r="M1314" s="296">
        <v>0.05</v>
      </c>
      <c r="N1314" s="296">
        <f t="shared" si="118"/>
        <v>0</v>
      </c>
      <c r="O1314" s="299">
        <f t="shared" si="119"/>
        <v>0</v>
      </c>
      <c r="P1314" s="303"/>
    </row>
    <row r="1315" spans="2:16" ht="15.75" thickBot="1">
      <c r="B1315" s="184"/>
      <c r="C1315" s="185"/>
      <c r="D1315" s="186"/>
      <c r="E1315" s="186"/>
      <c r="F1315" s="187"/>
      <c r="G1315" s="187">
        <f t="shared" si="115"/>
        <v>0</v>
      </c>
      <c r="H1315" s="188">
        <v>0.05</v>
      </c>
      <c r="I1315" s="189">
        <f t="shared" si="116"/>
        <v>0</v>
      </c>
      <c r="J1315" s="189">
        <f t="shared" si="117"/>
        <v>0</v>
      </c>
      <c r="K1315" s="294"/>
      <c r="L1315" s="295"/>
      <c r="M1315" s="296">
        <v>0.05</v>
      </c>
      <c r="N1315" s="296">
        <f t="shared" si="118"/>
        <v>0</v>
      </c>
      <c r="O1315" s="299">
        <f t="shared" si="119"/>
        <v>0</v>
      </c>
      <c r="P1315" s="303"/>
    </row>
    <row r="1316" spans="2:16" ht="15.75" thickBot="1">
      <c r="B1316" s="184"/>
      <c r="C1316" s="185"/>
      <c r="D1316" s="186"/>
      <c r="E1316" s="186"/>
      <c r="F1316" s="187"/>
      <c r="G1316" s="187">
        <f t="shared" si="115"/>
        <v>0</v>
      </c>
      <c r="H1316" s="188">
        <v>0.05</v>
      </c>
      <c r="I1316" s="189">
        <f t="shared" si="116"/>
        <v>0</v>
      </c>
      <c r="J1316" s="189">
        <f t="shared" si="117"/>
        <v>0</v>
      </c>
      <c r="K1316" s="294"/>
      <c r="L1316" s="295"/>
      <c r="M1316" s="296">
        <v>0.05</v>
      </c>
      <c r="N1316" s="296">
        <f t="shared" si="118"/>
        <v>0</v>
      </c>
      <c r="O1316" s="299">
        <f t="shared" si="119"/>
        <v>0</v>
      </c>
      <c r="P1316" s="303"/>
    </row>
    <row r="1317" spans="2:16" ht="15.75" thickBot="1">
      <c r="B1317" s="184"/>
      <c r="C1317" s="185"/>
      <c r="D1317" s="186"/>
      <c r="E1317" s="186"/>
      <c r="F1317" s="187"/>
      <c r="G1317" s="187">
        <f t="shared" si="115"/>
        <v>0</v>
      </c>
      <c r="H1317" s="188">
        <v>0.05</v>
      </c>
      <c r="I1317" s="189">
        <f t="shared" si="116"/>
        <v>0</v>
      </c>
      <c r="J1317" s="189">
        <f t="shared" si="117"/>
        <v>0</v>
      </c>
      <c r="K1317" s="294"/>
      <c r="L1317" s="295"/>
      <c r="M1317" s="296">
        <v>0.05</v>
      </c>
      <c r="N1317" s="296">
        <f t="shared" si="118"/>
        <v>0</v>
      </c>
      <c r="O1317" s="299">
        <f t="shared" si="119"/>
        <v>0</v>
      </c>
      <c r="P1317" s="303"/>
    </row>
    <row r="1318" spans="2:16" ht="15.75" thickBot="1">
      <c r="B1318" s="184"/>
      <c r="C1318" s="185"/>
      <c r="D1318" s="186"/>
      <c r="E1318" s="186"/>
      <c r="F1318" s="187"/>
      <c r="G1318" s="187">
        <f t="shared" ref="G1318:G1381" si="120">IF(D1318=0,0,(D1318+E1318)/F1318)</f>
        <v>0</v>
      </c>
      <c r="H1318" s="188">
        <v>0.05</v>
      </c>
      <c r="I1318" s="189">
        <f t="shared" ref="I1318:I1381" si="121">+G1318*H1318</f>
        <v>0</v>
      </c>
      <c r="J1318" s="189">
        <f t="shared" ref="J1318:J1381" si="122">+G1318+I1318</f>
        <v>0</v>
      </c>
      <c r="K1318" s="294"/>
      <c r="L1318" s="295"/>
      <c r="M1318" s="296">
        <v>0.05</v>
      </c>
      <c r="N1318" s="296">
        <f t="shared" ref="N1318:N1381" si="123">IF(H1318&lt;M1318,H1318/M1318,0)</f>
        <v>0</v>
      </c>
      <c r="O1318" s="299">
        <f t="shared" ref="O1318:O1381" si="124">1.5%*N1318</f>
        <v>0</v>
      </c>
      <c r="P1318" s="303"/>
    </row>
    <row r="1319" spans="2:16" ht="15.75" thickBot="1">
      <c r="B1319" s="184"/>
      <c r="C1319" s="185"/>
      <c r="D1319" s="186"/>
      <c r="E1319" s="186"/>
      <c r="F1319" s="187"/>
      <c r="G1319" s="187">
        <f t="shared" si="120"/>
        <v>0</v>
      </c>
      <c r="H1319" s="188">
        <v>0.05</v>
      </c>
      <c r="I1319" s="189">
        <f t="shared" si="121"/>
        <v>0</v>
      </c>
      <c r="J1319" s="189">
        <f t="shared" si="122"/>
        <v>0</v>
      </c>
      <c r="K1319" s="294"/>
      <c r="L1319" s="295"/>
      <c r="M1319" s="296">
        <v>0.05</v>
      </c>
      <c r="N1319" s="296">
        <f t="shared" si="123"/>
        <v>0</v>
      </c>
      <c r="O1319" s="299">
        <f t="shared" si="124"/>
        <v>0</v>
      </c>
      <c r="P1319" s="303"/>
    </row>
    <row r="1320" spans="2:16" ht="15.75" thickBot="1">
      <c r="B1320" s="184"/>
      <c r="C1320" s="185"/>
      <c r="D1320" s="186"/>
      <c r="E1320" s="186"/>
      <c r="F1320" s="187"/>
      <c r="G1320" s="187">
        <f t="shared" si="120"/>
        <v>0</v>
      </c>
      <c r="H1320" s="188">
        <v>0.05</v>
      </c>
      <c r="I1320" s="189">
        <f t="shared" si="121"/>
        <v>0</v>
      </c>
      <c r="J1320" s="189">
        <f t="shared" si="122"/>
        <v>0</v>
      </c>
      <c r="K1320" s="294"/>
      <c r="L1320" s="295"/>
      <c r="M1320" s="296">
        <v>0.05</v>
      </c>
      <c r="N1320" s="296">
        <f t="shared" si="123"/>
        <v>0</v>
      </c>
      <c r="O1320" s="299">
        <f t="shared" si="124"/>
        <v>0</v>
      </c>
      <c r="P1320" s="303"/>
    </row>
    <row r="1321" spans="2:16" ht="15.75" thickBot="1">
      <c r="B1321" s="184"/>
      <c r="C1321" s="185"/>
      <c r="D1321" s="186"/>
      <c r="E1321" s="186"/>
      <c r="F1321" s="187"/>
      <c r="G1321" s="187">
        <f t="shared" si="120"/>
        <v>0</v>
      </c>
      <c r="H1321" s="188">
        <v>0.05</v>
      </c>
      <c r="I1321" s="189">
        <f t="shared" si="121"/>
        <v>0</v>
      </c>
      <c r="J1321" s="189">
        <f t="shared" si="122"/>
        <v>0</v>
      </c>
      <c r="K1321" s="294"/>
      <c r="L1321" s="295"/>
      <c r="M1321" s="296">
        <v>0.05</v>
      </c>
      <c r="N1321" s="296">
        <f t="shared" si="123"/>
        <v>0</v>
      </c>
      <c r="O1321" s="299">
        <f t="shared" si="124"/>
        <v>0</v>
      </c>
      <c r="P1321" s="303"/>
    </row>
    <row r="1322" spans="2:16" ht="15.75" thickBot="1">
      <c r="B1322" s="184"/>
      <c r="C1322" s="185"/>
      <c r="D1322" s="186"/>
      <c r="E1322" s="186"/>
      <c r="F1322" s="187"/>
      <c r="G1322" s="187">
        <f t="shared" si="120"/>
        <v>0</v>
      </c>
      <c r="H1322" s="188">
        <v>0.05</v>
      </c>
      <c r="I1322" s="189">
        <f t="shared" si="121"/>
        <v>0</v>
      </c>
      <c r="J1322" s="189">
        <f t="shared" si="122"/>
        <v>0</v>
      </c>
      <c r="K1322" s="294"/>
      <c r="L1322" s="295"/>
      <c r="M1322" s="296">
        <v>0.05</v>
      </c>
      <c r="N1322" s="296">
        <f t="shared" si="123"/>
        <v>0</v>
      </c>
      <c r="O1322" s="299">
        <f t="shared" si="124"/>
        <v>0</v>
      </c>
      <c r="P1322" s="303"/>
    </row>
    <row r="1323" spans="2:16" ht="15.75" thickBot="1">
      <c r="B1323" s="184"/>
      <c r="C1323" s="185"/>
      <c r="D1323" s="186"/>
      <c r="E1323" s="186"/>
      <c r="F1323" s="187"/>
      <c r="G1323" s="187">
        <f t="shared" si="120"/>
        <v>0</v>
      </c>
      <c r="H1323" s="188">
        <v>0.05</v>
      </c>
      <c r="I1323" s="189">
        <f t="shared" si="121"/>
        <v>0</v>
      </c>
      <c r="J1323" s="189">
        <f t="shared" si="122"/>
        <v>0</v>
      </c>
      <c r="K1323" s="294"/>
      <c r="L1323" s="295"/>
      <c r="M1323" s="296">
        <v>0.05</v>
      </c>
      <c r="N1323" s="296">
        <f t="shared" si="123"/>
        <v>0</v>
      </c>
      <c r="O1323" s="299">
        <f t="shared" si="124"/>
        <v>0</v>
      </c>
      <c r="P1323" s="303"/>
    </row>
    <row r="1324" spans="2:16" ht="15.75" thickBot="1">
      <c r="B1324" s="184"/>
      <c r="C1324" s="185"/>
      <c r="D1324" s="186"/>
      <c r="E1324" s="186"/>
      <c r="F1324" s="187"/>
      <c r="G1324" s="187">
        <f t="shared" si="120"/>
        <v>0</v>
      </c>
      <c r="H1324" s="188">
        <v>0.05</v>
      </c>
      <c r="I1324" s="189">
        <f t="shared" si="121"/>
        <v>0</v>
      </c>
      <c r="J1324" s="189">
        <f t="shared" si="122"/>
        <v>0</v>
      </c>
      <c r="K1324" s="294"/>
      <c r="L1324" s="295"/>
      <c r="M1324" s="296">
        <v>0.05</v>
      </c>
      <c r="N1324" s="296">
        <f t="shared" si="123"/>
        <v>0</v>
      </c>
      <c r="O1324" s="299">
        <f t="shared" si="124"/>
        <v>0</v>
      </c>
      <c r="P1324" s="303"/>
    </row>
    <row r="1325" spans="2:16" ht="15.75" thickBot="1">
      <c r="B1325" s="184"/>
      <c r="C1325" s="185"/>
      <c r="D1325" s="186"/>
      <c r="E1325" s="186"/>
      <c r="F1325" s="187"/>
      <c r="G1325" s="187">
        <f t="shared" si="120"/>
        <v>0</v>
      </c>
      <c r="H1325" s="188">
        <v>0.05</v>
      </c>
      <c r="I1325" s="189">
        <f t="shared" si="121"/>
        <v>0</v>
      </c>
      <c r="J1325" s="189">
        <f t="shared" si="122"/>
        <v>0</v>
      </c>
      <c r="K1325" s="294"/>
      <c r="L1325" s="295"/>
      <c r="M1325" s="296">
        <v>0.05</v>
      </c>
      <c r="N1325" s="296">
        <f t="shared" si="123"/>
        <v>0</v>
      </c>
      <c r="O1325" s="299">
        <f t="shared" si="124"/>
        <v>0</v>
      </c>
      <c r="P1325" s="303"/>
    </row>
    <row r="1326" spans="2:16" ht="15.75" thickBot="1">
      <c r="B1326" s="184"/>
      <c r="C1326" s="185"/>
      <c r="D1326" s="186"/>
      <c r="E1326" s="186"/>
      <c r="F1326" s="187"/>
      <c r="G1326" s="187">
        <f t="shared" si="120"/>
        <v>0</v>
      </c>
      <c r="H1326" s="188">
        <v>0.05</v>
      </c>
      <c r="I1326" s="189">
        <f t="shared" si="121"/>
        <v>0</v>
      </c>
      <c r="J1326" s="189">
        <f t="shared" si="122"/>
        <v>0</v>
      </c>
      <c r="K1326" s="294"/>
      <c r="L1326" s="295"/>
      <c r="M1326" s="296">
        <v>0.05</v>
      </c>
      <c r="N1326" s="296">
        <f t="shared" si="123"/>
        <v>0</v>
      </c>
      <c r="O1326" s="299">
        <f t="shared" si="124"/>
        <v>0</v>
      </c>
      <c r="P1326" s="303"/>
    </row>
    <row r="1327" spans="2:16" ht="15.75" thickBot="1">
      <c r="B1327" s="184"/>
      <c r="C1327" s="185"/>
      <c r="D1327" s="186"/>
      <c r="E1327" s="186"/>
      <c r="F1327" s="187"/>
      <c r="G1327" s="187">
        <f t="shared" si="120"/>
        <v>0</v>
      </c>
      <c r="H1327" s="188">
        <v>0.05</v>
      </c>
      <c r="I1327" s="189">
        <f t="shared" si="121"/>
        <v>0</v>
      </c>
      <c r="J1327" s="189">
        <f t="shared" si="122"/>
        <v>0</v>
      </c>
      <c r="K1327" s="294"/>
      <c r="L1327" s="295"/>
      <c r="M1327" s="296">
        <v>0.05</v>
      </c>
      <c r="N1327" s="296">
        <f t="shared" si="123"/>
        <v>0</v>
      </c>
      <c r="O1327" s="299">
        <f t="shared" si="124"/>
        <v>0</v>
      </c>
      <c r="P1327" s="303"/>
    </row>
    <row r="1328" spans="2:16" ht="15.75" thickBot="1">
      <c r="B1328" s="184"/>
      <c r="C1328" s="185"/>
      <c r="D1328" s="186"/>
      <c r="E1328" s="186"/>
      <c r="F1328" s="187"/>
      <c r="G1328" s="187">
        <f t="shared" si="120"/>
        <v>0</v>
      </c>
      <c r="H1328" s="188">
        <v>0.05</v>
      </c>
      <c r="I1328" s="189">
        <f t="shared" si="121"/>
        <v>0</v>
      </c>
      <c r="J1328" s="189">
        <f t="shared" si="122"/>
        <v>0</v>
      </c>
      <c r="K1328" s="294"/>
      <c r="L1328" s="295"/>
      <c r="M1328" s="296">
        <v>0.05</v>
      </c>
      <c r="N1328" s="296">
        <f t="shared" si="123"/>
        <v>0</v>
      </c>
      <c r="O1328" s="299">
        <f t="shared" si="124"/>
        <v>0</v>
      </c>
      <c r="P1328" s="303"/>
    </row>
    <row r="1329" spans="2:16" ht="15.75" thickBot="1">
      <c r="B1329" s="184"/>
      <c r="C1329" s="185"/>
      <c r="D1329" s="186"/>
      <c r="E1329" s="186"/>
      <c r="F1329" s="187"/>
      <c r="G1329" s="187">
        <f t="shared" si="120"/>
        <v>0</v>
      </c>
      <c r="H1329" s="188">
        <v>0.05</v>
      </c>
      <c r="I1329" s="189">
        <f t="shared" si="121"/>
        <v>0</v>
      </c>
      <c r="J1329" s="189">
        <f t="shared" si="122"/>
        <v>0</v>
      </c>
      <c r="K1329" s="294"/>
      <c r="L1329" s="295"/>
      <c r="M1329" s="296">
        <v>0.05</v>
      </c>
      <c r="N1329" s="296">
        <f t="shared" si="123"/>
        <v>0</v>
      </c>
      <c r="O1329" s="299">
        <f t="shared" si="124"/>
        <v>0</v>
      </c>
      <c r="P1329" s="303"/>
    </row>
    <row r="1330" spans="2:16" ht="15.75" thickBot="1">
      <c r="B1330" s="184"/>
      <c r="C1330" s="185"/>
      <c r="D1330" s="186"/>
      <c r="E1330" s="186"/>
      <c r="F1330" s="187"/>
      <c r="G1330" s="187">
        <f t="shared" si="120"/>
        <v>0</v>
      </c>
      <c r="H1330" s="188">
        <v>0.05</v>
      </c>
      <c r="I1330" s="189">
        <f t="shared" si="121"/>
        <v>0</v>
      </c>
      <c r="J1330" s="189">
        <f t="shared" si="122"/>
        <v>0</v>
      </c>
      <c r="K1330" s="294"/>
      <c r="L1330" s="295"/>
      <c r="M1330" s="296">
        <v>0.05</v>
      </c>
      <c r="N1330" s="296">
        <f t="shared" si="123"/>
        <v>0</v>
      </c>
      <c r="O1330" s="299">
        <f t="shared" si="124"/>
        <v>0</v>
      </c>
      <c r="P1330" s="303"/>
    </row>
    <row r="1331" spans="2:16" ht="15.75" thickBot="1">
      <c r="B1331" s="184"/>
      <c r="C1331" s="185"/>
      <c r="D1331" s="186"/>
      <c r="E1331" s="186"/>
      <c r="F1331" s="187"/>
      <c r="G1331" s="187">
        <f t="shared" si="120"/>
        <v>0</v>
      </c>
      <c r="H1331" s="188">
        <v>0.05</v>
      </c>
      <c r="I1331" s="189">
        <f t="shared" si="121"/>
        <v>0</v>
      </c>
      <c r="J1331" s="189">
        <f t="shared" si="122"/>
        <v>0</v>
      </c>
      <c r="K1331" s="294"/>
      <c r="L1331" s="295"/>
      <c r="M1331" s="296">
        <v>0.05</v>
      </c>
      <c r="N1331" s="296">
        <f t="shared" si="123"/>
        <v>0</v>
      </c>
      <c r="O1331" s="299">
        <f t="shared" si="124"/>
        <v>0</v>
      </c>
      <c r="P1331" s="303"/>
    </row>
    <row r="1332" spans="2:16" ht="15.75" thickBot="1">
      <c r="B1332" s="184"/>
      <c r="C1332" s="185"/>
      <c r="D1332" s="186"/>
      <c r="E1332" s="186"/>
      <c r="F1332" s="187"/>
      <c r="G1332" s="187">
        <f t="shared" si="120"/>
        <v>0</v>
      </c>
      <c r="H1332" s="188">
        <v>0.05</v>
      </c>
      <c r="I1332" s="189">
        <f t="shared" si="121"/>
        <v>0</v>
      </c>
      <c r="J1332" s="189">
        <f t="shared" si="122"/>
        <v>0</v>
      </c>
      <c r="K1332" s="294"/>
      <c r="L1332" s="295"/>
      <c r="M1332" s="296">
        <v>0.05</v>
      </c>
      <c r="N1332" s="296">
        <f t="shared" si="123"/>
        <v>0</v>
      </c>
      <c r="O1332" s="299">
        <f t="shared" si="124"/>
        <v>0</v>
      </c>
      <c r="P1332" s="303"/>
    </row>
    <row r="1333" spans="2:16" ht="15.75" thickBot="1">
      <c r="B1333" s="184"/>
      <c r="C1333" s="185"/>
      <c r="D1333" s="186"/>
      <c r="E1333" s="186"/>
      <c r="F1333" s="187"/>
      <c r="G1333" s="187">
        <f t="shared" si="120"/>
        <v>0</v>
      </c>
      <c r="H1333" s="188">
        <v>0.05</v>
      </c>
      <c r="I1333" s="189">
        <f t="shared" si="121"/>
        <v>0</v>
      </c>
      <c r="J1333" s="189">
        <f t="shared" si="122"/>
        <v>0</v>
      </c>
      <c r="K1333" s="294"/>
      <c r="L1333" s="295"/>
      <c r="M1333" s="296">
        <v>0.05</v>
      </c>
      <c r="N1333" s="296">
        <f t="shared" si="123"/>
        <v>0</v>
      </c>
      <c r="O1333" s="299">
        <f t="shared" si="124"/>
        <v>0</v>
      </c>
      <c r="P1333" s="303"/>
    </row>
    <row r="1334" spans="2:16" ht="15.75" thickBot="1">
      <c r="B1334" s="184"/>
      <c r="C1334" s="185"/>
      <c r="D1334" s="186"/>
      <c r="E1334" s="186"/>
      <c r="F1334" s="187"/>
      <c r="G1334" s="187">
        <f t="shared" si="120"/>
        <v>0</v>
      </c>
      <c r="H1334" s="188">
        <v>0.05</v>
      </c>
      <c r="I1334" s="189">
        <f t="shared" si="121"/>
        <v>0</v>
      </c>
      <c r="J1334" s="189">
        <f t="shared" si="122"/>
        <v>0</v>
      </c>
      <c r="K1334" s="294"/>
      <c r="L1334" s="295"/>
      <c r="M1334" s="296">
        <v>0.05</v>
      </c>
      <c r="N1334" s="296">
        <f t="shared" si="123"/>
        <v>0</v>
      </c>
      <c r="O1334" s="299">
        <f t="shared" si="124"/>
        <v>0</v>
      </c>
      <c r="P1334" s="303"/>
    </row>
    <row r="1335" spans="2:16" ht="15.75" thickBot="1">
      <c r="B1335" s="184"/>
      <c r="C1335" s="185"/>
      <c r="D1335" s="186"/>
      <c r="E1335" s="186"/>
      <c r="F1335" s="187"/>
      <c r="G1335" s="187">
        <f t="shared" si="120"/>
        <v>0</v>
      </c>
      <c r="H1335" s="188">
        <v>0.05</v>
      </c>
      <c r="I1335" s="189">
        <f t="shared" si="121"/>
        <v>0</v>
      </c>
      <c r="J1335" s="189">
        <f t="shared" si="122"/>
        <v>0</v>
      </c>
      <c r="K1335" s="294"/>
      <c r="L1335" s="295"/>
      <c r="M1335" s="296">
        <v>0.05</v>
      </c>
      <c r="N1335" s="296">
        <f t="shared" si="123"/>
        <v>0</v>
      </c>
      <c r="O1335" s="299">
        <f t="shared" si="124"/>
        <v>0</v>
      </c>
      <c r="P1335" s="303"/>
    </row>
    <row r="1336" spans="2:16" ht="15.75" thickBot="1">
      <c r="B1336" s="184"/>
      <c r="C1336" s="185"/>
      <c r="D1336" s="186"/>
      <c r="E1336" s="186"/>
      <c r="F1336" s="187"/>
      <c r="G1336" s="187">
        <f t="shared" si="120"/>
        <v>0</v>
      </c>
      <c r="H1336" s="188">
        <v>0.05</v>
      </c>
      <c r="I1336" s="189">
        <f t="shared" si="121"/>
        <v>0</v>
      </c>
      <c r="J1336" s="189">
        <f t="shared" si="122"/>
        <v>0</v>
      </c>
      <c r="K1336" s="294"/>
      <c r="L1336" s="295"/>
      <c r="M1336" s="296">
        <v>0.05</v>
      </c>
      <c r="N1336" s="296">
        <f t="shared" si="123"/>
        <v>0</v>
      </c>
      <c r="O1336" s="299">
        <f t="shared" si="124"/>
        <v>0</v>
      </c>
      <c r="P1336" s="303"/>
    </row>
    <row r="1337" spans="2:16" ht="15.75" thickBot="1">
      <c r="B1337" s="184"/>
      <c r="C1337" s="185"/>
      <c r="D1337" s="186"/>
      <c r="E1337" s="186"/>
      <c r="F1337" s="187"/>
      <c r="G1337" s="187">
        <f t="shared" si="120"/>
        <v>0</v>
      </c>
      <c r="H1337" s="188">
        <v>0.05</v>
      </c>
      <c r="I1337" s="189">
        <f t="shared" si="121"/>
        <v>0</v>
      </c>
      <c r="J1337" s="189">
        <f t="shared" si="122"/>
        <v>0</v>
      </c>
      <c r="K1337" s="294"/>
      <c r="L1337" s="295"/>
      <c r="M1337" s="296">
        <v>0.05</v>
      </c>
      <c r="N1337" s="296">
        <f t="shared" si="123"/>
        <v>0</v>
      </c>
      <c r="O1337" s="299">
        <f t="shared" si="124"/>
        <v>0</v>
      </c>
      <c r="P1337" s="303"/>
    </row>
    <row r="1338" spans="2:16" ht="15.75" thickBot="1">
      <c r="B1338" s="184"/>
      <c r="C1338" s="185"/>
      <c r="D1338" s="186"/>
      <c r="E1338" s="186"/>
      <c r="F1338" s="187"/>
      <c r="G1338" s="187">
        <f t="shared" si="120"/>
        <v>0</v>
      </c>
      <c r="H1338" s="188">
        <v>0.05</v>
      </c>
      <c r="I1338" s="189">
        <f t="shared" si="121"/>
        <v>0</v>
      </c>
      <c r="J1338" s="189">
        <f t="shared" si="122"/>
        <v>0</v>
      </c>
      <c r="K1338" s="294"/>
      <c r="L1338" s="295"/>
      <c r="M1338" s="296">
        <v>0.05</v>
      </c>
      <c r="N1338" s="296">
        <f t="shared" si="123"/>
        <v>0</v>
      </c>
      <c r="O1338" s="299">
        <f t="shared" si="124"/>
        <v>0</v>
      </c>
      <c r="P1338" s="303"/>
    </row>
    <row r="1339" spans="2:16" ht="15.75" thickBot="1">
      <c r="B1339" s="184"/>
      <c r="C1339" s="185"/>
      <c r="D1339" s="186"/>
      <c r="E1339" s="186"/>
      <c r="F1339" s="187"/>
      <c r="G1339" s="187">
        <f t="shared" si="120"/>
        <v>0</v>
      </c>
      <c r="H1339" s="188">
        <v>0.05</v>
      </c>
      <c r="I1339" s="189">
        <f t="shared" si="121"/>
        <v>0</v>
      </c>
      <c r="J1339" s="189">
        <f t="shared" si="122"/>
        <v>0</v>
      </c>
      <c r="K1339" s="294"/>
      <c r="L1339" s="295"/>
      <c r="M1339" s="296">
        <v>0.05</v>
      </c>
      <c r="N1339" s="296">
        <f t="shared" si="123"/>
        <v>0</v>
      </c>
      <c r="O1339" s="299">
        <f t="shared" si="124"/>
        <v>0</v>
      </c>
      <c r="P1339" s="303"/>
    </row>
    <row r="1340" spans="2:16" ht="15.75" thickBot="1">
      <c r="B1340" s="184"/>
      <c r="C1340" s="185"/>
      <c r="D1340" s="186"/>
      <c r="E1340" s="186"/>
      <c r="F1340" s="187"/>
      <c r="G1340" s="187">
        <f t="shared" si="120"/>
        <v>0</v>
      </c>
      <c r="H1340" s="188">
        <v>0.05</v>
      </c>
      <c r="I1340" s="189">
        <f t="shared" si="121"/>
        <v>0</v>
      </c>
      <c r="J1340" s="189">
        <f t="shared" si="122"/>
        <v>0</v>
      </c>
      <c r="K1340" s="294"/>
      <c r="L1340" s="295"/>
      <c r="M1340" s="296">
        <v>0.05</v>
      </c>
      <c r="N1340" s="296">
        <f t="shared" si="123"/>
        <v>0</v>
      </c>
      <c r="O1340" s="299">
        <f t="shared" si="124"/>
        <v>0</v>
      </c>
      <c r="P1340" s="303"/>
    </row>
    <row r="1341" spans="2:16" ht="15.75" thickBot="1">
      <c r="B1341" s="184"/>
      <c r="C1341" s="185"/>
      <c r="D1341" s="186"/>
      <c r="E1341" s="186"/>
      <c r="F1341" s="187"/>
      <c r="G1341" s="187">
        <f t="shared" si="120"/>
        <v>0</v>
      </c>
      <c r="H1341" s="188">
        <v>0.05</v>
      </c>
      <c r="I1341" s="189">
        <f t="shared" si="121"/>
        <v>0</v>
      </c>
      <c r="J1341" s="189">
        <f t="shared" si="122"/>
        <v>0</v>
      </c>
      <c r="K1341" s="294"/>
      <c r="L1341" s="295"/>
      <c r="M1341" s="296">
        <v>0.05</v>
      </c>
      <c r="N1341" s="296">
        <f t="shared" si="123"/>
        <v>0</v>
      </c>
      <c r="O1341" s="299">
        <f t="shared" si="124"/>
        <v>0</v>
      </c>
      <c r="P1341" s="303"/>
    </row>
    <row r="1342" spans="2:16" ht="15.75" thickBot="1">
      <c r="B1342" s="184"/>
      <c r="C1342" s="185"/>
      <c r="D1342" s="186"/>
      <c r="E1342" s="186"/>
      <c r="F1342" s="187"/>
      <c r="G1342" s="187">
        <f t="shared" si="120"/>
        <v>0</v>
      </c>
      <c r="H1342" s="188">
        <v>0.05</v>
      </c>
      <c r="I1342" s="189">
        <f t="shared" si="121"/>
        <v>0</v>
      </c>
      <c r="J1342" s="189">
        <f t="shared" si="122"/>
        <v>0</v>
      </c>
      <c r="K1342" s="294"/>
      <c r="L1342" s="295"/>
      <c r="M1342" s="296">
        <v>0.05</v>
      </c>
      <c r="N1342" s="296">
        <f t="shared" si="123"/>
        <v>0</v>
      </c>
      <c r="O1342" s="299">
        <f t="shared" si="124"/>
        <v>0</v>
      </c>
      <c r="P1342" s="303"/>
    </row>
    <row r="1343" spans="2:16" ht="15.75" thickBot="1">
      <c r="B1343" s="184"/>
      <c r="C1343" s="185"/>
      <c r="D1343" s="186"/>
      <c r="E1343" s="186"/>
      <c r="F1343" s="187"/>
      <c r="G1343" s="187">
        <f t="shared" si="120"/>
        <v>0</v>
      </c>
      <c r="H1343" s="188">
        <v>0.05</v>
      </c>
      <c r="I1343" s="189">
        <f t="shared" si="121"/>
        <v>0</v>
      </c>
      <c r="J1343" s="189">
        <f t="shared" si="122"/>
        <v>0</v>
      </c>
      <c r="K1343" s="294"/>
      <c r="L1343" s="295"/>
      <c r="M1343" s="296">
        <v>0.05</v>
      </c>
      <c r="N1343" s="296">
        <f t="shared" si="123"/>
        <v>0</v>
      </c>
      <c r="O1343" s="299">
        <f t="shared" si="124"/>
        <v>0</v>
      </c>
      <c r="P1343" s="303"/>
    </row>
    <row r="1344" spans="2:16" ht="15.75" thickBot="1">
      <c r="B1344" s="184"/>
      <c r="C1344" s="185"/>
      <c r="D1344" s="186"/>
      <c r="E1344" s="186"/>
      <c r="F1344" s="187"/>
      <c r="G1344" s="187">
        <f t="shared" si="120"/>
        <v>0</v>
      </c>
      <c r="H1344" s="188">
        <v>0.05</v>
      </c>
      <c r="I1344" s="189">
        <f t="shared" si="121"/>
        <v>0</v>
      </c>
      <c r="J1344" s="189">
        <f t="shared" si="122"/>
        <v>0</v>
      </c>
      <c r="K1344" s="294"/>
      <c r="L1344" s="295"/>
      <c r="M1344" s="296">
        <v>0.05</v>
      </c>
      <c r="N1344" s="296">
        <f t="shared" si="123"/>
        <v>0</v>
      </c>
      <c r="O1344" s="299">
        <f t="shared" si="124"/>
        <v>0</v>
      </c>
      <c r="P1344" s="303"/>
    </row>
    <row r="1345" spans="2:16" ht="15.75" thickBot="1">
      <c r="B1345" s="184"/>
      <c r="C1345" s="185"/>
      <c r="D1345" s="186"/>
      <c r="E1345" s="186"/>
      <c r="F1345" s="187"/>
      <c r="G1345" s="187">
        <f t="shared" si="120"/>
        <v>0</v>
      </c>
      <c r="H1345" s="188">
        <v>0.05</v>
      </c>
      <c r="I1345" s="189">
        <f t="shared" si="121"/>
        <v>0</v>
      </c>
      <c r="J1345" s="189">
        <f t="shared" si="122"/>
        <v>0</v>
      </c>
      <c r="K1345" s="294"/>
      <c r="L1345" s="295"/>
      <c r="M1345" s="296">
        <v>0.05</v>
      </c>
      <c r="N1345" s="296">
        <f t="shared" si="123"/>
        <v>0</v>
      </c>
      <c r="O1345" s="299">
        <f t="shared" si="124"/>
        <v>0</v>
      </c>
      <c r="P1345" s="303"/>
    </row>
    <row r="1346" spans="2:16" ht="15.75" thickBot="1">
      <c r="B1346" s="184"/>
      <c r="C1346" s="185"/>
      <c r="D1346" s="186"/>
      <c r="E1346" s="186"/>
      <c r="F1346" s="187"/>
      <c r="G1346" s="187">
        <f t="shared" si="120"/>
        <v>0</v>
      </c>
      <c r="H1346" s="188">
        <v>0.05</v>
      </c>
      <c r="I1346" s="189">
        <f t="shared" si="121"/>
        <v>0</v>
      </c>
      <c r="J1346" s="189">
        <f t="shared" si="122"/>
        <v>0</v>
      </c>
      <c r="K1346" s="294"/>
      <c r="L1346" s="295"/>
      <c r="M1346" s="296">
        <v>0.05</v>
      </c>
      <c r="N1346" s="296">
        <f t="shared" si="123"/>
        <v>0</v>
      </c>
      <c r="O1346" s="299">
        <f t="shared" si="124"/>
        <v>0</v>
      </c>
      <c r="P1346" s="303"/>
    </row>
    <row r="1347" spans="2:16" ht="15.75" thickBot="1">
      <c r="B1347" s="184"/>
      <c r="C1347" s="185"/>
      <c r="D1347" s="186"/>
      <c r="E1347" s="186"/>
      <c r="F1347" s="187"/>
      <c r="G1347" s="187">
        <f t="shared" si="120"/>
        <v>0</v>
      </c>
      <c r="H1347" s="188">
        <v>0.05</v>
      </c>
      <c r="I1347" s="189">
        <f t="shared" si="121"/>
        <v>0</v>
      </c>
      <c r="J1347" s="189">
        <f t="shared" si="122"/>
        <v>0</v>
      </c>
      <c r="K1347" s="294"/>
      <c r="L1347" s="295"/>
      <c r="M1347" s="296">
        <v>0.05</v>
      </c>
      <c r="N1347" s="296">
        <f t="shared" si="123"/>
        <v>0</v>
      </c>
      <c r="O1347" s="299">
        <f t="shared" si="124"/>
        <v>0</v>
      </c>
      <c r="P1347" s="303"/>
    </row>
    <row r="1348" spans="2:16" ht="15.75" thickBot="1">
      <c r="B1348" s="184"/>
      <c r="C1348" s="185"/>
      <c r="D1348" s="186"/>
      <c r="E1348" s="186"/>
      <c r="F1348" s="187"/>
      <c r="G1348" s="187">
        <f t="shared" si="120"/>
        <v>0</v>
      </c>
      <c r="H1348" s="188">
        <v>0.05</v>
      </c>
      <c r="I1348" s="189">
        <f t="shared" si="121"/>
        <v>0</v>
      </c>
      <c r="J1348" s="189">
        <f t="shared" si="122"/>
        <v>0</v>
      </c>
      <c r="K1348" s="294"/>
      <c r="L1348" s="295"/>
      <c r="M1348" s="296">
        <v>0.05</v>
      </c>
      <c r="N1348" s="296">
        <f t="shared" si="123"/>
        <v>0</v>
      </c>
      <c r="O1348" s="299">
        <f t="shared" si="124"/>
        <v>0</v>
      </c>
      <c r="P1348" s="303"/>
    </row>
    <row r="1349" spans="2:16" ht="15.75" thickBot="1">
      <c r="B1349" s="184"/>
      <c r="C1349" s="185"/>
      <c r="D1349" s="186"/>
      <c r="E1349" s="186"/>
      <c r="F1349" s="187"/>
      <c r="G1349" s="187">
        <f t="shared" si="120"/>
        <v>0</v>
      </c>
      <c r="H1349" s="188">
        <v>0.05</v>
      </c>
      <c r="I1349" s="189">
        <f t="shared" si="121"/>
        <v>0</v>
      </c>
      <c r="J1349" s="189">
        <f t="shared" si="122"/>
        <v>0</v>
      </c>
      <c r="K1349" s="294"/>
      <c r="L1349" s="295"/>
      <c r="M1349" s="296">
        <v>0.05</v>
      </c>
      <c r="N1349" s="296">
        <f t="shared" si="123"/>
        <v>0</v>
      </c>
      <c r="O1349" s="299">
        <f t="shared" si="124"/>
        <v>0</v>
      </c>
      <c r="P1349" s="303"/>
    </row>
    <row r="1350" spans="2:16" ht="15.75" thickBot="1">
      <c r="B1350" s="184"/>
      <c r="C1350" s="185"/>
      <c r="D1350" s="186"/>
      <c r="E1350" s="186"/>
      <c r="F1350" s="187"/>
      <c r="G1350" s="187">
        <f t="shared" si="120"/>
        <v>0</v>
      </c>
      <c r="H1350" s="188">
        <v>0.05</v>
      </c>
      <c r="I1350" s="189">
        <f t="shared" si="121"/>
        <v>0</v>
      </c>
      <c r="J1350" s="189">
        <f t="shared" si="122"/>
        <v>0</v>
      </c>
      <c r="K1350" s="294"/>
      <c r="L1350" s="295"/>
      <c r="M1350" s="296">
        <v>0.05</v>
      </c>
      <c r="N1350" s="296">
        <f t="shared" si="123"/>
        <v>0</v>
      </c>
      <c r="O1350" s="299">
        <f t="shared" si="124"/>
        <v>0</v>
      </c>
      <c r="P1350" s="303"/>
    </row>
    <row r="1351" spans="2:16" ht="15.75" thickBot="1">
      <c r="B1351" s="184"/>
      <c r="C1351" s="185"/>
      <c r="D1351" s="186"/>
      <c r="E1351" s="186"/>
      <c r="F1351" s="187"/>
      <c r="G1351" s="187">
        <f t="shared" si="120"/>
        <v>0</v>
      </c>
      <c r="H1351" s="188">
        <v>0.05</v>
      </c>
      <c r="I1351" s="189">
        <f t="shared" si="121"/>
        <v>0</v>
      </c>
      <c r="J1351" s="189">
        <f t="shared" si="122"/>
        <v>0</v>
      </c>
      <c r="K1351" s="294"/>
      <c r="L1351" s="295"/>
      <c r="M1351" s="296">
        <v>0.05</v>
      </c>
      <c r="N1351" s="296">
        <f t="shared" si="123"/>
        <v>0</v>
      </c>
      <c r="O1351" s="299">
        <f t="shared" si="124"/>
        <v>0</v>
      </c>
      <c r="P1351" s="303"/>
    </row>
    <row r="1352" spans="2:16" ht="15.75" thickBot="1">
      <c r="B1352" s="184"/>
      <c r="C1352" s="185"/>
      <c r="D1352" s="186"/>
      <c r="E1352" s="186"/>
      <c r="F1352" s="187"/>
      <c r="G1352" s="187">
        <f t="shared" si="120"/>
        <v>0</v>
      </c>
      <c r="H1352" s="188">
        <v>0.05</v>
      </c>
      <c r="I1352" s="189">
        <f t="shared" si="121"/>
        <v>0</v>
      </c>
      <c r="J1352" s="189">
        <f t="shared" si="122"/>
        <v>0</v>
      </c>
      <c r="K1352" s="294"/>
      <c r="L1352" s="295"/>
      <c r="M1352" s="296">
        <v>0.05</v>
      </c>
      <c r="N1352" s="296">
        <f t="shared" si="123"/>
        <v>0</v>
      </c>
      <c r="O1352" s="299">
        <f t="shared" si="124"/>
        <v>0</v>
      </c>
      <c r="P1352" s="303"/>
    </row>
    <row r="1353" spans="2:16" ht="15.75" thickBot="1">
      <c r="B1353" s="184"/>
      <c r="C1353" s="185"/>
      <c r="D1353" s="186"/>
      <c r="E1353" s="186"/>
      <c r="F1353" s="187"/>
      <c r="G1353" s="187">
        <f t="shared" si="120"/>
        <v>0</v>
      </c>
      <c r="H1353" s="188">
        <v>0.05</v>
      </c>
      <c r="I1353" s="189">
        <f t="shared" si="121"/>
        <v>0</v>
      </c>
      <c r="J1353" s="189">
        <f t="shared" si="122"/>
        <v>0</v>
      </c>
      <c r="K1353" s="294"/>
      <c r="L1353" s="295"/>
      <c r="M1353" s="296">
        <v>0.05</v>
      </c>
      <c r="N1353" s="296">
        <f t="shared" si="123"/>
        <v>0</v>
      </c>
      <c r="O1353" s="299">
        <f t="shared" si="124"/>
        <v>0</v>
      </c>
      <c r="P1353" s="303"/>
    </row>
    <row r="1354" spans="2:16" ht="15.75" thickBot="1">
      <c r="B1354" s="184"/>
      <c r="C1354" s="185"/>
      <c r="D1354" s="186"/>
      <c r="E1354" s="186"/>
      <c r="F1354" s="187"/>
      <c r="G1354" s="187">
        <f t="shared" si="120"/>
        <v>0</v>
      </c>
      <c r="H1354" s="188">
        <v>0.05</v>
      </c>
      <c r="I1354" s="189">
        <f t="shared" si="121"/>
        <v>0</v>
      </c>
      <c r="J1354" s="189">
        <f t="shared" si="122"/>
        <v>0</v>
      </c>
      <c r="K1354" s="294"/>
      <c r="L1354" s="295"/>
      <c r="M1354" s="296">
        <v>0.05</v>
      </c>
      <c r="N1354" s="296">
        <f t="shared" si="123"/>
        <v>0</v>
      </c>
      <c r="O1354" s="299">
        <f t="shared" si="124"/>
        <v>0</v>
      </c>
      <c r="P1354" s="303"/>
    </row>
    <row r="1355" spans="2:16" ht="15.75" thickBot="1">
      <c r="B1355" s="184"/>
      <c r="C1355" s="185"/>
      <c r="D1355" s="186"/>
      <c r="E1355" s="186"/>
      <c r="F1355" s="187"/>
      <c r="G1355" s="187">
        <f t="shared" si="120"/>
        <v>0</v>
      </c>
      <c r="H1355" s="188">
        <v>0.05</v>
      </c>
      <c r="I1355" s="189">
        <f t="shared" si="121"/>
        <v>0</v>
      </c>
      <c r="J1355" s="189">
        <f t="shared" si="122"/>
        <v>0</v>
      </c>
      <c r="K1355" s="294"/>
      <c r="L1355" s="295"/>
      <c r="M1355" s="296">
        <v>0.05</v>
      </c>
      <c r="N1355" s="296">
        <f t="shared" si="123"/>
        <v>0</v>
      </c>
      <c r="O1355" s="299">
        <f t="shared" si="124"/>
        <v>0</v>
      </c>
      <c r="P1355" s="303"/>
    </row>
    <row r="1356" spans="2:16" ht="15.75" thickBot="1">
      <c r="B1356" s="184"/>
      <c r="C1356" s="185"/>
      <c r="D1356" s="186"/>
      <c r="E1356" s="186"/>
      <c r="F1356" s="187"/>
      <c r="G1356" s="187">
        <f t="shared" si="120"/>
        <v>0</v>
      </c>
      <c r="H1356" s="188">
        <v>0.05</v>
      </c>
      <c r="I1356" s="189">
        <f t="shared" si="121"/>
        <v>0</v>
      </c>
      <c r="J1356" s="189">
        <f t="shared" si="122"/>
        <v>0</v>
      </c>
      <c r="K1356" s="294"/>
      <c r="L1356" s="295"/>
      <c r="M1356" s="296">
        <v>0.05</v>
      </c>
      <c r="N1356" s="296">
        <f t="shared" si="123"/>
        <v>0</v>
      </c>
      <c r="O1356" s="299">
        <f t="shared" si="124"/>
        <v>0</v>
      </c>
      <c r="P1356" s="303"/>
    </row>
    <row r="1357" spans="2:16" ht="15.75" thickBot="1">
      <c r="B1357" s="184"/>
      <c r="C1357" s="185"/>
      <c r="D1357" s="186"/>
      <c r="E1357" s="186"/>
      <c r="F1357" s="187"/>
      <c r="G1357" s="187">
        <f t="shared" si="120"/>
        <v>0</v>
      </c>
      <c r="H1357" s="188">
        <v>0.05</v>
      </c>
      <c r="I1357" s="189">
        <f t="shared" si="121"/>
        <v>0</v>
      </c>
      <c r="J1357" s="189">
        <f t="shared" si="122"/>
        <v>0</v>
      </c>
      <c r="K1357" s="294"/>
      <c r="L1357" s="295"/>
      <c r="M1357" s="296">
        <v>0.05</v>
      </c>
      <c r="N1357" s="296">
        <f t="shared" si="123"/>
        <v>0</v>
      </c>
      <c r="O1357" s="299">
        <f t="shared" si="124"/>
        <v>0</v>
      </c>
      <c r="P1357" s="303"/>
    </row>
    <row r="1358" spans="2:16" ht="15.75" thickBot="1">
      <c r="B1358" s="184"/>
      <c r="C1358" s="185"/>
      <c r="D1358" s="186"/>
      <c r="E1358" s="186"/>
      <c r="F1358" s="187"/>
      <c r="G1358" s="187">
        <f t="shared" si="120"/>
        <v>0</v>
      </c>
      <c r="H1358" s="188">
        <v>0.05</v>
      </c>
      <c r="I1358" s="189">
        <f t="shared" si="121"/>
        <v>0</v>
      </c>
      <c r="J1358" s="189">
        <f t="shared" si="122"/>
        <v>0</v>
      </c>
      <c r="K1358" s="294"/>
      <c r="L1358" s="295"/>
      <c r="M1358" s="296">
        <v>0.05</v>
      </c>
      <c r="N1358" s="296">
        <f t="shared" si="123"/>
        <v>0</v>
      </c>
      <c r="O1358" s="299">
        <f t="shared" si="124"/>
        <v>0</v>
      </c>
      <c r="P1358" s="303"/>
    </row>
    <row r="1359" spans="2:16" ht="15.75" thickBot="1">
      <c r="B1359" s="184"/>
      <c r="C1359" s="185"/>
      <c r="D1359" s="186"/>
      <c r="E1359" s="186"/>
      <c r="F1359" s="187"/>
      <c r="G1359" s="187">
        <f t="shared" si="120"/>
        <v>0</v>
      </c>
      <c r="H1359" s="188">
        <v>0.05</v>
      </c>
      <c r="I1359" s="189">
        <f t="shared" si="121"/>
        <v>0</v>
      </c>
      <c r="J1359" s="189">
        <f t="shared" si="122"/>
        <v>0</v>
      </c>
      <c r="K1359" s="294"/>
      <c r="L1359" s="295"/>
      <c r="M1359" s="296">
        <v>0.05</v>
      </c>
      <c r="N1359" s="296">
        <f t="shared" si="123"/>
        <v>0</v>
      </c>
      <c r="O1359" s="299">
        <f t="shared" si="124"/>
        <v>0</v>
      </c>
      <c r="P1359" s="303"/>
    </row>
    <row r="1360" spans="2:16" ht="15.75" thickBot="1">
      <c r="B1360" s="184"/>
      <c r="C1360" s="185"/>
      <c r="D1360" s="186"/>
      <c r="E1360" s="186"/>
      <c r="F1360" s="187"/>
      <c r="G1360" s="187">
        <f t="shared" si="120"/>
        <v>0</v>
      </c>
      <c r="H1360" s="188">
        <v>0.05</v>
      </c>
      <c r="I1360" s="189">
        <f t="shared" si="121"/>
        <v>0</v>
      </c>
      <c r="J1360" s="189">
        <f t="shared" si="122"/>
        <v>0</v>
      </c>
      <c r="K1360" s="294"/>
      <c r="L1360" s="295"/>
      <c r="M1360" s="296">
        <v>0.05</v>
      </c>
      <c r="N1360" s="296">
        <f t="shared" si="123"/>
        <v>0</v>
      </c>
      <c r="O1360" s="299">
        <f t="shared" si="124"/>
        <v>0</v>
      </c>
      <c r="P1360" s="303"/>
    </row>
    <row r="1361" spans="2:16" ht="15.75" thickBot="1">
      <c r="B1361" s="184"/>
      <c r="C1361" s="185"/>
      <c r="D1361" s="186"/>
      <c r="E1361" s="186"/>
      <c r="F1361" s="187"/>
      <c r="G1361" s="187">
        <f t="shared" si="120"/>
        <v>0</v>
      </c>
      <c r="H1361" s="188">
        <v>0.05</v>
      </c>
      <c r="I1361" s="189">
        <f t="shared" si="121"/>
        <v>0</v>
      </c>
      <c r="J1361" s="189">
        <f t="shared" si="122"/>
        <v>0</v>
      </c>
      <c r="K1361" s="294"/>
      <c r="L1361" s="295"/>
      <c r="M1361" s="296">
        <v>0.05</v>
      </c>
      <c r="N1361" s="296">
        <f t="shared" si="123"/>
        <v>0</v>
      </c>
      <c r="O1361" s="299">
        <f t="shared" si="124"/>
        <v>0</v>
      </c>
      <c r="P1361" s="303"/>
    </row>
    <row r="1362" spans="2:16" ht="15.75" thickBot="1">
      <c r="B1362" s="184"/>
      <c r="C1362" s="185"/>
      <c r="D1362" s="186"/>
      <c r="E1362" s="186"/>
      <c r="F1362" s="187"/>
      <c r="G1362" s="187">
        <f t="shared" si="120"/>
        <v>0</v>
      </c>
      <c r="H1362" s="188">
        <v>0.05</v>
      </c>
      <c r="I1362" s="189">
        <f t="shared" si="121"/>
        <v>0</v>
      </c>
      <c r="J1362" s="189">
        <f t="shared" si="122"/>
        <v>0</v>
      </c>
      <c r="K1362" s="294"/>
      <c r="L1362" s="295"/>
      <c r="M1362" s="296">
        <v>0.05</v>
      </c>
      <c r="N1362" s="296">
        <f t="shared" si="123"/>
        <v>0</v>
      </c>
      <c r="O1362" s="299">
        <f t="shared" si="124"/>
        <v>0</v>
      </c>
      <c r="P1362" s="303"/>
    </row>
    <row r="1363" spans="2:16" ht="15.75" thickBot="1">
      <c r="B1363" s="184"/>
      <c r="C1363" s="185"/>
      <c r="D1363" s="186"/>
      <c r="E1363" s="186"/>
      <c r="F1363" s="187"/>
      <c r="G1363" s="187">
        <f t="shared" si="120"/>
        <v>0</v>
      </c>
      <c r="H1363" s="188">
        <v>0.05</v>
      </c>
      <c r="I1363" s="189">
        <f t="shared" si="121"/>
        <v>0</v>
      </c>
      <c r="J1363" s="189">
        <f t="shared" si="122"/>
        <v>0</v>
      </c>
      <c r="K1363" s="294"/>
      <c r="L1363" s="295"/>
      <c r="M1363" s="296">
        <v>0.05</v>
      </c>
      <c r="N1363" s="296">
        <f t="shared" si="123"/>
        <v>0</v>
      </c>
      <c r="O1363" s="299">
        <f t="shared" si="124"/>
        <v>0</v>
      </c>
      <c r="P1363" s="303"/>
    </row>
    <row r="1364" spans="2:16" ht="15.75" thickBot="1">
      <c r="B1364" s="184"/>
      <c r="C1364" s="185"/>
      <c r="D1364" s="186"/>
      <c r="E1364" s="186"/>
      <c r="F1364" s="187"/>
      <c r="G1364" s="187">
        <f t="shared" si="120"/>
        <v>0</v>
      </c>
      <c r="H1364" s="188">
        <v>0.05</v>
      </c>
      <c r="I1364" s="189">
        <f t="shared" si="121"/>
        <v>0</v>
      </c>
      <c r="J1364" s="189">
        <f t="shared" si="122"/>
        <v>0</v>
      </c>
      <c r="K1364" s="294"/>
      <c r="L1364" s="295"/>
      <c r="M1364" s="296">
        <v>0.05</v>
      </c>
      <c r="N1364" s="296">
        <f t="shared" si="123"/>
        <v>0</v>
      </c>
      <c r="O1364" s="299">
        <f t="shared" si="124"/>
        <v>0</v>
      </c>
      <c r="P1364" s="303"/>
    </row>
    <row r="1365" spans="2:16" ht="15.75" thickBot="1">
      <c r="B1365" s="184"/>
      <c r="C1365" s="185"/>
      <c r="D1365" s="186"/>
      <c r="E1365" s="186"/>
      <c r="F1365" s="187"/>
      <c r="G1365" s="187">
        <f t="shared" si="120"/>
        <v>0</v>
      </c>
      <c r="H1365" s="188">
        <v>0.05</v>
      </c>
      <c r="I1365" s="189">
        <f t="shared" si="121"/>
        <v>0</v>
      </c>
      <c r="J1365" s="189">
        <f t="shared" si="122"/>
        <v>0</v>
      </c>
      <c r="K1365" s="294"/>
      <c r="L1365" s="295"/>
      <c r="M1365" s="296">
        <v>0.05</v>
      </c>
      <c r="N1365" s="296">
        <f t="shared" si="123"/>
        <v>0</v>
      </c>
      <c r="O1365" s="299">
        <f t="shared" si="124"/>
        <v>0</v>
      </c>
      <c r="P1365" s="303"/>
    </row>
    <row r="1366" spans="2:16" ht="15.75" thickBot="1">
      <c r="B1366" s="184"/>
      <c r="C1366" s="185"/>
      <c r="D1366" s="186"/>
      <c r="E1366" s="186"/>
      <c r="F1366" s="187"/>
      <c r="G1366" s="187">
        <f t="shared" si="120"/>
        <v>0</v>
      </c>
      <c r="H1366" s="188">
        <v>0.05</v>
      </c>
      <c r="I1366" s="189">
        <f t="shared" si="121"/>
        <v>0</v>
      </c>
      <c r="J1366" s="189">
        <f t="shared" si="122"/>
        <v>0</v>
      </c>
      <c r="K1366" s="294"/>
      <c r="L1366" s="295"/>
      <c r="M1366" s="296">
        <v>0.05</v>
      </c>
      <c r="N1366" s="296">
        <f t="shared" si="123"/>
        <v>0</v>
      </c>
      <c r="O1366" s="299">
        <f t="shared" si="124"/>
        <v>0</v>
      </c>
      <c r="P1366" s="303"/>
    </row>
    <row r="1367" spans="2:16" ht="15.75" thickBot="1">
      <c r="B1367" s="184"/>
      <c r="C1367" s="185"/>
      <c r="D1367" s="186"/>
      <c r="E1367" s="186"/>
      <c r="F1367" s="187"/>
      <c r="G1367" s="187">
        <f t="shared" si="120"/>
        <v>0</v>
      </c>
      <c r="H1367" s="188">
        <v>0.05</v>
      </c>
      <c r="I1367" s="189">
        <f t="shared" si="121"/>
        <v>0</v>
      </c>
      <c r="J1367" s="189">
        <f t="shared" si="122"/>
        <v>0</v>
      </c>
      <c r="K1367" s="294"/>
      <c r="L1367" s="295"/>
      <c r="M1367" s="296">
        <v>0.05</v>
      </c>
      <c r="N1367" s="296">
        <f t="shared" si="123"/>
        <v>0</v>
      </c>
      <c r="O1367" s="299">
        <f t="shared" si="124"/>
        <v>0</v>
      </c>
      <c r="P1367" s="303"/>
    </row>
    <row r="1368" spans="2:16" ht="15.75" thickBot="1">
      <c r="B1368" s="184"/>
      <c r="C1368" s="185"/>
      <c r="D1368" s="186"/>
      <c r="E1368" s="186"/>
      <c r="F1368" s="187"/>
      <c r="G1368" s="187">
        <f t="shared" si="120"/>
        <v>0</v>
      </c>
      <c r="H1368" s="188">
        <v>0.05</v>
      </c>
      <c r="I1368" s="189">
        <f t="shared" si="121"/>
        <v>0</v>
      </c>
      <c r="J1368" s="189">
        <f t="shared" si="122"/>
        <v>0</v>
      </c>
      <c r="K1368" s="294"/>
      <c r="L1368" s="295"/>
      <c r="M1368" s="296">
        <v>0.05</v>
      </c>
      <c r="N1368" s="296">
        <f t="shared" si="123"/>
        <v>0</v>
      </c>
      <c r="O1368" s="299">
        <f t="shared" si="124"/>
        <v>0</v>
      </c>
      <c r="P1368" s="303"/>
    </row>
    <row r="1369" spans="2:16" ht="15.75" thickBot="1">
      <c r="B1369" s="184"/>
      <c r="C1369" s="185"/>
      <c r="D1369" s="186"/>
      <c r="E1369" s="186"/>
      <c r="F1369" s="187"/>
      <c r="G1369" s="187">
        <f t="shared" si="120"/>
        <v>0</v>
      </c>
      <c r="H1369" s="188">
        <v>0.05</v>
      </c>
      <c r="I1369" s="189">
        <f t="shared" si="121"/>
        <v>0</v>
      </c>
      <c r="J1369" s="189">
        <f t="shared" si="122"/>
        <v>0</v>
      </c>
      <c r="K1369" s="294"/>
      <c r="L1369" s="295"/>
      <c r="M1369" s="296">
        <v>0.05</v>
      </c>
      <c r="N1369" s="296">
        <f t="shared" si="123"/>
        <v>0</v>
      </c>
      <c r="O1369" s="299">
        <f t="shared" si="124"/>
        <v>0</v>
      </c>
      <c r="P1369" s="303"/>
    </row>
    <row r="1370" spans="2:16" ht="15.75" thickBot="1">
      <c r="B1370" s="184"/>
      <c r="C1370" s="185"/>
      <c r="D1370" s="186"/>
      <c r="E1370" s="186"/>
      <c r="F1370" s="187"/>
      <c r="G1370" s="187">
        <f t="shared" si="120"/>
        <v>0</v>
      </c>
      <c r="H1370" s="188">
        <v>0.05</v>
      </c>
      <c r="I1370" s="189">
        <f t="shared" si="121"/>
        <v>0</v>
      </c>
      <c r="J1370" s="189">
        <f t="shared" si="122"/>
        <v>0</v>
      </c>
      <c r="K1370" s="294"/>
      <c r="L1370" s="295"/>
      <c r="M1370" s="296">
        <v>0.05</v>
      </c>
      <c r="N1370" s="296">
        <f t="shared" si="123"/>
        <v>0</v>
      </c>
      <c r="O1370" s="299">
        <f t="shared" si="124"/>
        <v>0</v>
      </c>
      <c r="P1370" s="303"/>
    </row>
    <row r="1371" spans="2:16" ht="15.75" thickBot="1">
      <c r="B1371" s="184"/>
      <c r="C1371" s="185"/>
      <c r="D1371" s="186"/>
      <c r="E1371" s="186"/>
      <c r="F1371" s="187"/>
      <c r="G1371" s="187">
        <f t="shared" si="120"/>
        <v>0</v>
      </c>
      <c r="H1371" s="188">
        <v>0.05</v>
      </c>
      <c r="I1371" s="189">
        <f t="shared" si="121"/>
        <v>0</v>
      </c>
      <c r="J1371" s="189">
        <f t="shared" si="122"/>
        <v>0</v>
      </c>
      <c r="K1371" s="294"/>
      <c r="L1371" s="295"/>
      <c r="M1371" s="296">
        <v>0.05</v>
      </c>
      <c r="N1371" s="296">
        <f t="shared" si="123"/>
        <v>0</v>
      </c>
      <c r="O1371" s="299">
        <f t="shared" si="124"/>
        <v>0</v>
      </c>
      <c r="P1371" s="303"/>
    </row>
    <row r="1372" spans="2:16" ht="15.75" thickBot="1">
      <c r="B1372" s="184"/>
      <c r="C1372" s="185"/>
      <c r="D1372" s="186"/>
      <c r="E1372" s="186"/>
      <c r="F1372" s="187"/>
      <c r="G1372" s="187">
        <f t="shared" si="120"/>
        <v>0</v>
      </c>
      <c r="H1372" s="188">
        <v>0.05</v>
      </c>
      <c r="I1372" s="189">
        <f t="shared" si="121"/>
        <v>0</v>
      </c>
      <c r="J1372" s="189">
        <f t="shared" si="122"/>
        <v>0</v>
      </c>
      <c r="K1372" s="294"/>
      <c r="L1372" s="295"/>
      <c r="M1372" s="296">
        <v>0.05</v>
      </c>
      <c r="N1372" s="296">
        <f t="shared" si="123"/>
        <v>0</v>
      </c>
      <c r="O1372" s="299">
        <f t="shared" si="124"/>
        <v>0</v>
      </c>
      <c r="P1372" s="303"/>
    </row>
    <row r="1373" spans="2:16" ht="15.75" thickBot="1">
      <c r="B1373" s="184"/>
      <c r="C1373" s="185"/>
      <c r="D1373" s="186"/>
      <c r="E1373" s="186"/>
      <c r="F1373" s="187"/>
      <c r="G1373" s="187">
        <f t="shared" si="120"/>
        <v>0</v>
      </c>
      <c r="H1373" s="188">
        <v>0.05</v>
      </c>
      <c r="I1373" s="189">
        <f t="shared" si="121"/>
        <v>0</v>
      </c>
      <c r="J1373" s="189">
        <f t="shared" si="122"/>
        <v>0</v>
      </c>
      <c r="K1373" s="294"/>
      <c r="L1373" s="295"/>
      <c r="M1373" s="296">
        <v>0.05</v>
      </c>
      <c r="N1373" s="296">
        <f t="shared" si="123"/>
        <v>0</v>
      </c>
      <c r="O1373" s="299">
        <f t="shared" si="124"/>
        <v>0</v>
      </c>
      <c r="P1373" s="303"/>
    </row>
    <row r="1374" spans="2:16" ht="15.75" thickBot="1">
      <c r="B1374" s="184"/>
      <c r="C1374" s="185"/>
      <c r="D1374" s="186"/>
      <c r="E1374" s="186"/>
      <c r="F1374" s="187"/>
      <c r="G1374" s="187">
        <f t="shared" si="120"/>
        <v>0</v>
      </c>
      <c r="H1374" s="188">
        <v>0.05</v>
      </c>
      <c r="I1374" s="189">
        <f t="shared" si="121"/>
        <v>0</v>
      </c>
      <c r="J1374" s="189">
        <f t="shared" si="122"/>
        <v>0</v>
      </c>
      <c r="K1374" s="294"/>
      <c r="L1374" s="295"/>
      <c r="M1374" s="296">
        <v>0.05</v>
      </c>
      <c r="N1374" s="296">
        <f t="shared" si="123"/>
        <v>0</v>
      </c>
      <c r="O1374" s="299">
        <f t="shared" si="124"/>
        <v>0</v>
      </c>
      <c r="P1374" s="303"/>
    </row>
    <row r="1375" spans="2:16" ht="15.75" thickBot="1">
      <c r="B1375" s="184"/>
      <c r="C1375" s="185"/>
      <c r="D1375" s="186"/>
      <c r="E1375" s="186"/>
      <c r="F1375" s="187"/>
      <c r="G1375" s="187">
        <f t="shared" si="120"/>
        <v>0</v>
      </c>
      <c r="H1375" s="188">
        <v>0.05</v>
      </c>
      <c r="I1375" s="189">
        <f t="shared" si="121"/>
        <v>0</v>
      </c>
      <c r="J1375" s="189">
        <f t="shared" si="122"/>
        <v>0</v>
      </c>
      <c r="K1375" s="294"/>
      <c r="L1375" s="295"/>
      <c r="M1375" s="296">
        <v>0.05</v>
      </c>
      <c r="N1375" s="296">
        <f t="shared" si="123"/>
        <v>0</v>
      </c>
      <c r="O1375" s="299">
        <f t="shared" si="124"/>
        <v>0</v>
      </c>
      <c r="P1375" s="303"/>
    </row>
    <row r="1376" spans="2:16" ht="15.75" thickBot="1">
      <c r="B1376" s="184"/>
      <c r="C1376" s="185"/>
      <c r="D1376" s="186"/>
      <c r="E1376" s="186"/>
      <c r="F1376" s="187"/>
      <c r="G1376" s="187">
        <f t="shared" si="120"/>
        <v>0</v>
      </c>
      <c r="H1376" s="188">
        <v>0.05</v>
      </c>
      <c r="I1376" s="189">
        <f t="shared" si="121"/>
        <v>0</v>
      </c>
      <c r="J1376" s="189">
        <f t="shared" si="122"/>
        <v>0</v>
      </c>
      <c r="K1376" s="294"/>
      <c r="L1376" s="295"/>
      <c r="M1376" s="296">
        <v>0.05</v>
      </c>
      <c r="N1376" s="296">
        <f t="shared" si="123"/>
        <v>0</v>
      </c>
      <c r="O1376" s="299">
        <f t="shared" si="124"/>
        <v>0</v>
      </c>
      <c r="P1376" s="303"/>
    </row>
    <row r="1377" spans="2:16" ht="15.75" thickBot="1">
      <c r="B1377" s="184"/>
      <c r="C1377" s="185"/>
      <c r="D1377" s="186"/>
      <c r="E1377" s="186"/>
      <c r="F1377" s="187"/>
      <c r="G1377" s="187">
        <f t="shared" si="120"/>
        <v>0</v>
      </c>
      <c r="H1377" s="188">
        <v>0.05</v>
      </c>
      <c r="I1377" s="189">
        <f t="shared" si="121"/>
        <v>0</v>
      </c>
      <c r="J1377" s="189">
        <f t="shared" si="122"/>
        <v>0</v>
      </c>
      <c r="K1377" s="294"/>
      <c r="L1377" s="295"/>
      <c r="M1377" s="296">
        <v>0.05</v>
      </c>
      <c r="N1377" s="296">
        <f t="shared" si="123"/>
        <v>0</v>
      </c>
      <c r="O1377" s="299">
        <f t="shared" si="124"/>
        <v>0</v>
      </c>
      <c r="P1377" s="303"/>
    </row>
    <row r="1378" spans="2:16" ht="15.75" thickBot="1">
      <c r="B1378" s="184"/>
      <c r="C1378" s="185"/>
      <c r="D1378" s="186"/>
      <c r="E1378" s="186"/>
      <c r="F1378" s="187"/>
      <c r="G1378" s="187">
        <f t="shared" si="120"/>
        <v>0</v>
      </c>
      <c r="H1378" s="188">
        <v>0.05</v>
      </c>
      <c r="I1378" s="189">
        <f t="shared" si="121"/>
        <v>0</v>
      </c>
      <c r="J1378" s="189">
        <f t="shared" si="122"/>
        <v>0</v>
      </c>
      <c r="K1378" s="294"/>
      <c r="L1378" s="295"/>
      <c r="M1378" s="296">
        <v>0.05</v>
      </c>
      <c r="N1378" s="296">
        <f t="shared" si="123"/>
        <v>0</v>
      </c>
      <c r="O1378" s="299">
        <f t="shared" si="124"/>
        <v>0</v>
      </c>
      <c r="P1378" s="303"/>
    </row>
    <row r="1379" spans="2:16" ht="15.75" thickBot="1">
      <c r="B1379" s="184"/>
      <c r="C1379" s="185"/>
      <c r="D1379" s="186"/>
      <c r="E1379" s="186"/>
      <c r="F1379" s="187"/>
      <c r="G1379" s="187">
        <f t="shared" si="120"/>
        <v>0</v>
      </c>
      <c r="H1379" s="188">
        <v>0.05</v>
      </c>
      <c r="I1379" s="189">
        <f t="shared" si="121"/>
        <v>0</v>
      </c>
      <c r="J1379" s="189">
        <f t="shared" si="122"/>
        <v>0</v>
      </c>
      <c r="K1379" s="294"/>
      <c r="L1379" s="295"/>
      <c r="M1379" s="296">
        <v>0.05</v>
      </c>
      <c r="N1379" s="296">
        <f t="shared" si="123"/>
        <v>0</v>
      </c>
      <c r="O1379" s="299">
        <f t="shared" si="124"/>
        <v>0</v>
      </c>
      <c r="P1379" s="303"/>
    </row>
    <row r="1380" spans="2:16" ht="15.75" thickBot="1">
      <c r="B1380" s="184"/>
      <c r="C1380" s="185"/>
      <c r="D1380" s="186"/>
      <c r="E1380" s="186"/>
      <c r="F1380" s="187"/>
      <c r="G1380" s="187">
        <f t="shared" si="120"/>
        <v>0</v>
      </c>
      <c r="H1380" s="188">
        <v>0.05</v>
      </c>
      <c r="I1380" s="189">
        <f t="shared" si="121"/>
        <v>0</v>
      </c>
      <c r="J1380" s="189">
        <f t="shared" si="122"/>
        <v>0</v>
      </c>
      <c r="K1380" s="294"/>
      <c r="L1380" s="295"/>
      <c r="M1380" s="296">
        <v>0.05</v>
      </c>
      <c r="N1380" s="296">
        <f t="shared" si="123"/>
        <v>0</v>
      </c>
      <c r="O1380" s="299">
        <f t="shared" si="124"/>
        <v>0</v>
      </c>
      <c r="P1380" s="303"/>
    </row>
    <row r="1381" spans="2:16" ht="15.75" thickBot="1">
      <c r="B1381" s="184"/>
      <c r="C1381" s="185"/>
      <c r="D1381" s="186"/>
      <c r="E1381" s="186"/>
      <c r="F1381" s="187"/>
      <c r="G1381" s="187">
        <f t="shared" si="120"/>
        <v>0</v>
      </c>
      <c r="H1381" s="188">
        <v>0.05</v>
      </c>
      <c r="I1381" s="189">
        <f t="shared" si="121"/>
        <v>0</v>
      </c>
      <c r="J1381" s="189">
        <f t="shared" si="122"/>
        <v>0</v>
      </c>
      <c r="K1381" s="294"/>
      <c r="L1381" s="295"/>
      <c r="M1381" s="296">
        <v>0.05</v>
      </c>
      <c r="N1381" s="296">
        <f t="shared" si="123"/>
        <v>0</v>
      </c>
      <c r="O1381" s="299">
        <f t="shared" si="124"/>
        <v>0</v>
      </c>
      <c r="P1381" s="303"/>
    </row>
    <row r="1382" spans="2:16" ht="15.75" thickBot="1">
      <c r="B1382" s="184"/>
      <c r="C1382" s="185"/>
      <c r="D1382" s="186"/>
      <c r="E1382" s="186"/>
      <c r="F1382" s="187"/>
      <c r="G1382" s="187">
        <f t="shared" ref="G1382:G1445" si="125">IF(D1382=0,0,(D1382+E1382)/F1382)</f>
        <v>0</v>
      </c>
      <c r="H1382" s="188">
        <v>0.05</v>
      </c>
      <c r="I1382" s="189">
        <f t="shared" ref="I1382:I1445" si="126">+G1382*H1382</f>
        <v>0</v>
      </c>
      <c r="J1382" s="189">
        <f t="shared" ref="J1382:J1445" si="127">+G1382+I1382</f>
        <v>0</v>
      </c>
      <c r="K1382" s="294"/>
      <c r="L1382" s="295"/>
      <c r="M1382" s="296">
        <v>0.05</v>
      </c>
      <c r="N1382" s="296">
        <f t="shared" ref="N1382:N1445" si="128">IF(H1382&lt;M1382,H1382/M1382,0)</f>
        <v>0</v>
      </c>
      <c r="O1382" s="299">
        <f t="shared" ref="O1382:O1445" si="129">1.5%*N1382</f>
        <v>0</v>
      </c>
      <c r="P1382" s="303"/>
    </row>
    <row r="1383" spans="2:16" ht="15.75" thickBot="1">
      <c r="B1383" s="184"/>
      <c r="C1383" s="185"/>
      <c r="D1383" s="186"/>
      <c r="E1383" s="186"/>
      <c r="F1383" s="187"/>
      <c r="G1383" s="187">
        <f t="shared" si="125"/>
        <v>0</v>
      </c>
      <c r="H1383" s="188">
        <v>0.05</v>
      </c>
      <c r="I1383" s="189">
        <f t="shared" si="126"/>
        <v>0</v>
      </c>
      <c r="J1383" s="189">
        <f t="shared" si="127"/>
        <v>0</v>
      </c>
      <c r="K1383" s="294"/>
      <c r="L1383" s="295"/>
      <c r="M1383" s="296">
        <v>0.05</v>
      </c>
      <c r="N1383" s="296">
        <f t="shared" si="128"/>
        <v>0</v>
      </c>
      <c r="O1383" s="299">
        <f t="shared" si="129"/>
        <v>0</v>
      </c>
      <c r="P1383" s="303"/>
    </row>
    <row r="1384" spans="2:16" ht="15.75" thickBot="1">
      <c r="B1384" s="184"/>
      <c r="C1384" s="185"/>
      <c r="D1384" s="186"/>
      <c r="E1384" s="186"/>
      <c r="F1384" s="187"/>
      <c r="G1384" s="187">
        <f t="shared" si="125"/>
        <v>0</v>
      </c>
      <c r="H1384" s="188">
        <v>0.05</v>
      </c>
      <c r="I1384" s="189">
        <f t="shared" si="126"/>
        <v>0</v>
      </c>
      <c r="J1384" s="189">
        <f t="shared" si="127"/>
        <v>0</v>
      </c>
      <c r="K1384" s="294"/>
      <c r="L1384" s="295"/>
      <c r="M1384" s="296">
        <v>0.05</v>
      </c>
      <c r="N1384" s="296">
        <f t="shared" si="128"/>
        <v>0</v>
      </c>
      <c r="O1384" s="299">
        <f t="shared" si="129"/>
        <v>0</v>
      </c>
      <c r="P1384" s="303"/>
    </row>
    <row r="1385" spans="2:16" ht="15.75" thickBot="1">
      <c r="B1385" s="184"/>
      <c r="C1385" s="185"/>
      <c r="D1385" s="186"/>
      <c r="E1385" s="186"/>
      <c r="F1385" s="187"/>
      <c r="G1385" s="187">
        <f t="shared" si="125"/>
        <v>0</v>
      </c>
      <c r="H1385" s="188">
        <v>0.05</v>
      </c>
      <c r="I1385" s="189">
        <f t="shared" si="126"/>
        <v>0</v>
      </c>
      <c r="J1385" s="189">
        <f t="shared" si="127"/>
        <v>0</v>
      </c>
      <c r="K1385" s="294"/>
      <c r="L1385" s="295"/>
      <c r="M1385" s="296">
        <v>0.05</v>
      </c>
      <c r="N1385" s="296">
        <f t="shared" si="128"/>
        <v>0</v>
      </c>
      <c r="O1385" s="299">
        <f t="shared" si="129"/>
        <v>0</v>
      </c>
      <c r="P1385" s="303"/>
    </row>
    <row r="1386" spans="2:16" ht="15.75" thickBot="1">
      <c r="B1386" s="184"/>
      <c r="C1386" s="185"/>
      <c r="D1386" s="186"/>
      <c r="E1386" s="186"/>
      <c r="F1386" s="187"/>
      <c r="G1386" s="187">
        <f t="shared" si="125"/>
        <v>0</v>
      </c>
      <c r="H1386" s="188">
        <v>0.05</v>
      </c>
      <c r="I1386" s="189">
        <f t="shared" si="126"/>
        <v>0</v>
      </c>
      <c r="J1386" s="189">
        <f t="shared" si="127"/>
        <v>0</v>
      </c>
      <c r="K1386" s="294"/>
      <c r="L1386" s="295"/>
      <c r="M1386" s="296">
        <v>0.05</v>
      </c>
      <c r="N1386" s="296">
        <f t="shared" si="128"/>
        <v>0</v>
      </c>
      <c r="O1386" s="299">
        <f t="shared" si="129"/>
        <v>0</v>
      </c>
      <c r="P1386" s="303"/>
    </row>
    <row r="1387" spans="2:16" ht="15.75" thickBot="1">
      <c r="B1387" s="184"/>
      <c r="C1387" s="185"/>
      <c r="D1387" s="186"/>
      <c r="E1387" s="186"/>
      <c r="F1387" s="187"/>
      <c r="G1387" s="187">
        <f t="shared" si="125"/>
        <v>0</v>
      </c>
      <c r="H1387" s="188">
        <v>0.05</v>
      </c>
      <c r="I1387" s="189">
        <f t="shared" si="126"/>
        <v>0</v>
      </c>
      <c r="J1387" s="189">
        <f t="shared" si="127"/>
        <v>0</v>
      </c>
      <c r="K1387" s="294"/>
      <c r="L1387" s="295"/>
      <c r="M1387" s="296">
        <v>0.05</v>
      </c>
      <c r="N1387" s="296">
        <f t="shared" si="128"/>
        <v>0</v>
      </c>
      <c r="O1387" s="299">
        <f t="shared" si="129"/>
        <v>0</v>
      </c>
      <c r="P1387" s="303"/>
    </row>
    <row r="1388" spans="2:16" ht="15.75" thickBot="1">
      <c r="B1388" s="184"/>
      <c r="C1388" s="185"/>
      <c r="D1388" s="186"/>
      <c r="E1388" s="186"/>
      <c r="F1388" s="187"/>
      <c r="G1388" s="187">
        <f t="shared" si="125"/>
        <v>0</v>
      </c>
      <c r="H1388" s="188">
        <v>0.05</v>
      </c>
      <c r="I1388" s="189">
        <f t="shared" si="126"/>
        <v>0</v>
      </c>
      <c r="J1388" s="189">
        <f t="shared" si="127"/>
        <v>0</v>
      </c>
      <c r="K1388" s="294"/>
      <c r="L1388" s="295"/>
      <c r="M1388" s="296">
        <v>0.05</v>
      </c>
      <c r="N1388" s="296">
        <f t="shared" si="128"/>
        <v>0</v>
      </c>
      <c r="O1388" s="299">
        <f t="shared" si="129"/>
        <v>0</v>
      </c>
      <c r="P1388" s="303"/>
    </row>
    <row r="1389" spans="2:16" ht="15.75" thickBot="1">
      <c r="B1389" s="184"/>
      <c r="C1389" s="185"/>
      <c r="D1389" s="186"/>
      <c r="E1389" s="186"/>
      <c r="F1389" s="187"/>
      <c r="G1389" s="187">
        <f t="shared" si="125"/>
        <v>0</v>
      </c>
      <c r="H1389" s="188">
        <v>0.05</v>
      </c>
      <c r="I1389" s="189">
        <f t="shared" si="126"/>
        <v>0</v>
      </c>
      <c r="J1389" s="189">
        <f t="shared" si="127"/>
        <v>0</v>
      </c>
      <c r="K1389" s="294"/>
      <c r="L1389" s="295"/>
      <c r="M1389" s="296">
        <v>0.05</v>
      </c>
      <c r="N1389" s="296">
        <f t="shared" si="128"/>
        <v>0</v>
      </c>
      <c r="O1389" s="299">
        <f t="shared" si="129"/>
        <v>0</v>
      </c>
      <c r="P1389" s="303"/>
    </row>
    <row r="1390" spans="2:16" ht="15.75" thickBot="1">
      <c r="B1390" s="184"/>
      <c r="C1390" s="185"/>
      <c r="D1390" s="186"/>
      <c r="E1390" s="186"/>
      <c r="F1390" s="187"/>
      <c r="G1390" s="187">
        <f t="shared" si="125"/>
        <v>0</v>
      </c>
      <c r="H1390" s="188">
        <v>0.05</v>
      </c>
      <c r="I1390" s="189">
        <f t="shared" si="126"/>
        <v>0</v>
      </c>
      <c r="J1390" s="189">
        <f t="shared" si="127"/>
        <v>0</v>
      </c>
      <c r="K1390" s="294"/>
      <c r="L1390" s="295"/>
      <c r="M1390" s="296">
        <v>0.05</v>
      </c>
      <c r="N1390" s="296">
        <f t="shared" si="128"/>
        <v>0</v>
      </c>
      <c r="O1390" s="299">
        <f t="shared" si="129"/>
        <v>0</v>
      </c>
      <c r="P1390" s="303"/>
    </row>
    <row r="1391" spans="2:16" ht="15.75" thickBot="1">
      <c r="B1391" s="184"/>
      <c r="C1391" s="185"/>
      <c r="D1391" s="186"/>
      <c r="E1391" s="186"/>
      <c r="F1391" s="187"/>
      <c r="G1391" s="187">
        <f t="shared" si="125"/>
        <v>0</v>
      </c>
      <c r="H1391" s="188">
        <v>0.05</v>
      </c>
      <c r="I1391" s="189">
        <f t="shared" si="126"/>
        <v>0</v>
      </c>
      <c r="J1391" s="189">
        <f t="shared" si="127"/>
        <v>0</v>
      </c>
      <c r="K1391" s="294"/>
      <c r="L1391" s="295"/>
      <c r="M1391" s="296">
        <v>0.05</v>
      </c>
      <c r="N1391" s="296">
        <f t="shared" si="128"/>
        <v>0</v>
      </c>
      <c r="O1391" s="299">
        <f t="shared" si="129"/>
        <v>0</v>
      </c>
      <c r="P1391" s="303"/>
    </row>
    <row r="1392" spans="2:16" ht="15.75" thickBot="1">
      <c r="B1392" s="184"/>
      <c r="C1392" s="185"/>
      <c r="D1392" s="186"/>
      <c r="E1392" s="186"/>
      <c r="F1392" s="187"/>
      <c r="G1392" s="187">
        <f t="shared" si="125"/>
        <v>0</v>
      </c>
      <c r="H1392" s="188">
        <v>0.05</v>
      </c>
      <c r="I1392" s="189">
        <f t="shared" si="126"/>
        <v>0</v>
      </c>
      <c r="J1392" s="189">
        <f t="shared" si="127"/>
        <v>0</v>
      </c>
      <c r="K1392" s="294"/>
      <c r="L1392" s="295"/>
      <c r="M1392" s="296">
        <v>0.05</v>
      </c>
      <c r="N1392" s="296">
        <f t="shared" si="128"/>
        <v>0</v>
      </c>
      <c r="O1392" s="299">
        <f t="shared" si="129"/>
        <v>0</v>
      </c>
      <c r="P1392" s="303"/>
    </row>
    <row r="1393" spans="2:16" ht="15.75" thickBot="1">
      <c r="B1393" s="184"/>
      <c r="C1393" s="185"/>
      <c r="D1393" s="186"/>
      <c r="E1393" s="186"/>
      <c r="F1393" s="187"/>
      <c r="G1393" s="187">
        <f t="shared" si="125"/>
        <v>0</v>
      </c>
      <c r="H1393" s="188">
        <v>0.05</v>
      </c>
      <c r="I1393" s="189">
        <f t="shared" si="126"/>
        <v>0</v>
      </c>
      <c r="J1393" s="189">
        <f t="shared" si="127"/>
        <v>0</v>
      </c>
      <c r="K1393" s="294"/>
      <c r="L1393" s="295"/>
      <c r="M1393" s="296">
        <v>0.05</v>
      </c>
      <c r="N1393" s="296">
        <f t="shared" si="128"/>
        <v>0</v>
      </c>
      <c r="O1393" s="299">
        <f t="shared" si="129"/>
        <v>0</v>
      </c>
      <c r="P1393" s="303"/>
    </row>
    <row r="1394" spans="2:16" ht="15.75" thickBot="1">
      <c r="B1394" s="184"/>
      <c r="C1394" s="185"/>
      <c r="D1394" s="186"/>
      <c r="E1394" s="186"/>
      <c r="F1394" s="187"/>
      <c r="G1394" s="187">
        <f t="shared" si="125"/>
        <v>0</v>
      </c>
      <c r="H1394" s="188">
        <v>0.05</v>
      </c>
      <c r="I1394" s="189">
        <f t="shared" si="126"/>
        <v>0</v>
      </c>
      <c r="J1394" s="189">
        <f t="shared" si="127"/>
        <v>0</v>
      </c>
      <c r="K1394" s="294"/>
      <c r="L1394" s="295"/>
      <c r="M1394" s="296">
        <v>0.05</v>
      </c>
      <c r="N1394" s="296">
        <f t="shared" si="128"/>
        <v>0</v>
      </c>
      <c r="O1394" s="299">
        <f t="shared" si="129"/>
        <v>0</v>
      </c>
      <c r="P1394" s="303"/>
    </row>
    <row r="1395" spans="2:16" ht="15.75" thickBot="1">
      <c r="B1395" s="184"/>
      <c r="C1395" s="185"/>
      <c r="D1395" s="186"/>
      <c r="E1395" s="186"/>
      <c r="F1395" s="187"/>
      <c r="G1395" s="187">
        <f t="shared" si="125"/>
        <v>0</v>
      </c>
      <c r="H1395" s="188">
        <v>0.05</v>
      </c>
      <c r="I1395" s="189">
        <f t="shared" si="126"/>
        <v>0</v>
      </c>
      <c r="J1395" s="189">
        <f t="shared" si="127"/>
        <v>0</v>
      </c>
      <c r="K1395" s="294"/>
      <c r="L1395" s="295"/>
      <c r="M1395" s="296">
        <v>0.05</v>
      </c>
      <c r="N1395" s="296">
        <f t="shared" si="128"/>
        <v>0</v>
      </c>
      <c r="O1395" s="299">
        <f t="shared" si="129"/>
        <v>0</v>
      </c>
      <c r="P1395" s="303"/>
    </row>
    <row r="1396" spans="2:16" ht="15.75" thickBot="1">
      <c r="B1396" s="184"/>
      <c r="C1396" s="185"/>
      <c r="D1396" s="186"/>
      <c r="E1396" s="186"/>
      <c r="F1396" s="187"/>
      <c r="G1396" s="187">
        <f t="shared" si="125"/>
        <v>0</v>
      </c>
      <c r="H1396" s="188">
        <v>0.05</v>
      </c>
      <c r="I1396" s="189">
        <f t="shared" si="126"/>
        <v>0</v>
      </c>
      <c r="J1396" s="189">
        <f t="shared" si="127"/>
        <v>0</v>
      </c>
      <c r="K1396" s="294"/>
      <c r="L1396" s="295"/>
      <c r="M1396" s="296">
        <v>0.05</v>
      </c>
      <c r="N1396" s="296">
        <f t="shared" si="128"/>
        <v>0</v>
      </c>
      <c r="O1396" s="299">
        <f t="shared" si="129"/>
        <v>0</v>
      </c>
      <c r="P1396" s="303"/>
    </row>
    <row r="1397" spans="2:16" ht="15.75" thickBot="1">
      <c r="B1397" s="184"/>
      <c r="C1397" s="185"/>
      <c r="D1397" s="186"/>
      <c r="E1397" s="186"/>
      <c r="F1397" s="187"/>
      <c r="G1397" s="187">
        <f t="shared" si="125"/>
        <v>0</v>
      </c>
      <c r="H1397" s="188">
        <v>0.05</v>
      </c>
      <c r="I1397" s="189">
        <f t="shared" si="126"/>
        <v>0</v>
      </c>
      <c r="J1397" s="189">
        <f t="shared" si="127"/>
        <v>0</v>
      </c>
      <c r="K1397" s="294"/>
      <c r="L1397" s="295"/>
      <c r="M1397" s="296">
        <v>0.05</v>
      </c>
      <c r="N1397" s="296">
        <f t="shared" si="128"/>
        <v>0</v>
      </c>
      <c r="O1397" s="299">
        <f t="shared" si="129"/>
        <v>0</v>
      </c>
      <c r="P1397" s="303"/>
    </row>
    <row r="1398" spans="2:16" ht="15.75" thickBot="1">
      <c r="B1398" s="184"/>
      <c r="C1398" s="185"/>
      <c r="D1398" s="186"/>
      <c r="E1398" s="186"/>
      <c r="F1398" s="187"/>
      <c r="G1398" s="187">
        <f t="shared" si="125"/>
        <v>0</v>
      </c>
      <c r="H1398" s="188">
        <v>0.05</v>
      </c>
      <c r="I1398" s="189">
        <f t="shared" si="126"/>
        <v>0</v>
      </c>
      <c r="J1398" s="189">
        <f t="shared" si="127"/>
        <v>0</v>
      </c>
      <c r="K1398" s="294"/>
      <c r="L1398" s="295"/>
      <c r="M1398" s="296">
        <v>0.05</v>
      </c>
      <c r="N1398" s="296">
        <f t="shared" si="128"/>
        <v>0</v>
      </c>
      <c r="O1398" s="299">
        <f t="shared" si="129"/>
        <v>0</v>
      </c>
      <c r="P1398" s="303"/>
    </row>
    <row r="1399" spans="2:16" ht="15.75" thickBot="1">
      <c r="B1399" s="184"/>
      <c r="C1399" s="185"/>
      <c r="D1399" s="186"/>
      <c r="E1399" s="186"/>
      <c r="F1399" s="187"/>
      <c r="G1399" s="187">
        <f t="shared" si="125"/>
        <v>0</v>
      </c>
      <c r="H1399" s="188">
        <v>0.05</v>
      </c>
      <c r="I1399" s="189">
        <f t="shared" si="126"/>
        <v>0</v>
      </c>
      <c r="J1399" s="189">
        <f t="shared" si="127"/>
        <v>0</v>
      </c>
      <c r="K1399" s="294"/>
      <c r="L1399" s="295"/>
      <c r="M1399" s="296">
        <v>0.05</v>
      </c>
      <c r="N1399" s="296">
        <f t="shared" si="128"/>
        <v>0</v>
      </c>
      <c r="O1399" s="299">
        <f t="shared" si="129"/>
        <v>0</v>
      </c>
      <c r="P1399" s="303"/>
    </row>
    <row r="1400" spans="2:16" ht="15.75" thickBot="1">
      <c r="B1400" s="184"/>
      <c r="C1400" s="185"/>
      <c r="D1400" s="186"/>
      <c r="E1400" s="186"/>
      <c r="F1400" s="187"/>
      <c r="G1400" s="187">
        <f t="shared" si="125"/>
        <v>0</v>
      </c>
      <c r="H1400" s="188">
        <v>0.05</v>
      </c>
      <c r="I1400" s="189">
        <f t="shared" si="126"/>
        <v>0</v>
      </c>
      <c r="J1400" s="189">
        <f t="shared" si="127"/>
        <v>0</v>
      </c>
      <c r="K1400" s="294"/>
      <c r="L1400" s="295"/>
      <c r="M1400" s="296">
        <v>0.05</v>
      </c>
      <c r="N1400" s="296">
        <f t="shared" si="128"/>
        <v>0</v>
      </c>
      <c r="O1400" s="299">
        <f t="shared" si="129"/>
        <v>0</v>
      </c>
      <c r="P1400" s="303"/>
    </row>
    <row r="1401" spans="2:16" ht="15.75" thickBot="1">
      <c r="B1401" s="184"/>
      <c r="C1401" s="185"/>
      <c r="D1401" s="186"/>
      <c r="E1401" s="186"/>
      <c r="F1401" s="187"/>
      <c r="G1401" s="187">
        <f t="shared" si="125"/>
        <v>0</v>
      </c>
      <c r="H1401" s="188">
        <v>0.05</v>
      </c>
      <c r="I1401" s="189">
        <f t="shared" si="126"/>
        <v>0</v>
      </c>
      <c r="J1401" s="189">
        <f t="shared" si="127"/>
        <v>0</v>
      </c>
      <c r="K1401" s="294"/>
      <c r="L1401" s="295"/>
      <c r="M1401" s="296">
        <v>0.05</v>
      </c>
      <c r="N1401" s="296">
        <f t="shared" si="128"/>
        <v>0</v>
      </c>
      <c r="O1401" s="299">
        <f t="shared" si="129"/>
        <v>0</v>
      </c>
      <c r="P1401" s="303"/>
    </row>
    <row r="1402" spans="2:16" ht="15.75" thickBot="1">
      <c r="B1402" s="184"/>
      <c r="C1402" s="185"/>
      <c r="D1402" s="186"/>
      <c r="E1402" s="186"/>
      <c r="F1402" s="187"/>
      <c r="G1402" s="187">
        <f t="shared" si="125"/>
        <v>0</v>
      </c>
      <c r="H1402" s="188">
        <v>0.05</v>
      </c>
      <c r="I1402" s="189">
        <f t="shared" si="126"/>
        <v>0</v>
      </c>
      <c r="J1402" s="189">
        <f t="shared" si="127"/>
        <v>0</v>
      </c>
      <c r="K1402" s="294"/>
      <c r="L1402" s="295"/>
      <c r="M1402" s="296">
        <v>0.05</v>
      </c>
      <c r="N1402" s="296">
        <f t="shared" si="128"/>
        <v>0</v>
      </c>
      <c r="O1402" s="299">
        <f t="shared" si="129"/>
        <v>0</v>
      </c>
      <c r="P1402" s="303"/>
    </row>
    <row r="1403" spans="2:16" ht="15.75" thickBot="1">
      <c r="B1403" s="184"/>
      <c r="C1403" s="185"/>
      <c r="D1403" s="186"/>
      <c r="E1403" s="186"/>
      <c r="F1403" s="187"/>
      <c r="G1403" s="187">
        <f t="shared" si="125"/>
        <v>0</v>
      </c>
      <c r="H1403" s="188">
        <v>0.05</v>
      </c>
      <c r="I1403" s="189">
        <f t="shared" si="126"/>
        <v>0</v>
      </c>
      <c r="J1403" s="189">
        <f t="shared" si="127"/>
        <v>0</v>
      </c>
      <c r="K1403" s="294"/>
      <c r="L1403" s="295"/>
      <c r="M1403" s="296">
        <v>0.05</v>
      </c>
      <c r="N1403" s="296">
        <f t="shared" si="128"/>
        <v>0</v>
      </c>
      <c r="O1403" s="299">
        <f t="shared" si="129"/>
        <v>0</v>
      </c>
      <c r="P1403" s="303"/>
    </row>
    <row r="1404" spans="2:16" ht="15.75" thickBot="1">
      <c r="B1404" s="184"/>
      <c r="C1404" s="185"/>
      <c r="D1404" s="186"/>
      <c r="E1404" s="186"/>
      <c r="F1404" s="187"/>
      <c r="G1404" s="187">
        <f t="shared" si="125"/>
        <v>0</v>
      </c>
      <c r="H1404" s="188">
        <v>0.05</v>
      </c>
      <c r="I1404" s="189">
        <f t="shared" si="126"/>
        <v>0</v>
      </c>
      <c r="J1404" s="189">
        <f t="shared" si="127"/>
        <v>0</v>
      </c>
      <c r="K1404" s="294"/>
      <c r="L1404" s="295"/>
      <c r="M1404" s="296">
        <v>0.05</v>
      </c>
      <c r="N1404" s="296">
        <f t="shared" si="128"/>
        <v>0</v>
      </c>
      <c r="O1404" s="299">
        <f t="shared" si="129"/>
        <v>0</v>
      </c>
      <c r="P1404" s="303"/>
    </row>
    <row r="1405" spans="2:16" ht="15.75" thickBot="1">
      <c r="B1405" s="184"/>
      <c r="C1405" s="185"/>
      <c r="D1405" s="186"/>
      <c r="E1405" s="186"/>
      <c r="F1405" s="187"/>
      <c r="G1405" s="187">
        <f t="shared" si="125"/>
        <v>0</v>
      </c>
      <c r="H1405" s="188">
        <v>0.05</v>
      </c>
      <c r="I1405" s="189">
        <f t="shared" si="126"/>
        <v>0</v>
      </c>
      <c r="J1405" s="189">
        <f t="shared" si="127"/>
        <v>0</v>
      </c>
      <c r="K1405" s="294"/>
      <c r="L1405" s="295"/>
      <c r="M1405" s="296">
        <v>0.05</v>
      </c>
      <c r="N1405" s="296">
        <f t="shared" si="128"/>
        <v>0</v>
      </c>
      <c r="O1405" s="299">
        <f t="shared" si="129"/>
        <v>0</v>
      </c>
      <c r="P1405" s="303"/>
    </row>
    <row r="1406" spans="2:16" ht="15.75" thickBot="1">
      <c r="B1406" s="184"/>
      <c r="C1406" s="185"/>
      <c r="D1406" s="186"/>
      <c r="E1406" s="186"/>
      <c r="F1406" s="187"/>
      <c r="G1406" s="187">
        <f t="shared" si="125"/>
        <v>0</v>
      </c>
      <c r="H1406" s="188">
        <v>0.05</v>
      </c>
      <c r="I1406" s="189">
        <f t="shared" si="126"/>
        <v>0</v>
      </c>
      <c r="J1406" s="189">
        <f t="shared" si="127"/>
        <v>0</v>
      </c>
      <c r="K1406" s="294"/>
      <c r="L1406" s="295"/>
      <c r="M1406" s="296">
        <v>0.05</v>
      </c>
      <c r="N1406" s="296">
        <f t="shared" si="128"/>
        <v>0</v>
      </c>
      <c r="O1406" s="299">
        <f t="shared" si="129"/>
        <v>0</v>
      </c>
      <c r="P1406" s="303"/>
    </row>
    <row r="1407" spans="2:16" ht="15.75" thickBot="1">
      <c r="B1407" s="184"/>
      <c r="C1407" s="185"/>
      <c r="D1407" s="186"/>
      <c r="E1407" s="186"/>
      <c r="F1407" s="187"/>
      <c r="G1407" s="187">
        <f t="shared" si="125"/>
        <v>0</v>
      </c>
      <c r="H1407" s="188">
        <v>0.05</v>
      </c>
      <c r="I1407" s="189">
        <f t="shared" si="126"/>
        <v>0</v>
      </c>
      <c r="J1407" s="189">
        <f t="shared" si="127"/>
        <v>0</v>
      </c>
      <c r="K1407" s="294"/>
      <c r="L1407" s="295"/>
      <c r="M1407" s="296">
        <v>0.05</v>
      </c>
      <c r="N1407" s="296">
        <f t="shared" si="128"/>
        <v>0</v>
      </c>
      <c r="O1407" s="299">
        <f t="shared" si="129"/>
        <v>0</v>
      </c>
      <c r="P1407" s="303"/>
    </row>
    <row r="1408" spans="2:16" ht="15.75" thickBot="1">
      <c r="B1408" s="184"/>
      <c r="C1408" s="185"/>
      <c r="D1408" s="186"/>
      <c r="E1408" s="186"/>
      <c r="F1408" s="187"/>
      <c r="G1408" s="187">
        <f t="shared" si="125"/>
        <v>0</v>
      </c>
      <c r="H1408" s="188">
        <v>0.05</v>
      </c>
      <c r="I1408" s="189">
        <f t="shared" si="126"/>
        <v>0</v>
      </c>
      <c r="J1408" s="189">
        <f t="shared" si="127"/>
        <v>0</v>
      </c>
      <c r="K1408" s="294"/>
      <c r="L1408" s="295"/>
      <c r="M1408" s="296">
        <v>0.05</v>
      </c>
      <c r="N1408" s="296">
        <f t="shared" si="128"/>
        <v>0</v>
      </c>
      <c r="O1408" s="299">
        <f t="shared" si="129"/>
        <v>0</v>
      </c>
      <c r="P1408" s="303"/>
    </row>
    <row r="1409" spans="2:16" ht="15.75" thickBot="1">
      <c r="B1409" s="184"/>
      <c r="C1409" s="185"/>
      <c r="D1409" s="186"/>
      <c r="E1409" s="186"/>
      <c r="F1409" s="187"/>
      <c r="G1409" s="187">
        <f t="shared" si="125"/>
        <v>0</v>
      </c>
      <c r="H1409" s="188">
        <v>0.05</v>
      </c>
      <c r="I1409" s="189">
        <f t="shared" si="126"/>
        <v>0</v>
      </c>
      <c r="J1409" s="189">
        <f t="shared" si="127"/>
        <v>0</v>
      </c>
      <c r="K1409" s="294"/>
      <c r="L1409" s="295"/>
      <c r="M1409" s="296">
        <v>0.05</v>
      </c>
      <c r="N1409" s="296">
        <f t="shared" si="128"/>
        <v>0</v>
      </c>
      <c r="O1409" s="299">
        <f t="shared" si="129"/>
        <v>0</v>
      </c>
      <c r="P1409" s="303"/>
    </row>
    <row r="1410" spans="2:16" ht="15.75" thickBot="1">
      <c r="B1410" s="184"/>
      <c r="C1410" s="185"/>
      <c r="D1410" s="186"/>
      <c r="E1410" s="186"/>
      <c r="F1410" s="187"/>
      <c r="G1410" s="187">
        <f t="shared" si="125"/>
        <v>0</v>
      </c>
      <c r="H1410" s="188">
        <v>0.05</v>
      </c>
      <c r="I1410" s="189">
        <f t="shared" si="126"/>
        <v>0</v>
      </c>
      <c r="J1410" s="189">
        <f t="shared" si="127"/>
        <v>0</v>
      </c>
      <c r="K1410" s="294"/>
      <c r="L1410" s="295"/>
      <c r="M1410" s="296">
        <v>0.05</v>
      </c>
      <c r="N1410" s="296">
        <f t="shared" si="128"/>
        <v>0</v>
      </c>
      <c r="O1410" s="299">
        <f t="shared" si="129"/>
        <v>0</v>
      </c>
      <c r="P1410" s="303"/>
    </row>
    <row r="1411" spans="2:16" ht="15.75" thickBot="1">
      <c r="B1411" s="184"/>
      <c r="C1411" s="185"/>
      <c r="D1411" s="186"/>
      <c r="E1411" s="186"/>
      <c r="F1411" s="187"/>
      <c r="G1411" s="187">
        <f t="shared" si="125"/>
        <v>0</v>
      </c>
      <c r="H1411" s="188">
        <v>0.05</v>
      </c>
      <c r="I1411" s="189">
        <f t="shared" si="126"/>
        <v>0</v>
      </c>
      <c r="J1411" s="189">
        <f t="shared" si="127"/>
        <v>0</v>
      </c>
      <c r="K1411" s="294"/>
      <c r="L1411" s="295"/>
      <c r="M1411" s="296">
        <v>0.05</v>
      </c>
      <c r="N1411" s="296">
        <f t="shared" si="128"/>
        <v>0</v>
      </c>
      <c r="O1411" s="299">
        <f t="shared" si="129"/>
        <v>0</v>
      </c>
      <c r="P1411" s="303"/>
    </row>
    <row r="1412" spans="2:16" ht="15.75" thickBot="1">
      <c r="B1412" s="184"/>
      <c r="C1412" s="185"/>
      <c r="D1412" s="186"/>
      <c r="E1412" s="186"/>
      <c r="F1412" s="187"/>
      <c r="G1412" s="187">
        <f t="shared" si="125"/>
        <v>0</v>
      </c>
      <c r="H1412" s="188">
        <v>0.05</v>
      </c>
      <c r="I1412" s="189">
        <f t="shared" si="126"/>
        <v>0</v>
      </c>
      <c r="J1412" s="189">
        <f t="shared" si="127"/>
        <v>0</v>
      </c>
      <c r="K1412" s="294"/>
      <c r="L1412" s="295"/>
      <c r="M1412" s="296">
        <v>0.05</v>
      </c>
      <c r="N1412" s="296">
        <f t="shared" si="128"/>
        <v>0</v>
      </c>
      <c r="O1412" s="299">
        <f t="shared" si="129"/>
        <v>0</v>
      </c>
      <c r="P1412" s="303"/>
    </row>
    <row r="1413" spans="2:16" ht="15.75" thickBot="1">
      <c r="B1413" s="184"/>
      <c r="C1413" s="185"/>
      <c r="D1413" s="186"/>
      <c r="E1413" s="186"/>
      <c r="F1413" s="187"/>
      <c r="G1413" s="187">
        <f t="shared" si="125"/>
        <v>0</v>
      </c>
      <c r="H1413" s="188">
        <v>0.05</v>
      </c>
      <c r="I1413" s="189">
        <f t="shared" si="126"/>
        <v>0</v>
      </c>
      <c r="J1413" s="189">
        <f t="shared" si="127"/>
        <v>0</v>
      </c>
      <c r="K1413" s="294"/>
      <c r="L1413" s="295"/>
      <c r="M1413" s="296">
        <v>0.05</v>
      </c>
      <c r="N1413" s="296">
        <f t="shared" si="128"/>
        <v>0</v>
      </c>
      <c r="O1413" s="299">
        <f t="shared" si="129"/>
        <v>0</v>
      </c>
      <c r="P1413" s="303"/>
    </row>
    <row r="1414" spans="2:16" ht="15.75" thickBot="1">
      <c r="B1414" s="184"/>
      <c r="C1414" s="185"/>
      <c r="D1414" s="186"/>
      <c r="E1414" s="186"/>
      <c r="F1414" s="187"/>
      <c r="G1414" s="187">
        <f t="shared" si="125"/>
        <v>0</v>
      </c>
      <c r="H1414" s="188">
        <v>0.05</v>
      </c>
      <c r="I1414" s="189">
        <f t="shared" si="126"/>
        <v>0</v>
      </c>
      <c r="J1414" s="189">
        <f t="shared" si="127"/>
        <v>0</v>
      </c>
      <c r="K1414" s="294"/>
      <c r="L1414" s="295"/>
      <c r="M1414" s="296">
        <v>0.05</v>
      </c>
      <c r="N1414" s="296">
        <f t="shared" si="128"/>
        <v>0</v>
      </c>
      <c r="O1414" s="299">
        <f t="shared" si="129"/>
        <v>0</v>
      </c>
      <c r="P1414" s="303"/>
    </row>
    <row r="1415" spans="2:16" ht="15.75" thickBot="1">
      <c r="B1415" s="184"/>
      <c r="C1415" s="185"/>
      <c r="D1415" s="186"/>
      <c r="E1415" s="186"/>
      <c r="F1415" s="187"/>
      <c r="G1415" s="187">
        <f t="shared" si="125"/>
        <v>0</v>
      </c>
      <c r="H1415" s="188">
        <v>0.05</v>
      </c>
      <c r="I1415" s="189">
        <f t="shared" si="126"/>
        <v>0</v>
      </c>
      <c r="J1415" s="189">
        <f t="shared" si="127"/>
        <v>0</v>
      </c>
      <c r="K1415" s="294"/>
      <c r="L1415" s="295"/>
      <c r="M1415" s="296">
        <v>0.05</v>
      </c>
      <c r="N1415" s="296">
        <f t="shared" si="128"/>
        <v>0</v>
      </c>
      <c r="O1415" s="299">
        <f t="shared" si="129"/>
        <v>0</v>
      </c>
      <c r="P1415" s="303"/>
    </row>
    <row r="1416" spans="2:16" ht="15.75" thickBot="1">
      <c r="B1416" s="184"/>
      <c r="C1416" s="185"/>
      <c r="D1416" s="186"/>
      <c r="E1416" s="186"/>
      <c r="F1416" s="187"/>
      <c r="G1416" s="187">
        <f t="shared" si="125"/>
        <v>0</v>
      </c>
      <c r="H1416" s="188">
        <v>0.05</v>
      </c>
      <c r="I1416" s="189">
        <f t="shared" si="126"/>
        <v>0</v>
      </c>
      <c r="J1416" s="189">
        <f t="shared" si="127"/>
        <v>0</v>
      </c>
      <c r="K1416" s="294"/>
      <c r="L1416" s="295"/>
      <c r="M1416" s="296">
        <v>0.05</v>
      </c>
      <c r="N1416" s="296">
        <f t="shared" si="128"/>
        <v>0</v>
      </c>
      <c r="O1416" s="299">
        <f t="shared" si="129"/>
        <v>0</v>
      </c>
      <c r="P1416" s="303"/>
    </row>
    <row r="1417" spans="2:16" ht="15.75" thickBot="1">
      <c r="B1417" s="184"/>
      <c r="C1417" s="185"/>
      <c r="D1417" s="186"/>
      <c r="E1417" s="186"/>
      <c r="F1417" s="187"/>
      <c r="G1417" s="187">
        <f t="shared" si="125"/>
        <v>0</v>
      </c>
      <c r="H1417" s="188">
        <v>0.05</v>
      </c>
      <c r="I1417" s="189">
        <f t="shared" si="126"/>
        <v>0</v>
      </c>
      <c r="J1417" s="189">
        <f t="shared" si="127"/>
        <v>0</v>
      </c>
      <c r="K1417" s="294"/>
      <c r="L1417" s="295"/>
      <c r="M1417" s="296">
        <v>0.05</v>
      </c>
      <c r="N1417" s="296">
        <f t="shared" si="128"/>
        <v>0</v>
      </c>
      <c r="O1417" s="299">
        <f t="shared" si="129"/>
        <v>0</v>
      </c>
      <c r="P1417" s="303"/>
    </row>
    <row r="1418" spans="2:16" ht="15.75" thickBot="1">
      <c r="B1418" s="184"/>
      <c r="C1418" s="185"/>
      <c r="D1418" s="186"/>
      <c r="E1418" s="186"/>
      <c r="F1418" s="187"/>
      <c r="G1418" s="187">
        <f t="shared" si="125"/>
        <v>0</v>
      </c>
      <c r="H1418" s="188">
        <v>0.05</v>
      </c>
      <c r="I1418" s="189">
        <f t="shared" si="126"/>
        <v>0</v>
      </c>
      <c r="J1418" s="189">
        <f t="shared" si="127"/>
        <v>0</v>
      </c>
      <c r="K1418" s="294"/>
      <c r="L1418" s="295"/>
      <c r="M1418" s="296">
        <v>0.05</v>
      </c>
      <c r="N1418" s="296">
        <f t="shared" si="128"/>
        <v>0</v>
      </c>
      <c r="O1418" s="299">
        <f t="shared" si="129"/>
        <v>0</v>
      </c>
      <c r="P1418" s="303"/>
    </row>
    <row r="1419" spans="2:16" ht="15.75" thickBot="1">
      <c r="B1419" s="184"/>
      <c r="C1419" s="185"/>
      <c r="D1419" s="186"/>
      <c r="E1419" s="186"/>
      <c r="F1419" s="187"/>
      <c r="G1419" s="187">
        <f t="shared" si="125"/>
        <v>0</v>
      </c>
      <c r="H1419" s="188">
        <v>0.05</v>
      </c>
      <c r="I1419" s="189">
        <f t="shared" si="126"/>
        <v>0</v>
      </c>
      <c r="J1419" s="189">
        <f t="shared" si="127"/>
        <v>0</v>
      </c>
      <c r="K1419" s="294"/>
      <c r="L1419" s="295"/>
      <c r="M1419" s="296">
        <v>0.05</v>
      </c>
      <c r="N1419" s="296">
        <f t="shared" si="128"/>
        <v>0</v>
      </c>
      <c r="O1419" s="299">
        <f t="shared" si="129"/>
        <v>0</v>
      </c>
      <c r="P1419" s="303"/>
    </row>
    <row r="1420" spans="2:16" ht="15.75" thickBot="1">
      <c r="B1420" s="184"/>
      <c r="C1420" s="185"/>
      <c r="D1420" s="186"/>
      <c r="E1420" s="186"/>
      <c r="F1420" s="187"/>
      <c r="G1420" s="187">
        <f t="shared" si="125"/>
        <v>0</v>
      </c>
      <c r="H1420" s="188">
        <v>0.05</v>
      </c>
      <c r="I1420" s="189">
        <f t="shared" si="126"/>
        <v>0</v>
      </c>
      <c r="J1420" s="189">
        <f t="shared" si="127"/>
        <v>0</v>
      </c>
      <c r="K1420" s="294"/>
      <c r="L1420" s="295"/>
      <c r="M1420" s="296">
        <v>0.05</v>
      </c>
      <c r="N1420" s="296">
        <f t="shared" si="128"/>
        <v>0</v>
      </c>
      <c r="O1420" s="299">
        <f t="shared" si="129"/>
        <v>0</v>
      </c>
      <c r="P1420" s="303"/>
    </row>
    <row r="1421" spans="2:16" ht="15.75" thickBot="1">
      <c r="B1421" s="184"/>
      <c r="C1421" s="185"/>
      <c r="D1421" s="186"/>
      <c r="E1421" s="186"/>
      <c r="F1421" s="187"/>
      <c r="G1421" s="187">
        <f t="shared" si="125"/>
        <v>0</v>
      </c>
      <c r="H1421" s="188">
        <v>0.05</v>
      </c>
      <c r="I1421" s="189">
        <f t="shared" si="126"/>
        <v>0</v>
      </c>
      <c r="J1421" s="189">
        <f t="shared" si="127"/>
        <v>0</v>
      </c>
      <c r="K1421" s="294"/>
      <c r="L1421" s="295"/>
      <c r="M1421" s="296">
        <v>0.05</v>
      </c>
      <c r="N1421" s="296">
        <f t="shared" si="128"/>
        <v>0</v>
      </c>
      <c r="O1421" s="299">
        <f t="shared" si="129"/>
        <v>0</v>
      </c>
      <c r="P1421" s="303"/>
    </row>
    <row r="1422" spans="2:16" ht="15.75" thickBot="1">
      <c r="B1422" s="184"/>
      <c r="C1422" s="185"/>
      <c r="D1422" s="186"/>
      <c r="E1422" s="186"/>
      <c r="F1422" s="187"/>
      <c r="G1422" s="187">
        <f t="shared" si="125"/>
        <v>0</v>
      </c>
      <c r="H1422" s="188">
        <v>0.05</v>
      </c>
      <c r="I1422" s="189">
        <f t="shared" si="126"/>
        <v>0</v>
      </c>
      <c r="J1422" s="189">
        <f t="shared" si="127"/>
        <v>0</v>
      </c>
      <c r="K1422" s="294"/>
      <c r="L1422" s="295"/>
      <c r="M1422" s="296">
        <v>0.05</v>
      </c>
      <c r="N1422" s="296">
        <f t="shared" si="128"/>
        <v>0</v>
      </c>
      <c r="O1422" s="299">
        <f t="shared" si="129"/>
        <v>0</v>
      </c>
      <c r="P1422" s="303"/>
    </row>
    <row r="1423" spans="2:16" ht="15.75" thickBot="1">
      <c r="B1423" s="184"/>
      <c r="C1423" s="185"/>
      <c r="D1423" s="186"/>
      <c r="E1423" s="186"/>
      <c r="F1423" s="187"/>
      <c r="G1423" s="187">
        <f t="shared" si="125"/>
        <v>0</v>
      </c>
      <c r="H1423" s="188">
        <v>0.05</v>
      </c>
      <c r="I1423" s="189">
        <f t="shared" si="126"/>
        <v>0</v>
      </c>
      <c r="J1423" s="189">
        <f t="shared" si="127"/>
        <v>0</v>
      </c>
      <c r="K1423" s="294"/>
      <c r="L1423" s="295"/>
      <c r="M1423" s="296">
        <v>0.05</v>
      </c>
      <c r="N1423" s="296">
        <f t="shared" si="128"/>
        <v>0</v>
      </c>
      <c r="O1423" s="299">
        <f t="shared" si="129"/>
        <v>0</v>
      </c>
      <c r="P1423" s="303"/>
    </row>
    <row r="1424" spans="2:16" ht="15.75" thickBot="1">
      <c r="B1424" s="184"/>
      <c r="C1424" s="185"/>
      <c r="D1424" s="186"/>
      <c r="E1424" s="186"/>
      <c r="F1424" s="187"/>
      <c r="G1424" s="187">
        <f t="shared" si="125"/>
        <v>0</v>
      </c>
      <c r="H1424" s="188">
        <v>0.05</v>
      </c>
      <c r="I1424" s="189">
        <f t="shared" si="126"/>
        <v>0</v>
      </c>
      <c r="J1424" s="189">
        <f t="shared" si="127"/>
        <v>0</v>
      </c>
      <c r="K1424" s="294"/>
      <c r="L1424" s="295"/>
      <c r="M1424" s="296">
        <v>0.05</v>
      </c>
      <c r="N1424" s="296">
        <f t="shared" si="128"/>
        <v>0</v>
      </c>
      <c r="O1424" s="299">
        <f t="shared" si="129"/>
        <v>0</v>
      </c>
      <c r="P1424" s="303"/>
    </row>
    <row r="1425" spans="2:16" ht="15.75" thickBot="1">
      <c r="B1425" s="184"/>
      <c r="C1425" s="185"/>
      <c r="D1425" s="186"/>
      <c r="E1425" s="186"/>
      <c r="F1425" s="187"/>
      <c r="G1425" s="187">
        <f t="shared" si="125"/>
        <v>0</v>
      </c>
      <c r="H1425" s="188">
        <v>0.05</v>
      </c>
      <c r="I1425" s="189">
        <f t="shared" si="126"/>
        <v>0</v>
      </c>
      <c r="J1425" s="189">
        <f t="shared" si="127"/>
        <v>0</v>
      </c>
      <c r="K1425" s="294"/>
      <c r="L1425" s="295"/>
      <c r="M1425" s="296">
        <v>0.05</v>
      </c>
      <c r="N1425" s="296">
        <f t="shared" si="128"/>
        <v>0</v>
      </c>
      <c r="O1425" s="299">
        <f t="shared" si="129"/>
        <v>0</v>
      </c>
      <c r="P1425" s="303"/>
    </row>
    <row r="1426" spans="2:16" ht="15.75" thickBot="1">
      <c r="B1426" s="184"/>
      <c r="C1426" s="185"/>
      <c r="D1426" s="186"/>
      <c r="E1426" s="186"/>
      <c r="F1426" s="187"/>
      <c r="G1426" s="187">
        <f t="shared" si="125"/>
        <v>0</v>
      </c>
      <c r="H1426" s="188">
        <v>0.05</v>
      </c>
      <c r="I1426" s="189">
        <f t="shared" si="126"/>
        <v>0</v>
      </c>
      <c r="J1426" s="189">
        <f t="shared" si="127"/>
        <v>0</v>
      </c>
      <c r="K1426" s="294"/>
      <c r="L1426" s="295"/>
      <c r="M1426" s="296">
        <v>0.05</v>
      </c>
      <c r="N1426" s="296">
        <f t="shared" si="128"/>
        <v>0</v>
      </c>
      <c r="O1426" s="299">
        <f t="shared" si="129"/>
        <v>0</v>
      </c>
      <c r="P1426" s="303"/>
    </row>
    <row r="1427" spans="2:16" ht="15.75" thickBot="1">
      <c r="B1427" s="184"/>
      <c r="C1427" s="185"/>
      <c r="D1427" s="186"/>
      <c r="E1427" s="186"/>
      <c r="F1427" s="187"/>
      <c r="G1427" s="187">
        <f t="shared" si="125"/>
        <v>0</v>
      </c>
      <c r="H1427" s="188">
        <v>0.05</v>
      </c>
      <c r="I1427" s="189">
        <f t="shared" si="126"/>
        <v>0</v>
      </c>
      <c r="J1427" s="189">
        <f t="shared" si="127"/>
        <v>0</v>
      </c>
      <c r="K1427" s="294"/>
      <c r="L1427" s="295"/>
      <c r="M1427" s="296">
        <v>0.05</v>
      </c>
      <c r="N1427" s="296">
        <f t="shared" si="128"/>
        <v>0</v>
      </c>
      <c r="O1427" s="299">
        <f t="shared" si="129"/>
        <v>0</v>
      </c>
      <c r="P1427" s="303"/>
    </row>
    <row r="1428" spans="2:16" ht="15.75" thickBot="1">
      <c r="B1428" s="184"/>
      <c r="C1428" s="185"/>
      <c r="D1428" s="186"/>
      <c r="E1428" s="186"/>
      <c r="F1428" s="187"/>
      <c r="G1428" s="187">
        <f t="shared" si="125"/>
        <v>0</v>
      </c>
      <c r="H1428" s="188">
        <v>0.05</v>
      </c>
      <c r="I1428" s="189">
        <f t="shared" si="126"/>
        <v>0</v>
      </c>
      <c r="J1428" s="189">
        <f t="shared" si="127"/>
        <v>0</v>
      </c>
      <c r="K1428" s="294"/>
      <c r="L1428" s="295"/>
      <c r="M1428" s="296">
        <v>0.05</v>
      </c>
      <c r="N1428" s="296">
        <f t="shared" si="128"/>
        <v>0</v>
      </c>
      <c r="O1428" s="299">
        <f t="shared" si="129"/>
        <v>0</v>
      </c>
      <c r="P1428" s="303"/>
    </row>
    <row r="1429" spans="2:16" ht="15.75" thickBot="1">
      <c r="B1429" s="184"/>
      <c r="C1429" s="185"/>
      <c r="D1429" s="186"/>
      <c r="E1429" s="186"/>
      <c r="F1429" s="187"/>
      <c r="G1429" s="187">
        <f t="shared" si="125"/>
        <v>0</v>
      </c>
      <c r="H1429" s="188">
        <v>0.05</v>
      </c>
      <c r="I1429" s="189">
        <f t="shared" si="126"/>
        <v>0</v>
      </c>
      <c r="J1429" s="189">
        <f t="shared" si="127"/>
        <v>0</v>
      </c>
      <c r="K1429" s="294"/>
      <c r="L1429" s="295"/>
      <c r="M1429" s="296">
        <v>0.05</v>
      </c>
      <c r="N1429" s="296">
        <f t="shared" si="128"/>
        <v>0</v>
      </c>
      <c r="O1429" s="299">
        <f t="shared" si="129"/>
        <v>0</v>
      </c>
      <c r="P1429" s="303"/>
    </row>
    <row r="1430" spans="2:16" ht="15.75" thickBot="1">
      <c r="B1430" s="184"/>
      <c r="C1430" s="185"/>
      <c r="D1430" s="186"/>
      <c r="E1430" s="186"/>
      <c r="F1430" s="187"/>
      <c r="G1430" s="187">
        <f t="shared" si="125"/>
        <v>0</v>
      </c>
      <c r="H1430" s="188">
        <v>0.05</v>
      </c>
      <c r="I1430" s="189">
        <f t="shared" si="126"/>
        <v>0</v>
      </c>
      <c r="J1430" s="189">
        <f t="shared" si="127"/>
        <v>0</v>
      </c>
      <c r="K1430" s="294"/>
      <c r="L1430" s="295"/>
      <c r="M1430" s="296">
        <v>0.05</v>
      </c>
      <c r="N1430" s="296">
        <f t="shared" si="128"/>
        <v>0</v>
      </c>
      <c r="O1430" s="299">
        <f t="shared" si="129"/>
        <v>0</v>
      </c>
      <c r="P1430" s="303"/>
    </row>
    <row r="1431" spans="2:16" ht="15.75" thickBot="1">
      <c r="B1431" s="184"/>
      <c r="C1431" s="185"/>
      <c r="D1431" s="186"/>
      <c r="E1431" s="186"/>
      <c r="F1431" s="187"/>
      <c r="G1431" s="187">
        <f t="shared" si="125"/>
        <v>0</v>
      </c>
      <c r="H1431" s="188">
        <v>0.05</v>
      </c>
      <c r="I1431" s="189">
        <f t="shared" si="126"/>
        <v>0</v>
      </c>
      <c r="J1431" s="189">
        <f t="shared" si="127"/>
        <v>0</v>
      </c>
      <c r="K1431" s="294"/>
      <c r="L1431" s="295"/>
      <c r="M1431" s="296">
        <v>0.05</v>
      </c>
      <c r="N1431" s="296">
        <f t="shared" si="128"/>
        <v>0</v>
      </c>
      <c r="O1431" s="299">
        <f t="shared" si="129"/>
        <v>0</v>
      </c>
      <c r="P1431" s="303"/>
    </row>
    <row r="1432" spans="2:16" ht="15.75" thickBot="1">
      <c r="B1432" s="184"/>
      <c r="C1432" s="185"/>
      <c r="D1432" s="186"/>
      <c r="E1432" s="186"/>
      <c r="F1432" s="187"/>
      <c r="G1432" s="187">
        <f t="shared" si="125"/>
        <v>0</v>
      </c>
      <c r="H1432" s="188">
        <v>0.05</v>
      </c>
      <c r="I1432" s="189">
        <f t="shared" si="126"/>
        <v>0</v>
      </c>
      <c r="J1432" s="189">
        <f t="shared" si="127"/>
        <v>0</v>
      </c>
      <c r="K1432" s="294"/>
      <c r="L1432" s="295"/>
      <c r="M1432" s="296">
        <v>0.05</v>
      </c>
      <c r="N1432" s="296">
        <f t="shared" si="128"/>
        <v>0</v>
      </c>
      <c r="O1432" s="299">
        <f t="shared" si="129"/>
        <v>0</v>
      </c>
      <c r="P1432" s="303"/>
    </row>
    <row r="1433" spans="2:16" ht="15.75" thickBot="1">
      <c r="B1433" s="184"/>
      <c r="C1433" s="185"/>
      <c r="D1433" s="186"/>
      <c r="E1433" s="186"/>
      <c r="F1433" s="187"/>
      <c r="G1433" s="187">
        <f t="shared" si="125"/>
        <v>0</v>
      </c>
      <c r="H1433" s="188">
        <v>0.05</v>
      </c>
      <c r="I1433" s="189">
        <f t="shared" si="126"/>
        <v>0</v>
      </c>
      <c r="J1433" s="189">
        <f t="shared" si="127"/>
        <v>0</v>
      </c>
      <c r="K1433" s="294"/>
      <c r="L1433" s="295"/>
      <c r="M1433" s="296">
        <v>0.05</v>
      </c>
      <c r="N1433" s="296">
        <f t="shared" si="128"/>
        <v>0</v>
      </c>
      <c r="O1433" s="299">
        <f t="shared" si="129"/>
        <v>0</v>
      </c>
      <c r="P1433" s="303"/>
    </row>
    <row r="1434" spans="2:16" ht="15.75" thickBot="1">
      <c r="B1434" s="184"/>
      <c r="C1434" s="185"/>
      <c r="D1434" s="186"/>
      <c r="E1434" s="186"/>
      <c r="F1434" s="187"/>
      <c r="G1434" s="187">
        <f t="shared" si="125"/>
        <v>0</v>
      </c>
      <c r="H1434" s="188">
        <v>0.05</v>
      </c>
      <c r="I1434" s="189">
        <f t="shared" si="126"/>
        <v>0</v>
      </c>
      <c r="J1434" s="189">
        <f t="shared" si="127"/>
        <v>0</v>
      </c>
      <c r="K1434" s="294"/>
      <c r="L1434" s="295"/>
      <c r="M1434" s="296">
        <v>0.05</v>
      </c>
      <c r="N1434" s="296">
        <f t="shared" si="128"/>
        <v>0</v>
      </c>
      <c r="O1434" s="299">
        <f t="shared" si="129"/>
        <v>0</v>
      </c>
      <c r="P1434" s="303"/>
    </row>
    <row r="1435" spans="2:16" ht="15.75" thickBot="1">
      <c r="B1435" s="184"/>
      <c r="C1435" s="185"/>
      <c r="D1435" s="186"/>
      <c r="E1435" s="186"/>
      <c r="F1435" s="187"/>
      <c r="G1435" s="187">
        <f t="shared" si="125"/>
        <v>0</v>
      </c>
      <c r="H1435" s="188">
        <v>0.05</v>
      </c>
      <c r="I1435" s="189">
        <f t="shared" si="126"/>
        <v>0</v>
      </c>
      <c r="J1435" s="189">
        <f t="shared" si="127"/>
        <v>0</v>
      </c>
      <c r="K1435" s="294"/>
      <c r="L1435" s="295"/>
      <c r="M1435" s="296">
        <v>0.05</v>
      </c>
      <c r="N1435" s="296">
        <f t="shared" si="128"/>
        <v>0</v>
      </c>
      <c r="O1435" s="299">
        <f t="shared" si="129"/>
        <v>0</v>
      </c>
      <c r="P1435" s="303"/>
    </row>
    <row r="1436" spans="2:16" ht="15.75" thickBot="1">
      <c r="B1436" s="184"/>
      <c r="C1436" s="185"/>
      <c r="D1436" s="186"/>
      <c r="E1436" s="186"/>
      <c r="F1436" s="187"/>
      <c r="G1436" s="187">
        <f t="shared" si="125"/>
        <v>0</v>
      </c>
      <c r="H1436" s="188">
        <v>0.05</v>
      </c>
      <c r="I1436" s="189">
        <f t="shared" si="126"/>
        <v>0</v>
      </c>
      <c r="J1436" s="189">
        <f t="shared" si="127"/>
        <v>0</v>
      </c>
      <c r="K1436" s="294"/>
      <c r="L1436" s="295"/>
      <c r="M1436" s="296">
        <v>0.05</v>
      </c>
      <c r="N1436" s="296">
        <f t="shared" si="128"/>
        <v>0</v>
      </c>
      <c r="O1436" s="299">
        <f t="shared" si="129"/>
        <v>0</v>
      </c>
      <c r="P1436" s="303"/>
    </row>
    <row r="1437" spans="2:16" ht="15.75" thickBot="1">
      <c r="B1437" s="184"/>
      <c r="C1437" s="185"/>
      <c r="D1437" s="186"/>
      <c r="E1437" s="186"/>
      <c r="F1437" s="187"/>
      <c r="G1437" s="187">
        <f t="shared" si="125"/>
        <v>0</v>
      </c>
      <c r="H1437" s="188">
        <v>0.05</v>
      </c>
      <c r="I1437" s="189">
        <f t="shared" si="126"/>
        <v>0</v>
      </c>
      <c r="J1437" s="189">
        <f t="shared" si="127"/>
        <v>0</v>
      </c>
      <c r="K1437" s="294"/>
      <c r="L1437" s="295"/>
      <c r="M1437" s="296">
        <v>0.05</v>
      </c>
      <c r="N1437" s="296">
        <f t="shared" si="128"/>
        <v>0</v>
      </c>
      <c r="O1437" s="299">
        <f t="shared" si="129"/>
        <v>0</v>
      </c>
      <c r="P1437" s="303"/>
    </row>
    <row r="1438" spans="2:16" ht="15.75" thickBot="1">
      <c r="B1438" s="184"/>
      <c r="C1438" s="185"/>
      <c r="D1438" s="186"/>
      <c r="E1438" s="186"/>
      <c r="F1438" s="187"/>
      <c r="G1438" s="187">
        <f t="shared" si="125"/>
        <v>0</v>
      </c>
      <c r="H1438" s="188">
        <v>0.05</v>
      </c>
      <c r="I1438" s="189">
        <f t="shared" si="126"/>
        <v>0</v>
      </c>
      <c r="J1438" s="189">
        <f t="shared" si="127"/>
        <v>0</v>
      </c>
      <c r="K1438" s="294"/>
      <c r="L1438" s="295"/>
      <c r="M1438" s="296">
        <v>0.05</v>
      </c>
      <c r="N1438" s="296">
        <f t="shared" si="128"/>
        <v>0</v>
      </c>
      <c r="O1438" s="299">
        <f t="shared" si="129"/>
        <v>0</v>
      </c>
      <c r="P1438" s="303"/>
    </row>
    <row r="1439" spans="2:16" ht="15.75" thickBot="1">
      <c r="B1439" s="184"/>
      <c r="C1439" s="185"/>
      <c r="D1439" s="186"/>
      <c r="E1439" s="186"/>
      <c r="F1439" s="187"/>
      <c r="G1439" s="187">
        <f t="shared" si="125"/>
        <v>0</v>
      </c>
      <c r="H1439" s="188">
        <v>0.05</v>
      </c>
      <c r="I1439" s="189">
        <f t="shared" si="126"/>
        <v>0</v>
      </c>
      <c r="J1439" s="189">
        <f t="shared" si="127"/>
        <v>0</v>
      </c>
      <c r="K1439" s="294"/>
      <c r="L1439" s="295"/>
      <c r="M1439" s="296">
        <v>0.05</v>
      </c>
      <c r="N1439" s="296">
        <f t="shared" si="128"/>
        <v>0</v>
      </c>
      <c r="O1439" s="299">
        <f t="shared" si="129"/>
        <v>0</v>
      </c>
      <c r="P1439" s="303"/>
    </row>
    <row r="1440" spans="2:16" ht="15.75" thickBot="1">
      <c r="B1440" s="184"/>
      <c r="C1440" s="185"/>
      <c r="D1440" s="186"/>
      <c r="E1440" s="186"/>
      <c r="F1440" s="187"/>
      <c r="G1440" s="187">
        <f t="shared" si="125"/>
        <v>0</v>
      </c>
      <c r="H1440" s="188">
        <v>0.05</v>
      </c>
      <c r="I1440" s="189">
        <f t="shared" si="126"/>
        <v>0</v>
      </c>
      <c r="J1440" s="189">
        <f t="shared" si="127"/>
        <v>0</v>
      </c>
      <c r="K1440" s="294"/>
      <c r="L1440" s="295"/>
      <c r="M1440" s="296">
        <v>0.05</v>
      </c>
      <c r="N1440" s="296">
        <f t="shared" si="128"/>
        <v>0</v>
      </c>
      <c r="O1440" s="299">
        <f t="shared" si="129"/>
        <v>0</v>
      </c>
      <c r="P1440" s="303"/>
    </row>
    <row r="1441" spans="2:16" ht="15.75" thickBot="1">
      <c r="B1441" s="184"/>
      <c r="C1441" s="185"/>
      <c r="D1441" s="186"/>
      <c r="E1441" s="186"/>
      <c r="F1441" s="187"/>
      <c r="G1441" s="187">
        <f t="shared" si="125"/>
        <v>0</v>
      </c>
      <c r="H1441" s="188">
        <v>0.05</v>
      </c>
      <c r="I1441" s="189">
        <f t="shared" si="126"/>
        <v>0</v>
      </c>
      <c r="J1441" s="189">
        <f t="shared" si="127"/>
        <v>0</v>
      </c>
      <c r="K1441" s="294"/>
      <c r="L1441" s="295"/>
      <c r="M1441" s="296">
        <v>0.05</v>
      </c>
      <c r="N1441" s="296">
        <f t="shared" si="128"/>
        <v>0</v>
      </c>
      <c r="O1441" s="299">
        <f t="shared" si="129"/>
        <v>0</v>
      </c>
      <c r="P1441" s="303"/>
    </row>
    <row r="1442" spans="2:16" ht="15.75" thickBot="1">
      <c r="B1442" s="184"/>
      <c r="C1442" s="185"/>
      <c r="D1442" s="186"/>
      <c r="E1442" s="186"/>
      <c r="F1442" s="187"/>
      <c r="G1442" s="187">
        <f t="shared" si="125"/>
        <v>0</v>
      </c>
      <c r="H1442" s="188">
        <v>0.05</v>
      </c>
      <c r="I1442" s="189">
        <f t="shared" si="126"/>
        <v>0</v>
      </c>
      <c r="J1442" s="189">
        <f t="shared" si="127"/>
        <v>0</v>
      </c>
      <c r="K1442" s="294"/>
      <c r="L1442" s="295"/>
      <c r="M1442" s="296">
        <v>0.05</v>
      </c>
      <c r="N1442" s="296">
        <f t="shared" si="128"/>
        <v>0</v>
      </c>
      <c r="O1442" s="299">
        <f t="shared" si="129"/>
        <v>0</v>
      </c>
      <c r="P1442" s="303"/>
    </row>
    <row r="1443" spans="2:16" ht="15.75" thickBot="1">
      <c r="B1443" s="184"/>
      <c r="C1443" s="185"/>
      <c r="D1443" s="186"/>
      <c r="E1443" s="186"/>
      <c r="F1443" s="187"/>
      <c r="G1443" s="187">
        <f t="shared" si="125"/>
        <v>0</v>
      </c>
      <c r="H1443" s="188">
        <v>0.05</v>
      </c>
      <c r="I1443" s="189">
        <f t="shared" si="126"/>
        <v>0</v>
      </c>
      <c r="J1443" s="189">
        <f t="shared" si="127"/>
        <v>0</v>
      </c>
      <c r="K1443" s="294"/>
      <c r="L1443" s="295"/>
      <c r="M1443" s="296">
        <v>0.05</v>
      </c>
      <c r="N1443" s="296">
        <f t="shared" si="128"/>
        <v>0</v>
      </c>
      <c r="O1443" s="299">
        <f t="shared" si="129"/>
        <v>0</v>
      </c>
      <c r="P1443" s="303"/>
    </row>
    <row r="1444" spans="2:16" ht="15.75" thickBot="1">
      <c r="B1444" s="184"/>
      <c r="C1444" s="185"/>
      <c r="D1444" s="186"/>
      <c r="E1444" s="186"/>
      <c r="F1444" s="187"/>
      <c r="G1444" s="187">
        <f t="shared" si="125"/>
        <v>0</v>
      </c>
      <c r="H1444" s="188">
        <v>0.05</v>
      </c>
      <c r="I1444" s="189">
        <f t="shared" si="126"/>
        <v>0</v>
      </c>
      <c r="J1444" s="189">
        <f t="shared" si="127"/>
        <v>0</v>
      </c>
      <c r="K1444" s="294"/>
      <c r="L1444" s="295"/>
      <c r="M1444" s="296">
        <v>0.05</v>
      </c>
      <c r="N1444" s="296">
        <f t="shared" si="128"/>
        <v>0</v>
      </c>
      <c r="O1444" s="299">
        <f t="shared" si="129"/>
        <v>0</v>
      </c>
      <c r="P1444" s="303"/>
    </row>
    <row r="1445" spans="2:16" ht="15.75" thickBot="1">
      <c r="B1445" s="184"/>
      <c r="C1445" s="185"/>
      <c r="D1445" s="186"/>
      <c r="E1445" s="186"/>
      <c r="F1445" s="187"/>
      <c r="G1445" s="187">
        <f t="shared" si="125"/>
        <v>0</v>
      </c>
      <c r="H1445" s="188">
        <v>0.05</v>
      </c>
      <c r="I1445" s="189">
        <f t="shared" si="126"/>
        <v>0</v>
      </c>
      <c r="J1445" s="189">
        <f t="shared" si="127"/>
        <v>0</v>
      </c>
      <c r="K1445" s="294"/>
      <c r="L1445" s="295"/>
      <c r="M1445" s="296">
        <v>0.05</v>
      </c>
      <c r="N1445" s="296">
        <f t="shared" si="128"/>
        <v>0</v>
      </c>
      <c r="O1445" s="299">
        <f t="shared" si="129"/>
        <v>0</v>
      </c>
      <c r="P1445" s="303"/>
    </row>
    <row r="1446" spans="2:16" ht="15.75" thickBot="1">
      <c r="B1446" s="184"/>
      <c r="C1446" s="185"/>
      <c r="D1446" s="186"/>
      <c r="E1446" s="186"/>
      <c r="F1446" s="187"/>
      <c r="G1446" s="187">
        <f t="shared" ref="G1446:G1509" si="130">IF(D1446=0,0,(D1446+E1446)/F1446)</f>
        <v>0</v>
      </c>
      <c r="H1446" s="188">
        <v>0.05</v>
      </c>
      <c r="I1446" s="189">
        <f t="shared" ref="I1446:I1509" si="131">+G1446*H1446</f>
        <v>0</v>
      </c>
      <c r="J1446" s="189">
        <f t="shared" ref="J1446:J1509" si="132">+G1446+I1446</f>
        <v>0</v>
      </c>
      <c r="K1446" s="294"/>
      <c r="L1446" s="295"/>
      <c r="M1446" s="296">
        <v>0.05</v>
      </c>
      <c r="N1446" s="296">
        <f t="shared" ref="N1446:N1509" si="133">IF(H1446&lt;M1446,H1446/M1446,0)</f>
        <v>0</v>
      </c>
      <c r="O1446" s="299">
        <f t="shared" ref="O1446:O1509" si="134">1.5%*N1446</f>
        <v>0</v>
      </c>
      <c r="P1446" s="303"/>
    </row>
    <row r="1447" spans="2:16" ht="15.75" thickBot="1">
      <c r="B1447" s="184"/>
      <c r="C1447" s="185"/>
      <c r="D1447" s="186"/>
      <c r="E1447" s="186"/>
      <c r="F1447" s="187"/>
      <c r="G1447" s="187">
        <f t="shared" si="130"/>
        <v>0</v>
      </c>
      <c r="H1447" s="188">
        <v>0.05</v>
      </c>
      <c r="I1447" s="189">
        <f t="shared" si="131"/>
        <v>0</v>
      </c>
      <c r="J1447" s="189">
        <f t="shared" si="132"/>
        <v>0</v>
      </c>
      <c r="K1447" s="294"/>
      <c r="L1447" s="295"/>
      <c r="M1447" s="296">
        <v>0.05</v>
      </c>
      <c r="N1447" s="296">
        <f t="shared" si="133"/>
        <v>0</v>
      </c>
      <c r="O1447" s="299">
        <f t="shared" si="134"/>
        <v>0</v>
      </c>
      <c r="P1447" s="303"/>
    </row>
    <row r="1448" spans="2:16" ht="15.75" thickBot="1">
      <c r="B1448" s="184"/>
      <c r="C1448" s="185"/>
      <c r="D1448" s="186"/>
      <c r="E1448" s="186"/>
      <c r="F1448" s="187"/>
      <c r="G1448" s="187">
        <f t="shared" si="130"/>
        <v>0</v>
      </c>
      <c r="H1448" s="188">
        <v>0.05</v>
      </c>
      <c r="I1448" s="189">
        <f t="shared" si="131"/>
        <v>0</v>
      </c>
      <c r="J1448" s="189">
        <f t="shared" si="132"/>
        <v>0</v>
      </c>
      <c r="K1448" s="294"/>
      <c r="L1448" s="295"/>
      <c r="M1448" s="296">
        <v>0.05</v>
      </c>
      <c r="N1448" s="296">
        <f t="shared" si="133"/>
        <v>0</v>
      </c>
      <c r="O1448" s="299">
        <f t="shared" si="134"/>
        <v>0</v>
      </c>
      <c r="P1448" s="303"/>
    </row>
    <row r="1449" spans="2:16" ht="15.75" thickBot="1">
      <c r="B1449" s="184"/>
      <c r="C1449" s="185"/>
      <c r="D1449" s="186"/>
      <c r="E1449" s="186"/>
      <c r="F1449" s="187"/>
      <c r="G1449" s="187">
        <f t="shared" si="130"/>
        <v>0</v>
      </c>
      <c r="H1449" s="188">
        <v>0.05</v>
      </c>
      <c r="I1449" s="189">
        <f t="shared" si="131"/>
        <v>0</v>
      </c>
      <c r="J1449" s="189">
        <f t="shared" si="132"/>
        <v>0</v>
      </c>
      <c r="K1449" s="294"/>
      <c r="L1449" s="295"/>
      <c r="M1449" s="296">
        <v>0.05</v>
      </c>
      <c r="N1449" s="296">
        <f t="shared" si="133"/>
        <v>0</v>
      </c>
      <c r="O1449" s="299">
        <f t="shared" si="134"/>
        <v>0</v>
      </c>
      <c r="P1449" s="303"/>
    </row>
    <row r="1450" spans="2:16" ht="15.75" thickBot="1">
      <c r="B1450" s="184"/>
      <c r="C1450" s="185"/>
      <c r="D1450" s="186"/>
      <c r="E1450" s="186"/>
      <c r="F1450" s="187"/>
      <c r="G1450" s="187">
        <f t="shared" si="130"/>
        <v>0</v>
      </c>
      <c r="H1450" s="188">
        <v>0.05</v>
      </c>
      <c r="I1450" s="189">
        <f t="shared" si="131"/>
        <v>0</v>
      </c>
      <c r="J1450" s="189">
        <f t="shared" si="132"/>
        <v>0</v>
      </c>
      <c r="K1450" s="294"/>
      <c r="L1450" s="295"/>
      <c r="M1450" s="296">
        <v>0.05</v>
      </c>
      <c r="N1450" s="296">
        <f t="shared" si="133"/>
        <v>0</v>
      </c>
      <c r="O1450" s="299">
        <f t="shared" si="134"/>
        <v>0</v>
      </c>
      <c r="P1450" s="303"/>
    </row>
    <row r="1451" spans="2:16" ht="15.75" thickBot="1">
      <c r="B1451" s="184"/>
      <c r="C1451" s="185"/>
      <c r="D1451" s="186"/>
      <c r="E1451" s="186"/>
      <c r="F1451" s="187"/>
      <c r="G1451" s="187">
        <f t="shared" si="130"/>
        <v>0</v>
      </c>
      <c r="H1451" s="188">
        <v>0.05</v>
      </c>
      <c r="I1451" s="189">
        <f t="shared" si="131"/>
        <v>0</v>
      </c>
      <c r="J1451" s="189">
        <f t="shared" si="132"/>
        <v>0</v>
      </c>
      <c r="K1451" s="294"/>
      <c r="L1451" s="295"/>
      <c r="M1451" s="296">
        <v>0.05</v>
      </c>
      <c r="N1451" s="296">
        <f t="shared" si="133"/>
        <v>0</v>
      </c>
      <c r="O1451" s="299">
        <f t="shared" si="134"/>
        <v>0</v>
      </c>
      <c r="P1451" s="303"/>
    </row>
    <row r="1452" spans="2:16" ht="15.75" thickBot="1">
      <c r="B1452" s="184"/>
      <c r="C1452" s="185"/>
      <c r="D1452" s="186"/>
      <c r="E1452" s="186"/>
      <c r="F1452" s="187"/>
      <c r="G1452" s="187">
        <f t="shared" si="130"/>
        <v>0</v>
      </c>
      <c r="H1452" s="188">
        <v>0.05</v>
      </c>
      <c r="I1452" s="189">
        <f t="shared" si="131"/>
        <v>0</v>
      </c>
      <c r="J1452" s="189">
        <f t="shared" si="132"/>
        <v>0</v>
      </c>
      <c r="K1452" s="294"/>
      <c r="L1452" s="295"/>
      <c r="M1452" s="296">
        <v>0.05</v>
      </c>
      <c r="N1452" s="296">
        <f t="shared" si="133"/>
        <v>0</v>
      </c>
      <c r="O1452" s="299">
        <f t="shared" si="134"/>
        <v>0</v>
      </c>
      <c r="P1452" s="303"/>
    </row>
    <row r="1453" spans="2:16" ht="15.75" thickBot="1">
      <c r="B1453" s="184"/>
      <c r="C1453" s="185"/>
      <c r="D1453" s="186"/>
      <c r="E1453" s="186"/>
      <c r="F1453" s="187"/>
      <c r="G1453" s="187">
        <f t="shared" si="130"/>
        <v>0</v>
      </c>
      <c r="H1453" s="188">
        <v>0.05</v>
      </c>
      <c r="I1453" s="189">
        <f t="shared" si="131"/>
        <v>0</v>
      </c>
      <c r="J1453" s="189">
        <f t="shared" si="132"/>
        <v>0</v>
      </c>
      <c r="K1453" s="294"/>
      <c r="L1453" s="295"/>
      <c r="M1453" s="296">
        <v>0.05</v>
      </c>
      <c r="N1453" s="296">
        <f t="shared" si="133"/>
        <v>0</v>
      </c>
      <c r="O1453" s="299">
        <f t="shared" si="134"/>
        <v>0</v>
      </c>
      <c r="P1453" s="303"/>
    </row>
    <row r="1454" spans="2:16" ht="15.75" thickBot="1">
      <c r="B1454" s="184"/>
      <c r="C1454" s="185"/>
      <c r="D1454" s="186"/>
      <c r="E1454" s="186"/>
      <c r="F1454" s="187"/>
      <c r="G1454" s="187">
        <f t="shared" si="130"/>
        <v>0</v>
      </c>
      <c r="H1454" s="188">
        <v>0.05</v>
      </c>
      <c r="I1454" s="189">
        <f t="shared" si="131"/>
        <v>0</v>
      </c>
      <c r="J1454" s="189">
        <f t="shared" si="132"/>
        <v>0</v>
      </c>
      <c r="K1454" s="294"/>
      <c r="L1454" s="295"/>
      <c r="M1454" s="296">
        <v>0.05</v>
      </c>
      <c r="N1454" s="296">
        <f t="shared" si="133"/>
        <v>0</v>
      </c>
      <c r="O1454" s="299">
        <f t="shared" si="134"/>
        <v>0</v>
      </c>
      <c r="P1454" s="303"/>
    </row>
    <row r="1455" spans="2:16" ht="15.75" thickBot="1">
      <c r="B1455" s="184"/>
      <c r="C1455" s="185"/>
      <c r="D1455" s="186"/>
      <c r="E1455" s="186"/>
      <c r="F1455" s="187"/>
      <c r="G1455" s="187">
        <f t="shared" si="130"/>
        <v>0</v>
      </c>
      <c r="H1455" s="188">
        <v>0.05</v>
      </c>
      <c r="I1455" s="189">
        <f t="shared" si="131"/>
        <v>0</v>
      </c>
      <c r="J1455" s="189">
        <f t="shared" si="132"/>
        <v>0</v>
      </c>
      <c r="K1455" s="294"/>
      <c r="L1455" s="295"/>
      <c r="M1455" s="296">
        <v>0.05</v>
      </c>
      <c r="N1455" s="296">
        <f t="shared" si="133"/>
        <v>0</v>
      </c>
      <c r="O1455" s="299">
        <f t="shared" si="134"/>
        <v>0</v>
      </c>
      <c r="P1455" s="303"/>
    </row>
    <row r="1456" spans="2:16" ht="15.75" thickBot="1">
      <c r="B1456" s="184"/>
      <c r="C1456" s="185"/>
      <c r="D1456" s="186"/>
      <c r="E1456" s="186"/>
      <c r="F1456" s="187"/>
      <c r="G1456" s="187">
        <f t="shared" si="130"/>
        <v>0</v>
      </c>
      <c r="H1456" s="188">
        <v>0.05</v>
      </c>
      <c r="I1456" s="189">
        <f t="shared" si="131"/>
        <v>0</v>
      </c>
      <c r="J1456" s="189">
        <f t="shared" si="132"/>
        <v>0</v>
      </c>
      <c r="K1456" s="294"/>
      <c r="L1456" s="295"/>
      <c r="M1456" s="296">
        <v>0.05</v>
      </c>
      <c r="N1456" s="296">
        <f t="shared" si="133"/>
        <v>0</v>
      </c>
      <c r="O1456" s="299">
        <f t="shared" si="134"/>
        <v>0</v>
      </c>
      <c r="P1456" s="303"/>
    </row>
    <row r="1457" spans="2:16" ht="15.75" thickBot="1">
      <c r="B1457" s="184"/>
      <c r="C1457" s="185"/>
      <c r="D1457" s="186"/>
      <c r="E1457" s="186"/>
      <c r="F1457" s="187"/>
      <c r="G1457" s="187">
        <f t="shared" si="130"/>
        <v>0</v>
      </c>
      <c r="H1457" s="188">
        <v>0.05</v>
      </c>
      <c r="I1457" s="189">
        <f t="shared" si="131"/>
        <v>0</v>
      </c>
      <c r="J1457" s="189">
        <f t="shared" si="132"/>
        <v>0</v>
      </c>
      <c r="K1457" s="294"/>
      <c r="L1457" s="295"/>
      <c r="M1457" s="296">
        <v>0.05</v>
      </c>
      <c r="N1457" s="296">
        <f t="shared" si="133"/>
        <v>0</v>
      </c>
      <c r="O1457" s="299">
        <f t="shared" si="134"/>
        <v>0</v>
      </c>
      <c r="P1457" s="303"/>
    </row>
    <row r="1458" spans="2:16" ht="15.75" thickBot="1">
      <c r="B1458" s="184"/>
      <c r="C1458" s="185"/>
      <c r="D1458" s="186"/>
      <c r="E1458" s="186"/>
      <c r="F1458" s="187"/>
      <c r="G1458" s="187">
        <f t="shared" si="130"/>
        <v>0</v>
      </c>
      <c r="H1458" s="188">
        <v>0.05</v>
      </c>
      <c r="I1458" s="189">
        <f t="shared" si="131"/>
        <v>0</v>
      </c>
      <c r="J1458" s="189">
        <f t="shared" si="132"/>
        <v>0</v>
      </c>
      <c r="K1458" s="294"/>
      <c r="L1458" s="295"/>
      <c r="M1458" s="296">
        <v>0.05</v>
      </c>
      <c r="N1458" s="296">
        <f t="shared" si="133"/>
        <v>0</v>
      </c>
      <c r="O1458" s="299">
        <f t="shared" si="134"/>
        <v>0</v>
      </c>
      <c r="P1458" s="303"/>
    </row>
    <row r="1459" spans="2:16" ht="15.75" thickBot="1">
      <c r="B1459" s="184"/>
      <c r="C1459" s="185"/>
      <c r="D1459" s="186"/>
      <c r="E1459" s="186"/>
      <c r="F1459" s="187"/>
      <c r="G1459" s="187">
        <f t="shared" si="130"/>
        <v>0</v>
      </c>
      <c r="H1459" s="188">
        <v>0.05</v>
      </c>
      <c r="I1459" s="189">
        <f t="shared" si="131"/>
        <v>0</v>
      </c>
      <c r="J1459" s="189">
        <f t="shared" si="132"/>
        <v>0</v>
      </c>
      <c r="K1459" s="294"/>
      <c r="L1459" s="295"/>
      <c r="M1459" s="296">
        <v>0.05</v>
      </c>
      <c r="N1459" s="296">
        <f t="shared" si="133"/>
        <v>0</v>
      </c>
      <c r="O1459" s="299">
        <f t="shared" si="134"/>
        <v>0</v>
      </c>
      <c r="P1459" s="303"/>
    </row>
    <row r="1460" spans="2:16" ht="15.75" thickBot="1">
      <c r="B1460" s="184"/>
      <c r="C1460" s="185"/>
      <c r="D1460" s="186"/>
      <c r="E1460" s="186"/>
      <c r="F1460" s="187"/>
      <c r="G1460" s="187">
        <f t="shared" si="130"/>
        <v>0</v>
      </c>
      <c r="H1460" s="188">
        <v>0.05</v>
      </c>
      <c r="I1460" s="189">
        <f t="shared" si="131"/>
        <v>0</v>
      </c>
      <c r="J1460" s="189">
        <f t="shared" si="132"/>
        <v>0</v>
      </c>
      <c r="K1460" s="294"/>
      <c r="L1460" s="295"/>
      <c r="M1460" s="296">
        <v>0.05</v>
      </c>
      <c r="N1460" s="296">
        <f t="shared" si="133"/>
        <v>0</v>
      </c>
      <c r="O1460" s="299">
        <f t="shared" si="134"/>
        <v>0</v>
      </c>
      <c r="P1460" s="303"/>
    </row>
    <row r="1461" spans="2:16" ht="15.75" thickBot="1">
      <c r="B1461" s="184"/>
      <c r="C1461" s="185"/>
      <c r="D1461" s="186"/>
      <c r="E1461" s="186"/>
      <c r="F1461" s="187"/>
      <c r="G1461" s="187">
        <f t="shared" si="130"/>
        <v>0</v>
      </c>
      <c r="H1461" s="188">
        <v>0.05</v>
      </c>
      <c r="I1461" s="189">
        <f t="shared" si="131"/>
        <v>0</v>
      </c>
      <c r="J1461" s="189">
        <f t="shared" si="132"/>
        <v>0</v>
      </c>
      <c r="K1461" s="294"/>
      <c r="L1461" s="295"/>
      <c r="M1461" s="296">
        <v>0.05</v>
      </c>
      <c r="N1461" s="296">
        <f t="shared" si="133"/>
        <v>0</v>
      </c>
      <c r="O1461" s="299">
        <f t="shared" si="134"/>
        <v>0</v>
      </c>
      <c r="P1461" s="303"/>
    </row>
    <row r="1462" spans="2:16" ht="15.75" thickBot="1">
      <c r="B1462" s="184"/>
      <c r="C1462" s="185"/>
      <c r="D1462" s="186"/>
      <c r="E1462" s="186"/>
      <c r="F1462" s="187"/>
      <c r="G1462" s="187">
        <f t="shared" si="130"/>
        <v>0</v>
      </c>
      <c r="H1462" s="188">
        <v>0.05</v>
      </c>
      <c r="I1462" s="189">
        <f t="shared" si="131"/>
        <v>0</v>
      </c>
      <c r="J1462" s="189">
        <f t="shared" si="132"/>
        <v>0</v>
      </c>
      <c r="K1462" s="294"/>
      <c r="L1462" s="295"/>
      <c r="M1462" s="296">
        <v>0.05</v>
      </c>
      <c r="N1462" s="296">
        <f t="shared" si="133"/>
        <v>0</v>
      </c>
      <c r="O1462" s="299">
        <f t="shared" si="134"/>
        <v>0</v>
      </c>
      <c r="P1462" s="303"/>
    </row>
    <row r="1463" spans="2:16" ht="15.75" thickBot="1">
      <c r="B1463" s="184"/>
      <c r="C1463" s="185"/>
      <c r="D1463" s="186"/>
      <c r="E1463" s="186"/>
      <c r="F1463" s="187"/>
      <c r="G1463" s="187">
        <f t="shared" si="130"/>
        <v>0</v>
      </c>
      <c r="H1463" s="188">
        <v>0.05</v>
      </c>
      <c r="I1463" s="189">
        <f t="shared" si="131"/>
        <v>0</v>
      </c>
      <c r="J1463" s="189">
        <f t="shared" si="132"/>
        <v>0</v>
      </c>
      <c r="K1463" s="294"/>
      <c r="L1463" s="295"/>
      <c r="M1463" s="296">
        <v>0.05</v>
      </c>
      <c r="N1463" s="296">
        <f t="shared" si="133"/>
        <v>0</v>
      </c>
      <c r="O1463" s="299">
        <f t="shared" si="134"/>
        <v>0</v>
      </c>
      <c r="P1463" s="303"/>
    </row>
    <row r="1464" spans="2:16" ht="15.75" thickBot="1">
      <c r="B1464" s="184"/>
      <c r="C1464" s="185"/>
      <c r="D1464" s="186"/>
      <c r="E1464" s="186"/>
      <c r="F1464" s="187"/>
      <c r="G1464" s="187">
        <f t="shared" si="130"/>
        <v>0</v>
      </c>
      <c r="H1464" s="188">
        <v>0.05</v>
      </c>
      <c r="I1464" s="189">
        <f t="shared" si="131"/>
        <v>0</v>
      </c>
      <c r="J1464" s="189">
        <f t="shared" si="132"/>
        <v>0</v>
      </c>
      <c r="K1464" s="294"/>
      <c r="L1464" s="295"/>
      <c r="M1464" s="296">
        <v>0.05</v>
      </c>
      <c r="N1464" s="296">
        <f t="shared" si="133"/>
        <v>0</v>
      </c>
      <c r="O1464" s="299">
        <f t="shared" si="134"/>
        <v>0</v>
      </c>
      <c r="P1464" s="303"/>
    </row>
    <row r="1465" spans="2:16" ht="15.75" thickBot="1">
      <c r="B1465" s="184"/>
      <c r="C1465" s="185"/>
      <c r="D1465" s="186"/>
      <c r="E1465" s="186"/>
      <c r="F1465" s="187"/>
      <c r="G1465" s="187">
        <f t="shared" si="130"/>
        <v>0</v>
      </c>
      <c r="H1465" s="188">
        <v>0.05</v>
      </c>
      <c r="I1465" s="189">
        <f t="shared" si="131"/>
        <v>0</v>
      </c>
      <c r="J1465" s="189">
        <f t="shared" si="132"/>
        <v>0</v>
      </c>
      <c r="K1465" s="294"/>
      <c r="L1465" s="295"/>
      <c r="M1465" s="296">
        <v>0.05</v>
      </c>
      <c r="N1465" s="296">
        <f t="shared" si="133"/>
        <v>0</v>
      </c>
      <c r="O1465" s="299">
        <f t="shared" si="134"/>
        <v>0</v>
      </c>
      <c r="P1465" s="303"/>
    </row>
    <row r="1466" spans="2:16" ht="15.75" thickBot="1">
      <c r="B1466" s="184"/>
      <c r="C1466" s="185"/>
      <c r="D1466" s="186"/>
      <c r="E1466" s="186"/>
      <c r="F1466" s="187"/>
      <c r="G1466" s="187">
        <f t="shared" si="130"/>
        <v>0</v>
      </c>
      <c r="H1466" s="188">
        <v>0.05</v>
      </c>
      <c r="I1466" s="189">
        <f t="shared" si="131"/>
        <v>0</v>
      </c>
      <c r="J1466" s="189">
        <f t="shared" si="132"/>
        <v>0</v>
      </c>
      <c r="K1466" s="294"/>
      <c r="L1466" s="295"/>
      <c r="M1466" s="296">
        <v>0.05</v>
      </c>
      <c r="N1466" s="296">
        <f t="shared" si="133"/>
        <v>0</v>
      </c>
      <c r="O1466" s="299">
        <f t="shared" si="134"/>
        <v>0</v>
      </c>
      <c r="P1466" s="303"/>
    </row>
    <row r="1467" spans="2:16" ht="15.75" thickBot="1">
      <c r="B1467" s="184"/>
      <c r="C1467" s="185"/>
      <c r="D1467" s="186"/>
      <c r="E1467" s="186"/>
      <c r="F1467" s="187"/>
      <c r="G1467" s="187">
        <f t="shared" si="130"/>
        <v>0</v>
      </c>
      <c r="H1467" s="188">
        <v>0.05</v>
      </c>
      <c r="I1467" s="189">
        <f t="shared" si="131"/>
        <v>0</v>
      </c>
      <c r="J1467" s="189">
        <f t="shared" si="132"/>
        <v>0</v>
      </c>
      <c r="K1467" s="294"/>
      <c r="L1467" s="295"/>
      <c r="M1467" s="296">
        <v>0.05</v>
      </c>
      <c r="N1467" s="296">
        <f t="shared" si="133"/>
        <v>0</v>
      </c>
      <c r="O1467" s="299">
        <f t="shared" si="134"/>
        <v>0</v>
      </c>
      <c r="P1467" s="303"/>
    </row>
    <row r="1468" spans="2:16" ht="15.75" thickBot="1">
      <c r="B1468" s="184"/>
      <c r="C1468" s="185"/>
      <c r="D1468" s="186"/>
      <c r="E1468" s="186"/>
      <c r="F1468" s="187"/>
      <c r="G1468" s="187">
        <f t="shared" si="130"/>
        <v>0</v>
      </c>
      <c r="H1468" s="188">
        <v>0.05</v>
      </c>
      <c r="I1468" s="189">
        <f t="shared" si="131"/>
        <v>0</v>
      </c>
      <c r="J1468" s="189">
        <f t="shared" si="132"/>
        <v>0</v>
      </c>
      <c r="K1468" s="294"/>
      <c r="L1468" s="295"/>
      <c r="M1468" s="296">
        <v>0.05</v>
      </c>
      <c r="N1468" s="296">
        <f t="shared" si="133"/>
        <v>0</v>
      </c>
      <c r="O1468" s="299">
        <f t="shared" si="134"/>
        <v>0</v>
      </c>
      <c r="P1468" s="303"/>
    </row>
    <row r="1469" spans="2:16" ht="15.75" thickBot="1">
      <c r="B1469" s="184"/>
      <c r="C1469" s="185"/>
      <c r="D1469" s="186"/>
      <c r="E1469" s="186"/>
      <c r="F1469" s="187"/>
      <c r="G1469" s="187">
        <f t="shared" si="130"/>
        <v>0</v>
      </c>
      <c r="H1469" s="188">
        <v>0.05</v>
      </c>
      <c r="I1469" s="189">
        <f t="shared" si="131"/>
        <v>0</v>
      </c>
      <c r="J1469" s="189">
        <f t="shared" si="132"/>
        <v>0</v>
      </c>
      <c r="K1469" s="294"/>
      <c r="L1469" s="295"/>
      <c r="M1469" s="296">
        <v>0.05</v>
      </c>
      <c r="N1469" s="296">
        <f t="shared" si="133"/>
        <v>0</v>
      </c>
      <c r="O1469" s="299">
        <f t="shared" si="134"/>
        <v>0</v>
      </c>
      <c r="P1469" s="303"/>
    </row>
    <row r="1470" spans="2:16" ht="15.75" thickBot="1">
      <c r="B1470" s="184"/>
      <c r="C1470" s="185"/>
      <c r="D1470" s="186"/>
      <c r="E1470" s="186"/>
      <c r="F1470" s="187"/>
      <c r="G1470" s="187">
        <f t="shared" si="130"/>
        <v>0</v>
      </c>
      <c r="H1470" s="188">
        <v>0.05</v>
      </c>
      <c r="I1470" s="189">
        <f t="shared" si="131"/>
        <v>0</v>
      </c>
      <c r="J1470" s="189">
        <f t="shared" si="132"/>
        <v>0</v>
      </c>
      <c r="K1470" s="294"/>
      <c r="L1470" s="295"/>
      <c r="M1470" s="296">
        <v>0.05</v>
      </c>
      <c r="N1470" s="296">
        <f t="shared" si="133"/>
        <v>0</v>
      </c>
      <c r="O1470" s="299">
        <f t="shared" si="134"/>
        <v>0</v>
      </c>
      <c r="P1470" s="303"/>
    </row>
    <row r="1471" spans="2:16" ht="15.75" thickBot="1">
      <c r="B1471" s="184"/>
      <c r="C1471" s="185"/>
      <c r="D1471" s="186"/>
      <c r="E1471" s="186"/>
      <c r="F1471" s="187"/>
      <c r="G1471" s="187">
        <f t="shared" si="130"/>
        <v>0</v>
      </c>
      <c r="H1471" s="188">
        <v>0.05</v>
      </c>
      <c r="I1471" s="189">
        <f t="shared" si="131"/>
        <v>0</v>
      </c>
      <c r="J1471" s="189">
        <f t="shared" si="132"/>
        <v>0</v>
      </c>
      <c r="K1471" s="294"/>
      <c r="L1471" s="295"/>
      <c r="M1471" s="296">
        <v>0.05</v>
      </c>
      <c r="N1471" s="296">
        <f t="shared" si="133"/>
        <v>0</v>
      </c>
      <c r="O1471" s="299">
        <f t="shared" si="134"/>
        <v>0</v>
      </c>
      <c r="P1471" s="303"/>
    </row>
    <row r="1472" spans="2:16" ht="15.75" thickBot="1">
      <c r="B1472" s="184"/>
      <c r="C1472" s="185"/>
      <c r="D1472" s="186"/>
      <c r="E1472" s="186"/>
      <c r="F1472" s="187"/>
      <c r="G1472" s="187">
        <f t="shared" si="130"/>
        <v>0</v>
      </c>
      <c r="H1472" s="188">
        <v>0.05</v>
      </c>
      <c r="I1472" s="189">
        <f t="shared" si="131"/>
        <v>0</v>
      </c>
      <c r="J1472" s="189">
        <f t="shared" si="132"/>
        <v>0</v>
      </c>
      <c r="K1472" s="294"/>
      <c r="L1472" s="295"/>
      <c r="M1472" s="296">
        <v>0.05</v>
      </c>
      <c r="N1472" s="296">
        <f t="shared" si="133"/>
        <v>0</v>
      </c>
      <c r="O1472" s="299">
        <f t="shared" si="134"/>
        <v>0</v>
      </c>
      <c r="P1472" s="303"/>
    </row>
    <row r="1473" spans="2:16" ht="15.75" thickBot="1">
      <c r="B1473" s="184"/>
      <c r="C1473" s="185"/>
      <c r="D1473" s="186"/>
      <c r="E1473" s="186"/>
      <c r="F1473" s="187"/>
      <c r="G1473" s="187">
        <f t="shared" si="130"/>
        <v>0</v>
      </c>
      <c r="H1473" s="188">
        <v>0.05</v>
      </c>
      <c r="I1473" s="189">
        <f t="shared" si="131"/>
        <v>0</v>
      </c>
      <c r="J1473" s="189">
        <f t="shared" si="132"/>
        <v>0</v>
      </c>
      <c r="K1473" s="294"/>
      <c r="L1473" s="295"/>
      <c r="M1473" s="296">
        <v>0.05</v>
      </c>
      <c r="N1473" s="296">
        <f t="shared" si="133"/>
        <v>0</v>
      </c>
      <c r="O1473" s="299">
        <f t="shared" si="134"/>
        <v>0</v>
      </c>
      <c r="P1473" s="303"/>
    </row>
    <row r="1474" spans="2:16" ht="15.75" thickBot="1">
      <c r="B1474" s="184"/>
      <c r="C1474" s="185"/>
      <c r="D1474" s="186"/>
      <c r="E1474" s="186"/>
      <c r="F1474" s="187"/>
      <c r="G1474" s="187">
        <f t="shared" si="130"/>
        <v>0</v>
      </c>
      <c r="H1474" s="188">
        <v>0.05</v>
      </c>
      <c r="I1474" s="189">
        <f t="shared" si="131"/>
        <v>0</v>
      </c>
      <c r="J1474" s="189">
        <f t="shared" si="132"/>
        <v>0</v>
      </c>
      <c r="K1474" s="294"/>
      <c r="L1474" s="295"/>
      <c r="M1474" s="296">
        <v>0.05</v>
      </c>
      <c r="N1474" s="296">
        <f t="shared" si="133"/>
        <v>0</v>
      </c>
      <c r="O1474" s="299">
        <f t="shared" si="134"/>
        <v>0</v>
      </c>
      <c r="P1474" s="303"/>
    </row>
    <row r="1475" spans="2:16" ht="15.75" thickBot="1">
      <c r="B1475" s="184"/>
      <c r="C1475" s="185"/>
      <c r="D1475" s="186"/>
      <c r="E1475" s="186"/>
      <c r="F1475" s="187"/>
      <c r="G1475" s="187">
        <f t="shared" si="130"/>
        <v>0</v>
      </c>
      <c r="H1475" s="188">
        <v>0.05</v>
      </c>
      <c r="I1475" s="189">
        <f t="shared" si="131"/>
        <v>0</v>
      </c>
      <c r="J1475" s="189">
        <f t="shared" si="132"/>
        <v>0</v>
      </c>
      <c r="K1475" s="294"/>
      <c r="L1475" s="295"/>
      <c r="M1475" s="296">
        <v>0.05</v>
      </c>
      <c r="N1475" s="296">
        <f t="shared" si="133"/>
        <v>0</v>
      </c>
      <c r="O1475" s="299">
        <f t="shared" si="134"/>
        <v>0</v>
      </c>
      <c r="P1475" s="303"/>
    </row>
    <row r="1476" spans="2:16" ht="15.75" thickBot="1">
      <c r="B1476" s="184"/>
      <c r="C1476" s="185"/>
      <c r="D1476" s="186"/>
      <c r="E1476" s="186"/>
      <c r="F1476" s="187"/>
      <c r="G1476" s="187">
        <f t="shared" si="130"/>
        <v>0</v>
      </c>
      <c r="H1476" s="188">
        <v>0.05</v>
      </c>
      <c r="I1476" s="189">
        <f t="shared" si="131"/>
        <v>0</v>
      </c>
      <c r="J1476" s="189">
        <f t="shared" si="132"/>
        <v>0</v>
      </c>
      <c r="K1476" s="294"/>
      <c r="L1476" s="295"/>
      <c r="M1476" s="296">
        <v>0.05</v>
      </c>
      <c r="N1476" s="296">
        <f t="shared" si="133"/>
        <v>0</v>
      </c>
      <c r="O1476" s="299">
        <f t="shared" si="134"/>
        <v>0</v>
      </c>
      <c r="P1476" s="303"/>
    </row>
    <row r="1477" spans="2:16" ht="15.75" thickBot="1">
      <c r="B1477" s="184"/>
      <c r="C1477" s="185"/>
      <c r="D1477" s="186"/>
      <c r="E1477" s="186"/>
      <c r="F1477" s="187"/>
      <c r="G1477" s="187">
        <f t="shared" si="130"/>
        <v>0</v>
      </c>
      <c r="H1477" s="188">
        <v>0.05</v>
      </c>
      <c r="I1477" s="189">
        <f t="shared" si="131"/>
        <v>0</v>
      </c>
      <c r="J1477" s="189">
        <f t="shared" si="132"/>
        <v>0</v>
      </c>
      <c r="K1477" s="294"/>
      <c r="L1477" s="295"/>
      <c r="M1477" s="296">
        <v>0.05</v>
      </c>
      <c r="N1477" s="296">
        <f t="shared" si="133"/>
        <v>0</v>
      </c>
      <c r="O1477" s="299">
        <f t="shared" si="134"/>
        <v>0</v>
      </c>
      <c r="P1477" s="303"/>
    </row>
    <row r="1478" spans="2:16" ht="15.75" thickBot="1">
      <c r="B1478" s="184"/>
      <c r="C1478" s="185"/>
      <c r="D1478" s="186"/>
      <c r="E1478" s="186"/>
      <c r="F1478" s="187"/>
      <c r="G1478" s="187">
        <f t="shared" si="130"/>
        <v>0</v>
      </c>
      <c r="H1478" s="188">
        <v>0.05</v>
      </c>
      <c r="I1478" s="189">
        <f t="shared" si="131"/>
        <v>0</v>
      </c>
      <c r="J1478" s="189">
        <f t="shared" si="132"/>
        <v>0</v>
      </c>
      <c r="K1478" s="294"/>
      <c r="L1478" s="295"/>
      <c r="M1478" s="296">
        <v>0.05</v>
      </c>
      <c r="N1478" s="296">
        <f t="shared" si="133"/>
        <v>0</v>
      </c>
      <c r="O1478" s="299">
        <f t="shared" si="134"/>
        <v>0</v>
      </c>
      <c r="P1478" s="303"/>
    </row>
    <row r="1479" spans="2:16" ht="15.75" thickBot="1">
      <c r="B1479" s="184"/>
      <c r="C1479" s="185"/>
      <c r="D1479" s="186"/>
      <c r="E1479" s="186"/>
      <c r="F1479" s="187"/>
      <c r="G1479" s="187">
        <f t="shared" si="130"/>
        <v>0</v>
      </c>
      <c r="H1479" s="188">
        <v>0.05</v>
      </c>
      <c r="I1479" s="189">
        <f t="shared" si="131"/>
        <v>0</v>
      </c>
      <c r="J1479" s="189">
        <f t="shared" si="132"/>
        <v>0</v>
      </c>
      <c r="K1479" s="294"/>
      <c r="L1479" s="295"/>
      <c r="M1479" s="296">
        <v>0.05</v>
      </c>
      <c r="N1479" s="296">
        <f t="shared" si="133"/>
        <v>0</v>
      </c>
      <c r="O1479" s="299">
        <f t="shared" si="134"/>
        <v>0</v>
      </c>
      <c r="P1479" s="303"/>
    </row>
    <row r="1480" spans="2:16" ht="15.75" thickBot="1">
      <c r="B1480" s="184"/>
      <c r="C1480" s="185"/>
      <c r="D1480" s="186"/>
      <c r="E1480" s="186"/>
      <c r="F1480" s="187"/>
      <c r="G1480" s="187">
        <f t="shared" si="130"/>
        <v>0</v>
      </c>
      <c r="H1480" s="188">
        <v>0.05</v>
      </c>
      <c r="I1480" s="189">
        <f t="shared" si="131"/>
        <v>0</v>
      </c>
      <c r="J1480" s="189">
        <f t="shared" si="132"/>
        <v>0</v>
      </c>
      <c r="K1480" s="294"/>
      <c r="L1480" s="295"/>
      <c r="M1480" s="296">
        <v>0.05</v>
      </c>
      <c r="N1480" s="296">
        <f t="shared" si="133"/>
        <v>0</v>
      </c>
      <c r="O1480" s="299">
        <f t="shared" si="134"/>
        <v>0</v>
      </c>
      <c r="P1480" s="303"/>
    </row>
    <row r="1481" spans="2:16" ht="15.75" thickBot="1">
      <c r="B1481" s="184"/>
      <c r="C1481" s="185"/>
      <c r="D1481" s="186"/>
      <c r="E1481" s="186"/>
      <c r="F1481" s="187"/>
      <c r="G1481" s="187">
        <f t="shared" si="130"/>
        <v>0</v>
      </c>
      <c r="H1481" s="188">
        <v>0.05</v>
      </c>
      <c r="I1481" s="189">
        <f t="shared" si="131"/>
        <v>0</v>
      </c>
      <c r="J1481" s="189">
        <f t="shared" si="132"/>
        <v>0</v>
      </c>
      <c r="K1481" s="294"/>
      <c r="L1481" s="295"/>
      <c r="M1481" s="296">
        <v>0.05</v>
      </c>
      <c r="N1481" s="296">
        <f t="shared" si="133"/>
        <v>0</v>
      </c>
      <c r="O1481" s="299">
        <f t="shared" si="134"/>
        <v>0</v>
      </c>
      <c r="P1481" s="303"/>
    </row>
    <row r="1482" spans="2:16" ht="15.75" thickBot="1">
      <c r="B1482" s="184"/>
      <c r="C1482" s="185"/>
      <c r="D1482" s="186"/>
      <c r="E1482" s="186"/>
      <c r="F1482" s="187"/>
      <c r="G1482" s="187">
        <f t="shared" si="130"/>
        <v>0</v>
      </c>
      <c r="H1482" s="188">
        <v>0.05</v>
      </c>
      <c r="I1482" s="189">
        <f t="shared" si="131"/>
        <v>0</v>
      </c>
      <c r="J1482" s="189">
        <f t="shared" si="132"/>
        <v>0</v>
      </c>
      <c r="K1482" s="294"/>
      <c r="L1482" s="295"/>
      <c r="M1482" s="296">
        <v>0.05</v>
      </c>
      <c r="N1482" s="296">
        <f t="shared" si="133"/>
        <v>0</v>
      </c>
      <c r="O1482" s="299">
        <f t="shared" si="134"/>
        <v>0</v>
      </c>
      <c r="P1482" s="303"/>
    </row>
    <row r="1483" spans="2:16" ht="15.75" thickBot="1">
      <c r="B1483" s="184"/>
      <c r="C1483" s="185"/>
      <c r="D1483" s="186"/>
      <c r="E1483" s="186"/>
      <c r="F1483" s="187"/>
      <c r="G1483" s="187">
        <f t="shared" si="130"/>
        <v>0</v>
      </c>
      <c r="H1483" s="188">
        <v>0.05</v>
      </c>
      <c r="I1483" s="189">
        <f t="shared" si="131"/>
        <v>0</v>
      </c>
      <c r="J1483" s="189">
        <f t="shared" si="132"/>
        <v>0</v>
      </c>
      <c r="K1483" s="294"/>
      <c r="L1483" s="295"/>
      <c r="M1483" s="296">
        <v>0.05</v>
      </c>
      <c r="N1483" s="296">
        <f t="shared" si="133"/>
        <v>0</v>
      </c>
      <c r="O1483" s="299">
        <f t="shared" si="134"/>
        <v>0</v>
      </c>
      <c r="P1483" s="303"/>
    </row>
    <row r="1484" spans="2:16" ht="15.75" thickBot="1">
      <c r="B1484" s="184"/>
      <c r="C1484" s="185"/>
      <c r="D1484" s="186"/>
      <c r="E1484" s="186"/>
      <c r="F1484" s="187"/>
      <c r="G1484" s="187">
        <f t="shared" si="130"/>
        <v>0</v>
      </c>
      <c r="H1484" s="188">
        <v>0.05</v>
      </c>
      <c r="I1484" s="189">
        <f t="shared" si="131"/>
        <v>0</v>
      </c>
      <c r="J1484" s="189">
        <f t="shared" si="132"/>
        <v>0</v>
      </c>
      <c r="K1484" s="294"/>
      <c r="L1484" s="295"/>
      <c r="M1484" s="296">
        <v>0.05</v>
      </c>
      <c r="N1484" s="296">
        <f t="shared" si="133"/>
        <v>0</v>
      </c>
      <c r="O1484" s="299">
        <f t="shared" si="134"/>
        <v>0</v>
      </c>
      <c r="P1484" s="303"/>
    </row>
    <row r="1485" spans="2:16" ht="15.75" thickBot="1">
      <c r="B1485" s="184"/>
      <c r="C1485" s="185"/>
      <c r="D1485" s="186"/>
      <c r="E1485" s="186"/>
      <c r="F1485" s="187"/>
      <c r="G1485" s="187">
        <f t="shared" si="130"/>
        <v>0</v>
      </c>
      <c r="H1485" s="188">
        <v>0.05</v>
      </c>
      <c r="I1485" s="189">
        <f t="shared" si="131"/>
        <v>0</v>
      </c>
      <c r="J1485" s="189">
        <f t="shared" si="132"/>
        <v>0</v>
      </c>
      <c r="K1485" s="294"/>
      <c r="L1485" s="295"/>
      <c r="M1485" s="296">
        <v>0.05</v>
      </c>
      <c r="N1485" s="296">
        <f t="shared" si="133"/>
        <v>0</v>
      </c>
      <c r="O1485" s="299">
        <f t="shared" si="134"/>
        <v>0</v>
      </c>
      <c r="P1485" s="303"/>
    </row>
    <row r="1486" spans="2:16" ht="15.75" thickBot="1">
      <c r="B1486" s="184"/>
      <c r="C1486" s="185"/>
      <c r="D1486" s="186"/>
      <c r="E1486" s="186"/>
      <c r="F1486" s="187"/>
      <c r="G1486" s="187">
        <f t="shared" si="130"/>
        <v>0</v>
      </c>
      <c r="H1486" s="188">
        <v>0.05</v>
      </c>
      <c r="I1486" s="189">
        <f t="shared" si="131"/>
        <v>0</v>
      </c>
      <c r="J1486" s="189">
        <f t="shared" si="132"/>
        <v>0</v>
      </c>
      <c r="K1486" s="294"/>
      <c r="L1486" s="295"/>
      <c r="M1486" s="296">
        <v>0.05</v>
      </c>
      <c r="N1486" s="296">
        <f t="shared" si="133"/>
        <v>0</v>
      </c>
      <c r="O1486" s="299">
        <f t="shared" si="134"/>
        <v>0</v>
      </c>
      <c r="P1486" s="303"/>
    </row>
    <row r="1487" spans="2:16" ht="15.75" thickBot="1">
      <c r="B1487" s="184"/>
      <c r="C1487" s="185"/>
      <c r="D1487" s="186"/>
      <c r="E1487" s="186"/>
      <c r="F1487" s="187"/>
      <c r="G1487" s="187">
        <f t="shared" si="130"/>
        <v>0</v>
      </c>
      <c r="H1487" s="188">
        <v>0.05</v>
      </c>
      <c r="I1487" s="189">
        <f t="shared" si="131"/>
        <v>0</v>
      </c>
      <c r="J1487" s="189">
        <f t="shared" si="132"/>
        <v>0</v>
      </c>
      <c r="K1487" s="294"/>
      <c r="L1487" s="295"/>
      <c r="M1487" s="296">
        <v>0.05</v>
      </c>
      <c r="N1487" s="296">
        <f t="shared" si="133"/>
        <v>0</v>
      </c>
      <c r="O1487" s="299">
        <f t="shared" si="134"/>
        <v>0</v>
      </c>
      <c r="P1487" s="303"/>
    </row>
    <row r="1488" spans="2:16" ht="15.75" thickBot="1">
      <c r="B1488" s="184"/>
      <c r="C1488" s="185"/>
      <c r="D1488" s="186"/>
      <c r="E1488" s="186"/>
      <c r="F1488" s="187"/>
      <c r="G1488" s="187">
        <f t="shared" si="130"/>
        <v>0</v>
      </c>
      <c r="H1488" s="188">
        <v>0.05</v>
      </c>
      <c r="I1488" s="189">
        <f t="shared" si="131"/>
        <v>0</v>
      </c>
      <c r="J1488" s="189">
        <f t="shared" si="132"/>
        <v>0</v>
      </c>
      <c r="K1488" s="294"/>
      <c r="L1488" s="295"/>
      <c r="M1488" s="296">
        <v>0.05</v>
      </c>
      <c r="N1488" s="296">
        <f t="shared" si="133"/>
        <v>0</v>
      </c>
      <c r="O1488" s="299">
        <f t="shared" si="134"/>
        <v>0</v>
      </c>
      <c r="P1488" s="303"/>
    </row>
    <row r="1489" spans="2:16" ht="15.75" thickBot="1">
      <c r="B1489" s="184"/>
      <c r="C1489" s="185"/>
      <c r="D1489" s="186"/>
      <c r="E1489" s="186"/>
      <c r="F1489" s="187"/>
      <c r="G1489" s="187">
        <f t="shared" si="130"/>
        <v>0</v>
      </c>
      <c r="H1489" s="188">
        <v>0.05</v>
      </c>
      <c r="I1489" s="189">
        <f t="shared" si="131"/>
        <v>0</v>
      </c>
      <c r="J1489" s="189">
        <f t="shared" si="132"/>
        <v>0</v>
      </c>
      <c r="K1489" s="294"/>
      <c r="L1489" s="295"/>
      <c r="M1489" s="296">
        <v>0.05</v>
      </c>
      <c r="N1489" s="296">
        <f t="shared" si="133"/>
        <v>0</v>
      </c>
      <c r="O1489" s="299">
        <f t="shared" si="134"/>
        <v>0</v>
      </c>
      <c r="P1489" s="303"/>
    </row>
    <row r="1490" spans="2:16" ht="15.75" thickBot="1">
      <c r="B1490" s="184"/>
      <c r="C1490" s="185"/>
      <c r="D1490" s="186"/>
      <c r="E1490" s="186"/>
      <c r="F1490" s="187"/>
      <c r="G1490" s="187">
        <f t="shared" si="130"/>
        <v>0</v>
      </c>
      <c r="H1490" s="188">
        <v>0.05</v>
      </c>
      <c r="I1490" s="189">
        <f t="shared" si="131"/>
        <v>0</v>
      </c>
      <c r="J1490" s="189">
        <f t="shared" si="132"/>
        <v>0</v>
      </c>
      <c r="K1490" s="294"/>
      <c r="L1490" s="295"/>
      <c r="M1490" s="296">
        <v>0.05</v>
      </c>
      <c r="N1490" s="296">
        <f t="shared" si="133"/>
        <v>0</v>
      </c>
      <c r="O1490" s="299">
        <f t="shared" si="134"/>
        <v>0</v>
      </c>
      <c r="P1490" s="303"/>
    </row>
    <row r="1491" spans="2:16" ht="15.75" thickBot="1">
      <c r="B1491" s="184"/>
      <c r="C1491" s="185"/>
      <c r="D1491" s="186"/>
      <c r="E1491" s="186"/>
      <c r="F1491" s="187"/>
      <c r="G1491" s="187">
        <f t="shared" si="130"/>
        <v>0</v>
      </c>
      <c r="H1491" s="188">
        <v>0.05</v>
      </c>
      <c r="I1491" s="189">
        <f t="shared" si="131"/>
        <v>0</v>
      </c>
      <c r="J1491" s="189">
        <f t="shared" si="132"/>
        <v>0</v>
      </c>
      <c r="K1491" s="294"/>
      <c r="L1491" s="295"/>
      <c r="M1491" s="296">
        <v>0.05</v>
      </c>
      <c r="N1491" s="296">
        <f t="shared" si="133"/>
        <v>0</v>
      </c>
      <c r="O1491" s="299">
        <f t="shared" si="134"/>
        <v>0</v>
      </c>
      <c r="P1491" s="303"/>
    </row>
    <row r="1492" spans="2:16" ht="15.75" thickBot="1">
      <c r="B1492" s="184"/>
      <c r="C1492" s="185"/>
      <c r="D1492" s="186"/>
      <c r="E1492" s="186"/>
      <c r="F1492" s="187"/>
      <c r="G1492" s="187">
        <f t="shared" si="130"/>
        <v>0</v>
      </c>
      <c r="H1492" s="188">
        <v>0.05</v>
      </c>
      <c r="I1492" s="189">
        <f t="shared" si="131"/>
        <v>0</v>
      </c>
      <c r="J1492" s="189">
        <f t="shared" si="132"/>
        <v>0</v>
      </c>
      <c r="K1492" s="294"/>
      <c r="L1492" s="295"/>
      <c r="M1492" s="296">
        <v>0.05</v>
      </c>
      <c r="N1492" s="296">
        <f t="shared" si="133"/>
        <v>0</v>
      </c>
      <c r="O1492" s="299">
        <f t="shared" si="134"/>
        <v>0</v>
      </c>
      <c r="P1492" s="303"/>
    </row>
    <row r="1493" spans="2:16" ht="15.75" thickBot="1">
      <c r="B1493" s="184"/>
      <c r="C1493" s="185"/>
      <c r="D1493" s="186"/>
      <c r="E1493" s="186"/>
      <c r="F1493" s="187"/>
      <c r="G1493" s="187">
        <f t="shared" si="130"/>
        <v>0</v>
      </c>
      <c r="H1493" s="188">
        <v>0.05</v>
      </c>
      <c r="I1493" s="189">
        <f t="shared" si="131"/>
        <v>0</v>
      </c>
      <c r="J1493" s="189">
        <f t="shared" si="132"/>
        <v>0</v>
      </c>
      <c r="K1493" s="294"/>
      <c r="L1493" s="295"/>
      <c r="M1493" s="296">
        <v>0.05</v>
      </c>
      <c r="N1493" s="296">
        <f t="shared" si="133"/>
        <v>0</v>
      </c>
      <c r="O1493" s="299">
        <f t="shared" si="134"/>
        <v>0</v>
      </c>
      <c r="P1493" s="303"/>
    </row>
    <row r="1494" spans="2:16" ht="15.75" thickBot="1">
      <c r="B1494" s="184"/>
      <c r="C1494" s="185"/>
      <c r="D1494" s="186"/>
      <c r="E1494" s="186"/>
      <c r="F1494" s="187"/>
      <c r="G1494" s="187">
        <f t="shared" si="130"/>
        <v>0</v>
      </c>
      <c r="H1494" s="188">
        <v>0.05</v>
      </c>
      <c r="I1494" s="189">
        <f t="shared" si="131"/>
        <v>0</v>
      </c>
      <c r="J1494" s="189">
        <f t="shared" si="132"/>
        <v>0</v>
      </c>
      <c r="K1494" s="294"/>
      <c r="L1494" s="295"/>
      <c r="M1494" s="296">
        <v>0.05</v>
      </c>
      <c r="N1494" s="296">
        <f t="shared" si="133"/>
        <v>0</v>
      </c>
      <c r="O1494" s="299">
        <f t="shared" si="134"/>
        <v>0</v>
      </c>
      <c r="P1494" s="303"/>
    </row>
    <row r="1495" spans="2:16" ht="15.75" thickBot="1">
      <c r="B1495" s="184"/>
      <c r="C1495" s="185"/>
      <c r="D1495" s="186"/>
      <c r="E1495" s="186"/>
      <c r="F1495" s="187"/>
      <c r="G1495" s="187">
        <f t="shared" si="130"/>
        <v>0</v>
      </c>
      <c r="H1495" s="188">
        <v>0.05</v>
      </c>
      <c r="I1495" s="189">
        <f t="shared" si="131"/>
        <v>0</v>
      </c>
      <c r="J1495" s="189">
        <f t="shared" si="132"/>
        <v>0</v>
      </c>
      <c r="K1495" s="294"/>
      <c r="L1495" s="295"/>
      <c r="M1495" s="296">
        <v>0.05</v>
      </c>
      <c r="N1495" s="296">
        <f t="shared" si="133"/>
        <v>0</v>
      </c>
      <c r="O1495" s="299">
        <f t="shared" si="134"/>
        <v>0</v>
      </c>
      <c r="P1495" s="303"/>
    </row>
    <row r="1496" spans="2:16" ht="15.75" thickBot="1">
      <c r="B1496" s="184"/>
      <c r="C1496" s="185"/>
      <c r="D1496" s="186"/>
      <c r="E1496" s="186"/>
      <c r="F1496" s="187"/>
      <c r="G1496" s="187">
        <f t="shared" si="130"/>
        <v>0</v>
      </c>
      <c r="H1496" s="188">
        <v>0.05</v>
      </c>
      <c r="I1496" s="189">
        <f t="shared" si="131"/>
        <v>0</v>
      </c>
      <c r="J1496" s="189">
        <f t="shared" si="132"/>
        <v>0</v>
      </c>
      <c r="K1496" s="294"/>
      <c r="L1496" s="295"/>
      <c r="M1496" s="296">
        <v>0.05</v>
      </c>
      <c r="N1496" s="296">
        <f t="shared" si="133"/>
        <v>0</v>
      </c>
      <c r="O1496" s="299">
        <f t="shared" si="134"/>
        <v>0</v>
      </c>
      <c r="P1496" s="303"/>
    </row>
    <row r="1497" spans="2:16" ht="15.75" thickBot="1">
      <c r="B1497" s="184"/>
      <c r="C1497" s="185"/>
      <c r="D1497" s="186"/>
      <c r="E1497" s="186"/>
      <c r="F1497" s="187"/>
      <c r="G1497" s="187">
        <f t="shared" si="130"/>
        <v>0</v>
      </c>
      <c r="H1497" s="188">
        <v>0.05</v>
      </c>
      <c r="I1497" s="189">
        <f t="shared" si="131"/>
        <v>0</v>
      </c>
      <c r="J1497" s="189">
        <f t="shared" si="132"/>
        <v>0</v>
      </c>
      <c r="K1497" s="294"/>
      <c r="L1497" s="295"/>
      <c r="M1497" s="296">
        <v>0.05</v>
      </c>
      <c r="N1497" s="296">
        <f t="shared" si="133"/>
        <v>0</v>
      </c>
      <c r="O1497" s="299">
        <f t="shared" si="134"/>
        <v>0</v>
      </c>
      <c r="P1497" s="303"/>
    </row>
    <row r="1498" spans="2:16" ht="15.75" thickBot="1">
      <c r="B1498" s="184"/>
      <c r="C1498" s="185"/>
      <c r="D1498" s="186"/>
      <c r="E1498" s="186"/>
      <c r="F1498" s="187"/>
      <c r="G1498" s="187">
        <f t="shared" si="130"/>
        <v>0</v>
      </c>
      <c r="H1498" s="188">
        <v>0.05</v>
      </c>
      <c r="I1498" s="189">
        <f t="shared" si="131"/>
        <v>0</v>
      </c>
      <c r="J1498" s="189">
        <f t="shared" si="132"/>
        <v>0</v>
      </c>
      <c r="K1498" s="294"/>
      <c r="L1498" s="295"/>
      <c r="M1498" s="296">
        <v>0.05</v>
      </c>
      <c r="N1498" s="296">
        <f t="shared" si="133"/>
        <v>0</v>
      </c>
      <c r="O1498" s="299">
        <f t="shared" si="134"/>
        <v>0</v>
      </c>
      <c r="P1498" s="303"/>
    </row>
    <row r="1499" spans="2:16" ht="15.75" thickBot="1">
      <c r="B1499" s="184"/>
      <c r="C1499" s="185"/>
      <c r="D1499" s="186"/>
      <c r="E1499" s="186"/>
      <c r="F1499" s="187"/>
      <c r="G1499" s="187">
        <f t="shared" si="130"/>
        <v>0</v>
      </c>
      <c r="H1499" s="188">
        <v>0.05</v>
      </c>
      <c r="I1499" s="189">
        <f t="shared" si="131"/>
        <v>0</v>
      </c>
      <c r="J1499" s="189">
        <f t="shared" si="132"/>
        <v>0</v>
      </c>
      <c r="K1499" s="294"/>
      <c r="L1499" s="295"/>
      <c r="M1499" s="296">
        <v>0.05</v>
      </c>
      <c r="N1499" s="296">
        <f t="shared" si="133"/>
        <v>0</v>
      </c>
      <c r="O1499" s="299">
        <f t="shared" si="134"/>
        <v>0</v>
      </c>
      <c r="P1499" s="303"/>
    </row>
    <row r="1500" spans="2:16" ht="15.75" thickBot="1">
      <c r="B1500" s="184"/>
      <c r="C1500" s="185"/>
      <c r="D1500" s="186"/>
      <c r="E1500" s="186"/>
      <c r="F1500" s="187"/>
      <c r="G1500" s="187">
        <f t="shared" si="130"/>
        <v>0</v>
      </c>
      <c r="H1500" s="188">
        <v>0.05</v>
      </c>
      <c r="I1500" s="189">
        <f t="shared" si="131"/>
        <v>0</v>
      </c>
      <c r="J1500" s="189">
        <f t="shared" si="132"/>
        <v>0</v>
      </c>
      <c r="K1500" s="294"/>
      <c r="L1500" s="295"/>
      <c r="M1500" s="296">
        <v>0.05</v>
      </c>
      <c r="N1500" s="296">
        <f t="shared" si="133"/>
        <v>0</v>
      </c>
      <c r="O1500" s="299">
        <f t="shared" si="134"/>
        <v>0</v>
      </c>
      <c r="P1500" s="303"/>
    </row>
    <row r="1501" spans="2:16" ht="15.75" thickBot="1">
      <c r="B1501" s="184"/>
      <c r="C1501" s="185"/>
      <c r="D1501" s="186"/>
      <c r="E1501" s="186"/>
      <c r="F1501" s="187"/>
      <c r="G1501" s="187">
        <f t="shared" si="130"/>
        <v>0</v>
      </c>
      <c r="H1501" s="188">
        <v>0.05</v>
      </c>
      <c r="I1501" s="189">
        <f t="shared" si="131"/>
        <v>0</v>
      </c>
      <c r="J1501" s="189">
        <f t="shared" si="132"/>
        <v>0</v>
      </c>
      <c r="K1501" s="294"/>
      <c r="L1501" s="295"/>
      <c r="M1501" s="296">
        <v>0.05</v>
      </c>
      <c r="N1501" s="296">
        <f t="shared" si="133"/>
        <v>0</v>
      </c>
      <c r="O1501" s="299">
        <f t="shared" si="134"/>
        <v>0</v>
      </c>
      <c r="P1501" s="303"/>
    </row>
    <row r="1502" spans="2:16" ht="15.75" thickBot="1">
      <c r="B1502" s="184"/>
      <c r="C1502" s="185"/>
      <c r="D1502" s="186"/>
      <c r="E1502" s="186"/>
      <c r="F1502" s="187"/>
      <c r="G1502" s="187">
        <f t="shared" si="130"/>
        <v>0</v>
      </c>
      <c r="H1502" s="188">
        <v>0.05</v>
      </c>
      <c r="I1502" s="189">
        <f t="shared" si="131"/>
        <v>0</v>
      </c>
      <c r="J1502" s="189">
        <f t="shared" si="132"/>
        <v>0</v>
      </c>
      <c r="K1502" s="294"/>
      <c r="L1502" s="295"/>
      <c r="M1502" s="296">
        <v>0.05</v>
      </c>
      <c r="N1502" s="296">
        <f t="shared" si="133"/>
        <v>0</v>
      </c>
      <c r="O1502" s="299">
        <f t="shared" si="134"/>
        <v>0</v>
      </c>
      <c r="P1502" s="303"/>
    </row>
    <row r="1503" spans="2:16" ht="15.75" thickBot="1">
      <c r="B1503" s="184"/>
      <c r="C1503" s="185"/>
      <c r="D1503" s="186"/>
      <c r="E1503" s="186"/>
      <c r="F1503" s="187"/>
      <c r="G1503" s="187">
        <f t="shared" si="130"/>
        <v>0</v>
      </c>
      <c r="H1503" s="188">
        <v>0.05</v>
      </c>
      <c r="I1503" s="189">
        <f t="shared" si="131"/>
        <v>0</v>
      </c>
      <c r="J1503" s="189">
        <f t="shared" si="132"/>
        <v>0</v>
      </c>
      <c r="K1503" s="294"/>
      <c r="L1503" s="295"/>
      <c r="M1503" s="296">
        <v>0.05</v>
      </c>
      <c r="N1503" s="296">
        <f t="shared" si="133"/>
        <v>0</v>
      </c>
      <c r="O1503" s="299">
        <f t="shared" si="134"/>
        <v>0</v>
      </c>
      <c r="P1503" s="303"/>
    </row>
    <row r="1504" spans="2:16" ht="15.75" thickBot="1">
      <c r="B1504" s="184"/>
      <c r="C1504" s="185"/>
      <c r="D1504" s="186"/>
      <c r="E1504" s="186"/>
      <c r="F1504" s="187"/>
      <c r="G1504" s="187">
        <f t="shared" si="130"/>
        <v>0</v>
      </c>
      <c r="H1504" s="188">
        <v>0.05</v>
      </c>
      <c r="I1504" s="189">
        <f t="shared" si="131"/>
        <v>0</v>
      </c>
      <c r="J1504" s="189">
        <f t="shared" si="132"/>
        <v>0</v>
      </c>
      <c r="K1504" s="294"/>
      <c r="L1504" s="295"/>
      <c r="M1504" s="296">
        <v>0.05</v>
      </c>
      <c r="N1504" s="296">
        <f t="shared" si="133"/>
        <v>0</v>
      </c>
      <c r="O1504" s="299">
        <f t="shared" si="134"/>
        <v>0</v>
      </c>
      <c r="P1504" s="303"/>
    </row>
    <row r="1505" spans="2:16" ht="15.75" thickBot="1">
      <c r="B1505" s="184"/>
      <c r="C1505" s="185"/>
      <c r="D1505" s="186"/>
      <c r="E1505" s="186"/>
      <c r="F1505" s="187"/>
      <c r="G1505" s="187">
        <f t="shared" si="130"/>
        <v>0</v>
      </c>
      <c r="H1505" s="188">
        <v>0.05</v>
      </c>
      <c r="I1505" s="189">
        <f t="shared" si="131"/>
        <v>0</v>
      </c>
      <c r="J1505" s="189">
        <f t="shared" si="132"/>
        <v>0</v>
      </c>
      <c r="K1505" s="294"/>
      <c r="L1505" s="295"/>
      <c r="M1505" s="296">
        <v>0.05</v>
      </c>
      <c r="N1505" s="296">
        <f t="shared" si="133"/>
        <v>0</v>
      </c>
      <c r="O1505" s="299">
        <f t="shared" si="134"/>
        <v>0</v>
      </c>
      <c r="P1505" s="303"/>
    </row>
    <row r="1506" spans="2:16" ht="15.75" thickBot="1">
      <c r="B1506" s="184"/>
      <c r="C1506" s="185"/>
      <c r="D1506" s="186"/>
      <c r="E1506" s="186"/>
      <c r="F1506" s="187"/>
      <c r="G1506" s="187">
        <f t="shared" si="130"/>
        <v>0</v>
      </c>
      <c r="H1506" s="188">
        <v>0.05</v>
      </c>
      <c r="I1506" s="189">
        <f t="shared" si="131"/>
        <v>0</v>
      </c>
      <c r="J1506" s="189">
        <f t="shared" si="132"/>
        <v>0</v>
      </c>
      <c r="K1506" s="294"/>
      <c r="L1506" s="295"/>
      <c r="M1506" s="296">
        <v>0.05</v>
      </c>
      <c r="N1506" s="296">
        <f t="shared" si="133"/>
        <v>0</v>
      </c>
      <c r="O1506" s="299">
        <f t="shared" si="134"/>
        <v>0</v>
      </c>
      <c r="P1506" s="303"/>
    </row>
    <row r="1507" spans="2:16" ht="15.75" thickBot="1">
      <c r="B1507" s="184"/>
      <c r="C1507" s="185"/>
      <c r="D1507" s="186"/>
      <c r="E1507" s="186"/>
      <c r="F1507" s="187"/>
      <c r="G1507" s="187">
        <f t="shared" si="130"/>
        <v>0</v>
      </c>
      <c r="H1507" s="188">
        <v>0.05</v>
      </c>
      <c r="I1507" s="189">
        <f t="shared" si="131"/>
        <v>0</v>
      </c>
      <c r="J1507" s="189">
        <f t="shared" si="132"/>
        <v>0</v>
      </c>
      <c r="K1507" s="294"/>
      <c r="L1507" s="295"/>
      <c r="M1507" s="296">
        <v>0.05</v>
      </c>
      <c r="N1507" s="296">
        <f t="shared" si="133"/>
        <v>0</v>
      </c>
      <c r="O1507" s="299">
        <f t="shared" si="134"/>
        <v>0</v>
      </c>
      <c r="P1507" s="303"/>
    </row>
    <row r="1508" spans="2:16" ht="15.75" thickBot="1">
      <c r="B1508" s="184"/>
      <c r="C1508" s="185"/>
      <c r="D1508" s="186"/>
      <c r="E1508" s="186"/>
      <c r="F1508" s="187"/>
      <c r="G1508" s="187">
        <f t="shared" si="130"/>
        <v>0</v>
      </c>
      <c r="H1508" s="188">
        <v>0.05</v>
      </c>
      <c r="I1508" s="189">
        <f t="shared" si="131"/>
        <v>0</v>
      </c>
      <c r="J1508" s="189">
        <f t="shared" si="132"/>
        <v>0</v>
      </c>
      <c r="K1508" s="294"/>
      <c r="L1508" s="295"/>
      <c r="M1508" s="296">
        <v>0.05</v>
      </c>
      <c r="N1508" s="296">
        <f t="shared" si="133"/>
        <v>0</v>
      </c>
      <c r="O1508" s="299">
        <f t="shared" si="134"/>
        <v>0</v>
      </c>
      <c r="P1508" s="303"/>
    </row>
    <row r="1509" spans="2:16" ht="15.75" thickBot="1">
      <c r="B1509" s="184"/>
      <c r="C1509" s="185"/>
      <c r="D1509" s="186"/>
      <c r="E1509" s="186"/>
      <c r="F1509" s="187"/>
      <c r="G1509" s="187">
        <f t="shared" si="130"/>
        <v>0</v>
      </c>
      <c r="H1509" s="188">
        <v>0.05</v>
      </c>
      <c r="I1509" s="189">
        <f t="shared" si="131"/>
        <v>0</v>
      </c>
      <c r="J1509" s="189">
        <f t="shared" si="132"/>
        <v>0</v>
      </c>
      <c r="K1509" s="294"/>
      <c r="L1509" s="295"/>
      <c r="M1509" s="296">
        <v>0.05</v>
      </c>
      <c r="N1509" s="296">
        <f t="shared" si="133"/>
        <v>0</v>
      </c>
      <c r="O1509" s="299">
        <f t="shared" si="134"/>
        <v>0</v>
      </c>
      <c r="P1509" s="303"/>
    </row>
    <row r="1510" spans="2:16" ht="15.75" thickBot="1">
      <c r="B1510" s="184"/>
      <c r="C1510" s="185"/>
      <c r="D1510" s="186"/>
      <c r="E1510" s="186"/>
      <c r="F1510" s="187"/>
      <c r="G1510" s="187">
        <f t="shared" ref="G1510:G1573" si="135">IF(D1510=0,0,(D1510+E1510)/F1510)</f>
        <v>0</v>
      </c>
      <c r="H1510" s="188">
        <v>0.05</v>
      </c>
      <c r="I1510" s="189">
        <f t="shared" ref="I1510:I1573" si="136">+G1510*H1510</f>
        <v>0</v>
      </c>
      <c r="J1510" s="189">
        <f t="shared" ref="J1510:J1573" si="137">+G1510+I1510</f>
        <v>0</v>
      </c>
      <c r="K1510" s="294"/>
      <c r="L1510" s="295"/>
      <c r="M1510" s="296">
        <v>0.05</v>
      </c>
      <c r="N1510" s="296">
        <f t="shared" ref="N1510:N1573" si="138">IF(H1510&lt;M1510,H1510/M1510,0)</f>
        <v>0</v>
      </c>
      <c r="O1510" s="299">
        <f t="shared" ref="O1510:O1573" si="139">1.5%*N1510</f>
        <v>0</v>
      </c>
      <c r="P1510" s="303"/>
    </row>
    <row r="1511" spans="2:16" ht="15.75" thickBot="1">
      <c r="B1511" s="184"/>
      <c r="C1511" s="185"/>
      <c r="D1511" s="186"/>
      <c r="E1511" s="186"/>
      <c r="F1511" s="187"/>
      <c r="G1511" s="187">
        <f t="shared" si="135"/>
        <v>0</v>
      </c>
      <c r="H1511" s="188">
        <v>0.05</v>
      </c>
      <c r="I1511" s="189">
        <f t="shared" si="136"/>
        <v>0</v>
      </c>
      <c r="J1511" s="189">
        <f t="shared" si="137"/>
        <v>0</v>
      </c>
      <c r="K1511" s="294"/>
      <c r="L1511" s="295"/>
      <c r="M1511" s="296">
        <v>0.05</v>
      </c>
      <c r="N1511" s="296">
        <f t="shared" si="138"/>
        <v>0</v>
      </c>
      <c r="O1511" s="299">
        <f t="shared" si="139"/>
        <v>0</v>
      </c>
      <c r="P1511" s="303"/>
    </row>
    <row r="1512" spans="2:16" ht="15.75" thickBot="1">
      <c r="B1512" s="184"/>
      <c r="C1512" s="185"/>
      <c r="D1512" s="186"/>
      <c r="E1512" s="186"/>
      <c r="F1512" s="187"/>
      <c r="G1512" s="187">
        <f t="shared" si="135"/>
        <v>0</v>
      </c>
      <c r="H1512" s="188">
        <v>0.05</v>
      </c>
      <c r="I1512" s="189">
        <f t="shared" si="136"/>
        <v>0</v>
      </c>
      <c r="J1512" s="189">
        <f t="shared" si="137"/>
        <v>0</v>
      </c>
      <c r="K1512" s="294"/>
      <c r="L1512" s="295"/>
      <c r="M1512" s="296">
        <v>0.05</v>
      </c>
      <c r="N1512" s="296">
        <f t="shared" si="138"/>
        <v>0</v>
      </c>
      <c r="O1512" s="299">
        <f t="shared" si="139"/>
        <v>0</v>
      </c>
      <c r="P1512" s="303"/>
    </row>
    <row r="1513" spans="2:16" ht="15.75" thickBot="1">
      <c r="B1513" s="184"/>
      <c r="C1513" s="185"/>
      <c r="D1513" s="186"/>
      <c r="E1513" s="186"/>
      <c r="F1513" s="187"/>
      <c r="G1513" s="187">
        <f t="shared" si="135"/>
        <v>0</v>
      </c>
      <c r="H1513" s="188">
        <v>0.05</v>
      </c>
      <c r="I1513" s="189">
        <f t="shared" si="136"/>
        <v>0</v>
      </c>
      <c r="J1513" s="189">
        <f t="shared" si="137"/>
        <v>0</v>
      </c>
      <c r="K1513" s="294"/>
      <c r="L1513" s="295"/>
      <c r="M1513" s="296">
        <v>0.05</v>
      </c>
      <c r="N1513" s="296">
        <f t="shared" si="138"/>
        <v>0</v>
      </c>
      <c r="O1513" s="299">
        <f t="shared" si="139"/>
        <v>0</v>
      </c>
      <c r="P1513" s="303"/>
    </row>
    <row r="1514" spans="2:16" ht="15.75" thickBot="1">
      <c r="B1514" s="184"/>
      <c r="C1514" s="185"/>
      <c r="D1514" s="186"/>
      <c r="E1514" s="186"/>
      <c r="F1514" s="187"/>
      <c r="G1514" s="187">
        <f t="shared" si="135"/>
        <v>0</v>
      </c>
      <c r="H1514" s="188">
        <v>0.05</v>
      </c>
      <c r="I1514" s="189">
        <f t="shared" si="136"/>
        <v>0</v>
      </c>
      <c r="J1514" s="189">
        <f t="shared" si="137"/>
        <v>0</v>
      </c>
      <c r="K1514" s="294"/>
      <c r="L1514" s="295"/>
      <c r="M1514" s="296">
        <v>0.05</v>
      </c>
      <c r="N1514" s="296">
        <f t="shared" si="138"/>
        <v>0</v>
      </c>
      <c r="O1514" s="299">
        <f t="shared" si="139"/>
        <v>0</v>
      </c>
      <c r="P1514" s="303"/>
    </row>
    <row r="1515" spans="2:16" ht="15.75" thickBot="1">
      <c r="B1515" s="184"/>
      <c r="C1515" s="185"/>
      <c r="D1515" s="186"/>
      <c r="E1515" s="186"/>
      <c r="F1515" s="187"/>
      <c r="G1515" s="187">
        <f t="shared" si="135"/>
        <v>0</v>
      </c>
      <c r="H1515" s="188">
        <v>0.05</v>
      </c>
      <c r="I1515" s="189">
        <f t="shared" si="136"/>
        <v>0</v>
      </c>
      <c r="J1515" s="189">
        <f t="shared" si="137"/>
        <v>0</v>
      </c>
      <c r="K1515" s="294"/>
      <c r="L1515" s="295"/>
      <c r="M1515" s="296">
        <v>0.05</v>
      </c>
      <c r="N1515" s="296">
        <f t="shared" si="138"/>
        <v>0</v>
      </c>
      <c r="O1515" s="299">
        <f t="shared" si="139"/>
        <v>0</v>
      </c>
      <c r="P1515" s="303"/>
    </row>
    <row r="1516" spans="2:16" ht="15.75" thickBot="1">
      <c r="B1516" s="184"/>
      <c r="C1516" s="185"/>
      <c r="D1516" s="186"/>
      <c r="E1516" s="186"/>
      <c r="F1516" s="187"/>
      <c r="G1516" s="187">
        <f t="shared" si="135"/>
        <v>0</v>
      </c>
      <c r="H1516" s="188">
        <v>0.05</v>
      </c>
      <c r="I1516" s="189">
        <f t="shared" si="136"/>
        <v>0</v>
      </c>
      <c r="J1516" s="189">
        <f t="shared" si="137"/>
        <v>0</v>
      </c>
      <c r="K1516" s="294"/>
      <c r="L1516" s="295"/>
      <c r="M1516" s="296">
        <v>0.05</v>
      </c>
      <c r="N1516" s="296">
        <f t="shared" si="138"/>
        <v>0</v>
      </c>
      <c r="O1516" s="299">
        <f t="shared" si="139"/>
        <v>0</v>
      </c>
      <c r="P1516" s="303"/>
    </row>
    <row r="1517" spans="2:16" ht="15.75" thickBot="1">
      <c r="B1517" s="184"/>
      <c r="C1517" s="185"/>
      <c r="D1517" s="186"/>
      <c r="E1517" s="186"/>
      <c r="F1517" s="187"/>
      <c r="G1517" s="187">
        <f t="shared" si="135"/>
        <v>0</v>
      </c>
      <c r="H1517" s="188">
        <v>0.05</v>
      </c>
      <c r="I1517" s="189">
        <f t="shared" si="136"/>
        <v>0</v>
      </c>
      <c r="J1517" s="189">
        <f t="shared" si="137"/>
        <v>0</v>
      </c>
      <c r="K1517" s="294"/>
      <c r="L1517" s="295"/>
      <c r="M1517" s="296">
        <v>0.05</v>
      </c>
      <c r="N1517" s="296">
        <f t="shared" si="138"/>
        <v>0</v>
      </c>
      <c r="O1517" s="299">
        <f t="shared" si="139"/>
        <v>0</v>
      </c>
      <c r="P1517" s="303"/>
    </row>
    <row r="1518" spans="2:16" ht="15.75" thickBot="1">
      <c r="B1518" s="184"/>
      <c r="C1518" s="185"/>
      <c r="D1518" s="186"/>
      <c r="E1518" s="186"/>
      <c r="F1518" s="187"/>
      <c r="G1518" s="187">
        <f t="shared" si="135"/>
        <v>0</v>
      </c>
      <c r="H1518" s="188">
        <v>0.05</v>
      </c>
      <c r="I1518" s="189">
        <f t="shared" si="136"/>
        <v>0</v>
      </c>
      <c r="J1518" s="189">
        <f t="shared" si="137"/>
        <v>0</v>
      </c>
      <c r="K1518" s="294"/>
      <c r="L1518" s="295"/>
      <c r="M1518" s="296">
        <v>0.05</v>
      </c>
      <c r="N1518" s="296">
        <f t="shared" si="138"/>
        <v>0</v>
      </c>
      <c r="O1518" s="299">
        <f t="shared" si="139"/>
        <v>0</v>
      </c>
      <c r="P1518" s="303"/>
    </row>
    <row r="1519" spans="2:16" ht="15.75" thickBot="1">
      <c r="B1519" s="184"/>
      <c r="C1519" s="185"/>
      <c r="D1519" s="186"/>
      <c r="E1519" s="186"/>
      <c r="F1519" s="187"/>
      <c r="G1519" s="187">
        <f t="shared" si="135"/>
        <v>0</v>
      </c>
      <c r="H1519" s="188">
        <v>0.05</v>
      </c>
      <c r="I1519" s="189">
        <f t="shared" si="136"/>
        <v>0</v>
      </c>
      <c r="J1519" s="189">
        <f t="shared" si="137"/>
        <v>0</v>
      </c>
      <c r="K1519" s="294"/>
      <c r="L1519" s="295"/>
      <c r="M1519" s="296">
        <v>0.05</v>
      </c>
      <c r="N1519" s="296">
        <f t="shared" si="138"/>
        <v>0</v>
      </c>
      <c r="O1519" s="299">
        <f t="shared" si="139"/>
        <v>0</v>
      </c>
      <c r="P1519" s="303"/>
    </row>
    <row r="1520" spans="2:16" ht="15.75" thickBot="1">
      <c r="B1520" s="184"/>
      <c r="C1520" s="185"/>
      <c r="D1520" s="186"/>
      <c r="E1520" s="186"/>
      <c r="F1520" s="187"/>
      <c r="G1520" s="187">
        <f t="shared" si="135"/>
        <v>0</v>
      </c>
      <c r="H1520" s="188">
        <v>0.05</v>
      </c>
      <c r="I1520" s="189">
        <f t="shared" si="136"/>
        <v>0</v>
      </c>
      <c r="J1520" s="189">
        <f t="shared" si="137"/>
        <v>0</v>
      </c>
      <c r="K1520" s="294"/>
      <c r="L1520" s="295"/>
      <c r="M1520" s="296">
        <v>0.05</v>
      </c>
      <c r="N1520" s="296">
        <f t="shared" si="138"/>
        <v>0</v>
      </c>
      <c r="O1520" s="299">
        <f t="shared" si="139"/>
        <v>0</v>
      </c>
      <c r="P1520" s="303"/>
    </row>
    <row r="1521" spans="2:16" ht="15.75" thickBot="1">
      <c r="B1521" s="184"/>
      <c r="C1521" s="185"/>
      <c r="D1521" s="186"/>
      <c r="E1521" s="186"/>
      <c r="F1521" s="187"/>
      <c r="G1521" s="187">
        <f t="shared" si="135"/>
        <v>0</v>
      </c>
      <c r="H1521" s="188">
        <v>0.05</v>
      </c>
      <c r="I1521" s="189">
        <f t="shared" si="136"/>
        <v>0</v>
      </c>
      <c r="J1521" s="189">
        <f t="shared" si="137"/>
        <v>0</v>
      </c>
      <c r="K1521" s="294"/>
      <c r="L1521" s="295"/>
      <c r="M1521" s="296">
        <v>0.05</v>
      </c>
      <c r="N1521" s="296">
        <f t="shared" si="138"/>
        <v>0</v>
      </c>
      <c r="O1521" s="299">
        <f t="shared" si="139"/>
        <v>0</v>
      </c>
      <c r="P1521" s="303"/>
    </row>
    <row r="1522" spans="2:16" ht="15.75" thickBot="1">
      <c r="B1522" s="184"/>
      <c r="C1522" s="185"/>
      <c r="D1522" s="186"/>
      <c r="E1522" s="186"/>
      <c r="F1522" s="187"/>
      <c r="G1522" s="187">
        <f t="shared" si="135"/>
        <v>0</v>
      </c>
      <c r="H1522" s="188">
        <v>0.05</v>
      </c>
      <c r="I1522" s="189">
        <f t="shared" si="136"/>
        <v>0</v>
      </c>
      <c r="J1522" s="189">
        <f t="shared" si="137"/>
        <v>0</v>
      </c>
      <c r="K1522" s="294"/>
      <c r="L1522" s="295"/>
      <c r="M1522" s="296">
        <v>0.05</v>
      </c>
      <c r="N1522" s="296">
        <f t="shared" si="138"/>
        <v>0</v>
      </c>
      <c r="O1522" s="299">
        <f t="shared" si="139"/>
        <v>0</v>
      </c>
      <c r="P1522" s="303"/>
    </row>
    <row r="1523" spans="2:16" ht="15.75" thickBot="1">
      <c r="B1523" s="184"/>
      <c r="C1523" s="185"/>
      <c r="D1523" s="186"/>
      <c r="E1523" s="186"/>
      <c r="F1523" s="187"/>
      <c r="G1523" s="187">
        <f t="shared" si="135"/>
        <v>0</v>
      </c>
      <c r="H1523" s="188">
        <v>0.05</v>
      </c>
      <c r="I1523" s="189">
        <f t="shared" si="136"/>
        <v>0</v>
      </c>
      <c r="J1523" s="189">
        <f t="shared" si="137"/>
        <v>0</v>
      </c>
      <c r="K1523" s="294"/>
      <c r="L1523" s="295"/>
      <c r="M1523" s="296">
        <v>0.05</v>
      </c>
      <c r="N1523" s="296">
        <f t="shared" si="138"/>
        <v>0</v>
      </c>
      <c r="O1523" s="299">
        <f t="shared" si="139"/>
        <v>0</v>
      </c>
      <c r="P1523" s="303"/>
    </row>
    <row r="1524" spans="2:16" ht="15.75" thickBot="1">
      <c r="B1524" s="184"/>
      <c r="C1524" s="185"/>
      <c r="D1524" s="186"/>
      <c r="E1524" s="186"/>
      <c r="F1524" s="187"/>
      <c r="G1524" s="187">
        <f t="shared" si="135"/>
        <v>0</v>
      </c>
      <c r="H1524" s="188">
        <v>0.05</v>
      </c>
      <c r="I1524" s="189">
        <f t="shared" si="136"/>
        <v>0</v>
      </c>
      <c r="J1524" s="189">
        <f t="shared" si="137"/>
        <v>0</v>
      </c>
      <c r="K1524" s="294"/>
      <c r="L1524" s="295"/>
      <c r="M1524" s="296">
        <v>0.05</v>
      </c>
      <c r="N1524" s="296">
        <f t="shared" si="138"/>
        <v>0</v>
      </c>
      <c r="O1524" s="299">
        <f t="shared" si="139"/>
        <v>0</v>
      </c>
      <c r="P1524" s="303"/>
    </row>
    <row r="1525" spans="2:16" ht="15.75" thickBot="1">
      <c r="B1525" s="184"/>
      <c r="C1525" s="185"/>
      <c r="D1525" s="186"/>
      <c r="E1525" s="186"/>
      <c r="F1525" s="187"/>
      <c r="G1525" s="187">
        <f t="shared" si="135"/>
        <v>0</v>
      </c>
      <c r="H1525" s="188">
        <v>0.05</v>
      </c>
      <c r="I1525" s="189">
        <f t="shared" si="136"/>
        <v>0</v>
      </c>
      <c r="J1525" s="189">
        <f t="shared" si="137"/>
        <v>0</v>
      </c>
      <c r="K1525" s="294"/>
      <c r="L1525" s="295"/>
      <c r="M1525" s="296">
        <v>0.05</v>
      </c>
      <c r="N1525" s="296">
        <f t="shared" si="138"/>
        <v>0</v>
      </c>
      <c r="O1525" s="299">
        <f t="shared" si="139"/>
        <v>0</v>
      </c>
      <c r="P1525" s="303"/>
    </row>
    <row r="1526" spans="2:16" ht="15.75" thickBot="1">
      <c r="B1526" s="184"/>
      <c r="C1526" s="185"/>
      <c r="D1526" s="186"/>
      <c r="E1526" s="186"/>
      <c r="F1526" s="187"/>
      <c r="G1526" s="187">
        <f t="shared" si="135"/>
        <v>0</v>
      </c>
      <c r="H1526" s="188">
        <v>0.05</v>
      </c>
      <c r="I1526" s="189">
        <f t="shared" si="136"/>
        <v>0</v>
      </c>
      <c r="J1526" s="189">
        <f t="shared" si="137"/>
        <v>0</v>
      </c>
      <c r="K1526" s="294"/>
      <c r="L1526" s="295"/>
      <c r="M1526" s="296">
        <v>0.05</v>
      </c>
      <c r="N1526" s="296">
        <f t="shared" si="138"/>
        <v>0</v>
      </c>
      <c r="O1526" s="299">
        <f t="shared" si="139"/>
        <v>0</v>
      </c>
      <c r="P1526" s="303"/>
    </row>
    <row r="1527" spans="2:16" ht="15.75" thickBot="1">
      <c r="B1527" s="184"/>
      <c r="C1527" s="185"/>
      <c r="D1527" s="186"/>
      <c r="E1527" s="186"/>
      <c r="F1527" s="187"/>
      <c r="G1527" s="187">
        <f t="shared" si="135"/>
        <v>0</v>
      </c>
      <c r="H1527" s="188">
        <v>0.05</v>
      </c>
      <c r="I1527" s="189">
        <f t="shared" si="136"/>
        <v>0</v>
      </c>
      <c r="J1527" s="189">
        <f t="shared" si="137"/>
        <v>0</v>
      </c>
      <c r="K1527" s="294"/>
      <c r="L1527" s="295"/>
      <c r="M1527" s="296">
        <v>0.05</v>
      </c>
      <c r="N1527" s="296">
        <f t="shared" si="138"/>
        <v>0</v>
      </c>
      <c r="O1527" s="299">
        <f t="shared" si="139"/>
        <v>0</v>
      </c>
      <c r="P1527" s="303"/>
    </row>
    <row r="1528" spans="2:16" ht="15.75" thickBot="1">
      <c r="B1528" s="184"/>
      <c r="C1528" s="185"/>
      <c r="D1528" s="186"/>
      <c r="E1528" s="186"/>
      <c r="F1528" s="187"/>
      <c r="G1528" s="187">
        <f t="shared" si="135"/>
        <v>0</v>
      </c>
      <c r="H1528" s="188">
        <v>0.05</v>
      </c>
      <c r="I1528" s="189">
        <f t="shared" si="136"/>
        <v>0</v>
      </c>
      <c r="J1528" s="189">
        <f t="shared" si="137"/>
        <v>0</v>
      </c>
      <c r="K1528" s="294"/>
      <c r="L1528" s="295"/>
      <c r="M1528" s="296">
        <v>0.05</v>
      </c>
      <c r="N1528" s="296">
        <f t="shared" si="138"/>
        <v>0</v>
      </c>
      <c r="O1528" s="299">
        <f t="shared" si="139"/>
        <v>0</v>
      </c>
      <c r="P1528" s="303"/>
    </row>
    <row r="1529" spans="2:16" ht="15.75" thickBot="1">
      <c r="B1529" s="184"/>
      <c r="C1529" s="185"/>
      <c r="D1529" s="186"/>
      <c r="E1529" s="186"/>
      <c r="F1529" s="187"/>
      <c r="G1529" s="187">
        <f t="shared" si="135"/>
        <v>0</v>
      </c>
      <c r="H1529" s="188">
        <v>0.05</v>
      </c>
      <c r="I1529" s="189">
        <f t="shared" si="136"/>
        <v>0</v>
      </c>
      <c r="J1529" s="189">
        <f t="shared" si="137"/>
        <v>0</v>
      </c>
      <c r="K1529" s="294"/>
      <c r="L1529" s="295"/>
      <c r="M1529" s="296">
        <v>0.05</v>
      </c>
      <c r="N1529" s="296">
        <f t="shared" si="138"/>
        <v>0</v>
      </c>
      <c r="O1529" s="299">
        <f t="shared" si="139"/>
        <v>0</v>
      </c>
      <c r="P1529" s="303"/>
    </row>
    <row r="1530" spans="2:16" ht="15.75" thickBot="1">
      <c r="B1530" s="184"/>
      <c r="C1530" s="185"/>
      <c r="D1530" s="186"/>
      <c r="E1530" s="186"/>
      <c r="F1530" s="187"/>
      <c r="G1530" s="187">
        <f t="shared" si="135"/>
        <v>0</v>
      </c>
      <c r="H1530" s="188">
        <v>0.05</v>
      </c>
      <c r="I1530" s="189">
        <f t="shared" si="136"/>
        <v>0</v>
      </c>
      <c r="J1530" s="189">
        <f t="shared" si="137"/>
        <v>0</v>
      </c>
      <c r="K1530" s="294"/>
      <c r="L1530" s="295"/>
      <c r="M1530" s="296">
        <v>0.05</v>
      </c>
      <c r="N1530" s="296">
        <f t="shared" si="138"/>
        <v>0</v>
      </c>
      <c r="O1530" s="299">
        <f t="shared" si="139"/>
        <v>0</v>
      </c>
      <c r="P1530" s="303"/>
    </row>
    <row r="1531" spans="2:16" ht="15.75" thickBot="1">
      <c r="B1531" s="184"/>
      <c r="C1531" s="185"/>
      <c r="D1531" s="186"/>
      <c r="E1531" s="186"/>
      <c r="F1531" s="187"/>
      <c r="G1531" s="187">
        <f t="shared" si="135"/>
        <v>0</v>
      </c>
      <c r="H1531" s="188">
        <v>0.05</v>
      </c>
      <c r="I1531" s="189">
        <f t="shared" si="136"/>
        <v>0</v>
      </c>
      <c r="J1531" s="189">
        <f t="shared" si="137"/>
        <v>0</v>
      </c>
      <c r="K1531" s="294"/>
      <c r="L1531" s="295"/>
      <c r="M1531" s="296">
        <v>0.05</v>
      </c>
      <c r="N1531" s="296">
        <f t="shared" si="138"/>
        <v>0</v>
      </c>
      <c r="O1531" s="299">
        <f t="shared" si="139"/>
        <v>0</v>
      </c>
      <c r="P1531" s="303"/>
    </row>
    <row r="1532" spans="2:16" ht="15.75" thickBot="1">
      <c r="B1532" s="184"/>
      <c r="C1532" s="185"/>
      <c r="D1532" s="186"/>
      <c r="E1532" s="186"/>
      <c r="F1532" s="187"/>
      <c r="G1532" s="187">
        <f t="shared" si="135"/>
        <v>0</v>
      </c>
      <c r="H1532" s="188">
        <v>0.05</v>
      </c>
      <c r="I1532" s="189">
        <f t="shared" si="136"/>
        <v>0</v>
      </c>
      <c r="J1532" s="189">
        <f t="shared" si="137"/>
        <v>0</v>
      </c>
      <c r="K1532" s="294"/>
      <c r="L1532" s="295"/>
      <c r="M1532" s="296">
        <v>0.05</v>
      </c>
      <c r="N1532" s="296">
        <f t="shared" si="138"/>
        <v>0</v>
      </c>
      <c r="O1532" s="299">
        <f t="shared" si="139"/>
        <v>0</v>
      </c>
      <c r="P1532" s="303"/>
    </row>
    <row r="1533" spans="2:16" ht="15.75" thickBot="1">
      <c r="B1533" s="184"/>
      <c r="C1533" s="185"/>
      <c r="D1533" s="186"/>
      <c r="E1533" s="186"/>
      <c r="F1533" s="187"/>
      <c r="G1533" s="187">
        <f t="shared" si="135"/>
        <v>0</v>
      </c>
      <c r="H1533" s="188">
        <v>0.05</v>
      </c>
      <c r="I1533" s="189">
        <f t="shared" si="136"/>
        <v>0</v>
      </c>
      <c r="J1533" s="189">
        <f t="shared" si="137"/>
        <v>0</v>
      </c>
      <c r="K1533" s="294"/>
      <c r="L1533" s="295"/>
      <c r="M1533" s="296">
        <v>0.05</v>
      </c>
      <c r="N1533" s="296">
        <f t="shared" si="138"/>
        <v>0</v>
      </c>
      <c r="O1533" s="299">
        <f t="shared" si="139"/>
        <v>0</v>
      </c>
      <c r="P1533" s="303"/>
    </row>
    <row r="1534" spans="2:16" ht="15.75" thickBot="1">
      <c r="B1534" s="184"/>
      <c r="C1534" s="185"/>
      <c r="D1534" s="186"/>
      <c r="E1534" s="186"/>
      <c r="F1534" s="187"/>
      <c r="G1534" s="187">
        <f t="shared" si="135"/>
        <v>0</v>
      </c>
      <c r="H1534" s="188">
        <v>0.05</v>
      </c>
      <c r="I1534" s="189">
        <f t="shared" si="136"/>
        <v>0</v>
      </c>
      <c r="J1534" s="189">
        <f t="shared" si="137"/>
        <v>0</v>
      </c>
      <c r="K1534" s="294"/>
      <c r="L1534" s="295"/>
      <c r="M1534" s="296">
        <v>0.05</v>
      </c>
      <c r="N1534" s="296">
        <f t="shared" si="138"/>
        <v>0</v>
      </c>
      <c r="O1534" s="299">
        <f t="shared" si="139"/>
        <v>0</v>
      </c>
      <c r="P1534" s="303"/>
    </row>
    <row r="1535" spans="2:16" ht="15.75" thickBot="1">
      <c r="B1535" s="184"/>
      <c r="C1535" s="185"/>
      <c r="D1535" s="186"/>
      <c r="E1535" s="186"/>
      <c r="F1535" s="187"/>
      <c r="G1535" s="187">
        <f t="shared" si="135"/>
        <v>0</v>
      </c>
      <c r="H1535" s="188">
        <v>0.05</v>
      </c>
      <c r="I1535" s="189">
        <f t="shared" si="136"/>
        <v>0</v>
      </c>
      <c r="J1535" s="189">
        <f t="shared" si="137"/>
        <v>0</v>
      </c>
      <c r="K1535" s="294"/>
      <c r="L1535" s="295"/>
      <c r="M1535" s="296">
        <v>0.05</v>
      </c>
      <c r="N1535" s="296">
        <f t="shared" si="138"/>
        <v>0</v>
      </c>
      <c r="O1535" s="299">
        <f t="shared" si="139"/>
        <v>0</v>
      </c>
      <c r="P1535" s="303"/>
    </row>
    <row r="1536" spans="2:16" ht="15.75" thickBot="1">
      <c r="B1536" s="184"/>
      <c r="C1536" s="185"/>
      <c r="D1536" s="186"/>
      <c r="E1536" s="186"/>
      <c r="F1536" s="187"/>
      <c r="G1536" s="187">
        <f t="shared" si="135"/>
        <v>0</v>
      </c>
      <c r="H1536" s="188">
        <v>0.05</v>
      </c>
      <c r="I1536" s="189">
        <f t="shared" si="136"/>
        <v>0</v>
      </c>
      <c r="J1536" s="189">
        <f t="shared" si="137"/>
        <v>0</v>
      </c>
      <c r="K1536" s="294"/>
      <c r="L1536" s="295"/>
      <c r="M1536" s="296">
        <v>0.05</v>
      </c>
      <c r="N1536" s="296">
        <f t="shared" si="138"/>
        <v>0</v>
      </c>
      <c r="O1536" s="299">
        <f t="shared" si="139"/>
        <v>0</v>
      </c>
      <c r="P1536" s="303"/>
    </row>
    <row r="1537" spans="2:16" ht="15.75" thickBot="1">
      <c r="B1537" s="184"/>
      <c r="C1537" s="185"/>
      <c r="D1537" s="186"/>
      <c r="E1537" s="186"/>
      <c r="F1537" s="187"/>
      <c r="G1537" s="187">
        <f t="shared" si="135"/>
        <v>0</v>
      </c>
      <c r="H1537" s="188">
        <v>0.05</v>
      </c>
      <c r="I1537" s="189">
        <f t="shared" si="136"/>
        <v>0</v>
      </c>
      <c r="J1537" s="189">
        <f t="shared" si="137"/>
        <v>0</v>
      </c>
      <c r="K1537" s="294"/>
      <c r="L1537" s="295"/>
      <c r="M1537" s="296">
        <v>0.05</v>
      </c>
      <c r="N1537" s="296">
        <f t="shared" si="138"/>
        <v>0</v>
      </c>
      <c r="O1537" s="299">
        <f t="shared" si="139"/>
        <v>0</v>
      </c>
      <c r="P1537" s="303"/>
    </row>
    <row r="1538" spans="2:16" ht="15.75" thickBot="1">
      <c r="B1538" s="184"/>
      <c r="C1538" s="185"/>
      <c r="D1538" s="186"/>
      <c r="E1538" s="186"/>
      <c r="F1538" s="187"/>
      <c r="G1538" s="187">
        <f t="shared" si="135"/>
        <v>0</v>
      </c>
      <c r="H1538" s="188">
        <v>0.05</v>
      </c>
      <c r="I1538" s="189">
        <f t="shared" si="136"/>
        <v>0</v>
      </c>
      <c r="J1538" s="189">
        <f t="shared" si="137"/>
        <v>0</v>
      </c>
      <c r="K1538" s="294"/>
      <c r="L1538" s="295"/>
      <c r="M1538" s="296">
        <v>0.05</v>
      </c>
      <c r="N1538" s="296">
        <f t="shared" si="138"/>
        <v>0</v>
      </c>
      <c r="O1538" s="299">
        <f t="shared" si="139"/>
        <v>0</v>
      </c>
      <c r="P1538" s="303"/>
    </row>
    <row r="1539" spans="2:16" ht="15.75" thickBot="1">
      <c r="B1539" s="184"/>
      <c r="C1539" s="185"/>
      <c r="D1539" s="186"/>
      <c r="E1539" s="186"/>
      <c r="F1539" s="187"/>
      <c r="G1539" s="187">
        <f t="shared" si="135"/>
        <v>0</v>
      </c>
      <c r="H1539" s="188">
        <v>0.05</v>
      </c>
      <c r="I1539" s="189">
        <f t="shared" si="136"/>
        <v>0</v>
      </c>
      <c r="J1539" s="189">
        <f t="shared" si="137"/>
        <v>0</v>
      </c>
      <c r="K1539" s="294"/>
      <c r="L1539" s="295"/>
      <c r="M1539" s="296">
        <v>0.05</v>
      </c>
      <c r="N1539" s="296">
        <f t="shared" si="138"/>
        <v>0</v>
      </c>
      <c r="O1539" s="299">
        <f t="shared" si="139"/>
        <v>0</v>
      </c>
      <c r="P1539" s="303"/>
    </row>
    <row r="1540" spans="2:16" ht="15.75" thickBot="1">
      <c r="B1540" s="184"/>
      <c r="C1540" s="185"/>
      <c r="D1540" s="186"/>
      <c r="E1540" s="186"/>
      <c r="F1540" s="187"/>
      <c r="G1540" s="187">
        <f t="shared" si="135"/>
        <v>0</v>
      </c>
      <c r="H1540" s="188">
        <v>0.05</v>
      </c>
      <c r="I1540" s="189">
        <f t="shared" si="136"/>
        <v>0</v>
      </c>
      <c r="J1540" s="189">
        <f t="shared" si="137"/>
        <v>0</v>
      </c>
      <c r="K1540" s="294"/>
      <c r="L1540" s="295"/>
      <c r="M1540" s="296">
        <v>0.05</v>
      </c>
      <c r="N1540" s="296">
        <f t="shared" si="138"/>
        <v>0</v>
      </c>
      <c r="O1540" s="299">
        <f t="shared" si="139"/>
        <v>0</v>
      </c>
      <c r="P1540" s="303"/>
    </row>
    <row r="1541" spans="2:16" ht="15.75" thickBot="1">
      <c r="B1541" s="184"/>
      <c r="C1541" s="185"/>
      <c r="D1541" s="186"/>
      <c r="E1541" s="186"/>
      <c r="F1541" s="187"/>
      <c r="G1541" s="187">
        <f t="shared" si="135"/>
        <v>0</v>
      </c>
      <c r="H1541" s="188">
        <v>0.05</v>
      </c>
      <c r="I1541" s="189">
        <f t="shared" si="136"/>
        <v>0</v>
      </c>
      <c r="J1541" s="189">
        <f t="shared" si="137"/>
        <v>0</v>
      </c>
      <c r="K1541" s="294"/>
      <c r="L1541" s="295"/>
      <c r="M1541" s="296">
        <v>0.05</v>
      </c>
      <c r="N1541" s="296">
        <f t="shared" si="138"/>
        <v>0</v>
      </c>
      <c r="O1541" s="299">
        <f t="shared" si="139"/>
        <v>0</v>
      </c>
      <c r="P1541" s="303"/>
    </row>
    <row r="1542" spans="2:16" ht="15.75" thickBot="1">
      <c r="B1542" s="184"/>
      <c r="C1542" s="185"/>
      <c r="D1542" s="186"/>
      <c r="E1542" s="186"/>
      <c r="F1542" s="187"/>
      <c r="G1542" s="187">
        <f t="shared" si="135"/>
        <v>0</v>
      </c>
      <c r="H1542" s="188">
        <v>0.05</v>
      </c>
      <c r="I1542" s="189">
        <f t="shared" si="136"/>
        <v>0</v>
      </c>
      <c r="J1542" s="189">
        <f t="shared" si="137"/>
        <v>0</v>
      </c>
      <c r="K1542" s="294"/>
      <c r="L1542" s="295"/>
      <c r="M1542" s="296">
        <v>0.05</v>
      </c>
      <c r="N1542" s="296">
        <f t="shared" si="138"/>
        <v>0</v>
      </c>
      <c r="O1542" s="299">
        <f t="shared" si="139"/>
        <v>0</v>
      </c>
      <c r="P1542" s="303"/>
    </row>
    <row r="1543" spans="2:16" ht="15.75" thickBot="1">
      <c r="B1543" s="184"/>
      <c r="C1543" s="185"/>
      <c r="D1543" s="186"/>
      <c r="E1543" s="186"/>
      <c r="F1543" s="187"/>
      <c r="G1543" s="187">
        <f t="shared" si="135"/>
        <v>0</v>
      </c>
      <c r="H1543" s="188">
        <v>0.05</v>
      </c>
      <c r="I1543" s="189">
        <f t="shared" si="136"/>
        <v>0</v>
      </c>
      <c r="J1543" s="189">
        <f t="shared" si="137"/>
        <v>0</v>
      </c>
      <c r="K1543" s="294"/>
      <c r="L1543" s="295"/>
      <c r="M1543" s="296">
        <v>0.05</v>
      </c>
      <c r="N1543" s="296">
        <f t="shared" si="138"/>
        <v>0</v>
      </c>
      <c r="O1543" s="299">
        <f t="shared" si="139"/>
        <v>0</v>
      </c>
      <c r="P1543" s="303"/>
    </row>
    <row r="1544" spans="2:16" ht="15.75" thickBot="1">
      <c r="B1544" s="184"/>
      <c r="C1544" s="185"/>
      <c r="D1544" s="186"/>
      <c r="E1544" s="186"/>
      <c r="F1544" s="187"/>
      <c r="G1544" s="187">
        <f t="shared" si="135"/>
        <v>0</v>
      </c>
      <c r="H1544" s="188">
        <v>0.05</v>
      </c>
      <c r="I1544" s="189">
        <f t="shared" si="136"/>
        <v>0</v>
      </c>
      <c r="J1544" s="189">
        <f t="shared" si="137"/>
        <v>0</v>
      </c>
      <c r="K1544" s="294"/>
      <c r="L1544" s="295"/>
      <c r="M1544" s="296">
        <v>0.05</v>
      </c>
      <c r="N1544" s="296">
        <f t="shared" si="138"/>
        <v>0</v>
      </c>
      <c r="O1544" s="299">
        <f t="shared" si="139"/>
        <v>0</v>
      </c>
      <c r="P1544" s="303"/>
    </row>
    <row r="1545" spans="2:16" ht="15.75" thickBot="1">
      <c r="B1545" s="184"/>
      <c r="C1545" s="185"/>
      <c r="D1545" s="186"/>
      <c r="E1545" s="186"/>
      <c r="F1545" s="187"/>
      <c r="G1545" s="187">
        <f t="shared" si="135"/>
        <v>0</v>
      </c>
      <c r="H1545" s="188">
        <v>0.05</v>
      </c>
      <c r="I1545" s="189">
        <f t="shared" si="136"/>
        <v>0</v>
      </c>
      <c r="J1545" s="189">
        <f t="shared" si="137"/>
        <v>0</v>
      </c>
      <c r="K1545" s="294"/>
      <c r="L1545" s="295"/>
      <c r="M1545" s="296">
        <v>0.05</v>
      </c>
      <c r="N1545" s="296">
        <f t="shared" si="138"/>
        <v>0</v>
      </c>
      <c r="O1545" s="299">
        <f t="shared" si="139"/>
        <v>0</v>
      </c>
      <c r="P1545" s="303"/>
    </row>
    <row r="1546" spans="2:16" ht="15.75" thickBot="1">
      <c r="B1546" s="184"/>
      <c r="C1546" s="185"/>
      <c r="D1546" s="186"/>
      <c r="E1546" s="186"/>
      <c r="F1546" s="187"/>
      <c r="G1546" s="187">
        <f t="shared" si="135"/>
        <v>0</v>
      </c>
      <c r="H1546" s="188">
        <v>0.05</v>
      </c>
      <c r="I1546" s="189">
        <f t="shared" si="136"/>
        <v>0</v>
      </c>
      <c r="J1546" s="189">
        <f t="shared" si="137"/>
        <v>0</v>
      </c>
      <c r="K1546" s="294"/>
      <c r="L1546" s="295"/>
      <c r="M1546" s="296">
        <v>0.05</v>
      </c>
      <c r="N1546" s="296">
        <f t="shared" si="138"/>
        <v>0</v>
      </c>
      <c r="O1546" s="299">
        <f t="shared" si="139"/>
        <v>0</v>
      </c>
      <c r="P1546" s="303"/>
    </row>
    <row r="1547" spans="2:16" ht="15.75" thickBot="1">
      <c r="B1547" s="184"/>
      <c r="C1547" s="185"/>
      <c r="D1547" s="186"/>
      <c r="E1547" s="186"/>
      <c r="F1547" s="187"/>
      <c r="G1547" s="187">
        <f t="shared" si="135"/>
        <v>0</v>
      </c>
      <c r="H1547" s="188">
        <v>0.05</v>
      </c>
      <c r="I1547" s="189">
        <f t="shared" si="136"/>
        <v>0</v>
      </c>
      <c r="J1547" s="189">
        <f t="shared" si="137"/>
        <v>0</v>
      </c>
      <c r="K1547" s="294"/>
      <c r="L1547" s="295"/>
      <c r="M1547" s="296">
        <v>0.05</v>
      </c>
      <c r="N1547" s="296">
        <f t="shared" si="138"/>
        <v>0</v>
      </c>
      <c r="O1547" s="299">
        <f t="shared" si="139"/>
        <v>0</v>
      </c>
      <c r="P1547" s="303"/>
    </row>
    <row r="1548" spans="2:16" ht="15.75" thickBot="1">
      <c r="B1548" s="184"/>
      <c r="C1548" s="185"/>
      <c r="D1548" s="186"/>
      <c r="E1548" s="186"/>
      <c r="F1548" s="187"/>
      <c r="G1548" s="187">
        <f t="shared" si="135"/>
        <v>0</v>
      </c>
      <c r="H1548" s="188">
        <v>0.05</v>
      </c>
      <c r="I1548" s="189">
        <f t="shared" si="136"/>
        <v>0</v>
      </c>
      <c r="J1548" s="189">
        <f t="shared" si="137"/>
        <v>0</v>
      </c>
      <c r="K1548" s="294"/>
      <c r="L1548" s="295"/>
      <c r="M1548" s="296">
        <v>0.05</v>
      </c>
      <c r="N1548" s="296">
        <f t="shared" si="138"/>
        <v>0</v>
      </c>
      <c r="O1548" s="299">
        <f t="shared" si="139"/>
        <v>0</v>
      </c>
      <c r="P1548" s="303"/>
    </row>
    <row r="1549" spans="2:16" ht="15.75" thickBot="1">
      <c r="B1549" s="184"/>
      <c r="C1549" s="185"/>
      <c r="D1549" s="186"/>
      <c r="E1549" s="186"/>
      <c r="F1549" s="187"/>
      <c r="G1549" s="187">
        <f t="shared" si="135"/>
        <v>0</v>
      </c>
      <c r="H1549" s="188">
        <v>0.05</v>
      </c>
      <c r="I1549" s="189">
        <f t="shared" si="136"/>
        <v>0</v>
      </c>
      <c r="J1549" s="189">
        <f t="shared" si="137"/>
        <v>0</v>
      </c>
      <c r="K1549" s="294"/>
      <c r="L1549" s="295"/>
      <c r="M1549" s="296">
        <v>0.05</v>
      </c>
      <c r="N1549" s="296">
        <f t="shared" si="138"/>
        <v>0</v>
      </c>
      <c r="O1549" s="299">
        <f t="shared" si="139"/>
        <v>0</v>
      </c>
      <c r="P1549" s="303"/>
    </row>
    <row r="1550" spans="2:16" ht="15.75" thickBot="1">
      <c r="B1550" s="184"/>
      <c r="C1550" s="185"/>
      <c r="D1550" s="186"/>
      <c r="E1550" s="186"/>
      <c r="F1550" s="187"/>
      <c r="G1550" s="187">
        <f t="shared" si="135"/>
        <v>0</v>
      </c>
      <c r="H1550" s="188">
        <v>0.05</v>
      </c>
      <c r="I1550" s="189">
        <f t="shared" si="136"/>
        <v>0</v>
      </c>
      <c r="J1550" s="189">
        <f t="shared" si="137"/>
        <v>0</v>
      </c>
      <c r="K1550" s="294"/>
      <c r="L1550" s="295"/>
      <c r="M1550" s="296">
        <v>0.05</v>
      </c>
      <c r="N1550" s="296">
        <f t="shared" si="138"/>
        <v>0</v>
      </c>
      <c r="O1550" s="299">
        <f t="shared" si="139"/>
        <v>0</v>
      </c>
      <c r="P1550" s="303"/>
    </row>
    <row r="1551" spans="2:16" ht="15.75" thickBot="1">
      <c r="B1551" s="184"/>
      <c r="C1551" s="185"/>
      <c r="D1551" s="186"/>
      <c r="E1551" s="186"/>
      <c r="F1551" s="187"/>
      <c r="G1551" s="187">
        <f t="shared" si="135"/>
        <v>0</v>
      </c>
      <c r="H1551" s="188">
        <v>0.05</v>
      </c>
      <c r="I1551" s="189">
        <f t="shared" si="136"/>
        <v>0</v>
      </c>
      <c r="J1551" s="189">
        <f t="shared" si="137"/>
        <v>0</v>
      </c>
      <c r="K1551" s="294"/>
      <c r="L1551" s="295"/>
      <c r="M1551" s="296">
        <v>0.05</v>
      </c>
      <c r="N1551" s="296">
        <f t="shared" si="138"/>
        <v>0</v>
      </c>
      <c r="O1551" s="299">
        <f t="shared" si="139"/>
        <v>0</v>
      </c>
      <c r="P1551" s="303"/>
    </row>
    <row r="1552" spans="2:16" ht="15.75" thickBot="1">
      <c r="B1552" s="184"/>
      <c r="C1552" s="185"/>
      <c r="D1552" s="186"/>
      <c r="E1552" s="186"/>
      <c r="F1552" s="187"/>
      <c r="G1552" s="187">
        <f t="shared" si="135"/>
        <v>0</v>
      </c>
      <c r="H1552" s="188">
        <v>0.05</v>
      </c>
      <c r="I1552" s="189">
        <f t="shared" si="136"/>
        <v>0</v>
      </c>
      <c r="J1552" s="189">
        <f t="shared" si="137"/>
        <v>0</v>
      </c>
      <c r="K1552" s="294"/>
      <c r="L1552" s="295"/>
      <c r="M1552" s="296">
        <v>0.05</v>
      </c>
      <c r="N1552" s="296">
        <f t="shared" si="138"/>
        <v>0</v>
      </c>
      <c r="O1552" s="299">
        <f t="shared" si="139"/>
        <v>0</v>
      </c>
      <c r="P1552" s="303"/>
    </row>
    <row r="1553" spans="2:16" ht="15.75" thickBot="1">
      <c r="B1553" s="184"/>
      <c r="C1553" s="185"/>
      <c r="D1553" s="186"/>
      <c r="E1553" s="186"/>
      <c r="F1553" s="187"/>
      <c r="G1553" s="187">
        <f t="shared" si="135"/>
        <v>0</v>
      </c>
      <c r="H1553" s="188">
        <v>0.05</v>
      </c>
      <c r="I1553" s="189">
        <f t="shared" si="136"/>
        <v>0</v>
      </c>
      <c r="J1553" s="189">
        <f t="shared" si="137"/>
        <v>0</v>
      </c>
      <c r="K1553" s="294"/>
      <c r="L1553" s="295"/>
      <c r="M1553" s="296">
        <v>0.05</v>
      </c>
      <c r="N1553" s="296">
        <f t="shared" si="138"/>
        <v>0</v>
      </c>
      <c r="O1553" s="299">
        <f t="shared" si="139"/>
        <v>0</v>
      </c>
      <c r="P1553" s="303"/>
    </row>
    <row r="1554" spans="2:16" ht="15.75" thickBot="1">
      <c r="B1554" s="184"/>
      <c r="C1554" s="185"/>
      <c r="D1554" s="186"/>
      <c r="E1554" s="186"/>
      <c r="F1554" s="187"/>
      <c r="G1554" s="187">
        <f t="shared" si="135"/>
        <v>0</v>
      </c>
      <c r="H1554" s="188">
        <v>0.05</v>
      </c>
      <c r="I1554" s="189">
        <f t="shared" si="136"/>
        <v>0</v>
      </c>
      <c r="J1554" s="189">
        <f t="shared" si="137"/>
        <v>0</v>
      </c>
      <c r="K1554" s="294"/>
      <c r="L1554" s="295"/>
      <c r="M1554" s="296">
        <v>0.05</v>
      </c>
      <c r="N1554" s="296">
        <f t="shared" si="138"/>
        <v>0</v>
      </c>
      <c r="O1554" s="299">
        <f t="shared" si="139"/>
        <v>0</v>
      </c>
      <c r="P1554" s="303"/>
    </row>
    <row r="1555" spans="2:16" ht="15.75" thickBot="1">
      <c r="B1555" s="184"/>
      <c r="C1555" s="185"/>
      <c r="D1555" s="186"/>
      <c r="E1555" s="186"/>
      <c r="F1555" s="187"/>
      <c r="G1555" s="187">
        <f t="shared" si="135"/>
        <v>0</v>
      </c>
      <c r="H1555" s="188">
        <v>0.05</v>
      </c>
      <c r="I1555" s="189">
        <f t="shared" si="136"/>
        <v>0</v>
      </c>
      <c r="J1555" s="189">
        <f t="shared" si="137"/>
        <v>0</v>
      </c>
      <c r="K1555" s="294"/>
      <c r="L1555" s="295"/>
      <c r="M1555" s="296">
        <v>0.05</v>
      </c>
      <c r="N1555" s="296">
        <f t="shared" si="138"/>
        <v>0</v>
      </c>
      <c r="O1555" s="299">
        <f t="shared" si="139"/>
        <v>0</v>
      </c>
      <c r="P1555" s="303"/>
    </row>
    <row r="1556" spans="2:16" ht="15.75" thickBot="1">
      <c r="B1556" s="184"/>
      <c r="C1556" s="185"/>
      <c r="D1556" s="186"/>
      <c r="E1556" s="186"/>
      <c r="F1556" s="187"/>
      <c r="G1556" s="187">
        <f t="shared" si="135"/>
        <v>0</v>
      </c>
      <c r="H1556" s="188">
        <v>0.05</v>
      </c>
      <c r="I1556" s="189">
        <f t="shared" si="136"/>
        <v>0</v>
      </c>
      <c r="J1556" s="189">
        <f t="shared" si="137"/>
        <v>0</v>
      </c>
      <c r="K1556" s="294"/>
      <c r="L1556" s="295"/>
      <c r="M1556" s="296">
        <v>0.05</v>
      </c>
      <c r="N1556" s="296">
        <f t="shared" si="138"/>
        <v>0</v>
      </c>
      <c r="O1556" s="299">
        <f t="shared" si="139"/>
        <v>0</v>
      </c>
      <c r="P1556" s="303"/>
    </row>
    <row r="1557" spans="2:16" ht="15.75" thickBot="1">
      <c r="B1557" s="184"/>
      <c r="C1557" s="185"/>
      <c r="D1557" s="186"/>
      <c r="E1557" s="186"/>
      <c r="F1557" s="187"/>
      <c r="G1557" s="187">
        <f t="shared" si="135"/>
        <v>0</v>
      </c>
      <c r="H1557" s="188">
        <v>0.05</v>
      </c>
      <c r="I1557" s="189">
        <f t="shared" si="136"/>
        <v>0</v>
      </c>
      <c r="J1557" s="189">
        <f t="shared" si="137"/>
        <v>0</v>
      </c>
      <c r="K1557" s="294"/>
      <c r="L1557" s="295"/>
      <c r="M1557" s="296">
        <v>0.05</v>
      </c>
      <c r="N1557" s="296">
        <f t="shared" si="138"/>
        <v>0</v>
      </c>
      <c r="O1557" s="299">
        <f t="shared" si="139"/>
        <v>0</v>
      </c>
      <c r="P1557" s="303"/>
    </row>
    <row r="1558" spans="2:16" ht="15.75" thickBot="1">
      <c r="B1558" s="184"/>
      <c r="C1558" s="185"/>
      <c r="D1558" s="186"/>
      <c r="E1558" s="186"/>
      <c r="F1558" s="187"/>
      <c r="G1558" s="187">
        <f t="shared" si="135"/>
        <v>0</v>
      </c>
      <c r="H1558" s="188">
        <v>0.05</v>
      </c>
      <c r="I1558" s="189">
        <f t="shared" si="136"/>
        <v>0</v>
      </c>
      <c r="J1558" s="189">
        <f t="shared" si="137"/>
        <v>0</v>
      </c>
      <c r="K1558" s="294"/>
      <c r="L1558" s="295"/>
      <c r="M1558" s="296">
        <v>0.05</v>
      </c>
      <c r="N1558" s="296">
        <f t="shared" si="138"/>
        <v>0</v>
      </c>
      <c r="O1558" s="299">
        <f t="shared" si="139"/>
        <v>0</v>
      </c>
      <c r="P1558" s="303"/>
    </row>
    <row r="1559" spans="2:16" ht="15.75" thickBot="1">
      <c r="B1559" s="184"/>
      <c r="C1559" s="185"/>
      <c r="D1559" s="186"/>
      <c r="E1559" s="186"/>
      <c r="F1559" s="187"/>
      <c r="G1559" s="187">
        <f t="shared" si="135"/>
        <v>0</v>
      </c>
      <c r="H1559" s="188">
        <v>0.05</v>
      </c>
      <c r="I1559" s="189">
        <f t="shared" si="136"/>
        <v>0</v>
      </c>
      <c r="J1559" s="189">
        <f t="shared" si="137"/>
        <v>0</v>
      </c>
      <c r="K1559" s="294"/>
      <c r="L1559" s="295"/>
      <c r="M1559" s="296">
        <v>0.05</v>
      </c>
      <c r="N1559" s="296">
        <f t="shared" si="138"/>
        <v>0</v>
      </c>
      <c r="O1559" s="299">
        <f t="shared" si="139"/>
        <v>0</v>
      </c>
      <c r="P1559" s="303"/>
    </row>
    <row r="1560" spans="2:16" ht="15.75" thickBot="1">
      <c r="B1560" s="184"/>
      <c r="C1560" s="185"/>
      <c r="D1560" s="186"/>
      <c r="E1560" s="186"/>
      <c r="F1560" s="187"/>
      <c r="G1560" s="187">
        <f t="shared" si="135"/>
        <v>0</v>
      </c>
      <c r="H1560" s="188">
        <v>0.05</v>
      </c>
      <c r="I1560" s="189">
        <f t="shared" si="136"/>
        <v>0</v>
      </c>
      <c r="J1560" s="189">
        <f t="shared" si="137"/>
        <v>0</v>
      </c>
      <c r="K1560" s="294"/>
      <c r="L1560" s="295"/>
      <c r="M1560" s="296">
        <v>0.05</v>
      </c>
      <c r="N1560" s="296">
        <f t="shared" si="138"/>
        <v>0</v>
      </c>
      <c r="O1560" s="299">
        <f t="shared" si="139"/>
        <v>0</v>
      </c>
      <c r="P1560" s="303"/>
    </row>
    <row r="1561" spans="2:16" ht="15.75" thickBot="1">
      <c r="B1561" s="184"/>
      <c r="C1561" s="185"/>
      <c r="D1561" s="186"/>
      <c r="E1561" s="186"/>
      <c r="F1561" s="187"/>
      <c r="G1561" s="187">
        <f t="shared" si="135"/>
        <v>0</v>
      </c>
      <c r="H1561" s="188">
        <v>0.05</v>
      </c>
      <c r="I1561" s="189">
        <f t="shared" si="136"/>
        <v>0</v>
      </c>
      <c r="J1561" s="189">
        <f t="shared" si="137"/>
        <v>0</v>
      </c>
      <c r="K1561" s="294"/>
      <c r="L1561" s="295"/>
      <c r="M1561" s="296">
        <v>0.05</v>
      </c>
      <c r="N1561" s="296">
        <f t="shared" si="138"/>
        <v>0</v>
      </c>
      <c r="O1561" s="299">
        <f t="shared" si="139"/>
        <v>0</v>
      </c>
      <c r="P1561" s="303"/>
    </row>
    <row r="1562" spans="2:16" ht="15.75" thickBot="1">
      <c r="B1562" s="184"/>
      <c r="C1562" s="185"/>
      <c r="D1562" s="186"/>
      <c r="E1562" s="186"/>
      <c r="F1562" s="187"/>
      <c r="G1562" s="187">
        <f t="shared" si="135"/>
        <v>0</v>
      </c>
      <c r="H1562" s="188">
        <v>0.05</v>
      </c>
      <c r="I1562" s="189">
        <f t="shared" si="136"/>
        <v>0</v>
      </c>
      <c r="J1562" s="189">
        <f t="shared" si="137"/>
        <v>0</v>
      </c>
      <c r="K1562" s="294"/>
      <c r="L1562" s="295"/>
      <c r="M1562" s="296">
        <v>0.05</v>
      </c>
      <c r="N1562" s="296">
        <f t="shared" si="138"/>
        <v>0</v>
      </c>
      <c r="O1562" s="299">
        <f t="shared" si="139"/>
        <v>0</v>
      </c>
      <c r="P1562" s="303"/>
    </row>
    <row r="1563" spans="2:16" ht="15.75" thickBot="1">
      <c r="B1563" s="184"/>
      <c r="C1563" s="185"/>
      <c r="D1563" s="186"/>
      <c r="E1563" s="186"/>
      <c r="F1563" s="187"/>
      <c r="G1563" s="187">
        <f t="shared" si="135"/>
        <v>0</v>
      </c>
      <c r="H1563" s="188">
        <v>0.05</v>
      </c>
      <c r="I1563" s="189">
        <f t="shared" si="136"/>
        <v>0</v>
      </c>
      <c r="J1563" s="189">
        <f t="shared" si="137"/>
        <v>0</v>
      </c>
      <c r="K1563" s="294"/>
      <c r="L1563" s="295"/>
      <c r="M1563" s="296">
        <v>0.05</v>
      </c>
      <c r="N1563" s="296">
        <f t="shared" si="138"/>
        <v>0</v>
      </c>
      <c r="O1563" s="299">
        <f t="shared" si="139"/>
        <v>0</v>
      </c>
      <c r="P1563" s="303"/>
    </row>
    <row r="1564" spans="2:16" ht="15.75" thickBot="1">
      <c r="B1564" s="184"/>
      <c r="C1564" s="185"/>
      <c r="D1564" s="186"/>
      <c r="E1564" s="186"/>
      <c r="F1564" s="187"/>
      <c r="G1564" s="187">
        <f t="shared" si="135"/>
        <v>0</v>
      </c>
      <c r="H1564" s="188">
        <v>0.05</v>
      </c>
      <c r="I1564" s="189">
        <f t="shared" si="136"/>
        <v>0</v>
      </c>
      <c r="J1564" s="189">
        <f t="shared" si="137"/>
        <v>0</v>
      </c>
      <c r="K1564" s="294"/>
      <c r="L1564" s="295"/>
      <c r="M1564" s="296">
        <v>0.05</v>
      </c>
      <c r="N1564" s="296">
        <f t="shared" si="138"/>
        <v>0</v>
      </c>
      <c r="O1564" s="299">
        <f t="shared" si="139"/>
        <v>0</v>
      </c>
      <c r="P1564" s="303"/>
    </row>
    <row r="1565" spans="2:16" ht="15.75" thickBot="1">
      <c r="B1565" s="184"/>
      <c r="C1565" s="185"/>
      <c r="D1565" s="186"/>
      <c r="E1565" s="186"/>
      <c r="F1565" s="187"/>
      <c r="G1565" s="187">
        <f t="shared" si="135"/>
        <v>0</v>
      </c>
      <c r="H1565" s="188">
        <v>0.05</v>
      </c>
      <c r="I1565" s="189">
        <f t="shared" si="136"/>
        <v>0</v>
      </c>
      <c r="J1565" s="189">
        <f t="shared" si="137"/>
        <v>0</v>
      </c>
      <c r="K1565" s="294"/>
      <c r="L1565" s="295"/>
      <c r="M1565" s="296">
        <v>0.05</v>
      </c>
      <c r="N1565" s="296">
        <f t="shared" si="138"/>
        <v>0</v>
      </c>
      <c r="O1565" s="299">
        <f t="shared" si="139"/>
        <v>0</v>
      </c>
      <c r="P1565" s="303"/>
    </row>
    <row r="1566" spans="2:16" ht="15.75" thickBot="1">
      <c r="B1566" s="184"/>
      <c r="C1566" s="185"/>
      <c r="D1566" s="186"/>
      <c r="E1566" s="186"/>
      <c r="F1566" s="187"/>
      <c r="G1566" s="187">
        <f t="shared" si="135"/>
        <v>0</v>
      </c>
      <c r="H1566" s="188">
        <v>0.05</v>
      </c>
      <c r="I1566" s="189">
        <f t="shared" si="136"/>
        <v>0</v>
      </c>
      <c r="J1566" s="189">
        <f t="shared" si="137"/>
        <v>0</v>
      </c>
      <c r="K1566" s="294"/>
      <c r="L1566" s="295"/>
      <c r="M1566" s="296">
        <v>0.05</v>
      </c>
      <c r="N1566" s="296">
        <f t="shared" si="138"/>
        <v>0</v>
      </c>
      <c r="O1566" s="299">
        <f t="shared" si="139"/>
        <v>0</v>
      </c>
      <c r="P1566" s="303"/>
    </row>
    <row r="1567" spans="2:16" ht="15.75" thickBot="1">
      <c r="B1567" s="184"/>
      <c r="C1567" s="185"/>
      <c r="D1567" s="186"/>
      <c r="E1567" s="186"/>
      <c r="F1567" s="187"/>
      <c r="G1567" s="187">
        <f t="shared" si="135"/>
        <v>0</v>
      </c>
      <c r="H1567" s="188">
        <v>0.05</v>
      </c>
      <c r="I1567" s="189">
        <f t="shared" si="136"/>
        <v>0</v>
      </c>
      <c r="J1567" s="189">
        <f t="shared" si="137"/>
        <v>0</v>
      </c>
      <c r="K1567" s="294"/>
      <c r="L1567" s="295"/>
      <c r="M1567" s="296">
        <v>0.05</v>
      </c>
      <c r="N1567" s="296">
        <f t="shared" si="138"/>
        <v>0</v>
      </c>
      <c r="O1567" s="299">
        <f t="shared" si="139"/>
        <v>0</v>
      </c>
      <c r="P1567" s="303"/>
    </row>
    <row r="1568" spans="2:16" ht="15.75" thickBot="1">
      <c r="B1568" s="184"/>
      <c r="C1568" s="185"/>
      <c r="D1568" s="186"/>
      <c r="E1568" s="186"/>
      <c r="F1568" s="187"/>
      <c r="G1568" s="187">
        <f t="shared" si="135"/>
        <v>0</v>
      </c>
      <c r="H1568" s="188">
        <v>0.05</v>
      </c>
      <c r="I1568" s="189">
        <f t="shared" si="136"/>
        <v>0</v>
      </c>
      <c r="J1568" s="189">
        <f t="shared" si="137"/>
        <v>0</v>
      </c>
      <c r="K1568" s="294"/>
      <c r="L1568" s="295"/>
      <c r="M1568" s="296">
        <v>0.05</v>
      </c>
      <c r="N1568" s="296">
        <f t="shared" si="138"/>
        <v>0</v>
      </c>
      <c r="O1568" s="299">
        <f t="shared" si="139"/>
        <v>0</v>
      </c>
      <c r="P1568" s="303"/>
    </row>
    <row r="1569" spans="2:16" ht="15.75" thickBot="1">
      <c r="B1569" s="184"/>
      <c r="C1569" s="185"/>
      <c r="D1569" s="186"/>
      <c r="E1569" s="186"/>
      <c r="F1569" s="187"/>
      <c r="G1569" s="187">
        <f t="shared" si="135"/>
        <v>0</v>
      </c>
      <c r="H1569" s="188">
        <v>0.05</v>
      </c>
      <c r="I1569" s="189">
        <f t="shared" si="136"/>
        <v>0</v>
      </c>
      <c r="J1569" s="189">
        <f t="shared" si="137"/>
        <v>0</v>
      </c>
      <c r="K1569" s="294"/>
      <c r="L1569" s="295"/>
      <c r="M1569" s="296">
        <v>0.05</v>
      </c>
      <c r="N1569" s="296">
        <f t="shared" si="138"/>
        <v>0</v>
      </c>
      <c r="O1569" s="299">
        <f t="shared" si="139"/>
        <v>0</v>
      </c>
      <c r="P1569" s="303"/>
    </row>
    <row r="1570" spans="2:16" ht="15.75" thickBot="1">
      <c r="B1570" s="184"/>
      <c r="C1570" s="185"/>
      <c r="D1570" s="186"/>
      <c r="E1570" s="186"/>
      <c r="F1570" s="187"/>
      <c r="G1570" s="187">
        <f t="shared" si="135"/>
        <v>0</v>
      </c>
      <c r="H1570" s="188">
        <v>0.05</v>
      </c>
      <c r="I1570" s="189">
        <f t="shared" si="136"/>
        <v>0</v>
      </c>
      <c r="J1570" s="189">
        <f t="shared" si="137"/>
        <v>0</v>
      </c>
      <c r="K1570" s="294"/>
      <c r="L1570" s="295"/>
      <c r="M1570" s="296">
        <v>0.05</v>
      </c>
      <c r="N1570" s="296">
        <f t="shared" si="138"/>
        <v>0</v>
      </c>
      <c r="O1570" s="299">
        <f t="shared" si="139"/>
        <v>0</v>
      </c>
      <c r="P1570" s="303"/>
    </row>
    <row r="1571" spans="2:16" ht="15.75" thickBot="1">
      <c r="B1571" s="184"/>
      <c r="C1571" s="185"/>
      <c r="D1571" s="186"/>
      <c r="E1571" s="186"/>
      <c r="F1571" s="187"/>
      <c r="G1571" s="187">
        <f t="shared" si="135"/>
        <v>0</v>
      </c>
      <c r="H1571" s="188">
        <v>0.05</v>
      </c>
      <c r="I1571" s="189">
        <f t="shared" si="136"/>
        <v>0</v>
      </c>
      <c r="J1571" s="189">
        <f t="shared" si="137"/>
        <v>0</v>
      </c>
      <c r="K1571" s="294"/>
      <c r="L1571" s="295"/>
      <c r="M1571" s="296">
        <v>0.05</v>
      </c>
      <c r="N1571" s="296">
        <f t="shared" si="138"/>
        <v>0</v>
      </c>
      <c r="O1571" s="299">
        <f t="shared" si="139"/>
        <v>0</v>
      </c>
      <c r="P1571" s="303"/>
    </row>
    <row r="1572" spans="2:16" ht="15.75" thickBot="1">
      <c r="B1572" s="184"/>
      <c r="C1572" s="185"/>
      <c r="D1572" s="186"/>
      <c r="E1572" s="186"/>
      <c r="F1572" s="187"/>
      <c r="G1572" s="187">
        <f t="shared" si="135"/>
        <v>0</v>
      </c>
      <c r="H1572" s="188">
        <v>0.05</v>
      </c>
      <c r="I1572" s="189">
        <f t="shared" si="136"/>
        <v>0</v>
      </c>
      <c r="J1572" s="189">
        <f t="shared" si="137"/>
        <v>0</v>
      </c>
      <c r="K1572" s="294"/>
      <c r="L1572" s="295"/>
      <c r="M1572" s="296">
        <v>0.05</v>
      </c>
      <c r="N1572" s="296">
        <f t="shared" si="138"/>
        <v>0</v>
      </c>
      <c r="O1572" s="299">
        <f t="shared" si="139"/>
        <v>0</v>
      </c>
      <c r="P1572" s="303"/>
    </row>
    <row r="1573" spans="2:16" ht="15.75" thickBot="1">
      <c r="B1573" s="184"/>
      <c r="C1573" s="185"/>
      <c r="D1573" s="186"/>
      <c r="E1573" s="186"/>
      <c r="F1573" s="187"/>
      <c r="G1573" s="187">
        <f t="shared" si="135"/>
        <v>0</v>
      </c>
      <c r="H1573" s="188">
        <v>0.05</v>
      </c>
      <c r="I1573" s="189">
        <f t="shared" si="136"/>
        <v>0</v>
      </c>
      <c r="J1573" s="189">
        <f t="shared" si="137"/>
        <v>0</v>
      </c>
      <c r="K1573" s="294"/>
      <c r="L1573" s="295"/>
      <c r="M1573" s="296">
        <v>0.05</v>
      </c>
      <c r="N1573" s="296">
        <f t="shared" si="138"/>
        <v>0</v>
      </c>
      <c r="O1573" s="299">
        <f t="shared" si="139"/>
        <v>0</v>
      </c>
      <c r="P1573" s="303"/>
    </row>
    <row r="1574" spans="2:16" ht="15.75" thickBot="1">
      <c r="B1574" s="184"/>
      <c r="C1574" s="185"/>
      <c r="D1574" s="186"/>
      <c r="E1574" s="186"/>
      <c r="F1574" s="187"/>
      <c r="G1574" s="187">
        <f t="shared" ref="G1574:G1637" si="140">IF(D1574=0,0,(D1574+E1574)/F1574)</f>
        <v>0</v>
      </c>
      <c r="H1574" s="188">
        <v>0.05</v>
      </c>
      <c r="I1574" s="189">
        <f t="shared" ref="I1574:I1637" si="141">+G1574*H1574</f>
        <v>0</v>
      </c>
      <c r="J1574" s="189">
        <f t="shared" ref="J1574:J1637" si="142">+G1574+I1574</f>
        <v>0</v>
      </c>
      <c r="K1574" s="294"/>
      <c r="L1574" s="295"/>
      <c r="M1574" s="296">
        <v>0.05</v>
      </c>
      <c r="N1574" s="296">
        <f t="shared" ref="N1574:N1637" si="143">IF(H1574&lt;M1574,H1574/M1574,0)</f>
        <v>0</v>
      </c>
      <c r="O1574" s="299">
        <f t="shared" ref="O1574:O1637" si="144">1.5%*N1574</f>
        <v>0</v>
      </c>
      <c r="P1574" s="303"/>
    </row>
    <row r="1575" spans="2:16" ht="15.75" thickBot="1">
      <c r="B1575" s="184"/>
      <c r="C1575" s="185"/>
      <c r="D1575" s="186"/>
      <c r="E1575" s="186"/>
      <c r="F1575" s="187"/>
      <c r="G1575" s="187">
        <f t="shared" si="140"/>
        <v>0</v>
      </c>
      <c r="H1575" s="188">
        <v>0.05</v>
      </c>
      <c r="I1575" s="189">
        <f t="shared" si="141"/>
        <v>0</v>
      </c>
      <c r="J1575" s="189">
        <f t="shared" si="142"/>
        <v>0</v>
      </c>
      <c r="K1575" s="294"/>
      <c r="L1575" s="295"/>
      <c r="M1575" s="296">
        <v>0.05</v>
      </c>
      <c r="N1575" s="296">
        <f t="shared" si="143"/>
        <v>0</v>
      </c>
      <c r="O1575" s="299">
        <f t="shared" si="144"/>
        <v>0</v>
      </c>
      <c r="P1575" s="303"/>
    </row>
    <row r="1576" spans="2:16" ht="15.75" thickBot="1">
      <c r="B1576" s="184"/>
      <c r="C1576" s="185"/>
      <c r="D1576" s="186"/>
      <c r="E1576" s="186"/>
      <c r="F1576" s="187"/>
      <c r="G1576" s="187">
        <f t="shared" si="140"/>
        <v>0</v>
      </c>
      <c r="H1576" s="188">
        <v>0.05</v>
      </c>
      <c r="I1576" s="189">
        <f t="shared" si="141"/>
        <v>0</v>
      </c>
      <c r="J1576" s="189">
        <f t="shared" si="142"/>
        <v>0</v>
      </c>
      <c r="K1576" s="294"/>
      <c r="L1576" s="295"/>
      <c r="M1576" s="296">
        <v>0.05</v>
      </c>
      <c r="N1576" s="296">
        <f t="shared" si="143"/>
        <v>0</v>
      </c>
      <c r="O1576" s="299">
        <f t="shared" si="144"/>
        <v>0</v>
      </c>
      <c r="P1576" s="303"/>
    </row>
    <row r="1577" spans="2:16" ht="15.75" thickBot="1">
      <c r="B1577" s="184"/>
      <c r="C1577" s="185"/>
      <c r="D1577" s="186"/>
      <c r="E1577" s="186"/>
      <c r="F1577" s="187"/>
      <c r="G1577" s="187">
        <f t="shared" si="140"/>
        <v>0</v>
      </c>
      <c r="H1577" s="188">
        <v>0.05</v>
      </c>
      <c r="I1577" s="189">
        <f t="shared" si="141"/>
        <v>0</v>
      </c>
      <c r="J1577" s="189">
        <f t="shared" si="142"/>
        <v>0</v>
      </c>
      <c r="K1577" s="294"/>
      <c r="L1577" s="295"/>
      <c r="M1577" s="296">
        <v>0.05</v>
      </c>
      <c r="N1577" s="296">
        <f t="shared" si="143"/>
        <v>0</v>
      </c>
      <c r="O1577" s="299">
        <f t="shared" si="144"/>
        <v>0</v>
      </c>
      <c r="P1577" s="303"/>
    </row>
    <row r="1578" spans="2:16" ht="15.75" thickBot="1">
      <c r="B1578" s="184"/>
      <c r="C1578" s="185"/>
      <c r="D1578" s="186"/>
      <c r="E1578" s="186"/>
      <c r="F1578" s="187"/>
      <c r="G1578" s="187">
        <f t="shared" si="140"/>
        <v>0</v>
      </c>
      <c r="H1578" s="188">
        <v>0.05</v>
      </c>
      <c r="I1578" s="189">
        <f t="shared" si="141"/>
        <v>0</v>
      </c>
      <c r="J1578" s="189">
        <f t="shared" si="142"/>
        <v>0</v>
      </c>
      <c r="K1578" s="294"/>
      <c r="L1578" s="295"/>
      <c r="M1578" s="296">
        <v>0.05</v>
      </c>
      <c r="N1578" s="296">
        <f t="shared" si="143"/>
        <v>0</v>
      </c>
      <c r="O1578" s="299">
        <f t="shared" si="144"/>
        <v>0</v>
      </c>
      <c r="P1578" s="303"/>
    </row>
    <row r="1579" spans="2:16" ht="15.75" thickBot="1">
      <c r="B1579" s="184"/>
      <c r="C1579" s="185"/>
      <c r="D1579" s="186"/>
      <c r="E1579" s="186"/>
      <c r="F1579" s="187"/>
      <c r="G1579" s="187">
        <f t="shared" si="140"/>
        <v>0</v>
      </c>
      <c r="H1579" s="188">
        <v>0.05</v>
      </c>
      <c r="I1579" s="189">
        <f t="shared" si="141"/>
        <v>0</v>
      </c>
      <c r="J1579" s="189">
        <f t="shared" si="142"/>
        <v>0</v>
      </c>
      <c r="K1579" s="294"/>
      <c r="L1579" s="295"/>
      <c r="M1579" s="296">
        <v>0.05</v>
      </c>
      <c r="N1579" s="296">
        <f t="shared" si="143"/>
        <v>0</v>
      </c>
      <c r="O1579" s="299">
        <f t="shared" si="144"/>
        <v>0</v>
      </c>
      <c r="P1579" s="303"/>
    </row>
    <row r="1580" spans="2:16" ht="15.75" thickBot="1">
      <c r="B1580" s="184"/>
      <c r="C1580" s="185"/>
      <c r="D1580" s="186"/>
      <c r="E1580" s="186"/>
      <c r="F1580" s="187"/>
      <c r="G1580" s="187">
        <f t="shared" si="140"/>
        <v>0</v>
      </c>
      <c r="H1580" s="188">
        <v>0.05</v>
      </c>
      <c r="I1580" s="189">
        <f t="shared" si="141"/>
        <v>0</v>
      </c>
      <c r="J1580" s="189">
        <f t="shared" si="142"/>
        <v>0</v>
      </c>
      <c r="K1580" s="294"/>
      <c r="L1580" s="295"/>
      <c r="M1580" s="296">
        <v>0.05</v>
      </c>
      <c r="N1580" s="296">
        <f t="shared" si="143"/>
        <v>0</v>
      </c>
      <c r="O1580" s="299">
        <f t="shared" si="144"/>
        <v>0</v>
      </c>
      <c r="P1580" s="303"/>
    </row>
    <row r="1581" spans="2:16" ht="15.75" thickBot="1">
      <c r="B1581" s="184"/>
      <c r="C1581" s="185"/>
      <c r="D1581" s="186"/>
      <c r="E1581" s="186"/>
      <c r="F1581" s="187"/>
      <c r="G1581" s="187">
        <f t="shared" si="140"/>
        <v>0</v>
      </c>
      <c r="H1581" s="188">
        <v>0.05</v>
      </c>
      <c r="I1581" s="189">
        <f t="shared" si="141"/>
        <v>0</v>
      </c>
      <c r="J1581" s="189">
        <f t="shared" si="142"/>
        <v>0</v>
      </c>
      <c r="K1581" s="294"/>
      <c r="L1581" s="295"/>
      <c r="M1581" s="296">
        <v>0.05</v>
      </c>
      <c r="N1581" s="296">
        <f t="shared" si="143"/>
        <v>0</v>
      </c>
      <c r="O1581" s="299">
        <f t="shared" si="144"/>
        <v>0</v>
      </c>
      <c r="P1581" s="303"/>
    </row>
    <row r="1582" spans="2:16" ht="15.75" thickBot="1">
      <c r="B1582" s="184"/>
      <c r="C1582" s="185"/>
      <c r="D1582" s="186"/>
      <c r="E1582" s="186"/>
      <c r="F1582" s="187"/>
      <c r="G1582" s="187">
        <f t="shared" si="140"/>
        <v>0</v>
      </c>
      <c r="H1582" s="188">
        <v>0.05</v>
      </c>
      <c r="I1582" s="189">
        <f t="shared" si="141"/>
        <v>0</v>
      </c>
      <c r="J1582" s="189">
        <f t="shared" si="142"/>
        <v>0</v>
      </c>
      <c r="K1582" s="294"/>
      <c r="L1582" s="295"/>
      <c r="M1582" s="296">
        <v>0.05</v>
      </c>
      <c r="N1582" s="296">
        <f t="shared" si="143"/>
        <v>0</v>
      </c>
      <c r="O1582" s="299">
        <f t="shared" si="144"/>
        <v>0</v>
      </c>
      <c r="P1582" s="303"/>
    </row>
    <row r="1583" spans="2:16" ht="15.75" thickBot="1">
      <c r="B1583" s="184"/>
      <c r="C1583" s="185"/>
      <c r="D1583" s="186"/>
      <c r="E1583" s="186"/>
      <c r="F1583" s="187"/>
      <c r="G1583" s="187">
        <f t="shared" si="140"/>
        <v>0</v>
      </c>
      <c r="H1583" s="188">
        <v>0.05</v>
      </c>
      <c r="I1583" s="189">
        <f t="shared" si="141"/>
        <v>0</v>
      </c>
      <c r="J1583" s="189">
        <f t="shared" si="142"/>
        <v>0</v>
      </c>
      <c r="K1583" s="294"/>
      <c r="L1583" s="295"/>
      <c r="M1583" s="296">
        <v>0.05</v>
      </c>
      <c r="N1583" s="296">
        <f t="shared" si="143"/>
        <v>0</v>
      </c>
      <c r="O1583" s="299">
        <f t="shared" si="144"/>
        <v>0</v>
      </c>
      <c r="P1583" s="303"/>
    </row>
    <row r="1584" spans="2:16" ht="15.75" thickBot="1">
      <c r="B1584" s="184"/>
      <c r="C1584" s="185"/>
      <c r="D1584" s="186"/>
      <c r="E1584" s="186"/>
      <c r="F1584" s="187"/>
      <c r="G1584" s="187">
        <f t="shared" si="140"/>
        <v>0</v>
      </c>
      <c r="H1584" s="188">
        <v>0.05</v>
      </c>
      <c r="I1584" s="189">
        <f t="shared" si="141"/>
        <v>0</v>
      </c>
      <c r="J1584" s="189">
        <f t="shared" si="142"/>
        <v>0</v>
      </c>
      <c r="K1584" s="294"/>
      <c r="L1584" s="295"/>
      <c r="M1584" s="296">
        <v>0.05</v>
      </c>
      <c r="N1584" s="296">
        <f t="shared" si="143"/>
        <v>0</v>
      </c>
      <c r="O1584" s="299">
        <f t="shared" si="144"/>
        <v>0</v>
      </c>
      <c r="P1584" s="303"/>
    </row>
    <row r="1585" spans="2:16" ht="15.75" thickBot="1">
      <c r="B1585" s="184"/>
      <c r="C1585" s="185"/>
      <c r="D1585" s="186"/>
      <c r="E1585" s="186"/>
      <c r="F1585" s="187"/>
      <c r="G1585" s="187">
        <f t="shared" si="140"/>
        <v>0</v>
      </c>
      <c r="H1585" s="188">
        <v>0.05</v>
      </c>
      <c r="I1585" s="189">
        <f t="shared" si="141"/>
        <v>0</v>
      </c>
      <c r="J1585" s="189">
        <f t="shared" si="142"/>
        <v>0</v>
      </c>
      <c r="K1585" s="294"/>
      <c r="L1585" s="295"/>
      <c r="M1585" s="296">
        <v>0.05</v>
      </c>
      <c r="N1585" s="296">
        <f t="shared" si="143"/>
        <v>0</v>
      </c>
      <c r="O1585" s="299">
        <f t="shared" si="144"/>
        <v>0</v>
      </c>
      <c r="P1585" s="303"/>
    </row>
    <row r="1586" spans="2:16" ht="15.75" thickBot="1">
      <c r="B1586" s="184"/>
      <c r="C1586" s="185"/>
      <c r="D1586" s="186"/>
      <c r="E1586" s="186"/>
      <c r="F1586" s="187"/>
      <c r="G1586" s="187">
        <f t="shared" si="140"/>
        <v>0</v>
      </c>
      <c r="H1586" s="188">
        <v>0.05</v>
      </c>
      <c r="I1586" s="189">
        <f t="shared" si="141"/>
        <v>0</v>
      </c>
      <c r="J1586" s="189">
        <f t="shared" si="142"/>
        <v>0</v>
      </c>
      <c r="K1586" s="294"/>
      <c r="L1586" s="295"/>
      <c r="M1586" s="296">
        <v>0.05</v>
      </c>
      <c r="N1586" s="296">
        <f t="shared" si="143"/>
        <v>0</v>
      </c>
      <c r="O1586" s="299">
        <f t="shared" si="144"/>
        <v>0</v>
      </c>
      <c r="P1586" s="303"/>
    </row>
    <row r="1587" spans="2:16" ht="15.75" thickBot="1">
      <c r="B1587" s="184"/>
      <c r="C1587" s="185"/>
      <c r="D1587" s="186"/>
      <c r="E1587" s="186"/>
      <c r="F1587" s="187"/>
      <c r="G1587" s="187">
        <f t="shared" si="140"/>
        <v>0</v>
      </c>
      <c r="H1587" s="188">
        <v>0.05</v>
      </c>
      <c r="I1587" s="189">
        <f t="shared" si="141"/>
        <v>0</v>
      </c>
      <c r="J1587" s="189">
        <f t="shared" si="142"/>
        <v>0</v>
      </c>
      <c r="K1587" s="294"/>
      <c r="L1587" s="295"/>
      <c r="M1587" s="296">
        <v>0.05</v>
      </c>
      <c r="N1587" s="296">
        <f t="shared" si="143"/>
        <v>0</v>
      </c>
      <c r="O1587" s="299">
        <f t="shared" si="144"/>
        <v>0</v>
      </c>
      <c r="P1587" s="303"/>
    </row>
    <row r="1588" spans="2:16" ht="15.75" thickBot="1">
      <c r="B1588" s="184"/>
      <c r="C1588" s="185"/>
      <c r="D1588" s="186"/>
      <c r="E1588" s="186"/>
      <c r="F1588" s="187"/>
      <c r="G1588" s="187">
        <f t="shared" si="140"/>
        <v>0</v>
      </c>
      <c r="H1588" s="188">
        <v>0.05</v>
      </c>
      <c r="I1588" s="189">
        <f t="shared" si="141"/>
        <v>0</v>
      </c>
      <c r="J1588" s="189">
        <f t="shared" si="142"/>
        <v>0</v>
      </c>
      <c r="K1588" s="294"/>
      <c r="L1588" s="295"/>
      <c r="M1588" s="296">
        <v>0.05</v>
      </c>
      <c r="N1588" s="296">
        <f t="shared" si="143"/>
        <v>0</v>
      </c>
      <c r="O1588" s="299">
        <f t="shared" si="144"/>
        <v>0</v>
      </c>
      <c r="P1588" s="303"/>
    </row>
    <row r="1589" spans="2:16" ht="15.75" thickBot="1">
      <c r="B1589" s="184"/>
      <c r="C1589" s="185"/>
      <c r="D1589" s="186"/>
      <c r="E1589" s="186"/>
      <c r="F1589" s="187"/>
      <c r="G1589" s="187">
        <f t="shared" si="140"/>
        <v>0</v>
      </c>
      <c r="H1589" s="188">
        <v>0.05</v>
      </c>
      <c r="I1589" s="189">
        <f t="shared" si="141"/>
        <v>0</v>
      </c>
      <c r="J1589" s="189">
        <f t="shared" si="142"/>
        <v>0</v>
      </c>
      <c r="K1589" s="294"/>
      <c r="L1589" s="295"/>
      <c r="M1589" s="296">
        <v>0.05</v>
      </c>
      <c r="N1589" s="296">
        <f t="shared" si="143"/>
        <v>0</v>
      </c>
      <c r="O1589" s="299">
        <f t="shared" si="144"/>
        <v>0</v>
      </c>
      <c r="P1589" s="303"/>
    </row>
    <row r="1590" spans="2:16" ht="15.75" thickBot="1">
      <c r="B1590" s="184"/>
      <c r="C1590" s="185"/>
      <c r="D1590" s="186"/>
      <c r="E1590" s="186"/>
      <c r="F1590" s="187"/>
      <c r="G1590" s="187">
        <f t="shared" si="140"/>
        <v>0</v>
      </c>
      <c r="H1590" s="188">
        <v>0.05</v>
      </c>
      <c r="I1590" s="189">
        <f t="shared" si="141"/>
        <v>0</v>
      </c>
      <c r="J1590" s="189">
        <f t="shared" si="142"/>
        <v>0</v>
      </c>
      <c r="K1590" s="294"/>
      <c r="L1590" s="295"/>
      <c r="M1590" s="296">
        <v>0.05</v>
      </c>
      <c r="N1590" s="296">
        <f t="shared" si="143"/>
        <v>0</v>
      </c>
      <c r="O1590" s="299">
        <f t="shared" si="144"/>
        <v>0</v>
      </c>
      <c r="P1590" s="303"/>
    </row>
    <row r="1591" spans="2:16" ht="15.75" thickBot="1">
      <c r="B1591" s="184"/>
      <c r="C1591" s="185"/>
      <c r="D1591" s="186"/>
      <c r="E1591" s="186"/>
      <c r="F1591" s="187"/>
      <c r="G1591" s="187">
        <f t="shared" si="140"/>
        <v>0</v>
      </c>
      <c r="H1591" s="188">
        <v>0.05</v>
      </c>
      <c r="I1591" s="189">
        <f t="shared" si="141"/>
        <v>0</v>
      </c>
      <c r="J1591" s="189">
        <f t="shared" si="142"/>
        <v>0</v>
      </c>
      <c r="K1591" s="294"/>
      <c r="L1591" s="295"/>
      <c r="M1591" s="296">
        <v>0.05</v>
      </c>
      <c r="N1591" s="296">
        <f t="shared" si="143"/>
        <v>0</v>
      </c>
      <c r="O1591" s="299">
        <f t="shared" si="144"/>
        <v>0</v>
      </c>
      <c r="P1591" s="303"/>
    </row>
    <row r="1592" spans="2:16" ht="15.75" thickBot="1">
      <c r="B1592" s="184"/>
      <c r="C1592" s="185"/>
      <c r="D1592" s="186"/>
      <c r="E1592" s="186"/>
      <c r="F1592" s="187"/>
      <c r="G1592" s="187">
        <f t="shared" si="140"/>
        <v>0</v>
      </c>
      <c r="H1592" s="188">
        <v>0.05</v>
      </c>
      <c r="I1592" s="189">
        <f t="shared" si="141"/>
        <v>0</v>
      </c>
      <c r="J1592" s="189">
        <f t="shared" si="142"/>
        <v>0</v>
      </c>
      <c r="K1592" s="294"/>
      <c r="L1592" s="295"/>
      <c r="M1592" s="296">
        <v>0.05</v>
      </c>
      <c r="N1592" s="296">
        <f t="shared" si="143"/>
        <v>0</v>
      </c>
      <c r="O1592" s="299">
        <f t="shared" si="144"/>
        <v>0</v>
      </c>
      <c r="P1592" s="303"/>
    </row>
    <row r="1593" spans="2:16" ht="15.75" thickBot="1">
      <c r="B1593" s="184"/>
      <c r="C1593" s="185"/>
      <c r="D1593" s="186"/>
      <c r="E1593" s="186"/>
      <c r="F1593" s="187"/>
      <c r="G1593" s="187">
        <f t="shared" si="140"/>
        <v>0</v>
      </c>
      <c r="H1593" s="188">
        <v>0.05</v>
      </c>
      <c r="I1593" s="189">
        <f t="shared" si="141"/>
        <v>0</v>
      </c>
      <c r="J1593" s="189">
        <f t="shared" si="142"/>
        <v>0</v>
      </c>
      <c r="K1593" s="294"/>
      <c r="L1593" s="295"/>
      <c r="M1593" s="296">
        <v>0.05</v>
      </c>
      <c r="N1593" s="296">
        <f t="shared" si="143"/>
        <v>0</v>
      </c>
      <c r="O1593" s="299">
        <f t="shared" si="144"/>
        <v>0</v>
      </c>
      <c r="P1593" s="303"/>
    </row>
    <row r="1594" spans="2:16" ht="15.75" thickBot="1">
      <c r="B1594" s="184"/>
      <c r="C1594" s="185"/>
      <c r="D1594" s="186"/>
      <c r="E1594" s="186"/>
      <c r="F1594" s="187"/>
      <c r="G1594" s="187">
        <f t="shared" si="140"/>
        <v>0</v>
      </c>
      <c r="H1594" s="188">
        <v>0.05</v>
      </c>
      <c r="I1594" s="189">
        <f t="shared" si="141"/>
        <v>0</v>
      </c>
      <c r="J1594" s="189">
        <f t="shared" si="142"/>
        <v>0</v>
      </c>
      <c r="K1594" s="294"/>
      <c r="L1594" s="295"/>
      <c r="M1594" s="296">
        <v>0.05</v>
      </c>
      <c r="N1594" s="296">
        <f t="shared" si="143"/>
        <v>0</v>
      </c>
      <c r="O1594" s="299">
        <f t="shared" si="144"/>
        <v>0</v>
      </c>
      <c r="P1594" s="303"/>
    </row>
    <row r="1595" spans="2:16" ht="15.75" thickBot="1">
      <c r="B1595" s="184"/>
      <c r="C1595" s="185"/>
      <c r="D1595" s="186"/>
      <c r="E1595" s="186"/>
      <c r="F1595" s="187"/>
      <c r="G1595" s="187">
        <f t="shared" si="140"/>
        <v>0</v>
      </c>
      <c r="H1595" s="188">
        <v>0.05</v>
      </c>
      <c r="I1595" s="189">
        <f t="shared" si="141"/>
        <v>0</v>
      </c>
      <c r="J1595" s="189">
        <f t="shared" si="142"/>
        <v>0</v>
      </c>
      <c r="K1595" s="294"/>
      <c r="L1595" s="295"/>
      <c r="M1595" s="296">
        <v>0.05</v>
      </c>
      <c r="N1595" s="296">
        <f t="shared" si="143"/>
        <v>0</v>
      </c>
      <c r="O1595" s="299">
        <f t="shared" si="144"/>
        <v>0</v>
      </c>
      <c r="P1595" s="303"/>
    </row>
    <row r="1596" spans="2:16" ht="15.75" thickBot="1">
      <c r="B1596" s="184"/>
      <c r="C1596" s="185"/>
      <c r="D1596" s="186"/>
      <c r="E1596" s="186"/>
      <c r="F1596" s="187"/>
      <c r="G1596" s="187">
        <f t="shared" si="140"/>
        <v>0</v>
      </c>
      <c r="H1596" s="188">
        <v>0.05</v>
      </c>
      <c r="I1596" s="189">
        <f t="shared" si="141"/>
        <v>0</v>
      </c>
      <c r="J1596" s="189">
        <f t="shared" si="142"/>
        <v>0</v>
      </c>
      <c r="K1596" s="294"/>
      <c r="L1596" s="295"/>
      <c r="M1596" s="296">
        <v>0.05</v>
      </c>
      <c r="N1596" s="296">
        <f t="shared" si="143"/>
        <v>0</v>
      </c>
      <c r="O1596" s="299">
        <f t="shared" si="144"/>
        <v>0</v>
      </c>
      <c r="P1596" s="303"/>
    </row>
    <row r="1597" spans="2:16" ht="15.75" thickBot="1">
      <c r="B1597" s="184"/>
      <c r="C1597" s="185"/>
      <c r="D1597" s="186"/>
      <c r="E1597" s="186"/>
      <c r="F1597" s="187"/>
      <c r="G1597" s="187">
        <f t="shared" si="140"/>
        <v>0</v>
      </c>
      <c r="H1597" s="188">
        <v>0.05</v>
      </c>
      <c r="I1597" s="189">
        <f t="shared" si="141"/>
        <v>0</v>
      </c>
      <c r="J1597" s="189">
        <f t="shared" si="142"/>
        <v>0</v>
      </c>
      <c r="K1597" s="294"/>
      <c r="L1597" s="295"/>
      <c r="M1597" s="296">
        <v>0.05</v>
      </c>
      <c r="N1597" s="296">
        <f t="shared" si="143"/>
        <v>0</v>
      </c>
      <c r="O1597" s="299">
        <f t="shared" si="144"/>
        <v>0</v>
      </c>
      <c r="P1597" s="303"/>
    </row>
    <row r="1598" spans="2:16" ht="15.75" thickBot="1">
      <c r="B1598" s="184"/>
      <c r="C1598" s="185"/>
      <c r="D1598" s="186"/>
      <c r="E1598" s="186"/>
      <c r="F1598" s="187"/>
      <c r="G1598" s="187">
        <f t="shared" si="140"/>
        <v>0</v>
      </c>
      <c r="H1598" s="188">
        <v>0.05</v>
      </c>
      <c r="I1598" s="189">
        <f t="shared" si="141"/>
        <v>0</v>
      </c>
      <c r="J1598" s="189">
        <f t="shared" si="142"/>
        <v>0</v>
      </c>
      <c r="K1598" s="294"/>
      <c r="L1598" s="295"/>
      <c r="M1598" s="296">
        <v>0.05</v>
      </c>
      <c r="N1598" s="296">
        <f t="shared" si="143"/>
        <v>0</v>
      </c>
      <c r="O1598" s="299">
        <f t="shared" si="144"/>
        <v>0</v>
      </c>
      <c r="P1598" s="303"/>
    </row>
    <row r="1599" spans="2:16" ht="15.75" thickBot="1">
      <c r="B1599" s="184"/>
      <c r="C1599" s="185"/>
      <c r="D1599" s="186"/>
      <c r="E1599" s="186"/>
      <c r="F1599" s="187"/>
      <c r="G1599" s="187">
        <f t="shared" si="140"/>
        <v>0</v>
      </c>
      <c r="H1599" s="188">
        <v>0.05</v>
      </c>
      <c r="I1599" s="189">
        <f t="shared" si="141"/>
        <v>0</v>
      </c>
      <c r="J1599" s="189">
        <f t="shared" si="142"/>
        <v>0</v>
      </c>
      <c r="K1599" s="294"/>
      <c r="L1599" s="295"/>
      <c r="M1599" s="296">
        <v>0.05</v>
      </c>
      <c r="N1599" s="296">
        <f t="shared" si="143"/>
        <v>0</v>
      </c>
      <c r="O1599" s="299">
        <f t="shared" si="144"/>
        <v>0</v>
      </c>
      <c r="P1599" s="303"/>
    </row>
    <row r="1600" spans="2:16" ht="15.75" thickBot="1">
      <c r="B1600" s="184"/>
      <c r="C1600" s="185"/>
      <c r="D1600" s="186"/>
      <c r="E1600" s="186"/>
      <c r="F1600" s="187"/>
      <c r="G1600" s="187">
        <f t="shared" si="140"/>
        <v>0</v>
      </c>
      <c r="H1600" s="188">
        <v>0.05</v>
      </c>
      <c r="I1600" s="189">
        <f t="shared" si="141"/>
        <v>0</v>
      </c>
      <c r="J1600" s="189">
        <f t="shared" si="142"/>
        <v>0</v>
      </c>
      <c r="K1600" s="294"/>
      <c r="L1600" s="295"/>
      <c r="M1600" s="296">
        <v>0.05</v>
      </c>
      <c r="N1600" s="296">
        <f t="shared" si="143"/>
        <v>0</v>
      </c>
      <c r="O1600" s="299">
        <f t="shared" si="144"/>
        <v>0</v>
      </c>
      <c r="P1600" s="303"/>
    </row>
    <row r="1601" spans="2:16" ht="15.75" thickBot="1">
      <c r="B1601" s="184"/>
      <c r="C1601" s="185"/>
      <c r="D1601" s="186"/>
      <c r="E1601" s="186"/>
      <c r="F1601" s="187"/>
      <c r="G1601" s="187">
        <f t="shared" si="140"/>
        <v>0</v>
      </c>
      <c r="H1601" s="188">
        <v>0.05</v>
      </c>
      <c r="I1601" s="189">
        <f t="shared" si="141"/>
        <v>0</v>
      </c>
      <c r="J1601" s="189">
        <f t="shared" si="142"/>
        <v>0</v>
      </c>
      <c r="K1601" s="294"/>
      <c r="L1601" s="295"/>
      <c r="M1601" s="296">
        <v>0.05</v>
      </c>
      <c r="N1601" s="296">
        <f t="shared" si="143"/>
        <v>0</v>
      </c>
      <c r="O1601" s="299">
        <f t="shared" si="144"/>
        <v>0</v>
      </c>
      <c r="P1601" s="303"/>
    </row>
    <row r="1602" spans="2:16" ht="15.75" thickBot="1">
      <c r="B1602" s="184"/>
      <c r="C1602" s="185"/>
      <c r="D1602" s="186"/>
      <c r="E1602" s="186"/>
      <c r="F1602" s="187"/>
      <c r="G1602" s="187">
        <f t="shared" si="140"/>
        <v>0</v>
      </c>
      <c r="H1602" s="188">
        <v>0.05</v>
      </c>
      <c r="I1602" s="189">
        <f t="shared" si="141"/>
        <v>0</v>
      </c>
      <c r="J1602" s="189">
        <f t="shared" si="142"/>
        <v>0</v>
      </c>
      <c r="K1602" s="294"/>
      <c r="L1602" s="295"/>
      <c r="M1602" s="296">
        <v>0.05</v>
      </c>
      <c r="N1602" s="296">
        <f t="shared" si="143"/>
        <v>0</v>
      </c>
      <c r="O1602" s="299">
        <f t="shared" si="144"/>
        <v>0</v>
      </c>
      <c r="P1602" s="303"/>
    </row>
    <row r="1603" spans="2:16" ht="15.75" thickBot="1">
      <c r="B1603" s="184"/>
      <c r="C1603" s="185"/>
      <c r="D1603" s="186"/>
      <c r="E1603" s="186"/>
      <c r="F1603" s="187"/>
      <c r="G1603" s="187">
        <f t="shared" si="140"/>
        <v>0</v>
      </c>
      <c r="H1603" s="188">
        <v>0.05</v>
      </c>
      <c r="I1603" s="189">
        <f t="shared" si="141"/>
        <v>0</v>
      </c>
      <c r="J1603" s="189">
        <f t="shared" si="142"/>
        <v>0</v>
      </c>
      <c r="K1603" s="294"/>
      <c r="L1603" s="295"/>
      <c r="M1603" s="296">
        <v>0.05</v>
      </c>
      <c r="N1603" s="296">
        <f t="shared" si="143"/>
        <v>0</v>
      </c>
      <c r="O1603" s="299">
        <f t="shared" si="144"/>
        <v>0</v>
      </c>
      <c r="P1603" s="303"/>
    </row>
    <row r="1604" spans="2:16" ht="15.75" thickBot="1">
      <c r="B1604" s="184"/>
      <c r="C1604" s="185"/>
      <c r="D1604" s="186"/>
      <c r="E1604" s="186"/>
      <c r="F1604" s="187"/>
      <c r="G1604" s="187">
        <f t="shared" si="140"/>
        <v>0</v>
      </c>
      <c r="H1604" s="188">
        <v>0.05</v>
      </c>
      <c r="I1604" s="189">
        <f t="shared" si="141"/>
        <v>0</v>
      </c>
      <c r="J1604" s="189">
        <f t="shared" si="142"/>
        <v>0</v>
      </c>
      <c r="K1604" s="294"/>
      <c r="L1604" s="295"/>
      <c r="M1604" s="296">
        <v>0.05</v>
      </c>
      <c r="N1604" s="296">
        <f t="shared" si="143"/>
        <v>0</v>
      </c>
      <c r="O1604" s="299">
        <f t="shared" si="144"/>
        <v>0</v>
      </c>
      <c r="P1604" s="303"/>
    </row>
    <row r="1605" spans="2:16" ht="15.75" thickBot="1">
      <c r="B1605" s="184"/>
      <c r="C1605" s="185"/>
      <c r="D1605" s="186"/>
      <c r="E1605" s="186"/>
      <c r="F1605" s="187"/>
      <c r="G1605" s="187">
        <f t="shared" si="140"/>
        <v>0</v>
      </c>
      <c r="H1605" s="188">
        <v>0.05</v>
      </c>
      <c r="I1605" s="189">
        <f t="shared" si="141"/>
        <v>0</v>
      </c>
      <c r="J1605" s="189">
        <f t="shared" si="142"/>
        <v>0</v>
      </c>
      <c r="K1605" s="294"/>
      <c r="L1605" s="295"/>
      <c r="M1605" s="296">
        <v>0.05</v>
      </c>
      <c r="N1605" s="296">
        <f t="shared" si="143"/>
        <v>0</v>
      </c>
      <c r="O1605" s="299">
        <f t="shared" si="144"/>
        <v>0</v>
      </c>
      <c r="P1605" s="303"/>
    </row>
    <row r="1606" spans="2:16" ht="15.75" thickBot="1">
      <c r="B1606" s="184"/>
      <c r="C1606" s="185"/>
      <c r="D1606" s="186"/>
      <c r="E1606" s="186"/>
      <c r="F1606" s="187"/>
      <c r="G1606" s="187">
        <f t="shared" si="140"/>
        <v>0</v>
      </c>
      <c r="H1606" s="188">
        <v>0.05</v>
      </c>
      <c r="I1606" s="189">
        <f t="shared" si="141"/>
        <v>0</v>
      </c>
      <c r="J1606" s="189">
        <f t="shared" si="142"/>
        <v>0</v>
      </c>
      <c r="K1606" s="294"/>
      <c r="L1606" s="295"/>
      <c r="M1606" s="296">
        <v>0.05</v>
      </c>
      <c r="N1606" s="296">
        <f t="shared" si="143"/>
        <v>0</v>
      </c>
      <c r="O1606" s="299">
        <f t="shared" si="144"/>
        <v>0</v>
      </c>
      <c r="P1606" s="303"/>
    </row>
    <row r="1607" spans="2:16" ht="15.75" thickBot="1">
      <c r="B1607" s="184"/>
      <c r="C1607" s="185"/>
      <c r="D1607" s="186"/>
      <c r="E1607" s="186"/>
      <c r="F1607" s="187"/>
      <c r="G1607" s="187">
        <f t="shared" si="140"/>
        <v>0</v>
      </c>
      <c r="H1607" s="188">
        <v>0.05</v>
      </c>
      <c r="I1607" s="189">
        <f t="shared" si="141"/>
        <v>0</v>
      </c>
      <c r="J1607" s="189">
        <f t="shared" si="142"/>
        <v>0</v>
      </c>
      <c r="K1607" s="294"/>
      <c r="L1607" s="295"/>
      <c r="M1607" s="296">
        <v>0.05</v>
      </c>
      <c r="N1607" s="296">
        <f t="shared" si="143"/>
        <v>0</v>
      </c>
      <c r="O1607" s="299">
        <f t="shared" si="144"/>
        <v>0</v>
      </c>
      <c r="P1607" s="303"/>
    </row>
    <row r="1608" spans="2:16" ht="15.75" thickBot="1">
      <c r="B1608" s="184"/>
      <c r="C1608" s="185"/>
      <c r="D1608" s="186"/>
      <c r="E1608" s="186"/>
      <c r="F1608" s="187"/>
      <c r="G1608" s="187">
        <f t="shared" si="140"/>
        <v>0</v>
      </c>
      <c r="H1608" s="188">
        <v>0.05</v>
      </c>
      <c r="I1608" s="189">
        <f t="shared" si="141"/>
        <v>0</v>
      </c>
      <c r="J1608" s="189">
        <f t="shared" si="142"/>
        <v>0</v>
      </c>
      <c r="K1608" s="294"/>
      <c r="L1608" s="295"/>
      <c r="M1608" s="296">
        <v>0.05</v>
      </c>
      <c r="N1608" s="296">
        <f t="shared" si="143"/>
        <v>0</v>
      </c>
      <c r="O1608" s="299">
        <f t="shared" si="144"/>
        <v>0</v>
      </c>
      <c r="P1608" s="303"/>
    </row>
    <row r="1609" spans="2:16" ht="15.75" thickBot="1">
      <c r="B1609" s="184"/>
      <c r="C1609" s="185"/>
      <c r="D1609" s="186"/>
      <c r="E1609" s="186"/>
      <c r="F1609" s="187"/>
      <c r="G1609" s="187">
        <f t="shared" si="140"/>
        <v>0</v>
      </c>
      <c r="H1609" s="188">
        <v>0.05</v>
      </c>
      <c r="I1609" s="189">
        <f t="shared" si="141"/>
        <v>0</v>
      </c>
      <c r="J1609" s="189">
        <f t="shared" si="142"/>
        <v>0</v>
      </c>
      <c r="K1609" s="294"/>
      <c r="L1609" s="295"/>
      <c r="M1609" s="296">
        <v>0.05</v>
      </c>
      <c r="N1609" s="296">
        <f t="shared" si="143"/>
        <v>0</v>
      </c>
      <c r="O1609" s="299">
        <f t="shared" si="144"/>
        <v>0</v>
      </c>
      <c r="P1609" s="303"/>
    </row>
    <row r="1610" spans="2:16" ht="15.75" thickBot="1">
      <c r="B1610" s="184"/>
      <c r="C1610" s="185"/>
      <c r="D1610" s="186"/>
      <c r="E1610" s="186"/>
      <c r="F1610" s="187"/>
      <c r="G1610" s="187">
        <f t="shared" si="140"/>
        <v>0</v>
      </c>
      <c r="H1610" s="188">
        <v>0.05</v>
      </c>
      <c r="I1610" s="189">
        <f t="shared" si="141"/>
        <v>0</v>
      </c>
      <c r="J1610" s="189">
        <f t="shared" si="142"/>
        <v>0</v>
      </c>
      <c r="K1610" s="294"/>
      <c r="L1610" s="295"/>
      <c r="M1610" s="296">
        <v>0.05</v>
      </c>
      <c r="N1610" s="296">
        <f t="shared" si="143"/>
        <v>0</v>
      </c>
      <c r="O1610" s="299">
        <f t="shared" si="144"/>
        <v>0</v>
      </c>
      <c r="P1610" s="303"/>
    </row>
    <row r="1611" spans="2:16" ht="15.75" thickBot="1">
      <c r="B1611" s="184"/>
      <c r="C1611" s="185"/>
      <c r="D1611" s="186"/>
      <c r="E1611" s="186"/>
      <c r="F1611" s="187"/>
      <c r="G1611" s="187">
        <f t="shared" si="140"/>
        <v>0</v>
      </c>
      <c r="H1611" s="188">
        <v>0.05</v>
      </c>
      <c r="I1611" s="189">
        <f t="shared" si="141"/>
        <v>0</v>
      </c>
      <c r="J1611" s="189">
        <f t="shared" si="142"/>
        <v>0</v>
      </c>
      <c r="K1611" s="294"/>
      <c r="L1611" s="295"/>
      <c r="M1611" s="296">
        <v>0.05</v>
      </c>
      <c r="N1611" s="296">
        <f t="shared" si="143"/>
        <v>0</v>
      </c>
      <c r="O1611" s="299">
        <f t="shared" si="144"/>
        <v>0</v>
      </c>
      <c r="P1611" s="303"/>
    </row>
    <row r="1612" spans="2:16" ht="15.75" thickBot="1">
      <c r="B1612" s="184"/>
      <c r="C1612" s="185"/>
      <c r="D1612" s="186"/>
      <c r="E1612" s="186"/>
      <c r="F1612" s="187"/>
      <c r="G1612" s="187">
        <f t="shared" si="140"/>
        <v>0</v>
      </c>
      <c r="H1612" s="188">
        <v>0.05</v>
      </c>
      <c r="I1612" s="189">
        <f t="shared" si="141"/>
        <v>0</v>
      </c>
      <c r="J1612" s="189">
        <f t="shared" si="142"/>
        <v>0</v>
      </c>
      <c r="K1612" s="294"/>
      <c r="L1612" s="295"/>
      <c r="M1612" s="296">
        <v>0.05</v>
      </c>
      <c r="N1612" s="296">
        <f t="shared" si="143"/>
        <v>0</v>
      </c>
      <c r="O1612" s="299">
        <f t="shared" si="144"/>
        <v>0</v>
      </c>
      <c r="P1612" s="303"/>
    </row>
    <row r="1613" spans="2:16" ht="15.75" thickBot="1">
      <c r="B1613" s="184"/>
      <c r="C1613" s="185"/>
      <c r="D1613" s="186"/>
      <c r="E1613" s="186"/>
      <c r="F1613" s="187"/>
      <c r="G1613" s="187">
        <f t="shared" si="140"/>
        <v>0</v>
      </c>
      <c r="H1613" s="188">
        <v>0.05</v>
      </c>
      <c r="I1613" s="189">
        <f t="shared" si="141"/>
        <v>0</v>
      </c>
      <c r="J1613" s="189">
        <f t="shared" si="142"/>
        <v>0</v>
      </c>
      <c r="K1613" s="294"/>
      <c r="L1613" s="295"/>
      <c r="M1613" s="296">
        <v>0.05</v>
      </c>
      <c r="N1613" s="296">
        <f t="shared" si="143"/>
        <v>0</v>
      </c>
      <c r="O1613" s="299">
        <f t="shared" si="144"/>
        <v>0</v>
      </c>
      <c r="P1613" s="303"/>
    </row>
    <row r="1614" spans="2:16" ht="15.75" thickBot="1">
      <c r="B1614" s="184"/>
      <c r="C1614" s="185"/>
      <c r="D1614" s="186"/>
      <c r="E1614" s="186"/>
      <c r="F1614" s="187"/>
      <c r="G1614" s="187">
        <f t="shared" si="140"/>
        <v>0</v>
      </c>
      <c r="H1614" s="188">
        <v>0.05</v>
      </c>
      <c r="I1614" s="189">
        <f t="shared" si="141"/>
        <v>0</v>
      </c>
      <c r="J1614" s="189">
        <f t="shared" si="142"/>
        <v>0</v>
      </c>
      <c r="K1614" s="294"/>
      <c r="L1614" s="295"/>
      <c r="M1614" s="296">
        <v>0.05</v>
      </c>
      <c r="N1614" s="296">
        <f t="shared" si="143"/>
        <v>0</v>
      </c>
      <c r="O1614" s="299">
        <f t="shared" si="144"/>
        <v>0</v>
      </c>
      <c r="P1614" s="303"/>
    </row>
    <row r="1615" spans="2:16" ht="15.75" thickBot="1">
      <c r="B1615" s="184"/>
      <c r="C1615" s="185"/>
      <c r="D1615" s="186"/>
      <c r="E1615" s="186"/>
      <c r="F1615" s="187"/>
      <c r="G1615" s="187">
        <f t="shared" si="140"/>
        <v>0</v>
      </c>
      <c r="H1615" s="188">
        <v>0.05</v>
      </c>
      <c r="I1615" s="189">
        <f t="shared" si="141"/>
        <v>0</v>
      </c>
      <c r="J1615" s="189">
        <f t="shared" si="142"/>
        <v>0</v>
      </c>
      <c r="K1615" s="294"/>
      <c r="L1615" s="295"/>
      <c r="M1615" s="296">
        <v>0.05</v>
      </c>
      <c r="N1615" s="296">
        <f t="shared" si="143"/>
        <v>0</v>
      </c>
      <c r="O1615" s="299">
        <f t="shared" si="144"/>
        <v>0</v>
      </c>
      <c r="P1615" s="303"/>
    </row>
    <row r="1616" spans="2:16" ht="15.75" thickBot="1">
      <c r="B1616" s="184"/>
      <c r="C1616" s="185"/>
      <c r="D1616" s="186"/>
      <c r="E1616" s="186"/>
      <c r="F1616" s="187"/>
      <c r="G1616" s="187">
        <f t="shared" si="140"/>
        <v>0</v>
      </c>
      <c r="H1616" s="188">
        <v>0.05</v>
      </c>
      <c r="I1616" s="189">
        <f t="shared" si="141"/>
        <v>0</v>
      </c>
      <c r="J1616" s="189">
        <f t="shared" si="142"/>
        <v>0</v>
      </c>
      <c r="K1616" s="294"/>
      <c r="L1616" s="295"/>
      <c r="M1616" s="296">
        <v>0.05</v>
      </c>
      <c r="N1616" s="296">
        <f t="shared" si="143"/>
        <v>0</v>
      </c>
      <c r="O1616" s="299">
        <f t="shared" si="144"/>
        <v>0</v>
      </c>
      <c r="P1616" s="303"/>
    </row>
    <row r="1617" spans="2:16" ht="15.75" thickBot="1">
      <c r="B1617" s="184"/>
      <c r="C1617" s="185"/>
      <c r="D1617" s="186"/>
      <c r="E1617" s="186"/>
      <c r="F1617" s="187"/>
      <c r="G1617" s="187">
        <f t="shared" si="140"/>
        <v>0</v>
      </c>
      <c r="H1617" s="188">
        <v>0.05</v>
      </c>
      <c r="I1617" s="189">
        <f t="shared" si="141"/>
        <v>0</v>
      </c>
      <c r="J1617" s="189">
        <f t="shared" si="142"/>
        <v>0</v>
      </c>
      <c r="K1617" s="294"/>
      <c r="L1617" s="295"/>
      <c r="M1617" s="296">
        <v>0.05</v>
      </c>
      <c r="N1617" s="296">
        <f t="shared" si="143"/>
        <v>0</v>
      </c>
      <c r="O1617" s="299">
        <f t="shared" si="144"/>
        <v>0</v>
      </c>
      <c r="P1617" s="303"/>
    </row>
    <row r="1618" spans="2:16" ht="15.75" thickBot="1">
      <c r="B1618" s="184"/>
      <c r="C1618" s="185"/>
      <c r="D1618" s="186"/>
      <c r="E1618" s="186"/>
      <c r="F1618" s="187"/>
      <c r="G1618" s="187">
        <f t="shared" si="140"/>
        <v>0</v>
      </c>
      <c r="H1618" s="188">
        <v>0.05</v>
      </c>
      <c r="I1618" s="189">
        <f t="shared" si="141"/>
        <v>0</v>
      </c>
      <c r="J1618" s="189">
        <f t="shared" si="142"/>
        <v>0</v>
      </c>
      <c r="K1618" s="294"/>
      <c r="L1618" s="295"/>
      <c r="M1618" s="296">
        <v>0.05</v>
      </c>
      <c r="N1618" s="296">
        <f t="shared" si="143"/>
        <v>0</v>
      </c>
      <c r="O1618" s="299">
        <f t="shared" si="144"/>
        <v>0</v>
      </c>
      <c r="P1618" s="303"/>
    </row>
    <row r="1619" spans="2:16" ht="15.75" thickBot="1">
      <c r="B1619" s="184"/>
      <c r="C1619" s="185"/>
      <c r="D1619" s="186"/>
      <c r="E1619" s="186"/>
      <c r="F1619" s="187"/>
      <c r="G1619" s="187">
        <f t="shared" si="140"/>
        <v>0</v>
      </c>
      <c r="H1619" s="188">
        <v>0.05</v>
      </c>
      <c r="I1619" s="189">
        <f t="shared" si="141"/>
        <v>0</v>
      </c>
      <c r="J1619" s="189">
        <f t="shared" si="142"/>
        <v>0</v>
      </c>
      <c r="K1619" s="294"/>
      <c r="L1619" s="295"/>
      <c r="M1619" s="296">
        <v>0.05</v>
      </c>
      <c r="N1619" s="296">
        <f t="shared" si="143"/>
        <v>0</v>
      </c>
      <c r="O1619" s="299">
        <f t="shared" si="144"/>
        <v>0</v>
      </c>
      <c r="P1619" s="303"/>
    </row>
    <row r="1620" spans="2:16" ht="15.75" thickBot="1">
      <c r="B1620" s="184"/>
      <c r="C1620" s="185"/>
      <c r="D1620" s="186"/>
      <c r="E1620" s="186"/>
      <c r="F1620" s="187"/>
      <c r="G1620" s="187">
        <f t="shared" si="140"/>
        <v>0</v>
      </c>
      <c r="H1620" s="188">
        <v>0.05</v>
      </c>
      <c r="I1620" s="189">
        <f t="shared" si="141"/>
        <v>0</v>
      </c>
      <c r="J1620" s="189">
        <f t="shared" si="142"/>
        <v>0</v>
      </c>
      <c r="K1620" s="294"/>
      <c r="L1620" s="295"/>
      <c r="M1620" s="296">
        <v>0.05</v>
      </c>
      <c r="N1620" s="296">
        <f t="shared" si="143"/>
        <v>0</v>
      </c>
      <c r="O1620" s="299">
        <f t="shared" si="144"/>
        <v>0</v>
      </c>
      <c r="P1620" s="303"/>
    </row>
    <row r="1621" spans="2:16" ht="15.75" thickBot="1">
      <c r="B1621" s="184"/>
      <c r="C1621" s="185"/>
      <c r="D1621" s="186"/>
      <c r="E1621" s="186"/>
      <c r="F1621" s="187"/>
      <c r="G1621" s="187">
        <f t="shared" si="140"/>
        <v>0</v>
      </c>
      <c r="H1621" s="188">
        <v>0.05</v>
      </c>
      <c r="I1621" s="189">
        <f t="shared" si="141"/>
        <v>0</v>
      </c>
      <c r="J1621" s="189">
        <f t="shared" si="142"/>
        <v>0</v>
      </c>
      <c r="K1621" s="294"/>
      <c r="L1621" s="295"/>
      <c r="M1621" s="296">
        <v>0.05</v>
      </c>
      <c r="N1621" s="296">
        <f t="shared" si="143"/>
        <v>0</v>
      </c>
      <c r="O1621" s="299">
        <f t="shared" si="144"/>
        <v>0</v>
      </c>
      <c r="P1621" s="303"/>
    </row>
    <row r="1622" spans="2:16" ht="15.75" thickBot="1">
      <c r="B1622" s="184"/>
      <c r="C1622" s="185"/>
      <c r="D1622" s="186"/>
      <c r="E1622" s="186"/>
      <c r="F1622" s="187"/>
      <c r="G1622" s="187">
        <f t="shared" si="140"/>
        <v>0</v>
      </c>
      <c r="H1622" s="188">
        <v>0.05</v>
      </c>
      <c r="I1622" s="189">
        <f t="shared" si="141"/>
        <v>0</v>
      </c>
      <c r="J1622" s="189">
        <f t="shared" si="142"/>
        <v>0</v>
      </c>
      <c r="K1622" s="294"/>
      <c r="L1622" s="295"/>
      <c r="M1622" s="296">
        <v>0.05</v>
      </c>
      <c r="N1622" s="296">
        <f t="shared" si="143"/>
        <v>0</v>
      </c>
      <c r="O1622" s="299">
        <f t="shared" si="144"/>
        <v>0</v>
      </c>
      <c r="P1622" s="303"/>
    </row>
    <row r="1623" spans="2:16" ht="15.75" thickBot="1">
      <c r="B1623" s="184"/>
      <c r="C1623" s="185"/>
      <c r="D1623" s="186"/>
      <c r="E1623" s="186"/>
      <c r="F1623" s="187"/>
      <c r="G1623" s="187">
        <f t="shared" si="140"/>
        <v>0</v>
      </c>
      <c r="H1623" s="188">
        <v>0.05</v>
      </c>
      <c r="I1623" s="189">
        <f t="shared" si="141"/>
        <v>0</v>
      </c>
      <c r="J1623" s="189">
        <f t="shared" si="142"/>
        <v>0</v>
      </c>
      <c r="K1623" s="294"/>
      <c r="L1623" s="295"/>
      <c r="M1623" s="296">
        <v>0.05</v>
      </c>
      <c r="N1623" s="296">
        <f t="shared" si="143"/>
        <v>0</v>
      </c>
      <c r="O1623" s="299">
        <f t="shared" si="144"/>
        <v>0</v>
      </c>
      <c r="P1623" s="303"/>
    </row>
    <row r="1624" spans="2:16" ht="15.75" thickBot="1">
      <c r="B1624" s="184"/>
      <c r="C1624" s="185"/>
      <c r="D1624" s="186"/>
      <c r="E1624" s="186"/>
      <c r="F1624" s="187"/>
      <c r="G1624" s="187">
        <f t="shared" si="140"/>
        <v>0</v>
      </c>
      <c r="H1624" s="188">
        <v>0.05</v>
      </c>
      <c r="I1624" s="189">
        <f t="shared" si="141"/>
        <v>0</v>
      </c>
      <c r="J1624" s="189">
        <f t="shared" si="142"/>
        <v>0</v>
      </c>
      <c r="K1624" s="294"/>
      <c r="L1624" s="295"/>
      <c r="M1624" s="296">
        <v>0.05</v>
      </c>
      <c r="N1624" s="296">
        <f t="shared" si="143"/>
        <v>0</v>
      </c>
      <c r="O1624" s="299">
        <f t="shared" si="144"/>
        <v>0</v>
      </c>
      <c r="P1624" s="303"/>
    </row>
    <row r="1625" spans="2:16" ht="15.75" thickBot="1">
      <c r="B1625" s="184"/>
      <c r="C1625" s="185"/>
      <c r="D1625" s="186"/>
      <c r="E1625" s="186"/>
      <c r="F1625" s="187"/>
      <c r="G1625" s="187">
        <f t="shared" si="140"/>
        <v>0</v>
      </c>
      <c r="H1625" s="188">
        <v>0.05</v>
      </c>
      <c r="I1625" s="189">
        <f t="shared" si="141"/>
        <v>0</v>
      </c>
      <c r="J1625" s="189">
        <f t="shared" si="142"/>
        <v>0</v>
      </c>
      <c r="K1625" s="294"/>
      <c r="L1625" s="295"/>
      <c r="M1625" s="296">
        <v>0.05</v>
      </c>
      <c r="N1625" s="296">
        <f t="shared" si="143"/>
        <v>0</v>
      </c>
      <c r="O1625" s="299">
        <f t="shared" si="144"/>
        <v>0</v>
      </c>
      <c r="P1625" s="303"/>
    </row>
    <row r="1626" spans="2:16" ht="15.75" thickBot="1">
      <c r="B1626" s="184"/>
      <c r="C1626" s="185"/>
      <c r="D1626" s="186"/>
      <c r="E1626" s="186"/>
      <c r="F1626" s="187"/>
      <c r="G1626" s="187">
        <f t="shared" si="140"/>
        <v>0</v>
      </c>
      <c r="H1626" s="188">
        <v>0.05</v>
      </c>
      <c r="I1626" s="189">
        <f t="shared" si="141"/>
        <v>0</v>
      </c>
      <c r="J1626" s="189">
        <f t="shared" si="142"/>
        <v>0</v>
      </c>
      <c r="K1626" s="294"/>
      <c r="L1626" s="295"/>
      <c r="M1626" s="296">
        <v>0.05</v>
      </c>
      <c r="N1626" s="296">
        <f t="shared" si="143"/>
        <v>0</v>
      </c>
      <c r="O1626" s="299">
        <f t="shared" si="144"/>
        <v>0</v>
      </c>
      <c r="P1626" s="303"/>
    </row>
    <row r="1627" spans="2:16" ht="15.75" thickBot="1">
      <c r="B1627" s="184"/>
      <c r="C1627" s="185"/>
      <c r="D1627" s="186"/>
      <c r="E1627" s="186"/>
      <c r="F1627" s="187"/>
      <c r="G1627" s="187">
        <f t="shared" si="140"/>
        <v>0</v>
      </c>
      <c r="H1627" s="188">
        <v>0.05</v>
      </c>
      <c r="I1627" s="189">
        <f t="shared" si="141"/>
        <v>0</v>
      </c>
      <c r="J1627" s="189">
        <f t="shared" si="142"/>
        <v>0</v>
      </c>
      <c r="K1627" s="294"/>
      <c r="L1627" s="295"/>
      <c r="M1627" s="296">
        <v>0.05</v>
      </c>
      <c r="N1627" s="296">
        <f t="shared" si="143"/>
        <v>0</v>
      </c>
      <c r="O1627" s="299">
        <f t="shared" si="144"/>
        <v>0</v>
      </c>
      <c r="P1627" s="303"/>
    </row>
    <row r="1628" spans="2:16" ht="15.75" thickBot="1">
      <c r="B1628" s="184"/>
      <c r="C1628" s="185"/>
      <c r="D1628" s="186"/>
      <c r="E1628" s="186"/>
      <c r="F1628" s="187"/>
      <c r="G1628" s="187">
        <f t="shared" si="140"/>
        <v>0</v>
      </c>
      <c r="H1628" s="188">
        <v>0.05</v>
      </c>
      <c r="I1628" s="189">
        <f t="shared" si="141"/>
        <v>0</v>
      </c>
      <c r="J1628" s="189">
        <f t="shared" si="142"/>
        <v>0</v>
      </c>
      <c r="K1628" s="294"/>
      <c r="L1628" s="295"/>
      <c r="M1628" s="296">
        <v>0.05</v>
      </c>
      <c r="N1628" s="296">
        <f t="shared" si="143"/>
        <v>0</v>
      </c>
      <c r="O1628" s="299">
        <f t="shared" si="144"/>
        <v>0</v>
      </c>
      <c r="P1628" s="303"/>
    </row>
    <row r="1629" spans="2:16" ht="15.75" thickBot="1">
      <c r="B1629" s="184"/>
      <c r="C1629" s="185"/>
      <c r="D1629" s="186"/>
      <c r="E1629" s="186"/>
      <c r="F1629" s="187"/>
      <c r="G1629" s="187">
        <f t="shared" si="140"/>
        <v>0</v>
      </c>
      <c r="H1629" s="188">
        <v>0.05</v>
      </c>
      <c r="I1629" s="189">
        <f t="shared" si="141"/>
        <v>0</v>
      </c>
      <c r="J1629" s="189">
        <f t="shared" si="142"/>
        <v>0</v>
      </c>
      <c r="K1629" s="294"/>
      <c r="L1629" s="295"/>
      <c r="M1629" s="296">
        <v>0.05</v>
      </c>
      <c r="N1629" s="296">
        <f t="shared" si="143"/>
        <v>0</v>
      </c>
      <c r="O1629" s="299">
        <f t="shared" si="144"/>
        <v>0</v>
      </c>
      <c r="P1629" s="303"/>
    </row>
    <row r="1630" spans="2:16" ht="15.75" thickBot="1">
      <c r="B1630" s="184"/>
      <c r="C1630" s="185"/>
      <c r="D1630" s="186"/>
      <c r="E1630" s="186"/>
      <c r="F1630" s="187"/>
      <c r="G1630" s="187">
        <f t="shared" si="140"/>
        <v>0</v>
      </c>
      <c r="H1630" s="188">
        <v>0.05</v>
      </c>
      <c r="I1630" s="189">
        <f t="shared" si="141"/>
        <v>0</v>
      </c>
      <c r="J1630" s="189">
        <f t="shared" si="142"/>
        <v>0</v>
      </c>
      <c r="K1630" s="294"/>
      <c r="L1630" s="295"/>
      <c r="M1630" s="296">
        <v>0.05</v>
      </c>
      <c r="N1630" s="296">
        <f t="shared" si="143"/>
        <v>0</v>
      </c>
      <c r="O1630" s="299">
        <f t="shared" si="144"/>
        <v>0</v>
      </c>
      <c r="P1630" s="303"/>
    </row>
    <row r="1631" spans="2:16" ht="15.75" thickBot="1">
      <c r="B1631" s="184"/>
      <c r="C1631" s="185"/>
      <c r="D1631" s="186"/>
      <c r="E1631" s="186"/>
      <c r="F1631" s="187"/>
      <c r="G1631" s="187">
        <f t="shared" si="140"/>
        <v>0</v>
      </c>
      <c r="H1631" s="188">
        <v>0.05</v>
      </c>
      <c r="I1631" s="189">
        <f t="shared" si="141"/>
        <v>0</v>
      </c>
      <c r="J1631" s="189">
        <f t="shared" si="142"/>
        <v>0</v>
      </c>
      <c r="K1631" s="294"/>
      <c r="L1631" s="295"/>
      <c r="M1631" s="296">
        <v>0.05</v>
      </c>
      <c r="N1631" s="296">
        <f t="shared" si="143"/>
        <v>0</v>
      </c>
      <c r="O1631" s="299">
        <f t="shared" si="144"/>
        <v>0</v>
      </c>
      <c r="P1631" s="303"/>
    </row>
    <row r="1632" spans="2:16" ht="15.75" thickBot="1">
      <c r="B1632" s="184"/>
      <c r="C1632" s="185"/>
      <c r="D1632" s="186"/>
      <c r="E1632" s="186"/>
      <c r="F1632" s="187"/>
      <c r="G1632" s="187">
        <f t="shared" si="140"/>
        <v>0</v>
      </c>
      <c r="H1632" s="188">
        <v>0.05</v>
      </c>
      <c r="I1632" s="189">
        <f t="shared" si="141"/>
        <v>0</v>
      </c>
      <c r="J1632" s="189">
        <f t="shared" si="142"/>
        <v>0</v>
      </c>
      <c r="K1632" s="294"/>
      <c r="L1632" s="295"/>
      <c r="M1632" s="296">
        <v>0.05</v>
      </c>
      <c r="N1632" s="296">
        <f t="shared" si="143"/>
        <v>0</v>
      </c>
      <c r="O1632" s="299">
        <f t="shared" si="144"/>
        <v>0</v>
      </c>
      <c r="P1632" s="303"/>
    </row>
    <row r="1633" spans="2:16" ht="15.75" thickBot="1">
      <c r="B1633" s="184"/>
      <c r="C1633" s="185"/>
      <c r="D1633" s="186"/>
      <c r="E1633" s="186"/>
      <c r="F1633" s="187"/>
      <c r="G1633" s="187">
        <f t="shared" si="140"/>
        <v>0</v>
      </c>
      <c r="H1633" s="188">
        <v>0.05</v>
      </c>
      <c r="I1633" s="189">
        <f t="shared" si="141"/>
        <v>0</v>
      </c>
      <c r="J1633" s="189">
        <f t="shared" si="142"/>
        <v>0</v>
      </c>
      <c r="K1633" s="294"/>
      <c r="L1633" s="295"/>
      <c r="M1633" s="296">
        <v>0.05</v>
      </c>
      <c r="N1633" s="296">
        <f t="shared" si="143"/>
        <v>0</v>
      </c>
      <c r="O1633" s="299">
        <f t="shared" si="144"/>
        <v>0</v>
      </c>
      <c r="P1633" s="303"/>
    </row>
    <row r="1634" spans="2:16" ht="15.75" thickBot="1">
      <c r="B1634" s="184"/>
      <c r="C1634" s="185"/>
      <c r="D1634" s="186"/>
      <c r="E1634" s="186"/>
      <c r="F1634" s="187"/>
      <c r="G1634" s="187">
        <f t="shared" si="140"/>
        <v>0</v>
      </c>
      <c r="H1634" s="188">
        <v>0.05</v>
      </c>
      <c r="I1634" s="189">
        <f t="shared" si="141"/>
        <v>0</v>
      </c>
      <c r="J1634" s="189">
        <f t="shared" si="142"/>
        <v>0</v>
      </c>
      <c r="K1634" s="294"/>
      <c r="L1634" s="295"/>
      <c r="M1634" s="296">
        <v>0.05</v>
      </c>
      <c r="N1634" s="296">
        <f t="shared" si="143"/>
        <v>0</v>
      </c>
      <c r="O1634" s="299">
        <f t="shared" si="144"/>
        <v>0</v>
      </c>
      <c r="P1634" s="303"/>
    </row>
    <row r="1635" spans="2:16" ht="15.75" thickBot="1">
      <c r="B1635" s="184"/>
      <c r="C1635" s="185"/>
      <c r="D1635" s="186"/>
      <c r="E1635" s="186"/>
      <c r="F1635" s="187"/>
      <c r="G1635" s="187">
        <f t="shared" si="140"/>
        <v>0</v>
      </c>
      <c r="H1635" s="188">
        <v>0.05</v>
      </c>
      <c r="I1635" s="189">
        <f t="shared" si="141"/>
        <v>0</v>
      </c>
      <c r="J1635" s="189">
        <f t="shared" si="142"/>
        <v>0</v>
      </c>
      <c r="K1635" s="294"/>
      <c r="L1635" s="295"/>
      <c r="M1635" s="296">
        <v>0.05</v>
      </c>
      <c r="N1635" s="296">
        <f t="shared" si="143"/>
        <v>0</v>
      </c>
      <c r="O1635" s="299">
        <f t="shared" si="144"/>
        <v>0</v>
      </c>
      <c r="P1635" s="303"/>
    </row>
    <row r="1636" spans="2:16" ht="15.75" thickBot="1">
      <c r="B1636" s="184"/>
      <c r="C1636" s="185"/>
      <c r="D1636" s="186"/>
      <c r="E1636" s="186"/>
      <c r="F1636" s="187"/>
      <c r="G1636" s="187">
        <f t="shared" si="140"/>
        <v>0</v>
      </c>
      <c r="H1636" s="188">
        <v>0.05</v>
      </c>
      <c r="I1636" s="189">
        <f t="shared" si="141"/>
        <v>0</v>
      </c>
      <c r="J1636" s="189">
        <f t="shared" si="142"/>
        <v>0</v>
      </c>
      <c r="K1636" s="294"/>
      <c r="L1636" s="295"/>
      <c r="M1636" s="296">
        <v>0.05</v>
      </c>
      <c r="N1636" s="296">
        <f t="shared" si="143"/>
        <v>0</v>
      </c>
      <c r="O1636" s="299">
        <f t="shared" si="144"/>
        <v>0</v>
      </c>
      <c r="P1636" s="303"/>
    </row>
    <row r="1637" spans="2:16" ht="15.75" thickBot="1">
      <c r="B1637" s="184"/>
      <c r="C1637" s="185"/>
      <c r="D1637" s="186"/>
      <c r="E1637" s="186"/>
      <c r="F1637" s="187"/>
      <c r="G1637" s="187">
        <f t="shared" si="140"/>
        <v>0</v>
      </c>
      <c r="H1637" s="188">
        <v>0.05</v>
      </c>
      <c r="I1637" s="189">
        <f t="shared" si="141"/>
        <v>0</v>
      </c>
      <c r="J1637" s="189">
        <f t="shared" si="142"/>
        <v>0</v>
      </c>
      <c r="K1637" s="294"/>
      <c r="L1637" s="295"/>
      <c r="M1637" s="296">
        <v>0.05</v>
      </c>
      <c r="N1637" s="296">
        <f t="shared" si="143"/>
        <v>0</v>
      </c>
      <c r="O1637" s="299">
        <f t="shared" si="144"/>
        <v>0</v>
      </c>
      <c r="P1637" s="303"/>
    </row>
    <row r="1638" spans="2:16" ht="15.75" thickBot="1">
      <c r="B1638" s="184"/>
      <c r="C1638" s="185"/>
      <c r="D1638" s="186"/>
      <c r="E1638" s="186"/>
      <c r="F1638" s="187"/>
      <c r="G1638" s="187">
        <f t="shared" ref="G1638:G1644" si="145">IF(D1638=0,0,(D1638+E1638)/F1638)</f>
        <v>0</v>
      </c>
      <c r="H1638" s="188">
        <v>0.05</v>
      </c>
      <c r="I1638" s="189">
        <f t="shared" ref="I1638:I1644" si="146">+G1638*H1638</f>
        <v>0</v>
      </c>
      <c r="J1638" s="189">
        <f t="shared" ref="J1638:J1644" si="147">+G1638+I1638</f>
        <v>0</v>
      </c>
      <c r="K1638" s="294"/>
      <c r="L1638" s="295"/>
      <c r="M1638" s="296">
        <v>0.05</v>
      </c>
      <c r="N1638" s="296">
        <f t="shared" ref="N1638:N1644" si="148">IF(H1638&lt;M1638,H1638/M1638,0)</f>
        <v>0</v>
      </c>
      <c r="O1638" s="299">
        <f t="shared" ref="O1638:O1644" si="149">1.5%*N1638</f>
        <v>0</v>
      </c>
      <c r="P1638" s="303"/>
    </row>
    <row r="1639" spans="2:16" ht="15.75" thickBot="1">
      <c r="B1639" s="184"/>
      <c r="C1639" s="185"/>
      <c r="D1639" s="186"/>
      <c r="E1639" s="186"/>
      <c r="F1639" s="187"/>
      <c r="G1639" s="187">
        <f t="shared" si="145"/>
        <v>0</v>
      </c>
      <c r="H1639" s="188">
        <v>0.05</v>
      </c>
      <c r="I1639" s="189">
        <f t="shared" si="146"/>
        <v>0</v>
      </c>
      <c r="J1639" s="189">
        <f t="shared" si="147"/>
        <v>0</v>
      </c>
      <c r="K1639" s="294"/>
      <c r="L1639" s="295"/>
      <c r="M1639" s="296">
        <v>0.05</v>
      </c>
      <c r="N1639" s="296">
        <f t="shared" si="148"/>
        <v>0</v>
      </c>
      <c r="O1639" s="299">
        <f t="shared" si="149"/>
        <v>0</v>
      </c>
      <c r="P1639" s="303"/>
    </row>
    <row r="1640" spans="2:16" ht="15.75" thickBot="1">
      <c r="B1640" s="184"/>
      <c r="C1640" s="185"/>
      <c r="D1640" s="186"/>
      <c r="E1640" s="186"/>
      <c r="F1640" s="187"/>
      <c r="G1640" s="187">
        <f t="shared" si="145"/>
        <v>0</v>
      </c>
      <c r="H1640" s="188">
        <v>0.05</v>
      </c>
      <c r="I1640" s="189">
        <f t="shared" si="146"/>
        <v>0</v>
      </c>
      <c r="J1640" s="189">
        <f t="shared" si="147"/>
        <v>0</v>
      </c>
      <c r="K1640" s="294"/>
      <c r="L1640" s="295"/>
      <c r="M1640" s="296">
        <v>0.05</v>
      </c>
      <c r="N1640" s="296">
        <f t="shared" si="148"/>
        <v>0</v>
      </c>
      <c r="O1640" s="299">
        <f t="shared" si="149"/>
        <v>0</v>
      </c>
      <c r="P1640" s="303"/>
    </row>
    <row r="1641" spans="2:16" ht="15.75" thickBot="1">
      <c r="B1641" s="184"/>
      <c r="C1641" s="185"/>
      <c r="D1641" s="186"/>
      <c r="E1641" s="186"/>
      <c r="F1641" s="187"/>
      <c r="G1641" s="187">
        <f t="shared" si="145"/>
        <v>0</v>
      </c>
      <c r="H1641" s="188">
        <v>0.05</v>
      </c>
      <c r="I1641" s="189">
        <f t="shared" si="146"/>
        <v>0</v>
      </c>
      <c r="J1641" s="189">
        <f t="shared" si="147"/>
        <v>0</v>
      </c>
      <c r="K1641" s="294"/>
      <c r="L1641" s="295"/>
      <c r="M1641" s="296">
        <v>0.05</v>
      </c>
      <c r="N1641" s="296">
        <f t="shared" si="148"/>
        <v>0</v>
      </c>
      <c r="O1641" s="299">
        <f t="shared" si="149"/>
        <v>0</v>
      </c>
      <c r="P1641" s="303"/>
    </row>
    <row r="1642" spans="2:16" ht="15.75" thickBot="1">
      <c r="B1642" s="184"/>
      <c r="C1642" s="185"/>
      <c r="D1642" s="186"/>
      <c r="E1642" s="186"/>
      <c r="F1642" s="187"/>
      <c r="G1642" s="187">
        <f t="shared" si="145"/>
        <v>0</v>
      </c>
      <c r="H1642" s="188">
        <v>0.05</v>
      </c>
      <c r="I1642" s="189">
        <f t="shared" si="146"/>
        <v>0</v>
      </c>
      <c r="J1642" s="189">
        <f t="shared" si="147"/>
        <v>0</v>
      </c>
      <c r="K1642" s="294"/>
      <c r="L1642" s="295"/>
      <c r="M1642" s="296">
        <v>0.05</v>
      </c>
      <c r="N1642" s="296">
        <f t="shared" si="148"/>
        <v>0</v>
      </c>
      <c r="O1642" s="299">
        <f t="shared" si="149"/>
        <v>0</v>
      </c>
      <c r="P1642" s="303"/>
    </row>
    <row r="1643" spans="2:16" ht="15.75" thickBot="1">
      <c r="B1643" s="184"/>
      <c r="C1643" s="185"/>
      <c r="D1643" s="186"/>
      <c r="E1643" s="186"/>
      <c r="F1643" s="187"/>
      <c r="G1643" s="187">
        <f t="shared" si="145"/>
        <v>0</v>
      </c>
      <c r="H1643" s="188">
        <v>0.05</v>
      </c>
      <c r="I1643" s="189">
        <f t="shared" si="146"/>
        <v>0</v>
      </c>
      <c r="J1643" s="189">
        <f t="shared" si="147"/>
        <v>0</v>
      </c>
      <c r="K1643" s="294"/>
      <c r="L1643" s="295"/>
      <c r="M1643" s="296">
        <v>0.05</v>
      </c>
      <c r="N1643" s="296">
        <f t="shared" si="148"/>
        <v>0</v>
      </c>
      <c r="O1643" s="299">
        <f t="shared" si="149"/>
        <v>0</v>
      </c>
      <c r="P1643" s="303"/>
    </row>
    <row r="1644" spans="2:16" ht="15.75" thickBot="1">
      <c r="B1644" s="184"/>
      <c r="C1644" s="185"/>
      <c r="D1644" s="186"/>
      <c r="E1644" s="186"/>
      <c r="F1644" s="187"/>
      <c r="G1644" s="187">
        <f t="shared" si="145"/>
        <v>0</v>
      </c>
      <c r="H1644" s="188">
        <v>0.05</v>
      </c>
      <c r="I1644" s="189">
        <f t="shared" si="146"/>
        <v>0</v>
      </c>
      <c r="J1644" s="189">
        <f t="shared" si="147"/>
        <v>0</v>
      </c>
      <c r="K1644" s="294"/>
      <c r="L1644" s="295"/>
      <c r="M1644" s="296">
        <v>0.05</v>
      </c>
      <c r="N1644" s="296">
        <f t="shared" si="148"/>
        <v>0</v>
      </c>
      <c r="O1644" s="299">
        <f t="shared" si="149"/>
        <v>0</v>
      </c>
      <c r="P1644" s="303"/>
    </row>
    <row r="1645" spans="2:16">
      <c r="B1645" s="236" t="s">
        <v>204</v>
      </c>
    </row>
  </sheetData>
  <sheetProtection formatCells="0" formatColumns="0" formatRows="0" insertRows="0" deleteRows="0" autoFilter="0"/>
  <dataValidations count="1">
    <dataValidation type="list" showInputMessage="1" showErrorMessage="1" sqref="B7:B934">
      <formula1>Materiali</formula1>
    </dataValidation>
  </dataValidations>
  <pageMargins left="0.70866141732283472" right="0.70866141732283472" top="0.74803149606299213" bottom="0.74803149606299213" header="0.31496062992125984" footer="0.31496062992125984"/>
  <pageSetup paperSize="9" scale="19" orientation="landscape" r:id="rId1"/>
  <colBreaks count="1" manualBreakCount="1">
    <brk id="15" max="89" man="1"/>
  </colBreaks>
  <drawing r:id="rId2"/>
  <legacyDrawing r:id="rId3"/>
  <controls>
    <mc:AlternateContent xmlns:mc="http://schemas.openxmlformats.org/markup-compatibility/2006">
      <mc:Choice Requires="x14">
        <control shapeId="6367" r:id="rId4" name="CmdNuovaRiga">
          <controlPr defaultSize="0" autoLine="0" r:id="rId5">
            <anchor moveWithCells="1">
              <from>
                <xdr:col>0</xdr:col>
                <xdr:colOff>9525</xdr:colOff>
                <xdr:row>1</xdr:row>
                <xdr:rowOff>57150</xdr:rowOff>
              </from>
              <to>
                <xdr:col>1</xdr:col>
                <xdr:colOff>657225</xdr:colOff>
                <xdr:row>3</xdr:row>
                <xdr:rowOff>266700</xdr:rowOff>
              </to>
            </anchor>
          </controlPr>
        </control>
      </mc:Choice>
      <mc:Fallback>
        <control shapeId="6367" r:id="rId4" name="CmdNuovaRiga"/>
      </mc:Fallback>
    </mc:AlternateContent>
    <mc:AlternateContent xmlns:mc="http://schemas.openxmlformats.org/markup-compatibility/2006">
      <mc:Choice Requires="x14">
        <control shapeId="6368" r:id="rId6" name="cmdDuplicaRigaSelezionata">
          <controlPr defaultSize="0" autoLine="0" r:id="rId7">
            <anchor moveWithCells="1">
              <from>
                <xdr:col>2</xdr:col>
                <xdr:colOff>0</xdr:colOff>
                <xdr:row>1</xdr:row>
                <xdr:rowOff>85725</xdr:rowOff>
              </from>
              <to>
                <xdr:col>2</xdr:col>
                <xdr:colOff>1381125</xdr:colOff>
                <xdr:row>3</xdr:row>
                <xdr:rowOff>285750</xdr:rowOff>
              </to>
            </anchor>
          </controlPr>
        </control>
      </mc:Choice>
      <mc:Fallback>
        <control shapeId="6368" r:id="rId6" name="cmdDuplicaRigaSelezionata"/>
      </mc:Fallback>
    </mc:AlternateContent>
    <mc:AlternateContent xmlns:mc="http://schemas.openxmlformats.org/markup-compatibility/2006">
      <mc:Choice Requires="x14">
        <control shapeId="6369" r:id="rId8" name="CmdEliminaERipristinaRiga">
          <controlPr defaultSize="0" autoLine="0" r:id="rId9">
            <anchor moveWithCells="1">
              <from>
                <xdr:col>3</xdr:col>
                <xdr:colOff>0</xdr:colOff>
                <xdr:row>1</xdr:row>
                <xdr:rowOff>66675</xdr:rowOff>
              </from>
              <to>
                <xdr:col>4</xdr:col>
                <xdr:colOff>142875</xdr:colOff>
                <xdr:row>3</xdr:row>
                <xdr:rowOff>285750</xdr:rowOff>
              </to>
            </anchor>
          </controlPr>
        </control>
      </mc:Choice>
      <mc:Fallback>
        <control shapeId="6369" r:id="rId8" name="CmdEliminaERipristinaRiga"/>
      </mc:Fallback>
    </mc:AlternateContent>
    <mc:AlternateContent xmlns:mc="http://schemas.openxmlformats.org/markup-compatibility/2006">
      <mc:Choice Requires="x14">
        <control shapeId="6373" r:id="rId10" name="CmdSelezionaTabella">
          <controlPr defaultSize="0" autoLine="0" r:id="rId11">
            <anchor moveWithCells="1">
              <from>
                <xdr:col>7</xdr:col>
                <xdr:colOff>0</xdr:colOff>
                <xdr:row>1</xdr:row>
                <xdr:rowOff>19050</xdr:rowOff>
              </from>
              <to>
                <xdr:col>8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6373" r:id="rId10" name="CmdSelezionaTabell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7"/>
  <sheetViews>
    <sheetView workbookViewId="0">
      <selection sqref="A1:M28"/>
    </sheetView>
  </sheetViews>
  <sheetFormatPr defaultRowHeight="12.75"/>
  <cols>
    <col min="1" max="1" width="41.85546875" customWidth="1"/>
    <col min="6" max="6" width="41.85546875" bestFit="1" customWidth="1"/>
  </cols>
  <sheetData>
    <row r="1" spans="1:1">
      <c r="A1" s="282" t="s">
        <v>205</v>
      </c>
    </row>
    <row r="3" spans="1:1">
      <c r="A3" s="283">
        <v>441.34</v>
      </c>
    </row>
    <row r="5" spans="1:1">
      <c r="A5" s="282" t="s">
        <v>206</v>
      </c>
    </row>
    <row r="7" spans="1:1">
      <c r="A7" s="283">
        <v>68.84</v>
      </c>
    </row>
    <row r="9" spans="1:1">
      <c r="A9" s="282" t="s">
        <v>207</v>
      </c>
    </row>
    <row r="11" spans="1:1">
      <c r="A11" s="283">
        <v>67.3</v>
      </c>
    </row>
    <row r="13" spans="1:1">
      <c r="A13" s="282" t="s">
        <v>208</v>
      </c>
    </row>
    <row r="15" spans="1:1">
      <c r="A15" s="283">
        <v>64.3</v>
      </c>
    </row>
    <row r="17" spans="1:1">
      <c r="A17" s="282" t="s">
        <v>209</v>
      </c>
    </row>
    <row r="19" spans="1:1">
      <c r="A19" s="283">
        <v>35.159999999999997</v>
      </c>
    </row>
    <row r="21" spans="1:1">
      <c r="A21" s="282" t="s">
        <v>210</v>
      </c>
    </row>
    <row r="23" spans="1:1">
      <c r="A23" s="283">
        <v>28.66</v>
      </c>
    </row>
    <row r="25" spans="1:1">
      <c r="A25" s="282" t="s">
        <v>211</v>
      </c>
    </row>
    <row r="27" spans="1:1">
      <c r="A27" s="283">
        <v>23.4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Q87"/>
  <sheetViews>
    <sheetView workbookViewId="0">
      <selection activeCell="K17" sqref="K17"/>
    </sheetView>
  </sheetViews>
  <sheetFormatPr defaultRowHeight="12.75"/>
  <cols>
    <col min="2" max="15" width="11.7109375" customWidth="1"/>
    <col min="17" max="17" width="11.85546875" hidden="1" customWidth="1"/>
  </cols>
  <sheetData>
    <row r="3" spans="2:15" ht="23.25">
      <c r="B3" s="306" t="s">
        <v>142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</row>
    <row r="4" spans="2:15" ht="13.5" thickBot="1"/>
    <row r="5" spans="2:15" ht="16.5" thickBot="1">
      <c r="B5" s="4" t="s">
        <v>6</v>
      </c>
      <c r="C5" s="79" t="s">
        <v>130</v>
      </c>
      <c r="D5" s="80" t="s">
        <v>131</v>
      </c>
      <c r="E5" s="80" t="s">
        <v>132</v>
      </c>
      <c r="F5" s="80" t="s">
        <v>133</v>
      </c>
      <c r="G5" s="80" t="s">
        <v>134</v>
      </c>
      <c r="H5" s="80" t="s">
        <v>135</v>
      </c>
      <c r="I5" s="80" t="s">
        <v>136</v>
      </c>
      <c r="J5" s="80" t="s">
        <v>137</v>
      </c>
      <c r="K5" s="80" t="s">
        <v>138</v>
      </c>
      <c r="L5" s="80" t="s">
        <v>141</v>
      </c>
      <c r="M5" s="80" t="s">
        <v>139</v>
      </c>
      <c r="N5" s="81" t="s">
        <v>140</v>
      </c>
      <c r="O5" s="98" t="e">
        <f>IF(Consegna!#REF!='Consegne clienti 2023'!O83,"OK","ERRORE")</f>
        <v>#REF!</v>
      </c>
    </row>
    <row r="6" spans="2:15">
      <c r="B6" s="76"/>
      <c r="C6" s="82"/>
      <c r="D6" s="83"/>
      <c r="E6" s="83"/>
      <c r="F6" s="83"/>
      <c r="G6" s="83"/>
      <c r="H6" s="83"/>
      <c r="I6" s="83"/>
      <c r="J6" s="83"/>
      <c r="K6" s="83"/>
      <c r="L6" s="83"/>
      <c r="M6" s="83"/>
      <c r="N6" s="84"/>
      <c r="O6" s="91"/>
    </row>
    <row r="7" spans="2:15">
      <c r="B7" s="77" t="s">
        <v>76</v>
      </c>
      <c r="C7" s="85">
        <f>SUMIFS('Commissioni De Angeli'!$D$7:$D$1644,'Commissioni De Angeli'!$Z$7:$Z$1644,1,'Commissioni De Angeli'!$AA$7:$AA$1644,2023,'Commissioni De Angeli'!$C$7:$C$1644,"aeg")</f>
        <v>0</v>
      </c>
      <c r="D7" s="86">
        <f>SUMIFS('Commissioni De Angeli'!$D$7:$D$1644,'Commissioni De Angeli'!$Z$7:$Z$1644,2,'Commissioni De Angeli'!$AA$7:$AA$1644,2023,'Commissioni De Angeli'!$C$7:$C$1644,"aeg")</f>
        <v>0</v>
      </c>
      <c r="E7" s="86">
        <f>SUMIFS('Commissioni De Angeli'!$D$7:$D$1644,'Commissioni De Angeli'!$Z$7:$Z$1644,3,'Commissioni De Angeli'!$AA$7:$AA$1644,2023,'Commissioni De Angeli'!$C$7:$C$1644,"aeg")</f>
        <v>0</v>
      </c>
      <c r="F7" s="86">
        <f>SUMIFS('Commissioni De Angeli'!$D$7:$D$1644,'Commissioni De Angeli'!$Z$7:$Z$1644,4,'Commissioni De Angeli'!$AA$7:$AA$1644,2023,'Commissioni De Angeli'!$C$7:$C$1644,"aeg")</f>
        <v>0</v>
      </c>
      <c r="G7" s="86">
        <f>SUMIFS('Commissioni De Angeli'!$D$7:$D$1644,'Commissioni De Angeli'!$Z$7:$Z$1644,5,'Commissioni De Angeli'!$AA$7:$AA$1644,2023,'Commissioni De Angeli'!$C$7:$C$1644,"aeg")</f>
        <v>0</v>
      </c>
      <c r="H7" s="86">
        <f>SUMIFS('Commissioni De Angeli'!$D$7:$D$1644,'Commissioni De Angeli'!$Z$7:$Z$1644,6,'Commissioni De Angeli'!$AA$7:$AA$1644,2023,'Commissioni De Angeli'!$C$7:$C$1644,"aeg")</f>
        <v>0</v>
      </c>
      <c r="I7" s="86">
        <f>SUMIFS('Commissioni De Angeli'!$D$7:$D$1644,'Commissioni De Angeli'!$Z$7:$Z$1644,7,'Commissioni De Angeli'!$AA$7:$AA$1644,2023,'Commissioni De Angeli'!$C$7:$C$1644,"aeg")</f>
        <v>0</v>
      </c>
      <c r="J7" s="86">
        <f>SUMIFS('Commissioni De Angeli'!$D$7:$D$1644,'Commissioni De Angeli'!$Z$7:$Z$1644,8,'Commissioni De Angeli'!$AA$7:$AA$1644,2023,'Commissioni De Angeli'!$C$7:$C$1644,"aeg")</f>
        <v>0</v>
      </c>
      <c r="K7" s="86">
        <f>SUMIFS('Commissioni De Angeli'!$D$7:$D$1644,'Commissioni De Angeli'!$Z$7:$Z$1644,9,'Commissioni De Angeli'!$AA$7:$AA$1644,2023,'Commissioni De Angeli'!$C$7:$C$1644,"aeg")</f>
        <v>0</v>
      </c>
      <c r="L7" s="86">
        <f>SUMIFS('Commissioni De Angeli'!$D$7:$D$1644,'Commissioni De Angeli'!$Z$7:$Z$1644,10,'Commissioni De Angeli'!$AA$7:$AA$1644,2023,'Commissioni De Angeli'!$C$7:$C$1644,"aeg")</f>
        <v>0</v>
      </c>
      <c r="M7" s="86">
        <f>SUMIFS('Commissioni De Angeli'!$D$7:$D$1644,'Commissioni De Angeli'!$Z$7:$Z$1644,11,'Commissioni De Angeli'!$AA$7:$AA$1644,2023,'Commissioni De Angeli'!$C$7:$C$1644,"aeg")</f>
        <v>0</v>
      </c>
      <c r="N7" s="87">
        <f>SUMIFS('Commissioni De Angeli'!$D$7:$D$1644,'Commissioni De Angeli'!$Z$7:$Z$1644,12,'Commissioni De Angeli'!$AA$7:$AA$1644,2023,'Commissioni De Angeli'!$C$7:$C$1644,"aeg")</f>
        <v>0</v>
      </c>
      <c r="O7" s="95">
        <f>SUM(C7:N7)</f>
        <v>0</v>
      </c>
    </row>
    <row r="8" spans="2:15">
      <c r="B8" s="77" t="s">
        <v>77</v>
      </c>
      <c r="C8" s="85">
        <f>SUMIFS('Commissioni De Angeli'!$D$7:$D$1644,'Commissioni De Angeli'!$Z$7:$Z$1644,1,'Commissioni De Angeli'!$AA$7:$AA$1644,2023,'Commissioni De Angeli'!$C$7:$C$1644,"alstom")</f>
        <v>0</v>
      </c>
      <c r="D8" s="86">
        <f>SUMIFS('Commissioni De Angeli'!$D$7:$D$1644,'Commissioni De Angeli'!$Z$7:$Z$1644,2,'Commissioni De Angeli'!$AA$7:$AA$1644,2023,'Commissioni De Angeli'!$C$7:$C$1644,"alstom")</f>
        <v>0</v>
      </c>
      <c r="E8" s="86">
        <f>SUMIFS('Commissioni De Angeli'!$D$7:$D$1644,'Commissioni De Angeli'!$Z$7:$Z$1644,3,'Commissioni De Angeli'!$AA$7:$AA$1644,2023,'Commissioni De Angeli'!$C$7:$C$1644,"alstom")</f>
        <v>0</v>
      </c>
      <c r="F8" s="86">
        <f>SUMIFS('Commissioni De Angeli'!$D$7:$D$1644,'Commissioni De Angeli'!$Z$7:$Z$1644,4,'Commissioni De Angeli'!$AA$7:$AA$1644,2023,'Commissioni De Angeli'!$C$7:$C$1644,"alstom")</f>
        <v>0</v>
      </c>
      <c r="G8" s="86">
        <f>SUMIFS('Commissioni De Angeli'!$D$7:$D$1644,'Commissioni De Angeli'!$Z$7:$Z$1644,5,'Commissioni De Angeli'!$AA$7:$AA$1644,2023,'Commissioni De Angeli'!$C$7:$C$1644,"alstom")</f>
        <v>0</v>
      </c>
      <c r="H8" s="86">
        <f>SUMIFS('Commissioni De Angeli'!$D$7:$D$1644,'Commissioni De Angeli'!$Z$7:$Z$1644,6,'Commissioni De Angeli'!$AA$7:$AA$1644,2023,'Commissioni De Angeli'!$C$7:$C$1644,"alstom")</f>
        <v>0</v>
      </c>
      <c r="I8" s="86">
        <f>SUMIFS('Commissioni De Angeli'!$D$7:$D$1644,'Commissioni De Angeli'!$Z$7:$Z$1644,7,'Commissioni De Angeli'!$AA$7:$AA$1644,2023,'Commissioni De Angeli'!$C$7:$C$1644,"alstom")</f>
        <v>0</v>
      </c>
      <c r="J8" s="86">
        <f>SUMIFS('Commissioni De Angeli'!$D$7:$D$1644,'Commissioni De Angeli'!$Z$7:$Z$1644,8,'Commissioni De Angeli'!$AA$7:$AA$1644,2023,'Commissioni De Angeli'!$C$7:$C$1644,"alstom")</f>
        <v>0</v>
      </c>
      <c r="K8" s="86">
        <f>SUMIFS('Commissioni De Angeli'!$D$7:$D$1644,'Commissioni De Angeli'!$Z$7:$Z$1644,9,'Commissioni De Angeli'!$AA$7:$AA$1644,2023,'Commissioni De Angeli'!$C$7:$C$1644,"alstom")</f>
        <v>0</v>
      </c>
      <c r="L8" s="86">
        <f>SUMIFS('Commissioni De Angeli'!$D$7:$D$1644,'Commissioni De Angeli'!$Z$7:$Z$1644,10,'Commissioni De Angeli'!$AA$7:$AA$1644,2023,'Commissioni De Angeli'!$C$7:$C$1644,"alstom")</f>
        <v>0</v>
      </c>
      <c r="M8" s="86">
        <f>SUMIFS('Commissioni De Angeli'!$D$7:$D$1644,'Commissioni De Angeli'!$Z$7:$Z$1644,11,'Commissioni De Angeli'!$AA$7:$AA$1644,2023,'Commissioni De Angeli'!$C$7:$C$1644,"alstom")</f>
        <v>0</v>
      </c>
      <c r="N8" s="87">
        <f>SUMIFS('Commissioni De Angeli'!$D$7:$D$1644,'Commissioni De Angeli'!$Z$7:$Z$1644,12,'Commissioni De Angeli'!$AA$7:$AA$1644,2023,'Commissioni De Angeli'!$C$7:$C$1644,"alstom")</f>
        <v>0</v>
      </c>
      <c r="O8" s="95">
        <f t="shared" ref="O8:O59" si="0">SUM(C8:N8)</f>
        <v>0</v>
      </c>
    </row>
    <row r="9" spans="2:15">
      <c r="B9" s="77" t="s">
        <v>105</v>
      </c>
      <c r="C9" s="85">
        <f>SUMIFS('Commissioni De Angeli'!$D$7:$D$1644,'Commissioni De Angeli'!$Z$7:$Z$1644,1,'Commissioni De Angeli'!$AA$7:$AA$1644,2023,'Commissioni De Angeli'!$C$7:$C$1644,"Ansaldo")</f>
        <v>0</v>
      </c>
      <c r="D9" s="86">
        <f>SUMIFS('Commissioni De Angeli'!$D$7:$D$1644,'Commissioni De Angeli'!$Z$7:$Z$1644,2,'Commissioni De Angeli'!$AA$7:$AA$1644,2023,'Commissioni De Angeli'!$C$7:$C$1644,"Ansaldo")</f>
        <v>0</v>
      </c>
      <c r="E9" s="86">
        <f>SUMIFS('Commissioni De Angeli'!$D$7:$D$1644,'Commissioni De Angeli'!$Z$7:$Z$1644,3,'Commissioni De Angeli'!$AA$7:$AA$1644,2023,'Commissioni De Angeli'!$C$7:$C$1644,"Ansaldo")</f>
        <v>0</v>
      </c>
      <c r="F9" s="86">
        <f>SUMIFS('Commissioni De Angeli'!$D$7:$D$1644,'Commissioni De Angeli'!$Z$7:$Z$1644,4,'Commissioni De Angeli'!$AA$7:$AA$1644,2023,'Commissioni De Angeli'!$C$7:$C$1644,"Ansaldo")</f>
        <v>0</v>
      </c>
      <c r="G9" s="86">
        <f>SUMIFS('Commissioni De Angeli'!$D$7:$D$1644,'Commissioni De Angeli'!$Z$7:$Z$1644,5,'Commissioni De Angeli'!$AA$7:$AA$1644,2023,'Commissioni De Angeli'!$C$7:$C$1644,"Ansaldo")</f>
        <v>0</v>
      </c>
      <c r="H9" s="86">
        <f>SUMIFS('Commissioni De Angeli'!$D$7:$D$1644,'Commissioni De Angeli'!$Z$7:$Z$1644,6,'Commissioni De Angeli'!$AA$7:$AA$1644,2023,'Commissioni De Angeli'!$C$7:$C$1644,"Ansaldo")</f>
        <v>0</v>
      </c>
      <c r="I9" s="86">
        <f>SUMIFS('Commissioni De Angeli'!$D$7:$D$1644,'Commissioni De Angeli'!$Z$7:$Z$1644,7,'Commissioni De Angeli'!$AA$7:$AA$1644,2023,'Commissioni De Angeli'!$C$7:$C$1644,"Ansaldo")</f>
        <v>0</v>
      </c>
      <c r="J9" s="86">
        <f>SUMIFS('Commissioni De Angeli'!$D$7:$D$1644,'Commissioni De Angeli'!$Z$7:$Z$1644,8,'Commissioni De Angeli'!$AA$7:$AA$1644,2023,'Commissioni De Angeli'!$C$7:$C$1644,"Ansaldo")</f>
        <v>0</v>
      </c>
      <c r="K9" s="86">
        <f>SUMIFS('Commissioni De Angeli'!$D$7:$D$1644,'Commissioni De Angeli'!$Z$7:$Z$1644,9,'Commissioni De Angeli'!$AA$7:$AA$1644,2023,'Commissioni De Angeli'!$C$7:$C$1644,"Ansaldo")</f>
        <v>0</v>
      </c>
      <c r="L9" s="86">
        <f>SUMIFS('Commissioni De Angeli'!$D$7:$D$1644,'Commissioni De Angeli'!$Z$7:$Z$1644,10,'Commissioni De Angeli'!$AA$7:$AA$1644,2023,'Commissioni De Angeli'!$C$7:$C$1644,"Ansaldo")</f>
        <v>0</v>
      </c>
      <c r="M9" s="86">
        <f>SUMIFS('Commissioni De Angeli'!$D$7:$D$1644,'Commissioni De Angeli'!$Z$7:$Z$1644,11,'Commissioni De Angeli'!$AA$7:$AA$1644,2023,'Commissioni De Angeli'!$C$7:$C$1644,"Ansaldo")</f>
        <v>0</v>
      </c>
      <c r="N9" s="87">
        <f>SUMIFS('Commissioni De Angeli'!$D$7:$D$1644,'Commissioni De Angeli'!$Z$7:$Z$1644,12,'Commissioni De Angeli'!$AA$7:$AA$1644,2023,'Commissioni De Angeli'!$C$7:$C$1644,"Ansaldo")</f>
        <v>0</v>
      </c>
      <c r="O9" s="95">
        <f t="shared" si="0"/>
        <v>0</v>
      </c>
    </row>
    <row r="10" spans="2:15">
      <c r="B10" s="78" t="s">
        <v>49</v>
      </c>
      <c r="C10" s="85">
        <f>SUMIFS('Commissioni De Angeli'!$D$7:$D$1644,'Commissioni De Angeli'!$Z$7:$Z$1644,1,'Commissioni De Angeli'!$AA$7:$AA$1644,2023,'Commissioni De Angeli'!$C$7:$C$1644,"asg")</f>
        <v>0</v>
      </c>
      <c r="D10" s="86">
        <f>SUMIFS('Commissioni De Angeli'!$D$7:$D$1644,'Commissioni De Angeli'!$Z$7:$Z$1644,2,'Commissioni De Angeli'!$AA$7:$AA$1644,2023,'Commissioni De Angeli'!$C$7:$C$1644,"asg")</f>
        <v>0</v>
      </c>
      <c r="E10" s="86">
        <f>SUMIFS('Commissioni De Angeli'!$D$7:$D$1644,'Commissioni De Angeli'!$Z$7:$Z$1644,3,'Commissioni De Angeli'!$AA$7:$AA$1644,2023,'Commissioni De Angeli'!$C$7:$C$1644,"asg")</f>
        <v>0</v>
      </c>
      <c r="F10" s="86">
        <f>SUMIFS('Commissioni De Angeli'!$D$7:$D$1644,'Commissioni De Angeli'!$Z$7:$Z$1644,4,'Commissioni De Angeli'!$AA$7:$AA$1644,2023,'Commissioni De Angeli'!$C$7:$C$1644,"asg")</f>
        <v>0</v>
      </c>
      <c r="G10" s="86">
        <f>SUMIFS('Commissioni De Angeli'!$D$7:$D$1644,'Commissioni De Angeli'!$Z$7:$Z$1644,5,'Commissioni De Angeli'!$AA$7:$AA$1644,2023,'Commissioni De Angeli'!$C$7:$C$1644,"asg")</f>
        <v>0</v>
      </c>
      <c r="H10" s="86">
        <f>SUMIFS('Commissioni De Angeli'!$D$7:$D$1644,'Commissioni De Angeli'!$Z$7:$Z$1644,6,'Commissioni De Angeli'!$AA$7:$AA$1644,2023,'Commissioni De Angeli'!$C$7:$C$1644,"asg")</f>
        <v>0</v>
      </c>
      <c r="I10" s="86">
        <f>SUMIFS('Commissioni De Angeli'!$D$7:$D$1644,'Commissioni De Angeli'!$Z$7:$Z$1644,7,'Commissioni De Angeli'!$AA$7:$AA$1644,2023,'Commissioni De Angeli'!$C$7:$C$1644,"asg")</f>
        <v>0</v>
      </c>
      <c r="J10" s="86">
        <f>SUMIFS('Commissioni De Angeli'!$D$7:$D$1644,'Commissioni De Angeli'!$Z$7:$Z$1644,8,'Commissioni De Angeli'!$AA$7:$AA$1644,2023,'Commissioni De Angeli'!$C$7:$C$1644,"asg")</f>
        <v>0</v>
      </c>
      <c r="K10" s="86">
        <f>SUMIFS('Commissioni De Angeli'!$D$7:$D$1644,'Commissioni De Angeli'!$Z$7:$Z$1644,9,'Commissioni De Angeli'!$AA$7:$AA$1644,2023,'Commissioni De Angeli'!$C$7:$C$1644,"asg")</f>
        <v>0</v>
      </c>
      <c r="L10" s="86">
        <f>SUMIFS('Commissioni De Angeli'!$D$7:$D$1644,'Commissioni De Angeli'!$Z$7:$Z$1644,10,'Commissioni De Angeli'!$AA$7:$AA$1644,2023,'Commissioni De Angeli'!$C$7:$C$1644,"asg")</f>
        <v>0</v>
      </c>
      <c r="M10" s="86">
        <f>SUMIFS('Commissioni De Angeli'!$D$7:$D$1644,'Commissioni De Angeli'!$Z$7:$Z$1644,11,'Commissioni De Angeli'!$AA$7:$AA$1644,2023,'Commissioni De Angeli'!$C$7:$C$1644,"asg")</f>
        <v>0</v>
      </c>
      <c r="N10" s="87">
        <f>SUMIFS('Commissioni De Angeli'!$D$7:$D$1644,'Commissioni De Angeli'!$Z$7:$Z$1644,12,'Commissioni De Angeli'!$AA$7:$AA$1644,2023,'Commissioni De Angeli'!$C$7:$C$1644,"asg")</f>
        <v>0</v>
      </c>
      <c r="O10" s="95">
        <f t="shared" si="0"/>
        <v>0</v>
      </c>
    </row>
    <row r="11" spans="2:15">
      <c r="B11" s="78" t="s">
        <v>85</v>
      </c>
      <c r="C11" s="85">
        <f>SUMIFS('Commissioni De Angeli'!$D$7:$D$1644,'Commissioni De Angeli'!$Z$7:$Z$1644,1,'Commissioni De Angeli'!$AA$7:$AA$1644,2023,'Commissioni De Angeli'!$C$7:$C$1644,"auril")</f>
        <v>0</v>
      </c>
      <c r="D11" s="86">
        <f>SUMIFS('Commissioni De Angeli'!$D$7:$D$1644,'Commissioni De Angeli'!$Z$7:$Z$1644,2,'Commissioni De Angeli'!$AA$7:$AA$1644,2023,'Commissioni De Angeli'!$C$7:$C$1644,"auril")</f>
        <v>0</v>
      </c>
      <c r="E11" s="86">
        <f>SUMIFS('Commissioni De Angeli'!$D$7:$D$1644,'Commissioni De Angeli'!$Z$7:$Z$1644,3,'Commissioni De Angeli'!$AA$7:$AA$1644,2023,'Commissioni De Angeli'!$C$7:$C$1644,"auril")</f>
        <v>0</v>
      </c>
      <c r="F11" s="86">
        <f>SUMIFS('Commissioni De Angeli'!$D$7:$D$1644,'Commissioni De Angeli'!$Z$7:$Z$1644,4,'Commissioni De Angeli'!$AA$7:$AA$1644,2023,'Commissioni De Angeli'!$C$7:$C$1644,"auril")</f>
        <v>0</v>
      </c>
      <c r="G11" s="86">
        <f>SUMIFS('Commissioni De Angeli'!$D$7:$D$1644,'Commissioni De Angeli'!$Z$7:$Z$1644,5,'Commissioni De Angeli'!$AA$7:$AA$1644,2023,'Commissioni De Angeli'!$C$7:$C$1644,"auril")</f>
        <v>0</v>
      </c>
      <c r="H11" s="86">
        <f>SUMIFS('Commissioni De Angeli'!$D$7:$D$1644,'Commissioni De Angeli'!$Z$7:$Z$1644,6,'Commissioni De Angeli'!$AA$7:$AA$1644,2023,'Commissioni De Angeli'!$C$7:$C$1644,"auril")</f>
        <v>0</v>
      </c>
      <c r="I11" s="86">
        <f>SUMIFS('Commissioni De Angeli'!$D$7:$D$1644,'Commissioni De Angeli'!$Z$7:$Z$1644,7,'Commissioni De Angeli'!$AA$7:$AA$1644,2023,'Commissioni De Angeli'!$C$7:$C$1644,"auril")</f>
        <v>0</v>
      </c>
      <c r="J11" s="86">
        <f>SUMIFS('Commissioni De Angeli'!$D$7:$D$1644,'Commissioni De Angeli'!$Z$7:$Z$1644,8,'Commissioni De Angeli'!$AA$7:$AA$1644,2023,'Commissioni De Angeli'!$C$7:$C$1644,"auril")</f>
        <v>0</v>
      </c>
      <c r="K11" s="86">
        <f>SUMIFS('Commissioni De Angeli'!$D$7:$D$1644,'Commissioni De Angeli'!$Z$7:$Z$1644,9,'Commissioni De Angeli'!$AA$7:$AA$1644,2023,'Commissioni De Angeli'!$C$7:$C$1644,"auril")</f>
        <v>0</v>
      </c>
      <c r="L11" s="86">
        <f>SUMIFS('Commissioni De Angeli'!$D$7:$D$1644,'Commissioni De Angeli'!$Z$7:$Z$1644,10,'Commissioni De Angeli'!$AA$7:$AA$1644,2023,'Commissioni De Angeli'!$C$7:$C$1644,"auril")</f>
        <v>0</v>
      </c>
      <c r="M11" s="86">
        <f>SUMIFS('Commissioni De Angeli'!$D$7:$D$1644,'Commissioni De Angeli'!$Z$7:$Z$1644,11,'Commissioni De Angeli'!$AA$7:$AA$1644,2023,'Commissioni De Angeli'!$C$7:$C$1644,"auril")</f>
        <v>0</v>
      </c>
      <c r="N11" s="87">
        <f>SUMIFS('Commissioni De Angeli'!$D$7:$D$1644,'Commissioni De Angeli'!$Z$7:$Z$1644,12,'Commissioni De Angeli'!$AA$7:$AA$1644,2023,'Commissioni De Angeli'!$C$7:$C$1644,"auril")</f>
        <v>0</v>
      </c>
      <c r="O11" s="95">
        <f t="shared" si="0"/>
        <v>0</v>
      </c>
    </row>
    <row r="12" spans="2:15">
      <c r="B12" s="78" t="s">
        <v>104</v>
      </c>
      <c r="C12" s="85">
        <f>SUMIFS('Commissioni De Angeli'!$D$7:$D$1644,'Commissioni De Angeli'!$Z$7:$Z$1644,1,'Commissioni De Angeli'!$AA$7:$AA$1644,2023,'Commissioni De Angeli'!$C$7:$C$1644,"bin")</f>
        <v>0</v>
      </c>
      <c r="D12" s="86">
        <f>SUMIFS('Commissioni De Angeli'!$D$7:$D$1644,'Commissioni De Angeli'!$Z$7:$Z$1644,2,'Commissioni De Angeli'!$AA$7:$AA$1644,2023,'Commissioni De Angeli'!$C$7:$C$1644,"bin")</f>
        <v>0</v>
      </c>
      <c r="E12" s="86">
        <f>SUMIFS('Commissioni De Angeli'!$D$7:$D$1644,'Commissioni De Angeli'!$Z$7:$Z$1644,3,'Commissioni De Angeli'!$AA$7:$AA$1644,2023,'Commissioni De Angeli'!$C$7:$C$1644,"bin")</f>
        <v>0</v>
      </c>
      <c r="F12" s="86">
        <f>SUMIFS('Commissioni De Angeli'!$D$7:$D$1644,'Commissioni De Angeli'!$Z$7:$Z$1644,4,'Commissioni De Angeli'!$AA$7:$AA$1644,2023,'Commissioni De Angeli'!$C$7:$C$1644,"bin")</f>
        <v>0</v>
      </c>
      <c r="G12" s="86">
        <f>SUMIFS('Commissioni De Angeli'!$D$7:$D$1644,'Commissioni De Angeli'!$Z$7:$Z$1644,5,'Commissioni De Angeli'!$AA$7:$AA$1644,2023,'Commissioni De Angeli'!$C$7:$C$1644,"bin")</f>
        <v>0</v>
      </c>
      <c r="H12" s="86">
        <f>SUMIFS('Commissioni De Angeli'!$D$7:$D$1644,'Commissioni De Angeli'!$Z$7:$Z$1644,6,'Commissioni De Angeli'!$AA$7:$AA$1644,2023,'Commissioni De Angeli'!$C$7:$C$1644,"bin")</f>
        <v>0</v>
      </c>
      <c r="I12" s="86">
        <f>SUMIFS('Commissioni De Angeli'!$D$7:$D$1644,'Commissioni De Angeli'!$Z$7:$Z$1644,7,'Commissioni De Angeli'!$AA$7:$AA$1644,2023,'Commissioni De Angeli'!$C$7:$C$1644,"bin")</f>
        <v>0</v>
      </c>
      <c r="J12" s="86">
        <f>SUMIFS('Commissioni De Angeli'!$D$7:$D$1644,'Commissioni De Angeli'!$Z$7:$Z$1644,8,'Commissioni De Angeli'!$AA$7:$AA$1644,2023,'Commissioni De Angeli'!$C$7:$C$1644,"bin")</f>
        <v>0</v>
      </c>
      <c r="K12" s="86">
        <f>SUMIFS('Commissioni De Angeli'!$D$7:$D$1644,'Commissioni De Angeli'!$Z$7:$Z$1644,9,'Commissioni De Angeli'!$AA$7:$AA$1644,2023,'Commissioni De Angeli'!$C$7:$C$1644,"bin")</f>
        <v>0</v>
      </c>
      <c r="L12" s="86">
        <f>SUMIFS('Commissioni De Angeli'!$D$7:$D$1644,'Commissioni De Angeli'!$Z$7:$Z$1644,10,'Commissioni De Angeli'!$AA$7:$AA$1644,2023,'Commissioni De Angeli'!$C$7:$C$1644,"bin")</f>
        <v>0</v>
      </c>
      <c r="M12" s="86">
        <f>SUMIFS('Commissioni De Angeli'!$D$7:$D$1644,'Commissioni De Angeli'!$Z$7:$Z$1644,11,'Commissioni De Angeli'!$AA$7:$AA$1644,2023,'Commissioni De Angeli'!$C$7:$C$1644,"bin")</f>
        <v>0</v>
      </c>
      <c r="N12" s="87">
        <f>SUMIFS('Commissioni De Angeli'!$D$7:$D$1644,'Commissioni De Angeli'!$Z$7:$Z$1644,12,'Commissioni De Angeli'!$AA$7:$AA$1644,2023,'Commissioni De Angeli'!$C$7:$C$1644,"bin")</f>
        <v>0</v>
      </c>
      <c r="O12" s="95">
        <f t="shared" si="0"/>
        <v>0</v>
      </c>
    </row>
    <row r="13" spans="2:15">
      <c r="B13" s="78" t="s">
        <v>143</v>
      </c>
      <c r="C13" s="85">
        <f>SUMIFS('Commissioni De Angeli'!$D$7:$D$1644,'Commissioni De Angeli'!$Z$7:$Z$1644,1,'Commissioni De Angeli'!$AA$7:$AA$1644,2023,'Commissioni De Angeli'!$C$7:$C$1644,"by carpel")</f>
        <v>0</v>
      </c>
      <c r="D13" s="86">
        <f>SUMIFS('Commissioni De Angeli'!$D$7:$D$1644,'Commissioni De Angeli'!$Z$7:$Z$1644,2,'Commissioni De Angeli'!$AA$7:$AA$1644,2023,'Commissioni De Angeli'!$C$7:$C$1644,"by carpel")</f>
        <v>0</v>
      </c>
      <c r="E13" s="86">
        <f>SUMIFS('Commissioni De Angeli'!$D$7:$D$1644,'Commissioni De Angeli'!$Z$7:$Z$1644,3,'Commissioni De Angeli'!$AA$7:$AA$1644,2023,'Commissioni De Angeli'!$C$7:$C$1644,"by carpel")</f>
        <v>0</v>
      </c>
      <c r="F13" s="86">
        <f>SUMIFS('Commissioni De Angeli'!$D$7:$D$1644,'Commissioni De Angeli'!$Z$7:$Z$1644,4,'Commissioni De Angeli'!$AA$7:$AA$1644,2023,'Commissioni De Angeli'!$C$7:$C$1644,"by carpel")</f>
        <v>0</v>
      </c>
      <c r="G13" s="86">
        <f>SUMIFS('Commissioni De Angeli'!$D$7:$D$1644,'Commissioni De Angeli'!$Z$7:$Z$1644,5,'Commissioni De Angeli'!$AA$7:$AA$1644,2023,'Commissioni De Angeli'!$C$7:$C$1644,"by carpel")</f>
        <v>0</v>
      </c>
      <c r="H13" s="86">
        <f>SUMIFS('Commissioni De Angeli'!$D$7:$D$1644,'Commissioni De Angeli'!$Z$7:$Z$1644,6,'Commissioni De Angeli'!$AA$7:$AA$1644,2023,'Commissioni De Angeli'!$C$7:$C$1644,"by carpel")</f>
        <v>0</v>
      </c>
      <c r="I13" s="86">
        <f>SUMIFS('Commissioni De Angeli'!$D$7:$D$1644,'Commissioni De Angeli'!$Z$7:$Z$1644,7,'Commissioni De Angeli'!$AA$7:$AA$1644,2023,'Commissioni De Angeli'!$C$7:$C$1644,"by carpel")</f>
        <v>0</v>
      </c>
      <c r="J13" s="86">
        <f>SUMIFS('Commissioni De Angeli'!$D$7:$D$1644,'Commissioni De Angeli'!$Z$7:$Z$1644,8,'Commissioni De Angeli'!$AA$7:$AA$1644,2023,'Commissioni De Angeli'!$C$7:$C$1644,"by carpel")</f>
        <v>0</v>
      </c>
      <c r="K13" s="86">
        <f>SUMIFS('Commissioni De Angeli'!$D$7:$D$1644,'Commissioni De Angeli'!$Z$7:$Z$1644,9,'Commissioni De Angeli'!$AA$7:$AA$1644,2023,'Commissioni De Angeli'!$C$7:$C$1644,"by carpel")</f>
        <v>0</v>
      </c>
      <c r="L13" s="86">
        <f>SUMIFS('Commissioni De Angeli'!$D$7:$D$1644,'Commissioni De Angeli'!$Z$7:$Z$1644,10,'Commissioni De Angeli'!$AA$7:$AA$1644,2023,'Commissioni De Angeli'!$C$7:$C$1644,"by carpel")</f>
        <v>0</v>
      </c>
      <c r="M13" s="86">
        <f>SUMIFS('Commissioni De Angeli'!$D$7:$D$1644,'Commissioni De Angeli'!$Z$7:$Z$1644,11,'Commissioni De Angeli'!$AA$7:$AA$1644,2023,'Commissioni De Angeli'!$C$7:$C$1644,"by carpel")</f>
        <v>0</v>
      </c>
      <c r="N13" s="87">
        <f>SUMIFS('Commissioni De Angeli'!$D$7:$D$1644,'Commissioni De Angeli'!$Z$7:$Z$1644,12,'Commissioni De Angeli'!$AA$7:$AA$1644,2023,'Commissioni De Angeli'!$C$7:$C$1644,"by carpel")</f>
        <v>0</v>
      </c>
      <c r="O13" s="95">
        <f>SUM(C13:N13)</f>
        <v>0</v>
      </c>
    </row>
    <row r="14" spans="2:15">
      <c r="B14" s="78" t="s">
        <v>86</v>
      </c>
      <c r="C14" s="85">
        <f>SUMIFS('Commissioni De Angeli'!$D$7:$D$1644,'Commissioni De Angeli'!$Z$7:$Z$1644,1,'Commissioni De Angeli'!$AA$7:$AA$1644,2023,'Commissioni De Angeli'!$C$7:$C$1644,"braga")</f>
        <v>0</v>
      </c>
      <c r="D14" s="86">
        <f>SUMIFS('Commissioni De Angeli'!$D$7:$D$1644,'Commissioni De Angeli'!$Z$7:$Z$1644,2,'Commissioni De Angeli'!$AA$7:$AA$1644,2023,'Commissioni De Angeli'!$C$7:$C$1644,"braga")</f>
        <v>0</v>
      </c>
      <c r="E14" s="86">
        <f>SUMIFS('Commissioni De Angeli'!$D$7:$D$1644,'Commissioni De Angeli'!$Z$7:$Z$1644,3,'Commissioni De Angeli'!$AA$7:$AA$1644,2023,'Commissioni De Angeli'!$C$7:$C$1644,"braga")</f>
        <v>0</v>
      </c>
      <c r="F14" s="86">
        <f>SUMIFS('Commissioni De Angeli'!$D$7:$D$1644,'Commissioni De Angeli'!$Z$7:$Z$1644,4,'Commissioni De Angeli'!$AA$7:$AA$1644,2023,'Commissioni De Angeli'!$C$7:$C$1644,"braga")</f>
        <v>0</v>
      </c>
      <c r="G14" s="86">
        <f>SUMIFS('Commissioni De Angeli'!$D$7:$D$1644,'Commissioni De Angeli'!$Z$7:$Z$1644,5,'Commissioni De Angeli'!$AA$7:$AA$1644,2023,'Commissioni De Angeli'!$C$7:$C$1644,"braga")</f>
        <v>0</v>
      </c>
      <c r="H14" s="86">
        <f>SUMIFS('Commissioni De Angeli'!$D$7:$D$1644,'Commissioni De Angeli'!$Z$7:$Z$1644,6,'Commissioni De Angeli'!$AA$7:$AA$1644,2023,'Commissioni De Angeli'!$C$7:$C$1644,"braga")</f>
        <v>0</v>
      </c>
      <c r="I14" s="86">
        <f>SUMIFS('Commissioni De Angeli'!$D$7:$D$1644,'Commissioni De Angeli'!$Z$7:$Z$1644,7,'Commissioni De Angeli'!$AA$7:$AA$1644,2023,'Commissioni De Angeli'!$C$7:$C$1644,"braga")</f>
        <v>0</v>
      </c>
      <c r="J14" s="86">
        <f>SUMIFS('Commissioni De Angeli'!$D$7:$D$1644,'Commissioni De Angeli'!$Z$7:$Z$1644,8,'Commissioni De Angeli'!$AA$7:$AA$1644,2023,'Commissioni De Angeli'!$C$7:$C$1644,"braga")</f>
        <v>0</v>
      </c>
      <c r="K14" s="86">
        <f>SUMIFS('Commissioni De Angeli'!$D$7:$D$1644,'Commissioni De Angeli'!$Z$7:$Z$1644,9,'Commissioni De Angeli'!$AA$7:$AA$1644,2023,'Commissioni De Angeli'!$C$7:$C$1644,"braga")</f>
        <v>0</v>
      </c>
      <c r="L14" s="86">
        <f>SUMIFS('Commissioni De Angeli'!$D$7:$D$1644,'Commissioni De Angeli'!$Z$7:$Z$1644,10,'Commissioni De Angeli'!$AA$7:$AA$1644,2023,'Commissioni De Angeli'!$C$7:$C$1644,"braga")</f>
        <v>0</v>
      </c>
      <c r="M14" s="86">
        <f>SUMIFS('Commissioni De Angeli'!$D$7:$D$1644,'Commissioni De Angeli'!$Z$7:$Z$1644,11,'Commissioni De Angeli'!$AA$7:$AA$1644,2023,'Commissioni De Angeli'!$C$7:$C$1644,"braga")</f>
        <v>0</v>
      </c>
      <c r="N14" s="87">
        <f>SUMIFS('Commissioni De Angeli'!$D$7:$D$1644,'Commissioni De Angeli'!$Z$7:$Z$1644,12,'Commissioni De Angeli'!$AA$7:$AA$1644,2023,'Commissioni De Angeli'!$C$7:$C$1644,"braga")</f>
        <v>0</v>
      </c>
      <c r="O14" s="95">
        <f t="shared" si="0"/>
        <v>0</v>
      </c>
    </row>
    <row r="15" spans="2:15">
      <c r="B15" s="78" t="s">
        <v>50</v>
      </c>
      <c r="C15" s="85">
        <f>SUMIFS('Commissioni De Angeli'!$D$7:$D$1644,'Commissioni De Angeli'!$Z$7:$Z$1644,1,'Commissioni De Angeli'!$AA$7:$AA$1644,2023,'Commissioni De Angeli'!$C$7:$C$1644,"cabur")</f>
        <v>0</v>
      </c>
      <c r="D15" s="86">
        <f>SUMIFS('Commissioni De Angeli'!$D$7:$D$1644,'Commissioni De Angeli'!$Z$7:$Z$1644,2,'Commissioni De Angeli'!$AA$7:$AA$1644,2023,'Commissioni De Angeli'!$C$7:$C$1644,"cabur")</f>
        <v>0</v>
      </c>
      <c r="E15" s="86">
        <f>SUMIFS('Commissioni De Angeli'!$D$7:$D$1644,'Commissioni De Angeli'!$Z$7:$Z$1644,3,'Commissioni De Angeli'!$AA$7:$AA$1644,2023,'Commissioni De Angeli'!$C$7:$C$1644,"cabur")</f>
        <v>0</v>
      </c>
      <c r="F15" s="86">
        <f>SUMIFS('Commissioni De Angeli'!$D$7:$D$1644,'Commissioni De Angeli'!$Z$7:$Z$1644,4,'Commissioni De Angeli'!$AA$7:$AA$1644,2023,'Commissioni De Angeli'!$C$7:$C$1644,"cabur")</f>
        <v>0</v>
      </c>
      <c r="G15" s="86">
        <f>SUMIFS('Commissioni De Angeli'!$D$7:$D$1644,'Commissioni De Angeli'!$Z$7:$Z$1644,5,'Commissioni De Angeli'!$AA$7:$AA$1644,2023,'Commissioni De Angeli'!$C$7:$C$1644,"cabur")</f>
        <v>0</v>
      </c>
      <c r="H15" s="86">
        <f>SUMIFS('Commissioni De Angeli'!$D$7:$D$1644,'Commissioni De Angeli'!$Z$7:$Z$1644,6,'Commissioni De Angeli'!$AA$7:$AA$1644,2023,'Commissioni De Angeli'!$C$7:$C$1644,"cabur")</f>
        <v>0</v>
      </c>
      <c r="I15" s="86">
        <f>SUMIFS('Commissioni De Angeli'!$D$7:$D$1644,'Commissioni De Angeli'!$Z$7:$Z$1644,7,'Commissioni De Angeli'!$AA$7:$AA$1644,2023,'Commissioni De Angeli'!$C$7:$C$1644,"cabur")</f>
        <v>0</v>
      </c>
      <c r="J15" s="86">
        <f>SUMIFS('Commissioni De Angeli'!$D$7:$D$1644,'Commissioni De Angeli'!$Z$7:$Z$1644,8,'Commissioni De Angeli'!$AA$7:$AA$1644,2023,'Commissioni De Angeli'!$C$7:$C$1644,"cabur")</f>
        <v>0</v>
      </c>
      <c r="K15" s="86">
        <f>SUMIFS('Commissioni De Angeli'!$D$7:$D$1644,'Commissioni De Angeli'!$Z$7:$Z$1644,9,'Commissioni De Angeli'!$AA$7:$AA$1644,2023,'Commissioni De Angeli'!$C$7:$C$1644,"cabur")</f>
        <v>0</v>
      </c>
      <c r="L15" s="86">
        <f>SUMIFS('Commissioni De Angeli'!$D$7:$D$1644,'Commissioni De Angeli'!$Z$7:$Z$1644,10,'Commissioni De Angeli'!$AA$7:$AA$1644,2023,'Commissioni De Angeli'!$C$7:$C$1644,"cabur")</f>
        <v>0</v>
      </c>
      <c r="M15" s="86">
        <f>SUMIFS('Commissioni De Angeli'!$D$7:$D$1644,'Commissioni De Angeli'!$Z$7:$Z$1644,11,'Commissioni De Angeli'!$AA$7:$AA$1644,2023,'Commissioni De Angeli'!$C$7:$C$1644,"cabur")</f>
        <v>0</v>
      </c>
      <c r="N15" s="87">
        <f>SUMIFS('Commissioni De Angeli'!$D$7:$D$1644,'Commissioni De Angeli'!$Z$7:$Z$1644,12,'Commissioni De Angeli'!$AA$7:$AA$1644,2023,'Commissioni De Angeli'!$C$7:$C$1644,"cabur")</f>
        <v>0</v>
      </c>
      <c r="O15" s="95">
        <f t="shared" si="0"/>
        <v>0</v>
      </c>
    </row>
    <row r="16" spans="2:15">
      <c r="B16" s="78" t="s">
        <v>65</v>
      </c>
      <c r="C16" s="85">
        <f>SUMIFS('Commissioni De Angeli'!$D$7:$D$1644,'Commissioni De Angeli'!$Z$7:$Z$1644,1,'Commissioni De Angeli'!$AA$7:$AA$1644,2023,'Commissioni De Angeli'!$C$7:$C$1644,"cam")</f>
        <v>0</v>
      </c>
      <c r="D16" s="86">
        <f>SUMIFS('Commissioni De Angeli'!$D$7:$D$1644,'Commissioni De Angeli'!$Z$7:$Z$1644,2,'Commissioni De Angeli'!$AA$7:$AA$1644,2023,'Commissioni De Angeli'!$C$7:$C$1644,"cam")</f>
        <v>0</v>
      </c>
      <c r="E16" s="86">
        <f>SUMIFS('Commissioni De Angeli'!$D$7:$D$1644,'Commissioni De Angeli'!$Z$7:$Z$1644,3,'Commissioni De Angeli'!$AA$7:$AA$1644,2023,'Commissioni De Angeli'!$C$7:$C$1644,"cam")</f>
        <v>0</v>
      </c>
      <c r="F16" s="86">
        <f>SUMIFS('Commissioni De Angeli'!$D$7:$D$1644,'Commissioni De Angeli'!$Z$7:$Z$1644,4,'Commissioni De Angeli'!$AA$7:$AA$1644,2023,'Commissioni De Angeli'!$C$7:$C$1644,"cam")</f>
        <v>0</v>
      </c>
      <c r="G16" s="86">
        <f>SUMIFS('Commissioni De Angeli'!$D$7:$D$1644,'Commissioni De Angeli'!$Z$7:$Z$1644,5,'Commissioni De Angeli'!$AA$7:$AA$1644,2023,'Commissioni De Angeli'!$C$7:$C$1644,"cam")</f>
        <v>0</v>
      </c>
      <c r="H16" s="86">
        <f>SUMIFS('Commissioni De Angeli'!$D$7:$D$1644,'Commissioni De Angeli'!$Z$7:$Z$1644,6,'Commissioni De Angeli'!$AA$7:$AA$1644,2023,'Commissioni De Angeli'!$C$7:$C$1644,"cam")</f>
        <v>0</v>
      </c>
      <c r="I16" s="86">
        <f>SUMIFS('Commissioni De Angeli'!$D$7:$D$1644,'Commissioni De Angeli'!$Z$7:$Z$1644,7,'Commissioni De Angeli'!$AA$7:$AA$1644,2023,'Commissioni De Angeli'!$C$7:$C$1644,"cam")</f>
        <v>0</v>
      </c>
      <c r="J16" s="86">
        <f>SUMIFS('Commissioni De Angeli'!$D$7:$D$1644,'Commissioni De Angeli'!$Z$7:$Z$1644,8,'Commissioni De Angeli'!$AA$7:$AA$1644,2023,'Commissioni De Angeli'!$C$7:$C$1644,"cam")</f>
        <v>0</v>
      </c>
      <c r="K16" s="86">
        <f>SUMIFS('Commissioni De Angeli'!$D$7:$D$1644,'Commissioni De Angeli'!$Z$7:$Z$1644,9,'Commissioni De Angeli'!$AA$7:$AA$1644,2023,'Commissioni De Angeli'!$C$7:$C$1644,"cam")</f>
        <v>0</v>
      </c>
      <c r="L16" s="86">
        <f>SUMIFS('Commissioni De Angeli'!$D$7:$D$1644,'Commissioni De Angeli'!$Z$7:$Z$1644,10,'Commissioni De Angeli'!$AA$7:$AA$1644,2023,'Commissioni De Angeli'!$C$7:$C$1644,"cam")</f>
        <v>0</v>
      </c>
      <c r="M16" s="86">
        <f>SUMIFS('Commissioni De Angeli'!$D$7:$D$1644,'Commissioni De Angeli'!$Z$7:$Z$1644,11,'Commissioni De Angeli'!$AA$7:$AA$1644,2023,'Commissioni De Angeli'!$C$7:$C$1644,"cam")</f>
        <v>0</v>
      </c>
      <c r="N16" s="87">
        <f>SUMIFS('Commissioni De Angeli'!$D$7:$D$1644,'Commissioni De Angeli'!$Z$7:$Z$1644,12,'Commissioni De Angeli'!$AA$7:$AA$1644,2023,'Commissioni De Angeli'!$C$7:$C$1644,"cam")</f>
        <v>0</v>
      </c>
      <c r="O16" s="95">
        <f t="shared" si="0"/>
        <v>0</v>
      </c>
    </row>
    <row r="17" spans="2:15">
      <c r="B17" s="1" t="s">
        <v>46</v>
      </c>
      <c r="C17" s="85">
        <f>SUMIFS('Commissioni De Angeli'!$D$7:$D$1644,'Commissioni De Angeli'!$Z$7:$Z$1644,1,'Commissioni De Angeli'!$AA$7:$AA$1644,2023,'Commissioni De Angeli'!$C$7:$C$1644,"cariboni")</f>
        <v>0</v>
      </c>
      <c r="D17" s="86">
        <f>SUMIFS('Commissioni De Angeli'!$D$7:$D$1644,'Commissioni De Angeli'!$Z$7:$Z$1644,2,'Commissioni De Angeli'!$AA$7:$AA$1644,2023,'Commissioni De Angeli'!$C$7:$C$1644,"cariboni")</f>
        <v>0</v>
      </c>
      <c r="E17" s="86">
        <f>SUMIFS('Commissioni De Angeli'!$D$7:$D$1644,'Commissioni De Angeli'!$Z$7:$Z$1644,3,'Commissioni De Angeli'!$AA$7:$AA$1644,2023,'Commissioni De Angeli'!$C$7:$C$1644,"cariboni")</f>
        <v>0</v>
      </c>
      <c r="F17" s="86">
        <f>SUMIFS('Commissioni De Angeli'!$D$7:$D$1644,'Commissioni De Angeli'!$Z$7:$Z$1644,4,'Commissioni De Angeli'!$AA$7:$AA$1644,2023,'Commissioni De Angeli'!$C$7:$C$1644,"cariboni")</f>
        <v>0</v>
      </c>
      <c r="G17" s="86">
        <f>SUMIFS('Commissioni De Angeli'!$D$7:$D$1644,'Commissioni De Angeli'!$Z$7:$Z$1644,5,'Commissioni De Angeli'!$AA$7:$AA$1644,2023,'Commissioni De Angeli'!$C$7:$C$1644,"cariboni")</f>
        <v>0</v>
      </c>
      <c r="H17" s="86">
        <f>SUMIFS('Commissioni De Angeli'!$D$7:$D$1644,'Commissioni De Angeli'!$Z$7:$Z$1644,7,'Commissioni De Angeli'!$AA$7:$AA$1644,2023,'Commissioni De Angeli'!$C$7:$C$1644,"cariboni")</f>
        <v>0</v>
      </c>
      <c r="I17" s="86">
        <f>SUMIFS('Commissioni De Angeli'!$D$7:$D$1644,'Commissioni De Angeli'!$Z$7:$Z$1644,7,'Commissioni De Angeli'!$AA$7:$AA$1644,2023,'Commissioni De Angeli'!$C$7:$C$1644,"cariboni")</f>
        <v>0</v>
      </c>
      <c r="J17" s="86">
        <f>SUMIFS('Commissioni De Angeli'!$D$7:$D$1644,'Commissioni De Angeli'!$Z$7:$Z$1644,8,'Commissioni De Angeli'!$AA$7:$AA$1644,2023,'Commissioni De Angeli'!$C$7:$C$1644,"cariboni")</f>
        <v>0</v>
      </c>
      <c r="K17" s="86">
        <f>SUMIFS('Commissioni De Angeli'!$D$7:$D$1644,'Commissioni De Angeli'!$Z$7:$Z$1644,9,'Commissioni De Angeli'!$AA$7:$AA$1644,2023,'Commissioni De Angeli'!$C$7:$C$1644,"cariboni")</f>
        <v>0</v>
      </c>
      <c r="L17" s="86">
        <f>SUMIFS('Commissioni De Angeli'!$D$7:$D$1644,'Commissioni De Angeli'!$Z$7:$Z$1644,10,'Commissioni De Angeli'!$AA$7:$AA$1644,2023,'Commissioni De Angeli'!$C$7:$C$1644,"cariboni")</f>
        <v>0</v>
      </c>
      <c r="M17" s="86">
        <f>SUMIFS('Commissioni De Angeli'!$D$7:$D$1644,'Commissioni De Angeli'!$Z$7:$Z$1644,11,'Commissioni De Angeli'!$AA$7:$AA$1644,2023,'Commissioni De Angeli'!$C$7:$C$1644,"cariboni")</f>
        <v>0</v>
      </c>
      <c r="N17" s="87">
        <f>SUMIFS('Commissioni De Angeli'!$D$7:$D$1644,'Commissioni De Angeli'!$Z$7:$Z$1644,12,'Commissioni De Angeli'!$AA$7:$AA$1644,2023,'Commissioni De Angeli'!$C$7:$C$1644,"cariboni")</f>
        <v>0</v>
      </c>
      <c r="O17" s="95">
        <f t="shared" si="0"/>
        <v>0</v>
      </c>
    </row>
    <row r="18" spans="2:15">
      <c r="B18" s="1" t="s">
        <v>68</v>
      </c>
      <c r="C18" s="85">
        <f>SUMIFS('Commissioni De Angeli'!$D$7:$D$1644,'Commissioni De Angeli'!$Z$7:$Z$1644,1,'Commissioni De Angeli'!$AA$7:$AA$1644,2023,'Commissioni De Angeli'!$C$7:$C$1644,"carpel")</f>
        <v>0</v>
      </c>
      <c r="D18" s="86">
        <f>SUMIFS('Commissioni De Angeli'!$D$7:$D$1644,'Commissioni De Angeli'!$Z$7:$Z$1644,2,'Commissioni De Angeli'!$AA$7:$AA$1644,2023,'Commissioni De Angeli'!$C$7:$C$1644,"carpel")</f>
        <v>0</v>
      </c>
      <c r="E18" s="86">
        <f>SUMIFS('Commissioni De Angeli'!$D$7:$D$1644,'Commissioni De Angeli'!$Z$7:$Z$1644,3,'Commissioni De Angeli'!$AA$7:$AA$1644,2023,'Commissioni De Angeli'!$C$7:$C$1644,"carpel")</f>
        <v>0</v>
      </c>
      <c r="F18" s="86">
        <f>SUMIFS('Commissioni De Angeli'!$D$7:$D$1644,'Commissioni De Angeli'!$Z$7:$Z$1644,4,'Commissioni De Angeli'!$AA$7:$AA$1644,2023,'Commissioni De Angeli'!$C$7:$C$1644,"carpel")</f>
        <v>0</v>
      </c>
      <c r="G18" s="86">
        <f>SUMIFS('Commissioni De Angeli'!$D$7:$D$1644,'Commissioni De Angeli'!$Z$7:$Z$1644,5,'Commissioni De Angeli'!$AA$7:$AA$1644,2023,'Commissioni De Angeli'!$C$7:$C$1644,"carpel")</f>
        <v>0</v>
      </c>
      <c r="H18" s="86">
        <f>SUMIFS('Commissioni De Angeli'!$D$7:$D$1644,'Commissioni De Angeli'!$Z$7:$Z$1644,6,'Commissioni De Angeli'!$AA$7:$AA$1644,2023,'Commissioni De Angeli'!$C$7:$C$1644,"carpel")</f>
        <v>0</v>
      </c>
      <c r="I18" s="86">
        <f>SUMIFS('Commissioni De Angeli'!$D$7:$D$1644,'Commissioni De Angeli'!$Z$7:$Z$1644,7,'Commissioni De Angeli'!$AA$7:$AA$1644,2023,'Commissioni De Angeli'!$C$7:$C$1644,"carpel")</f>
        <v>0</v>
      </c>
      <c r="J18" s="86">
        <f>SUMIFS('Commissioni De Angeli'!$D$7:$D$1644,'Commissioni De Angeli'!$Z$7:$Z$1644,8,'Commissioni De Angeli'!$AA$7:$AA$1644,2023,'Commissioni De Angeli'!$C$7:$C$1644,"carpel")</f>
        <v>0</v>
      </c>
      <c r="K18" s="86">
        <f>SUMIFS('Commissioni De Angeli'!$D$7:$D$1644,'Commissioni De Angeli'!$Z$7:$Z$1644,9,'Commissioni De Angeli'!$AA$7:$AA$1644,2023,'Commissioni De Angeli'!$C$7:$C$1644,"carpel")</f>
        <v>0</v>
      </c>
      <c r="L18" s="86">
        <f>SUMIFS('Commissioni De Angeli'!$D$7:$D$1644,'Commissioni De Angeli'!$Z$7:$Z$1644,10,'Commissioni De Angeli'!$AA$7:$AA$1644,2023,'Commissioni De Angeli'!$C$7:$C$1644,"carpel")</f>
        <v>0</v>
      </c>
      <c r="M18" s="86">
        <f>SUMIFS('Commissioni De Angeli'!$D$7:$D$1644,'Commissioni De Angeli'!$Z$7:$Z$1644,11,'Commissioni De Angeli'!$AA$7:$AA$1644,2023,'Commissioni De Angeli'!$C$7:$C$1644,"carpel")</f>
        <v>0</v>
      </c>
      <c r="N18" s="87">
        <f>SUMIFS('Commissioni De Angeli'!$D$7:$D$1644,'Commissioni De Angeli'!$Z$7:$Z$1644,12,'Commissioni De Angeli'!$AA$7:$AA$1644,2023,'Commissioni De Angeli'!$C$7:$C$1644,"carpel")</f>
        <v>0</v>
      </c>
      <c r="O18" s="95">
        <f t="shared" si="0"/>
        <v>0</v>
      </c>
    </row>
    <row r="19" spans="2:15">
      <c r="B19" s="1" t="s">
        <v>124</v>
      </c>
      <c r="C19" s="85">
        <f>SUMIFS('Commissioni De Angeli'!$D$7:$D$1644,'Commissioni De Angeli'!$Z$7:$Z$1644,1,'Commissioni De Angeli'!$AA$7:$AA$1644,2023,'Commissioni De Angeli'!$C$7:$C$1644,"cembre")</f>
        <v>0</v>
      </c>
      <c r="D19" s="86">
        <f>SUMIFS('Commissioni De Angeli'!$D$7:$D$1644,'Commissioni De Angeli'!$Z$7:$Z$1644,2,'Commissioni De Angeli'!$AA$7:$AA$1644,2023,'Commissioni De Angeli'!$C$7:$C$1644,"cembre")</f>
        <v>0</v>
      </c>
      <c r="E19" s="86">
        <f>SUMIFS('Commissioni De Angeli'!$D$7:$D$1644,'Commissioni De Angeli'!$Z$7:$Z$1644,3,'Commissioni De Angeli'!$AA$7:$AA$1644,2023,'Commissioni De Angeli'!$C$7:$C$1644,"cembre")</f>
        <v>0</v>
      </c>
      <c r="F19" s="86">
        <f>SUMIFS('Commissioni De Angeli'!$D$7:$D$1644,'Commissioni De Angeli'!$Z$7:$Z$1644,4,'Commissioni De Angeli'!$AA$7:$AA$1644,2023,'Commissioni De Angeli'!$C$7:$C$1644,"cembre")</f>
        <v>0</v>
      </c>
      <c r="G19" s="86">
        <f>SUMIFS('Commissioni De Angeli'!$D$7:$D$1644,'Commissioni De Angeli'!$Z$7:$Z$1644,5,'Commissioni De Angeli'!$AA$7:$AA$1644,2023,'Commissioni De Angeli'!$C$7:$C$1644,"cembre")</f>
        <v>0</v>
      </c>
      <c r="H19" s="86">
        <f>SUMIFS('Commissioni De Angeli'!$D$7:$D$1644,'Commissioni De Angeli'!$Z$7:$Z$1644,6,'Commissioni De Angeli'!$AA$7:$AA$1644,2023,'Commissioni De Angeli'!$C$7:$C$1644,"cembre")</f>
        <v>0</v>
      </c>
      <c r="I19" s="86">
        <f>SUMIFS('Commissioni De Angeli'!$D$7:$D$1644,'Commissioni De Angeli'!$Z$7:$Z$1644,7,'Commissioni De Angeli'!$AA$7:$AA$1644,2023,'Commissioni De Angeli'!$C$7:$C$1644,"cembre")</f>
        <v>0</v>
      </c>
      <c r="J19" s="86">
        <f>SUMIFS('Commissioni De Angeli'!$D$7:$D$1644,'Commissioni De Angeli'!$Z$7:$Z$1644,8,'Commissioni De Angeli'!$AA$7:$AA$1644,2023,'Commissioni De Angeli'!$C$7:$C$1644,"cembre")</f>
        <v>0</v>
      </c>
      <c r="K19" s="86">
        <f>SUMIFS('Commissioni De Angeli'!$D$7:$D$1644,'Commissioni De Angeli'!$Z$7:$Z$1644,9,'Commissioni De Angeli'!$AA$7:$AA$1644,2023,'Commissioni De Angeli'!$C$7:$C$1644,"cembre")</f>
        <v>0</v>
      </c>
      <c r="L19" s="86">
        <f>SUMIFS('Commissioni De Angeli'!$D$7:$D$1644,'Commissioni De Angeli'!$Z$7:$Z$1644,10,'Commissioni De Angeli'!$AA$7:$AA$1644,2023,'Commissioni De Angeli'!$C$7:$C$1644,"cembre")</f>
        <v>0</v>
      </c>
      <c r="M19" s="86">
        <f>SUMIFS('Commissioni De Angeli'!$D$7:$D$1644,'Commissioni De Angeli'!$Z$7:$Z$1644,11,'Commissioni De Angeli'!$AA$7:$AA$1644,2023,'Commissioni De Angeli'!$C$7:$C$1644,"cembre")</f>
        <v>0</v>
      </c>
      <c r="N19" s="87">
        <f>SUMIFS('Commissioni De Angeli'!$D$7:$D$1644,'Commissioni De Angeli'!$Z$7:$Z$1644,12,'Commissioni De Angeli'!$AA$7:$AA$1644,2023,'Commissioni De Angeli'!$C$7:$C$1644,"cembre")</f>
        <v>0</v>
      </c>
      <c r="O19" s="95">
        <f t="shared" si="0"/>
        <v>0</v>
      </c>
    </row>
    <row r="20" spans="2:15">
      <c r="B20" s="1" t="s">
        <v>72</v>
      </c>
      <c r="C20" s="85">
        <f>SUMIFS('Commissioni De Angeli'!$D$7:$D$1644,'Commissioni De Angeli'!$Z$7:$Z$1644,1,'Commissioni De Angeli'!$AA$7:$AA$1644,2023,'Commissioni De Angeli'!$C$7:$C$1644,"cgs")</f>
        <v>0</v>
      </c>
      <c r="D20" s="86">
        <f>SUMIFS('Commissioni De Angeli'!$D$7:$D$1644,'Commissioni De Angeli'!$Z$7:$Z$1644,2,'Commissioni De Angeli'!$AA$7:$AA$1644,2023,'Commissioni De Angeli'!$C$7:$C$1644,"cgs")</f>
        <v>0</v>
      </c>
      <c r="E20" s="86">
        <f>SUMIFS('Commissioni De Angeli'!$D$7:$D$1644,'Commissioni De Angeli'!$Z$7:$Z$1644,3,'Commissioni De Angeli'!$AA$7:$AA$1644,2023,'Commissioni De Angeli'!$C$7:$C$1644,"cgs")</f>
        <v>0</v>
      </c>
      <c r="F20" s="86">
        <f>SUMIFS('Commissioni De Angeli'!$D$7:$D$1644,'Commissioni De Angeli'!$Z$7:$Z$1644,4,'Commissioni De Angeli'!$AA$7:$AA$1644,2023,'Commissioni De Angeli'!$C$7:$C$1644,"cgs")</f>
        <v>0</v>
      </c>
      <c r="G20" s="86">
        <f>SUMIFS('Commissioni De Angeli'!$D$7:$D$1644,'Commissioni De Angeli'!$Z$7:$Z$1644,5,'Commissioni De Angeli'!$AA$7:$AA$1644,2023,'Commissioni De Angeli'!$C$7:$C$1644,"cgs")</f>
        <v>0</v>
      </c>
      <c r="H20" s="86">
        <f>SUMIFS('Commissioni De Angeli'!$D$7:$D$1644,'Commissioni De Angeli'!$Z$7:$Z$1644,6,'Commissioni De Angeli'!$AA$7:$AA$1644,2023,'Commissioni De Angeli'!$C$7:$C$1644,"cgs")</f>
        <v>0</v>
      </c>
      <c r="I20" s="86">
        <f>SUMIFS('Commissioni De Angeli'!$D$7:$D$1644,'Commissioni De Angeli'!$Z$7:$Z$1644,7,'Commissioni De Angeli'!$AA$7:$AA$1644,2023,'Commissioni De Angeli'!$C$7:$C$1644,"cgs")</f>
        <v>0</v>
      </c>
      <c r="J20" s="86">
        <f>SUMIFS('Commissioni De Angeli'!$D$7:$D$1644,'Commissioni De Angeli'!$Z$7:$Z$1644,8,'Commissioni De Angeli'!$AA$7:$AA$1644,2023,'Commissioni De Angeli'!$C$7:$C$1644,"cgs")</f>
        <v>0</v>
      </c>
      <c r="K20" s="86">
        <f>SUMIFS('Commissioni De Angeli'!$D$7:$D$1644,'Commissioni De Angeli'!$Z$7:$Z$1644,9,'Commissioni De Angeli'!$AA$7:$AA$1644,2023,'Commissioni De Angeli'!$C$7:$C$1644,"cgs")</f>
        <v>0</v>
      </c>
      <c r="L20" s="86">
        <f>SUMIFS('Commissioni De Angeli'!$D$7:$D$1644,'Commissioni De Angeli'!$Z$7:$Z$1644,10,'Commissioni De Angeli'!$AA$7:$AA$1644,2023,'Commissioni De Angeli'!$C$7:$C$1644,"cgs")</f>
        <v>0</v>
      </c>
      <c r="M20" s="86">
        <f>SUMIFS('Commissioni De Angeli'!$D$7:$D$1644,'Commissioni De Angeli'!$Z$7:$Z$1644,11,'Commissioni De Angeli'!$AA$7:$AA$1644,2023,'Commissioni De Angeli'!$C$7:$C$1644,"cgs")</f>
        <v>0</v>
      </c>
      <c r="N20" s="87">
        <f>SUMIFS('Commissioni De Angeli'!$D$7:$D$1644,'Commissioni De Angeli'!$Z$7:$Z$1644,12,'Commissioni De Angeli'!$AA$7:$AA$1644,2023,'Commissioni De Angeli'!$C$7:$C$1644,"cgs")</f>
        <v>0</v>
      </c>
      <c r="O20" s="95">
        <f t="shared" si="0"/>
        <v>0</v>
      </c>
    </row>
    <row r="21" spans="2:15">
      <c r="B21" s="1" t="s">
        <v>84</v>
      </c>
      <c r="C21" s="85">
        <f>SUMIFS('Commissioni De Angeli'!$D$7:$D$1644,'Commissioni De Angeli'!$Z$7:$Z$1644,1,'Commissioni De Angeli'!$AA$7:$AA$1644,2023,'Commissioni De Angeli'!$C$7:$C$1644,"cobral")</f>
        <v>0</v>
      </c>
      <c r="D21" s="86">
        <f>SUMIFS('Commissioni De Angeli'!$D$7:$D$1644,'Commissioni De Angeli'!$Z$7:$Z$1644,2,'Commissioni De Angeli'!$AA$7:$AA$1644,2023,'Commissioni De Angeli'!$C$7:$C$1644,"cobral")</f>
        <v>0</v>
      </c>
      <c r="E21" s="86">
        <f>SUMIFS('Commissioni De Angeli'!$D$7:$D$1644,'Commissioni De Angeli'!$Z$7:$Z$1644,3,'Commissioni De Angeli'!$AA$7:$AA$1644,2023,'Commissioni De Angeli'!$C$7:$C$1644,"cobral")</f>
        <v>0</v>
      </c>
      <c r="F21" s="86">
        <f>SUMIFS('Commissioni De Angeli'!$D$7:$D$1644,'Commissioni De Angeli'!$Z$7:$Z$1644,4,'Commissioni De Angeli'!$AA$7:$AA$1644,2023,'Commissioni De Angeli'!$C$7:$C$1644,"cobral")</f>
        <v>0</v>
      </c>
      <c r="G21" s="86">
        <f>SUMIFS('Commissioni De Angeli'!$D$7:$D$1644,'Commissioni De Angeli'!$Z$7:$Z$1644,5,'Commissioni De Angeli'!$AA$7:$AA$1644,2023,'Commissioni De Angeli'!$C$7:$C$1644,"cobral")</f>
        <v>0</v>
      </c>
      <c r="H21" s="86">
        <f>SUMIFS('Commissioni De Angeli'!$D$7:$D$1644,'Commissioni De Angeli'!$Z$7:$Z$1644,6,'Commissioni De Angeli'!$AA$7:$AA$1644,2023,'Commissioni De Angeli'!$C$7:$C$1644,"cobral")</f>
        <v>0</v>
      </c>
      <c r="I21" s="86">
        <f>SUMIFS('Commissioni De Angeli'!$D$7:$D$1644,'Commissioni De Angeli'!$Z$7:$Z$1644,7,'Commissioni De Angeli'!$AA$7:$AA$1644,2023,'Commissioni De Angeli'!$C$7:$C$1644,"cobral")</f>
        <v>0</v>
      </c>
      <c r="J21" s="86">
        <f>SUMIFS('Commissioni De Angeli'!$D$7:$D$1644,'Commissioni De Angeli'!$Z$7:$Z$1644,8,'Commissioni De Angeli'!$AA$7:$AA$1644,2023,'Commissioni De Angeli'!$C$7:$C$1644,"cobral")</f>
        <v>0</v>
      </c>
      <c r="K21" s="86">
        <f>SUMIFS('Commissioni De Angeli'!$D$7:$D$1644,'Commissioni De Angeli'!$Z$7:$Z$1644,9,'Commissioni De Angeli'!$AA$7:$AA$1644,2023,'Commissioni De Angeli'!$C$7:$C$1644,"cobral")</f>
        <v>0</v>
      </c>
      <c r="L21" s="86">
        <f>SUMIFS('Commissioni De Angeli'!$D$7:$D$1644,'Commissioni De Angeli'!$Z$7:$Z$1644,10,'Commissioni De Angeli'!$AA$7:$AA$1644,2023,'Commissioni De Angeli'!$C$7:$C$1644,"cobral")</f>
        <v>0</v>
      </c>
      <c r="M21" s="86">
        <f>SUMIFS('Commissioni De Angeli'!$D$7:$D$1644,'Commissioni De Angeli'!$Z$7:$Z$1644,11,'Commissioni De Angeli'!$AA$7:$AA$1644,2023,'Commissioni De Angeli'!$C$7:$C$1644,"cobral")</f>
        <v>0</v>
      </c>
      <c r="N21" s="87">
        <f>SUMIFS('Commissioni De Angeli'!$D$7:$D$1644,'Commissioni De Angeli'!$Z$7:$Z$1644,12,'Commissioni De Angeli'!$AA$7:$AA$1644,2023,'Commissioni De Angeli'!$C$7:$C$1644,"cobral")</f>
        <v>0</v>
      </c>
      <c r="O21" s="95">
        <f t="shared" si="0"/>
        <v>0</v>
      </c>
    </row>
    <row r="22" spans="2:15">
      <c r="B22" s="1" t="s">
        <v>71</v>
      </c>
      <c r="C22" s="85">
        <f>SUMIFS('Commissioni De Angeli'!$D$7:$D$1644,'Commissioni De Angeli'!$Z$7:$Z$1644,1,'Commissioni De Angeli'!$AA$7:$AA$1644,2023,'Commissioni De Angeli'!$C$7:$C$1644,"colombo")</f>
        <v>0</v>
      </c>
      <c r="D22" s="86">
        <f>SUMIFS('Commissioni De Angeli'!$D$7:$D$1644,'Commissioni De Angeli'!$Z$7:$Z$1644,2,'Commissioni De Angeli'!$AA$7:$AA$1644,2023,'Commissioni De Angeli'!$C$7:$C$1644,"colombo")</f>
        <v>0</v>
      </c>
      <c r="E22" s="86">
        <f>SUMIFS('Commissioni De Angeli'!$D$7:$D$1644,'Commissioni De Angeli'!$Z$7:$Z$1644,3,'Commissioni De Angeli'!$AA$7:$AA$1644,2023,'Commissioni De Angeli'!$C$7:$C$1644,"colombo")</f>
        <v>0</v>
      </c>
      <c r="F22" s="86">
        <f>SUMIFS('Commissioni De Angeli'!$D$7:$D$1644,'Commissioni De Angeli'!$Z$7:$Z$1644,4,'Commissioni De Angeli'!$AA$7:$AA$1644,2023,'Commissioni De Angeli'!$C$7:$C$1644,"colombo")</f>
        <v>0</v>
      </c>
      <c r="G22" s="86">
        <f>SUMIFS('Commissioni De Angeli'!$D$7:$D$1644,'Commissioni De Angeli'!$Z$7:$Z$1644,5,'Commissioni De Angeli'!$AA$7:$AA$1644,2023,'Commissioni De Angeli'!$C$7:$C$1644,"colombo")</f>
        <v>0</v>
      </c>
      <c r="H22" s="86">
        <f>SUMIFS('Commissioni De Angeli'!$D$7:$D$1644,'Commissioni De Angeli'!$Z$7:$Z$1644,6,'Commissioni De Angeli'!$AA$7:$AA$1644,2023,'Commissioni De Angeli'!$C$7:$C$1644,"colombo")</f>
        <v>0</v>
      </c>
      <c r="I22" s="86">
        <f>SUMIFS('Commissioni De Angeli'!$D$7:$D$1644,'Commissioni De Angeli'!$Z$7:$Z$1644,7,'Commissioni De Angeli'!$AA$7:$AA$1644,2023,'Commissioni De Angeli'!$C$7:$C$1644,"colombo")</f>
        <v>0</v>
      </c>
      <c r="J22" s="86">
        <f>SUMIFS('Commissioni De Angeli'!$D$7:$D$1644,'Commissioni De Angeli'!$Z$7:$Z$1644,8,'Commissioni De Angeli'!$AA$7:$AA$1644,2023,'Commissioni De Angeli'!$C$7:$C$1644,"colombo")</f>
        <v>0</v>
      </c>
      <c r="K22" s="86">
        <f>SUMIFS('Commissioni De Angeli'!$D$7:$D$1644,'Commissioni De Angeli'!$Z$7:$Z$1644,9,'Commissioni De Angeli'!$AA$7:$AA$1644,2023,'Commissioni De Angeli'!$C$7:$C$1644,"colombo")</f>
        <v>0</v>
      </c>
      <c r="L22" s="86">
        <f>SUMIFS('Commissioni De Angeli'!$D$7:$D$1644,'Commissioni De Angeli'!$Z$7:$Z$1644,10,'Commissioni De Angeli'!$AA$7:$AA$1644,2023,'Commissioni De Angeli'!$C$7:$C$1644,"colombo")</f>
        <v>0</v>
      </c>
      <c r="M22" s="86">
        <f>SUMIFS('Commissioni De Angeli'!$D$7:$D$1644,'Commissioni De Angeli'!$Z$7:$Z$1644,11,'Commissioni De Angeli'!$AA$7:$AA$1644,2023,'Commissioni De Angeli'!$C$7:$C$1644,"colombo")</f>
        <v>0</v>
      </c>
      <c r="N22" s="87">
        <f>SUMIFS('Commissioni De Angeli'!$D$7:$D$1644,'Commissioni De Angeli'!$Z$7:$Z$1644,12,'Commissioni De Angeli'!$AA$7:$AA$1644,2023,'Commissioni De Angeli'!$C$7:$C$1644,"colombo")</f>
        <v>0</v>
      </c>
      <c r="O22" s="95">
        <f t="shared" si="0"/>
        <v>0</v>
      </c>
    </row>
    <row r="23" spans="2:15">
      <c r="B23" s="1" t="s">
        <v>145</v>
      </c>
      <c r="C23" s="85">
        <f>SUMIFS('Commissioni De Angeli'!$D$7:$D$1644,'Commissioni De Angeli'!$Z$7:$Z$1644,1,'Commissioni De Angeli'!$AA$7:$AA$1644,2023,'Commissioni De Angeli'!$C$7:$C$1644,"cSF")</f>
        <v>0</v>
      </c>
      <c r="D23" s="86">
        <f>SUMIFS('Commissioni De Angeli'!$D$7:$D$1644,'Commissioni De Angeli'!$Z$7:$Z$1644,2,'Commissioni De Angeli'!$AA$7:$AA$1644,2023,'Commissioni De Angeli'!$C$7:$C$1644,"csf")</f>
        <v>0</v>
      </c>
      <c r="E23" s="86">
        <f>SUMIFS('Commissioni De Angeli'!$D$7:$D$1644,'Commissioni De Angeli'!$Z$7:$Z$1644,3,'Commissioni De Angeli'!$AA$7:$AA$1644,2023,'Commissioni De Angeli'!$C$7:$C$1644,"csf")</f>
        <v>0</v>
      </c>
      <c r="F23" s="86">
        <f>SUMIFS('Commissioni De Angeli'!$D$7:$D$1644,'Commissioni De Angeli'!$Z$7:$Z$1644,4,'Commissioni De Angeli'!$AA$7:$AA$1644,2023,'Commissioni De Angeli'!$C$7:$C$1644,"csf")</f>
        <v>0</v>
      </c>
      <c r="G23" s="86">
        <f>SUMIFS('Commissioni De Angeli'!$D$7:$D$1644,'Commissioni De Angeli'!$Z$7:$Z$1644,5,'Commissioni De Angeli'!$AA$7:$AA$1644,2023,'Commissioni De Angeli'!$C$7:$C$1644,"csf")</f>
        <v>0</v>
      </c>
      <c r="H23" s="86">
        <f>SUMIFS('Commissioni De Angeli'!$D$7:$D$1644,'Commissioni De Angeli'!$Z$7:$Z$1644,6,'Commissioni De Angeli'!$AA$7:$AA$1644,2023,'Commissioni De Angeli'!$C$7:$C$1644,"csf")</f>
        <v>0</v>
      </c>
      <c r="I23" s="86">
        <f>SUMIFS('Commissioni De Angeli'!$D$7:$D$1644,'Commissioni De Angeli'!$Z$7:$Z$1644,7,'Commissioni De Angeli'!$AA$7:$AA$1644,2023,'Commissioni De Angeli'!$C$7:$C$1644,"csf")</f>
        <v>0</v>
      </c>
      <c r="J23" s="86">
        <f>SUMIFS('Commissioni De Angeli'!$D$7:$D$1644,'Commissioni De Angeli'!$Z$7:$Z$1644,8,'Commissioni De Angeli'!$AA$7:$AA$1644,2023,'Commissioni De Angeli'!$C$7:$C$1644,"csf")</f>
        <v>0</v>
      </c>
      <c r="K23" s="86">
        <f>SUMIFS('Commissioni De Angeli'!$D$7:$D$1644,'Commissioni De Angeli'!$Z$7:$Z$1644,9,'Commissioni De Angeli'!$AA$7:$AA$1644,2023,'Commissioni De Angeli'!$C$7:$C$1644,"csf")</f>
        <v>0</v>
      </c>
      <c r="L23" s="86">
        <f>SUMIFS('Commissioni De Angeli'!$D$7:$D$1644,'Commissioni De Angeli'!$Z$7:$Z$1644,10,'Commissioni De Angeli'!$AA$7:$AA$1644,2023,'Commissioni De Angeli'!$C$7:$C$1644,"csf")</f>
        <v>0</v>
      </c>
      <c r="M23" s="86">
        <f>SUMIFS('Commissioni De Angeli'!$D$7:$D$1644,'Commissioni De Angeli'!$Z$7:$Z$1644,11,'Commissioni De Angeli'!$AA$7:$AA$1644,2023,'Commissioni De Angeli'!$C$7:$C$1644,"csf")</f>
        <v>0</v>
      </c>
      <c r="N23" s="87">
        <f>SUMIFS('Commissioni De Angeli'!$D$7:$D$1644,'Commissioni De Angeli'!$Z$7:$Z$1644,12,'Commissioni De Angeli'!$AA$7:$AA$1644,2023,'Commissioni De Angeli'!$C$7:$C$1644,"csf")</f>
        <v>0</v>
      </c>
      <c r="O23" s="95">
        <f>SUM(C23:N23)</f>
        <v>0</v>
      </c>
    </row>
    <row r="24" spans="2:15">
      <c r="B24" s="1" t="s">
        <v>80</v>
      </c>
      <c r="C24" s="85">
        <f>SUMIFS('Commissioni De Angeli'!$D$7:$D$1644,'Commissioni De Angeli'!$Z$7:$Z$1644,1,'Commissioni De Angeli'!$AA$7:$AA$1644,2023,'Commissioni De Angeli'!$C$7:$C$1644,"danese")</f>
        <v>0</v>
      </c>
      <c r="D24" s="86">
        <f>SUMIFS('Commissioni De Angeli'!$D$7:$D$1644,'Commissioni De Angeli'!$Z$7:$Z$1644,2,'Commissioni De Angeli'!$AA$7:$AA$1644,2023,'Commissioni De Angeli'!$C$7:$C$1644,"danese")</f>
        <v>0</v>
      </c>
      <c r="E24" s="86">
        <f>SUMIFS('Commissioni De Angeli'!$D$7:$D$1644,'Commissioni De Angeli'!$Z$7:$Z$1644,3,'Commissioni De Angeli'!$AA$7:$AA$1644,2023,'Commissioni De Angeli'!$C$7:$C$1644,"danese")</f>
        <v>0</v>
      </c>
      <c r="F24" s="86">
        <f>SUMIFS('Commissioni De Angeli'!$D$7:$D$1644,'Commissioni De Angeli'!$Z$7:$Z$1644,4,'Commissioni De Angeli'!$AA$7:$AA$1644,2023,'Commissioni De Angeli'!$C$7:$C$1644,"danese")</f>
        <v>0</v>
      </c>
      <c r="G24" s="86">
        <f>SUMIFS('Commissioni De Angeli'!$D$7:$D$1644,'Commissioni De Angeli'!$Z$7:$Z$1644,5,'Commissioni De Angeli'!$AA$7:$AA$1644,2023,'Commissioni De Angeli'!$C$7:$C$1644,"danese")</f>
        <v>0</v>
      </c>
      <c r="H24" s="86">
        <f>SUMIFS('Commissioni De Angeli'!$D$7:$D$1644,'Commissioni De Angeli'!$Z$7:$Z$1644,6,'Commissioni De Angeli'!$AA$7:$AA$1644,2023,'Commissioni De Angeli'!$C$7:$C$1644,"danese")</f>
        <v>0</v>
      </c>
      <c r="I24" s="86">
        <f>SUMIFS('Commissioni De Angeli'!$D$7:$D$1644,'Commissioni De Angeli'!$Z$7:$Z$1644,7,'Commissioni De Angeli'!$AA$7:$AA$1644,2023,'Commissioni De Angeli'!$C$7:$C$1644,"danese")</f>
        <v>0</v>
      </c>
      <c r="J24" s="86">
        <f>SUMIFS('Commissioni De Angeli'!$D$7:$D$1644,'Commissioni De Angeli'!$Z$7:$Z$1644,8,'Commissioni De Angeli'!$AA$7:$AA$1644,2023,'Commissioni De Angeli'!$C$7:$C$1644,"danese")</f>
        <v>0</v>
      </c>
      <c r="K24" s="86">
        <f>SUMIFS('Commissioni De Angeli'!$D$7:$D$1644,'Commissioni De Angeli'!$Z$7:$Z$1644,9,'Commissioni De Angeli'!$AA$7:$AA$1644,2023,'Commissioni De Angeli'!$C$7:$C$1644,"danese")</f>
        <v>0</v>
      </c>
      <c r="L24" s="86">
        <f>SUMIFS('Commissioni De Angeli'!$D$7:$D$1644,'Commissioni De Angeli'!$Z$7:$Z$1644,10,'Commissioni De Angeli'!$AA$7:$AA$1644,2023,'Commissioni De Angeli'!$C$7:$C$1644,"danese")</f>
        <v>0</v>
      </c>
      <c r="M24" s="86">
        <f>SUMIFS('Commissioni De Angeli'!$D$7:$D$1644,'Commissioni De Angeli'!$Z$7:$Z$1644,11,'Commissioni De Angeli'!$AA$7:$AA$1644,2023,'Commissioni De Angeli'!$C$7:$C$1644,"danese")</f>
        <v>0</v>
      </c>
      <c r="N24" s="87">
        <f>SUMIFS('Commissioni De Angeli'!$D$7:$D$1644,'Commissioni De Angeli'!$Z$7:$Z$1644,12,'Commissioni De Angeli'!$AA$7:$AA$1644,2023,'Commissioni De Angeli'!$C$7:$C$1644,"danese")</f>
        <v>0</v>
      </c>
      <c r="O24" s="95">
        <f t="shared" si="0"/>
        <v>0</v>
      </c>
    </row>
    <row r="25" spans="2:15">
      <c r="B25" s="1" t="s">
        <v>89</v>
      </c>
      <c r="C25" s="85">
        <f>SUMIFS('Commissioni De Angeli'!$D$7:$D$1644,'Commissioni De Angeli'!$Z$7:$Z$1644,1,'Commissioni De Angeli'!$AA$7:$AA$1644,2023,'Commissioni De Angeli'!$C$7:$C$1644,"danieli")</f>
        <v>0</v>
      </c>
      <c r="D25" s="86">
        <f>SUMIFS('Commissioni De Angeli'!$D$7:$D$1644,'Commissioni De Angeli'!$Z$7:$Z$1644,2,'Commissioni De Angeli'!$AA$7:$AA$1644,2023,'Commissioni De Angeli'!$C$7:$C$1644,"danieli")</f>
        <v>0</v>
      </c>
      <c r="E25" s="86">
        <f>SUMIFS('Commissioni De Angeli'!$D$7:$D$1644,'Commissioni De Angeli'!$Z$7:$Z$1644,3,'Commissioni De Angeli'!$AA$7:$AA$1644,2023,'Commissioni De Angeli'!$C$7:$C$1644,"danieli")</f>
        <v>0</v>
      </c>
      <c r="F25" s="86">
        <f>SUMIFS('Commissioni De Angeli'!$D$7:$D$1644,'Commissioni De Angeli'!$Z$7:$Z$1644,4,'Commissioni De Angeli'!$AA$7:$AA$1644,2023,'Commissioni De Angeli'!$C$7:$C$1644,"danieli")</f>
        <v>0</v>
      </c>
      <c r="G25" s="86">
        <f>SUMIFS('Commissioni De Angeli'!$D$7:$D$1644,'Commissioni De Angeli'!$Z$7:$Z$1644,5,'Commissioni De Angeli'!$AA$7:$AA$1644,2023,'Commissioni De Angeli'!$C$7:$C$1644,"danieli")</f>
        <v>0</v>
      </c>
      <c r="H25" s="86">
        <f>SUMIFS('Commissioni De Angeli'!$D$7:$D$1644,'Commissioni De Angeli'!$Z$7:$Z$1644,6,'Commissioni De Angeli'!$AA$7:$AA$1644,2023,'Commissioni De Angeli'!$C$7:$C$1644,"danieli")</f>
        <v>0</v>
      </c>
      <c r="I25" s="86">
        <f>SUMIFS('Commissioni De Angeli'!$D$7:$D$1644,'Commissioni De Angeli'!$Z$7:$Z$1644,7,'Commissioni De Angeli'!$AA$7:$AA$1644,2023,'Commissioni De Angeli'!$C$7:$C$1644,"danieli")</f>
        <v>0</v>
      </c>
      <c r="J25" s="86">
        <f>SUMIFS('Commissioni De Angeli'!$D$7:$D$1644,'Commissioni De Angeli'!$Z$7:$Z$1644,8,'Commissioni De Angeli'!$AA$7:$AA$1644,2023,'Commissioni De Angeli'!$C$7:$C$1644,"danieli")</f>
        <v>0</v>
      </c>
      <c r="K25" s="86">
        <f>SUMIFS('Commissioni De Angeli'!$D$7:$D$1644,'Commissioni De Angeli'!$Z$7:$Z$1644,9,'Commissioni De Angeli'!$AA$7:$AA$1644,2023,'Commissioni De Angeli'!$C$7:$C$1644,"danieli")</f>
        <v>0</v>
      </c>
      <c r="L25" s="86">
        <f>SUMIFS('Commissioni De Angeli'!$D$7:$D$1644,'Commissioni De Angeli'!$Z$7:$Z$1644,10,'Commissioni De Angeli'!$AA$7:$AA$1644,2023,'Commissioni De Angeli'!$C$7:$C$1644,"danieli")</f>
        <v>0</v>
      </c>
      <c r="M25" s="86">
        <f>SUMIFS('Commissioni De Angeli'!$D$7:$D$1644,'Commissioni De Angeli'!$Z$7:$Z$1644,11,'Commissioni De Angeli'!$AA$7:$AA$1644,2023,'Commissioni De Angeli'!$C$7:$C$1644,"danieli")</f>
        <v>0</v>
      </c>
      <c r="N25" s="87">
        <f>SUMIFS('Commissioni De Angeli'!$D$7:$D$1644,'Commissioni De Angeli'!$Z$7:$Z$1644,12,'Commissioni De Angeli'!$AA$7:$AA$1644,2023,'Commissioni De Angeli'!$C$7:$C$1644,"danieli")</f>
        <v>0</v>
      </c>
      <c r="O25" s="95">
        <f t="shared" si="0"/>
        <v>0</v>
      </c>
    </row>
    <row r="26" spans="2:15">
      <c r="B26" s="1" t="s">
        <v>83</v>
      </c>
      <c r="C26" s="85">
        <f>SUMIFS('Commissioni De Angeli'!$D$7:$D$1644,'Commissioni De Angeli'!$Z$7:$Z$1644,1,'Commissioni De Angeli'!$AA$7:$AA$1644,2023,'Commissioni De Angeli'!$C$7:$C$1644,"electromotor")</f>
        <v>0</v>
      </c>
      <c r="D26" s="86">
        <f>SUMIFS('Commissioni De Angeli'!$D$7:$D$1644,'Commissioni De Angeli'!$Z$7:$Z$1644,2,'Commissioni De Angeli'!$AA$7:$AA$1644,2023,'Commissioni De Angeli'!$C$7:$C$1644,"electromotor")</f>
        <v>0</v>
      </c>
      <c r="E26" s="86">
        <f>SUMIFS('Commissioni De Angeli'!$D$7:$D$1644,'Commissioni De Angeli'!$Z$7:$Z$1644,3,'Commissioni De Angeli'!$AA$7:$AA$1644,2023,'Commissioni De Angeli'!$C$7:$C$1644,"electromotor")</f>
        <v>0</v>
      </c>
      <c r="F26" s="86">
        <f>SUMIFS('Commissioni De Angeli'!$D$7:$D$1644,'Commissioni De Angeli'!$Z$7:$Z$1644,4,'Commissioni De Angeli'!$AA$7:$AA$1644,2023,'Commissioni De Angeli'!$C$7:$C$1644,"electromotor")</f>
        <v>0</v>
      </c>
      <c r="G26" s="86">
        <f>SUMIFS('Commissioni De Angeli'!$D$7:$D$1644,'Commissioni De Angeli'!$Z$7:$Z$1644,5,'Commissioni De Angeli'!$AA$7:$AA$1644,2023,'Commissioni De Angeli'!$C$7:$C$1644,"electromotor")</f>
        <v>0</v>
      </c>
      <c r="H26" s="86">
        <f>SUMIFS('Commissioni De Angeli'!$D$7:$D$1644,'Commissioni De Angeli'!$Z$7:$Z$1644,6,'Commissioni De Angeli'!$AA$7:$AA$1644,2023,'Commissioni De Angeli'!$C$7:$C$1644,"electromotor")</f>
        <v>0</v>
      </c>
      <c r="I26" s="86">
        <f>SUMIFS('Commissioni De Angeli'!$D$7:$D$1644,'Commissioni De Angeli'!$Z$7:$Z$1644,7,'Commissioni De Angeli'!$AA$7:$AA$1644,2023,'Commissioni De Angeli'!$C$7:$C$1644,"electromotor")</f>
        <v>0</v>
      </c>
      <c r="J26" s="86">
        <f>SUMIFS('Commissioni De Angeli'!$D$7:$D$1644,'Commissioni De Angeli'!$Z$7:$Z$1644,8,'Commissioni De Angeli'!$AA$7:$AA$1644,2023,'Commissioni De Angeli'!$C$7:$C$1644,"electromotor")</f>
        <v>0</v>
      </c>
      <c r="K26" s="86">
        <f>SUMIFS('Commissioni De Angeli'!$D$7:$D$1644,'Commissioni De Angeli'!$Z$7:$Z$1644,9,'Commissioni De Angeli'!$AA$7:$AA$1644,2023,'Commissioni De Angeli'!$C$7:$C$1644,"electromotor")</f>
        <v>0</v>
      </c>
      <c r="L26" s="86">
        <f>SUMIFS('Commissioni De Angeli'!$D$7:$D$1644,'Commissioni De Angeli'!$Z$7:$Z$1644,10,'Commissioni De Angeli'!$AA$7:$AA$1644,2023,'Commissioni De Angeli'!$C$7:$C$1644,"electromotor")</f>
        <v>0</v>
      </c>
      <c r="M26" s="86">
        <f>SUMIFS('Commissioni De Angeli'!$D$7:$D$1644,'Commissioni De Angeli'!$Z$7:$Z$1644,11,'Commissioni De Angeli'!$AA$7:$AA$1644,2023,'Commissioni De Angeli'!$C$7:$C$1644,"electromotor")</f>
        <v>0</v>
      </c>
      <c r="N26" s="87">
        <f>SUMIFS('Commissioni De Angeli'!$D$7:$D$1644,'Commissioni De Angeli'!$Z$7:$Z$1644,12,'Commissioni De Angeli'!$AA$7:$AA$1644,2023,'Commissioni De Angeli'!$C$7:$C$1644,"electromotor")</f>
        <v>0</v>
      </c>
      <c r="O26" s="95">
        <f t="shared" si="0"/>
        <v>0</v>
      </c>
    </row>
    <row r="27" spans="2:15">
      <c r="B27" s="1" t="s">
        <v>67</v>
      </c>
      <c r="C27" s="85">
        <f>SUMIFS('Commissioni De Angeli'!$D$7:$D$1644,'Commissioni De Angeli'!$Z$7:$Z$1644,1,'Commissioni De Angeli'!$AA$7:$AA$1644,2023,'Commissioni De Angeli'!$C$7:$C$1644,"elektra")</f>
        <v>0</v>
      </c>
      <c r="D27" s="86">
        <f>SUMIFS('Commissioni De Angeli'!$D$7:$D$1644,'Commissioni De Angeli'!$Z$7:$Z$1644,2,'Commissioni De Angeli'!$AA$7:$AA$1644,2023,'Commissioni De Angeli'!$C$7:$C$1644,"elektra")</f>
        <v>0</v>
      </c>
      <c r="E27" s="86">
        <f>SUMIFS('Commissioni De Angeli'!$D$7:$D$1644,'Commissioni De Angeli'!$Z$7:$Z$1644,3,'Commissioni De Angeli'!$AA$7:$AA$1644,2023,'Commissioni De Angeli'!$C$7:$C$1644,"elektra")</f>
        <v>0</v>
      </c>
      <c r="F27" s="86">
        <f>SUMIFS('Commissioni De Angeli'!$D$7:$D$1644,'Commissioni De Angeli'!$Z$7:$Z$1644,4,'Commissioni De Angeli'!$AA$7:$AA$1644,2023,'Commissioni De Angeli'!$C$7:$C$1644,"elektra")</f>
        <v>0</v>
      </c>
      <c r="G27" s="86">
        <f>SUMIFS('Commissioni De Angeli'!$D$7:$D$1644,'Commissioni De Angeli'!$Z$7:$Z$1644,5,'Commissioni De Angeli'!$AA$7:$AA$1644,2023,'Commissioni De Angeli'!$C$7:$C$1644,"elektra")</f>
        <v>0</v>
      </c>
      <c r="H27" s="86">
        <f>SUMIFS('Commissioni De Angeli'!$D$7:$D$1644,'Commissioni De Angeli'!$Z$7:$Z$1644,6,'Commissioni De Angeli'!$AA$7:$AA$1644,2023,'Commissioni De Angeli'!$C$7:$C$1644,"elektra")</f>
        <v>0</v>
      </c>
      <c r="I27" s="86">
        <f>SUMIFS('Commissioni De Angeli'!$D$7:$D$1644,'Commissioni De Angeli'!$Z$7:$Z$1644,7,'Commissioni De Angeli'!$AA$7:$AA$1644,2023,'Commissioni De Angeli'!$C$7:$C$1644,"elektra")</f>
        <v>0</v>
      </c>
      <c r="J27" s="86">
        <f>SUMIFS('Commissioni De Angeli'!$D$7:$D$1644,'Commissioni De Angeli'!$Z$7:$Z$1644,8,'Commissioni De Angeli'!$AA$7:$AA$1644,2023,'Commissioni De Angeli'!$C$7:$C$1644,"elektra")</f>
        <v>0</v>
      </c>
      <c r="K27" s="86">
        <f>SUMIFS('Commissioni De Angeli'!$D$7:$D$1644,'Commissioni De Angeli'!$Z$7:$Z$1644,9,'Commissioni De Angeli'!$AA$7:$AA$1644,2023,'Commissioni De Angeli'!$C$7:$C$1644,"elektra")</f>
        <v>0</v>
      </c>
      <c r="L27" s="86">
        <f>SUMIFS('Commissioni De Angeli'!$D$7:$D$1644,'Commissioni De Angeli'!$Z$7:$Z$1644,10,'Commissioni De Angeli'!$AA$7:$AA$1644,2023,'Commissioni De Angeli'!$C$7:$C$1644,"elektra")</f>
        <v>0</v>
      </c>
      <c r="M27" s="86">
        <f>SUMIFS('Commissioni De Angeli'!$D$7:$D$1644,'Commissioni De Angeli'!$Z$7:$Z$1644,11,'Commissioni De Angeli'!$AA$7:$AA$1644,2023,'Commissioni De Angeli'!$C$7:$C$1644,"elektra")</f>
        <v>0</v>
      </c>
      <c r="N27" s="87">
        <f>SUMIFS('Commissioni De Angeli'!$D$7:$D$1644,'Commissioni De Angeli'!$Z$7:$Z$1644,12,'Commissioni De Angeli'!$AA$7:$AA$1644,2023,'Commissioni De Angeli'!$C$7:$C$1644,"elektra")</f>
        <v>0</v>
      </c>
      <c r="O27" s="95">
        <f t="shared" si="0"/>
        <v>0</v>
      </c>
    </row>
    <row r="28" spans="2:15">
      <c r="B28" s="1" t="s">
        <v>91</v>
      </c>
      <c r="C28" s="85">
        <f>SUMIFS('Commissioni De Angeli'!$D$7:$D$1644,'Commissioni De Angeli'!$Z$7:$Z$1644,1,'Commissioni De Angeli'!$AA$7:$AA$1644,2023,'Commissioni De Angeli'!$C$7:$C$1644,"elektromotor")</f>
        <v>0</v>
      </c>
      <c r="D28" s="86">
        <f>SUMIFS('Commissioni De Angeli'!$D$7:$D$1644,'Commissioni De Angeli'!$Z$7:$Z$1644,2,'Commissioni De Angeli'!$AA$7:$AA$1644,2023,'Commissioni De Angeli'!$C$7:$C$1644,"elektromotor")</f>
        <v>0</v>
      </c>
      <c r="E28" s="86">
        <f>SUMIFS('Commissioni De Angeli'!$D$7:$D$1644,'Commissioni De Angeli'!$Z$7:$Z$1644,3,'Commissioni De Angeli'!$AA$7:$AA$1644,2023,'Commissioni De Angeli'!$C$7:$C$1644,"elektromotor")</f>
        <v>0</v>
      </c>
      <c r="F28" s="86">
        <f>SUMIFS('Commissioni De Angeli'!$D$7:$D$1644,'Commissioni De Angeli'!$Z$7:$Z$1644,4,'Commissioni De Angeli'!$AA$7:$AA$1644,2023,'Commissioni De Angeli'!$C$7:$C$1644,"elektromotor")</f>
        <v>0</v>
      </c>
      <c r="G28" s="86">
        <f>SUMIFS('Commissioni De Angeli'!$D$7:$D$1644,'Commissioni De Angeli'!$Z$7:$Z$1644,5,'Commissioni De Angeli'!$AA$7:$AA$1644,2023,'Commissioni De Angeli'!$C$7:$C$1644,"elektromotor")</f>
        <v>0</v>
      </c>
      <c r="H28" s="86">
        <f>SUMIFS('Commissioni De Angeli'!$D$7:$D$1644,'Commissioni De Angeli'!$Z$7:$Z$1644,6,'Commissioni De Angeli'!$AA$7:$AA$1644,2023,'Commissioni De Angeli'!$C$7:$C$1644,"elektromotor")</f>
        <v>0</v>
      </c>
      <c r="I28" s="86">
        <f>SUMIFS('Commissioni De Angeli'!$D$7:$D$1644,'Commissioni De Angeli'!$Z$7:$Z$1644,7,'Commissioni De Angeli'!$AA$7:$AA$1644,2023,'Commissioni De Angeli'!$C$7:$C$1644,"elektromotor")</f>
        <v>0</v>
      </c>
      <c r="J28" s="86">
        <f>SUMIFS('Commissioni De Angeli'!$D$7:$D$1644,'Commissioni De Angeli'!$Z$7:$Z$1644,8,'Commissioni De Angeli'!$AA$7:$AA$1644,2023,'Commissioni De Angeli'!$C$7:$C$1644,"elektromotor")</f>
        <v>0</v>
      </c>
      <c r="K28" s="86">
        <f>SUMIFS('Commissioni De Angeli'!$D$7:$D$1644,'Commissioni De Angeli'!$Z$7:$Z$1644,9,'Commissioni De Angeli'!$AA$7:$AA$1644,2023,'Commissioni De Angeli'!$C$7:$C$1644,"elektromotor")</f>
        <v>0</v>
      </c>
      <c r="L28" s="86">
        <f>SUMIFS('Commissioni De Angeli'!$D$7:$D$1644,'Commissioni De Angeli'!$Z$7:$Z$1644,10,'Commissioni De Angeli'!$AA$7:$AA$1644,2023,'Commissioni De Angeli'!$C$7:$C$1644,"elektromotor")</f>
        <v>0</v>
      </c>
      <c r="M28" s="86">
        <f>SUMIFS('Commissioni De Angeli'!$D$7:$D$1644,'Commissioni De Angeli'!$Z$7:$Z$1644,11,'Commissioni De Angeli'!$AA$7:$AA$1644,2023,'Commissioni De Angeli'!$C$7:$C$1644,"elektromotor")</f>
        <v>0</v>
      </c>
      <c r="N28" s="87">
        <f>SUMIFS('Commissioni De Angeli'!$D$7:$D$1644,'Commissioni De Angeli'!$Z$7:$Z$1644,12,'Commissioni De Angeli'!$AA$7:$AA$1644,2023,'Commissioni De Angeli'!$C$7:$C$1644,"elektromotor")</f>
        <v>0</v>
      </c>
      <c r="O28" s="95">
        <f t="shared" si="0"/>
        <v>0</v>
      </c>
    </row>
    <row r="29" spans="2:15">
      <c r="B29" s="1" t="s">
        <v>33</v>
      </c>
      <c r="C29" s="85">
        <f>SUMIFS('Commissioni De Angeli'!$D$7:$D$1644,'Commissioni De Angeli'!$Z$7:$Z$1644,1,'Commissioni De Angeli'!$AA$7:$AA$1644,2023,'Commissioni De Angeli'!$C$7:$C$1644,"eletrafo")</f>
        <v>0</v>
      </c>
      <c r="D29" s="86">
        <f>SUMIFS('Commissioni De Angeli'!$D$7:$D$1644,'Commissioni De Angeli'!$Z$7:$Z$1644,2,'Commissioni De Angeli'!$AA$7:$AA$1644,2023,'Commissioni De Angeli'!$C$7:$C$1644,"eletrafo")</f>
        <v>0</v>
      </c>
      <c r="E29" s="86">
        <f>SUMIFS('Commissioni De Angeli'!$D$7:$D$1644,'Commissioni De Angeli'!$Z$7:$Z$1644,3,'Commissioni De Angeli'!$AA$7:$AA$1644,2023,'Commissioni De Angeli'!$C$7:$C$1644,"eletrafo")</f>
        <v>0</v>
      </c>
      <c r="F29" s="86">
        <f>SUMIFS('Commissioni De Angeli'!$D$7:$D$1644,'Commissioni De Angeli'!$Z$7:$Z$1644,4,'Commissioni De Angeli'!$AA$7:$AA$1644,2023,'Commissioni De Angeli'!$C$7:$C$1644,"eletrafo")</f>
        <v>0</v>
      </c>
      <c r="G29" s="86">
        <f>SUMIFS('Commissioni De Angeli'!$D$7:$D$1644,'Commissioni De Angeli'!$Z$7:$Z$1644,5,'Commissioni De Angeli'!$AA$7:$AA$1644,2023,'Commissioni De Angeli'!$C$7:$C$1644,"eletrafo")</f>
        <v>0</v>
      </c>
      <c r="H29" s="86">
        <f>SUMIFS('Commissioni De Angeli'!$D$7:$D$1644,'Commissioni De Angeli'!$Z$7:$Z$1644,6,'Commissioni De Angeli'!$AA$7:$AA$1644,2023,'Commissioni De Angeli'!$C$7:$C$1644,"eletrafo")</f>
        <v>0</v>
      </c>
      <c r="I29" s="86">
        <f>SUMIFS('Commissioni De Angeli'!$D$7:$D$1644,'Commissioni De Angeli'!$Z$7:$Z$1644,7,'Commissioni De Angeli'!$AA$7:$AA$1644,2023,'Commissioni De Angeli'!$C$7:$C$1644,"eletrafo")</f>
        <v>0</v>
      </c>
      <c r="J29" s="86">
        <f>SUMIFS('Commissioni De Angeli'!$D$7:$D$1644,'Commissioni De Angeli'!$Z$7:$Z$1644,8,'Commissioni De Angeli'!$AA$7:$AA$1644,2023,'Commissioni De Angeli'!$C$7:$C$1644,"eletrafo")</f>
        <v>0</v>
      </c>
      <c r="K29" s="86">
        <f>SUMIFS('Commissioni De Angeli'!$D$7:$D$1644,'Commissioni De Angeli'!$Z$7:$Z$1644,9,'Commissioni De Angeli'!$AA$7:$AA$1644,2023,'Commissioni De Angeli'!$C$7:$C$1644,"eletrafo")</f>
        <v>0</v>
      </c>
      <c r="L29" s="86">
        <f>SUMIFS('Commissioni De Angeli'!$D$7:$D$1644,'Commissioni De Angeli'!$Z$7:$Z$1644,10,'Commissioni De Angeli'!$AA$7:$AA$1644,2023,'Commissioni De Angeli'!$C$7:$C$1644,"eletrafo")</f>
        <v>0</v>
      </c>
      <c r="M29" s="86">
        <f>SUMIFS('Commissioni De Angeli'!$D$7:$D$1644,'Commissioni De Angeli'!$Z$7:$Z$1644,11,'Commissioni De Angeli'!$AA$7:$AA$1644,2023,'Commissioni De Angeli'!$C$7:$C$1644,"eletrafo")</f>
        <v>0</v>
      </c>
      <c r="N29" s="87">
        <f>SUMIFS('Commissioni De Angeli'!$D$7:$D$1644,'Commissioni De Angeli'!$Z$7:$Z$1644,12,'Commissioni De Angeli'!$AA$7:$AA$1644,2023,'Commissioni De Angeli'!$C$7:$C$1644,"eletrafo")</f>
        <v>0</v>
      </c>
      <c r="O29" s="95">
        <f>SUM(C29:N29)</f>
        <v>0</v>
      </c>
    </row>
    <row r="30" spans="2:15">
      <c r="B30" s="1" t="s">
        <v>59</v>
      </c>
      <c r="C30" s="85">
        <f>SUMIFS('Commissioni De Angeli'!$D$7:$D$1644,'Commissioni De Angeli'!$Z$7:$Z$1644,1,'Commissioni De Angeli'!$AA$7:$AA$1644,2023,'Commissioni De Angeli'!$C$7:$C$1644,"elettromil")</f>
        <v>0</v>
      </c>
      <c r="D30" s="86">
        <f>SUMIFS('Commissioni De Angeli'!$D$7:$D$1644,'Commissioni De Angeli'!$Z$7:$Z$1644,2,'Commissioni De Angeli'!$AA$7:$AA$1644,2023,'Commissioni De Angeli'!$C$7:$C$1644,"elettromil")</f>
        <v>0</v>
      </c>
      <c r="E30" s="86">
        <f>SUMIFS('Commissioni De Angeli'!$D$7:$D$1644,'Commissioni De Angeli'!$Z$7:$Z$1644,3,'Commissioni De Angeli'!$AA$7:$AA$1644,2023,'Commissioni De Angeli'!$C$7:$C$1644,"elettromil")</f>
        <v>0</v>
      </c>
      <c r="F30" s="86">
        <f>SUMIFS('Commissioni De Angeli'!$D$7:$D$1644,'Commissioni De Angeli'!$Z$7:$Z$1644,4,'Commissioni De Angeli'!$AA$7:$AA$1644,2023,'Commissioni De Angeli'!$C$7:$C$1644,"elettromil")</f>
        <v>0</v>
      </c>
      <c r="G30" s="86">
        <f>SUMIFS('Commissioni De Angeli'!$D$7:$D$1644,'Commissioni De Angeli'!$Z$7:$Z$1644,5,'Commissioni De Angeli'!$AA$7:$AA$1644,2023,'Commissioni De Angeli'!$C$7:$C$1644,"elettromil")</f>
        <v>0</v>
      </c>
      <c r="H30" s="86">
        <f>SUMIFS('Commissioni De Angeli'!$D$7:$D$1644,'Commissioni De Angeli'!$Z$7:$Z$1644,6,'Commissioni De Angeli'!$AA$7:$AA$1644,2023,'Commissioni De Angeli'!$C$7:$C$1644,"elettromil")</f>
        <v>0</v>
      </c>
      <c r="I30" s="86">
        <f>SUMIFS('Commissioni De Angeli'!$D$7:$D$1644,'Commissioni De Angeli'!$Z$7:$Z$1644,7,'Commissioni De Angeli'!$AA$7:$AA$1644,2023,'Commissioni De Angeli'!$C$7:$C$1644,"elettromil")</f>
        <v>0</v>
      </c>
      <c r="J30" s="86">
        <f>SUMIFS('Commissioni De Angeli'!$D$7:$D$1644,'Commissioni De Angeli'!$Z$7:$Z$1644,8,'Commissioni De Angeli'!$AA$7:$AA$1644,2023,'Commissioni De Angeli'!$C$7:$C$1644,"elettromil")</f>
        <v>0</v>
      </c>
      <c r="K30" s="86">
        <f>SUMIFS('Commissioni De Angeli'!$D$7:$D$1644,'Commissioni De Angeli'!$Z$7:$Z$1644,9,'Commissioni De Angeli'!$AA$7:$AA$1644,2023,'Commissioni De Angeli'!$C$7:$C$1644,"elettromil")</f>
        <v>0</v>
      </c>
      <c r="L30" s="86">
        <f>SUMIFS('Commissioni De Angeli'!$D$7:$D$1644,'Commissioni De Angeli'!$Z$7:$Z$1644,10,'Commissioni De Angeli'!$AA$7:$AA$1644,2023,'Commissioni De Angeli'!$C$7:$C$1644,"elettromil")</f>
        <v>0</v>
      </c>
      <c r="M30" s="86">
        <f>SUMIFS('Commissioni De Angeli'!$D$7:$D$1644,'Commissioni De Angeli'!$Z$7:$Z$1644,11,'Commissioni De Angeli'!$AA$7:$AA$1644,2023,'Commissioni De Angeli'!$C$7:$C$1644,"elettromil")</f>
        <v>0</v>
      </c>
      <c r="N30" s="87">
        <f>SUMIFS('Commissioni De Angeli'!$D$7:$D$1644,'Commissioni De Angeli'!$Z$7:$Z$1644,12,'Commissioni De Angeli'!$AA$7:$AA$1644,2023,'Commissioni De Angeli'!$C$7:$C$1644,"elettromil")</f>
        <v>0</v>
      </c>
      <c r="O30" s="95">
        <f t="shared" si="0"/>
        <v>0</v>
      </c>
    </row>
    <row r="31" spans="2:15">
      <c r="B31" s="1" t="s">
        <v>62</v>
      </c>
      <c r="C31" s="85">
        <f>SUMIFS('Commissioni De Angeli'!$D$7:$D$1644,'Commissioni De Angeli'!$Z$7:$Z$1644,1,'Commissioni De Angeli'!$AA$7:$AA$1644,2023,'Commissioni De Angeli'!$C$7:$C$1644,"elhand")</f>
        <v>0</v>
      </c>
      <c r="D31" s="86">
        <f>SUMIFS('Commissioni De Angeli'!$D$7:$D$1644,'Commissioni De Angeli'!$Z$7:$Z$1644,2,'Commissioni De Angeli'!$AA$7:$AA$1644,2023,'Commissioni De Angeli'!$C$7:$C$1644,"elhand")</f>
        <v>0</v>
      </c>
      <c r="E31" s="86">
        <f>SUMIFS('Commissioni De Angeli'!$D$7:$D$1644,'Commissioni De Angeli'!$Z$7:$Z$1644,3,'Commissioni De Angeli'!$AA$7:$AA$1644,2023,'Commissioni De Angeli'!$C$7:$C$1644,"elhand")</f>
        <v>0</v>
      </c>
      <c r="F31" s="86">
        <f>SUMIFS('Commissioni De Angeli'!$D$7:$D$1644,'Commissioni De Angeli'!$Z$7:$Z$1644,4,'Commissioni De Angeli'!$AA$7:$AA$1644,2023,'Commissioni De Angeli'!$C$7:$C$1644,"elhand")</f>
        <v>0</v>
      </c>
      <c r="G31" s="86">
        <f>SUMIFS('Commissioni De Angeli'!$D$7:$D$1644,'Commissioni De Angeli'!$Z$7:$Z$1644,5,'Commissioni De Angeli'!$AA$7:$AA$1644,2023,'Commissioni De Angeli'!$C$7:$C$1644,"elhand")</f>
        <v>0</v>
      </c>
      <c r="H31" s="86">
        <f>SUMIFS('Commissioni De Angeli'!$D$7:$D$1644,'Commissioni De Angeli'!$Z$7:$Z$1644,6,'Commissioni De Angeli'!$AA$7:$AA$1644,2023,'Commissioni De Angeli'!$C$7:$C$1644,"elhand")</f>
        <v>0</v>
      </c>
      <c r="I31" s="86">
        <f>SUMIFS('Commissioni De Angeli'!$D$7:$D$1644,'Commissioni De Angeli'!$Z$7:$Z$1644,7,'Commissioni De Angeli'!$AA$7:$AA$1644,2023,'Commissioni De Angeli'!$C$7:$C$1644,"elhand")</f>
        <v>0</v>
      </c>
      <c r="J31" s="86">
        <f>SUMIFS('Commissioni De Angeli'!$D$7:$D$1644,'Commissioni De Angeli'!$Z$7:$Z$1644,8,'Commissioni De Angeli'!$AA$7:$AA$1644,2023,'Commissioni De Angeli'!$C$7:$C$1644,"elhand")</f>
        <v>0</v>
      </c>
      <c r="K31" s="86">
        <f>SUMIFS('Commissioni De Angeli'!$D$7:$D$1644,'Commissioni De Angeli'!$Z$7:$Z$1644,9,'Commissioni De Angeli'!$AA$7:$AA$1644,2023,'Commissioni De Angeli'!$C$7:$C$1644,"elhand")</f>
        <v>0</v>
      </c>
      <c r="L31" s="86">
        <f>SUMIFS('Commissioni De Angeli'!$D$7:$D$1644,'Commissioni De Angeli'!$Z$7:$Z$1644,10,'Commissioni De Angeli'!$AA$7:$AA$1644,2023,'Commissioni De Angeli'!$C$7:$C$1644,"elhand")</f>
        <v>0</v>
      </c>
      <c r="M31" s="86">
        <f>SUMIFS('Commissioni De Angeli'!$D$7:$D$1644,'Commissioni De Angeli'!$Z$7:$Z$1644,11,'Commissioni De Angeli'!$AA$7:$AA$1644,2023,'Commissioni De Angeli'!$C$7:$C$1644,"elhand")</f>
        <v>0</v>
      </c>
      <c r="N31" s="87">
        <f>SUMIFS('Commissioni De Angeli'!$D$7:$D$1644,'Commissioni De Angeli'!$Z$7:$Z$1644,12,'Commissioni De Angeli'!$AA$7:$AA$1644,2023,'Commissioni De Angeli'!$C$7:$C$1644,"elhand")</f>
        <v>0</v>
      </c>
      <c r="O31" s="95">
        <f t="shared" si="0"/>
        <v>0</v>
      </c>
    </row>
    <row r="32" spans="2:15">
      <c r="B32" s="1" t="s">
        <v>37</v>
      </c>
      <c r="C32" s="85">
        <f>SUMIFS('Commissioni De Angeli'!$D$7:$D$1644,'Commissioni De Angeli'!$Z$7:$Z$1644,1,'Commissioni De Angeli'!$AA$7:$AA$1644,2023,'Commissioni De Angeli'!$C$7:$C$1644,"elca")</f>
        <v>0</v>
      </c>
      <c r="D32" s="86">
        <f>SUMIFS('Commissioni De Angeli'!$D$7:$D$1644,'Commissioni De Angeli'!$Z$7:$Z$1644,2,'Commissioni De Angeli'!$AA$7:$AA$1644,2023,'Commissioni De Angeli'!$C$7:$C$1644,"elca")</f>
        <v>0</v>
      </c>
      <c r="E32" s="86">
        <f>SUMIFS('Commissioni De Angeli'!$D$7:$D$1644,'Commissioni De Angeli'!$Z$7:$Z$1644,3,'Commissioni De Angeli'!$AA$7:$AA$1644,2023,'Commissioni De Angeli'!$C$7:$C$1644,"elca")</f>
        <v>0</v>
      </c>
      <c r="F32" s="86">
        <f>SUMIFS('Commissioni De Angeli'!$D$7:$D$1644,'Commissioni De Angeli'!$Z$7:$Z$1644,4,'Commissioni De Angeli'!$AA$7:$AA$1644,2023,'Commissioni De Angeli'!$C$7:$C$1644,"elca")</f>
        <v>0</v>
      </c>
      <c r="G32" s="86">
        <f>SUMIFS('Commissioni De Angeli'!$D$7:$D$1644,'Commissioni De Angeli'!$Z$7:$Z$1644,5,'Commissioni De Angeli'!$AA$7:$AA$1644,2023,'Commissioni De Angeli'!$C$7:$C$1644,"elca")</f>
        <v>0</v>
      </c>
      <c r="H32" s="86">
        <f>SUMIFS('Commissioni De Angeli'!$D$7:$D$1644,'Commissioni De Angeli'!$Z$7:$Z$1644,6,'Commissioni De Angeli'!$AA$7:$AA$1644,2023,'Commissioni De Angeli'!$C$7:$C$1644,"elca")</f>
        <v>0</v>
      </c>
      <c r="I32" s="86">
        <f>SUMIFS('Commissioni De Angeli'!$D$7:$D$1644,'Commissioni De Angeli'!$Z$7:$Z$1644,7,'Commissioni De Angeli'!$AA$7:$AA$1644,2023,'Commissioni De Angeli'!$C$7:$C$1644,"elca")</f>
        <v>0</v>
      </c>
      <c r="J32" s="86">
        <f>SUMIFS('Commissioni De Angeli'!$D$7:$D$1644,'Commissioni De Angeli'!$Z$7:$Z$1644,8,'Commissioni De Angeli'!$AA$7:$AA$1644,2023,'Commissioni De Angeli'!$C$7:$C$1644,"elca")</f>
        <v>0</v>
      </c>
      <c r="K32" s="86">
        <f>SUMIFS('Commissioni De Angeli'!$D$7:$D$1644,'Commissioni De Angeli'!$Z$7:$Z$1644,9,'Commissioni De Angeli'!$AA$7:$AA$1644,2023,'Commissioni De Angeli'!$C$7:$C$1644,"elca")</f>
        <v>0</v>
      </c>
      <c r="L32" s="86">
        <f>SUMIFS('Commissioni De Angeli'!$D$7:$D$1644,'Commissioni De Angeli'!$Z$7:$Z$1644,10,'Commissioni De Angeli'!$AA$7:$AA$1644,2023,'Commissioni De Angeli'!$C$7:$C$1644,"elca")</f>
        <v>0</v>
      </c>
      <c r="M32" s="86">
        <f>SUMIFS('Commissioni De Angeli'!$D$7:$D$1644,'Commissioni De Angeli'!$Z$7:$Z$1644,11,'Commissioni De Angeli'!$AA$7:$AA$1644,2023,'Commissioni De Angeli'!$C$7:$C$1644,"elca")</f>
        <v>0</v>
      </c>
      <c r="N32" s="87">
        <f>SUMIFS('Commissioni De Angeli'!$D$7:$D$1644,'Commissioni De Angeli'!$Z$7:$Z$1644,12,'Commissioni De Angeli'!$AA$7:$AA$1644,2023,'Commissioni De Angeli'!$C$7:$C$1644,"elca")</f>
        <v>0</v>
      </c>
      <c r="O32" s="95">
        <f t="shared" si="0"/>
        <v>0</v>
      </c>
    </row>
    <row r="33" spans="2:15">
      <c r="B33" s="1" t="s">
        <v>90</v>
      </c>
      <c r="C33" s="85">
        <f>SUMIFS('Commissioni De Angeli'!$D$7:$D$1644,'Commissioni De Angeli'!$Z$7:$Z$1644,1,'Commissioni De Angeli'!$AA$7:$AA$1644,2023,'Commissioni De Angeli'!$C$7:$C$1644,"ergolines")</f>
        <v>0</v>
      </c>
      <c r="D33" s="86">
        <f>SUMIFS('Commissioni De Angeli'!$D$7:$D$1644,'Commissioni De Angeli'!$Z$7:$Z$1644,2,'Commissioni De Angeli'!$AA$7:$AA$1644,2023,'Commissioni De Angeli'!$C$7:$C$1644,"ergolines")</f>
        <v>0</v>
      </c>
      <c r="E33" s="86">
        <f>SUMIFS('Commissioni De Angeli'!$D$7:$D$1644,'Commissioni De Angeli'!$Z$7:$Z$1644,3,'Commissioni De Angeli'!$AA$7:$AA$1644,2023,'Commissioni De Angeli'!$C$7:$C$1644,"ergolines")</f>
        <v>0</v>
      </c>
      <c r="F33" s="86">
        <f>SUMIFS('Commissioni De Angeli'!$D$7:$D$1644,'Commissioni De Angeli'!$Z$7:$Z$1644,4,'Commissioni De Angeli'!$AA$7:$AA$1644,2023,'Commissioni De Angeli'!$C$7:$C$1644,"ergolines")</f>
        <v>0</v>
      </c>
      <c r="G33" s="86">
        <f>SUMIFS('Commissioni De Angeli'!$D$7:$D$1644,'Commissioni De Angeli'!$Z$7:$Z$1644,5,'Commissioni De Angeli'!$AA$7:$AA$1644,2023,'Commissioni De Angeli'!$C$7:$C$1644,"ergolines")</f>
        <v>0</v>
      </c>
      <c r="H33" s="86">
        <f>SUMIFS('Commissioni De Angeli'!$D$7:$D$1644,'Commissioni De Angeli'!$Z$7:$Z$1644,6,'Commissioni De Angeli'!$AA$7:$AA$1644,2023,'Commissioni De Angeli'!$C$7:$C$1644,"ergolines")</f>
        <v>0</v>
      </c>
      <c r="I33" s="86">
        <f>SUMIFS('Commissioni De Angeli'!$D$7:$D$1644,'Commissioni De Angeli'!$Z$7:$Z$1644,7,'Commissioni De Angeli'!$AA$7:$AA$1644,2023,'Commissioni De Angeli'!$C$7:$C$1644,"ergolines")</f>
        <v>0</v>
      </c>
      <c r="J33" s="86">
        <f>SUMIFS('Commissioni De Angeli'!$D$7:$D$1644,'Commissioni De Angeli'!$Z$7:$Z$1644,8,'Commissioni De Angeli'!$AA$7:$AA$1644,2023,'Commissioni De Angeli'!$C$7:$C$1644,"ergolines")</f>
        <v>0</v>
      </c>
      <c r="K33" s="86">
        <f>SUMIFS('Commissioni De Angeli'!$D$7:$D$1644,'Commissioni De Angeli'!$Z$7:$Z$1644,9,'Commissioni De Angeli'!$AA$7:$AA$1644,2023,'Commissioni De Angeli'!$C$7:$C$1644,"ergolines")</f>
        <v>0</v>
      </c>
      <c r="L33" s="86">
        <f>SUMIFS('Commissioni De Angeli'!$D$7:$D$1644,'Commissioni De Angeli'!$Z$7:$Z$1644,10,'Commissioni De Angeli'!$AA$7:$AA$1644,2023,'Commissioni De Angeli'!$C$7:$C$1644,"ergolines")</f>
        <v>0</v>
      </c>
      <c r="M33" s="86">
        <f>SUMIFS('Commissioni De Angeli'!$D$7:$D$1644,'Commissioni De Angeli'!$Z$7:$Z$1644,11,'Commissioni De Angeli'!$AA$7:$AA$1644,2023,'Commissioni De Angeli'!$C$7:$C$1644,"ergolines")</f>
        <v>0</v>
      </c>
      <c r="N33" s="87">
        <f>SUMIFS('Commissioni De Angeli'!$D$7:$D$1644,'Commissioni De Angeli'!$Z$7:$Z$1644,12,'Commissioni De Angeli'!$AA$7:$AA$1644,2023,'Commissioni De Angeli'!$C$7:$C$1644,"ergolines")</f>
        <v>0</v>
      </c>
      <c r="O33" s="95">
        <f t="shared" si="0"/>
        <v>0</v>
      </c>
    </row>
    <row r="34" spans="2:15">
      <c r="B34" s="2" t="s">
        <v>64</v>
      </c>
      <c r="C34" s="85">
        <f>SUMIFS('Commissioni De Angeli'!$D$7:$D$1644,'Commissioni De Angeli'!$Z$7:$Z$1644,1,'Commissioni De Angeli'!$AA$7:$AA$1644,2023,'Commissioni De Angeli'!$C$7:$C$1644,"ftm")</f>
        <v>0</v>
      </c>
      <c r="D34" s="86">
        <f>SUMIFS('Commissioni De Angeli'!$D$7:$D$1644,'Commissioni De Angeli'!$Z$7:$Z$1644,2,'Commissioni De Angeli'!$AA$7:$AA$1644,2023,'Commissioni De Angeli'!$C$7:$C$1644,"ftm")</f>
        <v>0</v>
      </c>
      <c r="E34" s="86">
        <f>SUMIFS('Commissioni De Angeli'!$D$7:$D$1644,'Commissioni De Angeli'!$Z$7:$Z$1644,3,'Commissioni De Angeli'!$AA$7:$AA$1644,2023,'Commissioni De Angeli'!$C$7:$C$1644,"ftm")</f>
        <v>0</v>
      </c>
      <c r="F34" s="86">
        <f>SUMIFS('Commissioni De Angeli'!$D$7:$D$1644,'Commissioni De Angeli'!$Z$7:$Z$1644,4,'Commissioni De Angeli'!$AA$7:$AA$1644,2023,'Commissioni De Angeli'!$C$7:$C$1644,"ftm")</f>
        <v>0</v>
      </c>
      <c r="G34" s="86">
        <f>SUMIFS('Commissioni De Angeli'!$D$7:$D$1644,'Commissioni De Angeli'!$Z$7:$Z$1644,5,'Commissioni De Angeli'!$AA$7:$AA$1644,2023,'Commissioni De Angeli'!$C$7:$C$1644,"ftm")</f>
        <v>0</v>
      </c>
      <c r="H34" s="86">
        <f>SUMIFS('Commissioni De Angeli'!$D$7:$D$1644,'Commissioni De Angeli'!$Z$7:$Z$1644,6,'Commissioni De Angeli'!$AA$7:$AA$1644,2023,'Commissioni De Angeli'!$C$7:$C$1644,"ftm")</f>
        <v>0</v>
      </c>
      <c r="I34" s="86">
        <f>SUMIFS('Commissioni De Angeli'!$D$7:$D$1644,'Commissioni De Angeli'!$Z$7:$Z$1644,7,'Commissioni De Angeli'!$AA$7:$AA$1644,2023,'Commissioni De Angeli'!$C$7:$C$1644,"ftm")</f>
        <v>0</v>
      </c>
      <c r="J34" s="86">
        <f>SUMIFS('Commissioni De Angeli'!$D$7:$D$1644,'Commissioni De Angeli'!$Z$7:$Z$1644,8,'Commissioni De Angeli'!$AA$7:$AA$1644,2023,'Commissioni De Angeli'!$C$7:$C$1644,"ftm")</f>
        <v>0</v>
      </c>
      <c r="K34" s="86">
        <f>SUMIFS('Commissioni De Angeli'!$D$7:$D$1644,'Commissioni De Angeli'!$Z$7:$Z$1644,9,'Commissioni De Angeli'!$AA$7:$AA$1644,2023,'Commissioni De Angeli'!$C$7:$C$1644,"ftm")</f>
        <v>0</v>
      </c>
      <c r="L34" s="86">
        <f>SUMIFS('Commissioni De Angeli'!$D$7:$D$1644,'Commissioni De Angeli'!$Z$7:$Z$1644,10,'Commissioni De Angeli'!$AA$7:$AA$1644,2023,'Commissioni De Angeli'!$C$7:$C$1644,"ftm")</f>
        <v>0</v>
      </c>
      <c r="M34" s="86">
        <f>SUMIFS('Commissioni De Angeli'!$D$7:$D$1644,'Commissioni De Angeli'!$Z$7:$Z$1644,11,'Commissioni De Angeli'!$AA$7:$AA$1644,2023,'Commissioni De Angeli'!$C$7:$C$1644,"ftm")</f>
        <v>0</v>
      </c>
      <c r="N34" s="87">
        <f>SUMIFS('Commissioni De Angeli'!$D$7:$D$1644,'Commissioni De Angeli'!$Z$7:$Z$1644,12,'Commissioni De Angeli'!$AA$7:$AA$1644,2023,'Commissioni De Angeli'!$C$7:$C$1644,"ftm")</f>
        <v>0</v>
      </c>
      <c r="O34" s="95">
        <f t="shared" si="0"/>
        <v>0</v>
      </c>
    </row>
    <row r="35" spans="2:15">
      <c r="B35" s="2" t="s">
        <v>69</v>
      </c>
      <c r="C35" s="85">
        <f>SUMIFS('Commissioni De Angeli'!$D$7:$D$1644,'Commissioni De Angeli'!$Z$7:$Z$1644,1,'Commissioni De Angeli'!$AA$7:$AA$1644,2023,'Commissioni De Angeli'!$C$7:$C$1644,"giovenzana")</f>
        <v>0</v>
      </c>
      <c r="D35" s="86">
        <f>SUMIFS('Commissioni De Angeli'!$D$7:$D$1644,'Commissioni De Angeli'!$Z$7:$Z$1644,2,'Commissioni De Angeli'!$AA$7:$AA$1644,2023,'Commissioni De Angeli'!$C$7:$C$1644,"giovenzana")</f>
        <v>0</v>
      </c>
      <c r="E35" s="86">
        <f>SUMIFS('Commissioni De Angeli'!$D$7:$D$1644,'Commissioni De Angeli'!$Z$7:$Z$1644,3,'Commissioni De Angeli'!$AA$7:$AA$1644,2023,'Commissioni De Angeli'!$C$7:$C$1644,"giovenzana")</f>
        <v>0</v>
      </c>
      <c r="F35" s="86">
        <f>SUMIFS('Commissioni De Angeli'!$D$7:$D$1644,'Commissioni De Angeli'!$Z$7:$Z$1644,4,'Commissioni De Angeli'!$AA$7:$AA$1644,2023,'Commissioni De Angeli'!$C$7:$C$1644,"giovenzana")</f>
        <v>0</v>
      </c>
      <c r="G35" s="86">
        <f>SUMIFS('Commissioni De Angeli'!$D$7:$D$1644,'Commissioni De Angeli'!$Z$7:$Z$1644,5,'Commissioni De Angeli'!$AA$7:$AA$1644,2023,'Commissioni De Angeli'!$C$7:$C$1644,"giovenzana")</f>
        <v>0</v>
      </c>
      <c r="H35" s="86">
        <f>SUMIFS('Commissioni De Angeli'!$D$7:$D$1644,'Commissioni De Angeli'!$Z$7:$Z$1644,6,'Commissioni De Angeli'!$AA$7:$AA$1644,2023,'Commissioni De Angeli'!$C$7:$C$1644,"giovenzana")</f>
        <v>0</v>
      </c>
      <c r="I35" s="86">
        <f>SUMIFS('Commissioni De Angeli'!$D$7:$D$1644,'Commissioni De Angeli'!$Z$7:$Z$1644,7,'Commissioni De Angeli'!$AA$7:$AA$1644,2023,'Commissioni De Angeli'!$C$7:$C$1644,"giovenzana")</f>
        <v>0</v>
      </c>
      <c r="J35" s="86">
        <f>SUMIFS('Commissioni De Angeli'!$D$7:$D$1644,'Commissioni De Angeli'!$Z$7:$Z$1644,8,'Commissioni De Angeli'!$AA$7:$AA$1644,2023,'Commissioni De Angeli'!$C$7:$C$1644,"giovenzana")</f>
        <v>0</v>
      </c>
      <c r="K35" s="86">
        <f>SUMIFS('Commissioni De Angeli'!$D$7:$D$1644,'Commissioni De Angeli'!$Z$7:$Z$1644,9,'Commissioni De Angeli'!$AA$7:$AA$1644,2023,'Commissioni De Angeli'!$C$7:$C$1644,"giovenzana")</f>
        <v>0</v>
      </c>
      <c r="L35" s="86">
        <f>SUMIFS('Commissioni De Angeli'!$D$7:$D$1644,'Commissioni De Angeli'!$Z$7:$Z$1644,10,'Commissioni De Angeli'!$AA$7:$AA$1644,2023,'Commissioni De Angeli'!$C$7:$C$1644,"giovenzana")</f>
        <v>0</v>
      </c>
      <c r="M35" s="86">
        <f>SUMIFS('Commissioni De Angeli'!$D$7:$D$1644,'Commissioni De Angeli'!$Z$7:$Z$1644,11,'Commissioni De Angeli'!$AA$7:$AA$1644,2023,'Commissioni De Angeli'!$C$7:$C$1644,"giovenzana")</f>
        <v>0</v>
      </c>
      <c r="N35" s="87">
        <f>SUMIFS('Commissioni De Angeli'!$D$7:$D$1644,'Commissioni De Angeli'!$Z$7:$Z$1644,12,'Commissioni De Angeli'!$AA$7:$AA$1644,2023,'Commissioni De Angeli'!$C$7:$C$1644,"giovenzana")</f>
        <v>0</v>
      </c>
      <c r="O35" s="95">
        <f t="shared" si="0"/>
        <v>0</v>
      </c>
    </row>
    <row r="36" spans="2:15">
      <c r="B36" s="2" t="s">
        <v>98</v>
      </c>
      <c r="C36" s="85">
        <f>SUMIFS('Commissioni De Angeli'!$D$7:$D$1644,'Commissioni De Angeli'!$Z$7:$Z$1644,1,'Commissioni De Angeli'!$AA$7:$AA$1644,2023,'Commissioni De Angeli'!$C$7:$C$1644,"gmg")</f>
        <v>0</v>
      </c>
      <c r="D36" s="86">
        <f>SUMIFS('Commissioni De Angeli'!$D$7:$D$1644,'Commissioni De Angeli'!$Z$7:$Z$1644,2,'Commissioni De Angeli'!$AA$7:$AA$1644,2023,'Commissioni De Angeli'!$C$7:$C$1644,"gmg")</f>
        <v>0</v>
      </c>
      <c r="E36" s="86">
        <f>SUMIFS('Commissioni De Angeli'!$D$7:$D$1644,'Commissioni De Angeli'!$Z$7:$Z$1644,3,'Commissioni De Angeli'!$AA$7:$AA$1644,2023,'Commissioni De Angeli'!$C$7:$C$1644,"gmg")</f>
        <v>0</v>
      </c>
      <c r="F36" s="86">
        <f>SUMIFS('Commissioni De Angeli'!$D$7:$D$1644,'Commissioni De Angeli'!$Z$7:$Z$1644,4,'Commissioni De Angeli'!$AA$7:$AA$1644,2023,'Commissioni De Angeli'!$C$7:$C$1644,"gmg")</f>
        <v>0</v>
      </c>
      <c r="G36" s="86">
        <f>SUMIFS('Commissioni De Angeli'!$D$7:$D$1644,'Commissioni De Angeli'!$Z$7:$Z$1644,5,'Commissioni De Angeli'!$AA$7:$AA$1644,2023,'Commissioni De Angeli'!$C$7:$C$1644,"gmg")</f>
        <v>0</v>
      </c>
      <c r="H36" s="86">
        <f>SUMIFS('Commissioni De Angeli'!$D$7:$D$1644,'Commissioni De Angeli'!$Z$7:$Z$1644,6,'Commissioni De Angeli'!$AA$7:$AA$1644,2023,'Commissioni De Angeli'!$C$7:$C$1644,"gmg")</f>
        <v>0</v>
      </c>
      <c r="I36" s="86">
        <f>SUMIFS('Commissioni De Angeli'!$D$7:$D$1644,'Commissioni De Angeli'!$Z$7:$Z$1644,7,'Commissioni De Angeli'!$AA$7:$AA$1644,2023,'Commissioni De Angeli'!$C$7:$C$1644,"gmg")</f>
        <v>0</v>
      </c>
      <c r="J36" s="86">
        <f>SUMIFS('Commissioni De Angeli'!$D$7:$D$1644,'Commissioni De Angeli'!$Z$7:$Z$1644,8,'Commissioni De Angeli'!$AA$7:$AA$1644,2023,'Commissioni De Angeli'!$C$7:$C$1644,"gmg")</f>
        <v>0</v>
      </c>
      <c r="K36" s="86">
        <f>SUMIFS('Commissioni De Angeli'!$D$7:$D$1644,'Commissioni De Angeli'!$Z$7:$Z$1644,9,'Commissioni De Angeli'!$AA$7:$AA$1644,2023,'Commissioni De Angeli'!$C$7:$C$1644,"gmg")</f>
        <v>0</v>
      </c>
      <c r="L36" s="86">
        <f>SUMIFS('Commissioni De Angeli'!$D$7:$D$1644,'Commissioni De Angeli'!$Z$7:$Z$1644,10,'Commissioni De Angeli'!$AA$7:$AA$1644,2023,'Commissioni De Angeli'!$C$7:$C$1644,"gmg")</f>
        <v>0</v>
      </c>
      <c r="M36" s="86">
        <f>SUMIFS('Commissioni De Angeli'!$D$7:$D$1644,'Commissioni De Angeli'!$Z$7:$Z$1644,11,'Commissioni De Angeli'!$AA$7:$AA$1644,2023,'Commissioni De Angeli'!$C$7:$C$1644,"gmg")</f>
        <v>0</v>
      </c>
      <c r="N36" s="87">
        <f>SUMIFS('Commissioni De Angeli'!$D$7:$D$1644,'Commissioni De Angeli'!$Z$7:$Z$1644,12,'Commissioni De Angeli'!$AA$7:$AA$1644,2023,'Commissioni De Angeli'!$C$7:$C$1644,"gmg")</f>
        <v>0</v>
      </c>
      <c r="O36" s="95">
        <f t="shared" si="0"/>
        <v>0</v>
      </c>
    </row>
    <row r="37" spans="2:15">
      <c r="B37" s="2" t="s">
        <v>121</v>
      </c>
      <c r="C37" s="85">
        <f>SUMIFS('Commissioni De Angeli'!$D$7:$D$1644,'Commissioni De Angeli'!$Z$7:$Z$1644,1,'Commissioni De Angeli'!$AA$7:$AA$1644,2023,'Commissioni De Angeli'!$C$7:$C$1644,"hpg")</f>
        <v>0</v>
      </c>
      <c r="D37" s="86">
        <f>SUMIFS('Commissioni De Angeli'!$D$7:$D$1644,'Commissioni De Angeli'!$Z$7:$Z$1644,2,'Commissioni De Angeli'!$AA$7:$AA$1644,2023,'Commissioni De Angeli'!$C$7:$C$1644,"hpg")</f>
        <v>0</v>
      </c>
      <c r="E37" s="86">
        <f>SUMIFS('Commissioni De Angeli'!$D$7:$D$1644,'Commissioni De Angeli'!$Z$7:$Z$1644,3,'Commissioni De Angeli'!$AA$7:$AA$1644,2023,'Commissioni De Angeli'!$C$7:$C$1644,"hpg")</f>
        <v>0</v>
      </c>
      <c r="F37" s="86">
        <f>SUMIFS('Commissioni De Angeli'!$D$7:$D$1644,'Commissioni De Angeli'!$Z$7:$Z$1644,4,'Commissioni De Angeli'!$AA$7:$AA$1644,2023,'Commissioni De Angeli'!$C$7:$C$1644,"hpg")</f>
        <v>0</v>
      </c>
      <c r="G37" s="86">
        <f>SUMIFS('Commissioni De Angeli'!$D$7:$D$1644,'Commissioni De Angeli'!$Z$7:$Z$1644,5,'Commissioni De Angeli'!$AA$7:$AA$1644,2023,'Commissioni De Angeli'!$C$7:$C$1644,"hpg")</f>
        <v>0</v>
      </c>
      <c r="H37" s="86">
        <f>SUMIFS('Commissioni De Angeli'!$D$7:$D$1644,'Commissioni De Angeli'!$Z$7:$Z$1644,6,'Commissioni De Angeli'!$AA$7:$AA$1644,2023,'Commissioni De Angeli'!$C$7:$C$1644,"hpg")</f>
        <v>0</v>
      </c>
      <c r="I37" s="86">
        <f>SUMIFS('Commissioni De Angeli'!$D$7:$D$1644,'Commissioni De Angeli'!$Z$7:$Z$1644,7,'Commissioni De Angeli'!$AA$7:$AA$1644,2023,'Commissioni De Angeli'!$C$7:$C$1644,"hpg")</f>
        <v>0</v>
      </c>
      <c r="J37" s="86">
        <f>SUMIFS('Commissioni De Angeli'!$D$7:$D$1644,'Commissioni De Angeli'!$Z$7:$Z$1644,8,'Commissioni De Angeli'!$AA$7:$AA$1644,2023,'Commissioni De Angeli'!$C$7:$C$1644,"hpg")</f>
        <v>0</v>
      </c>
      <c r="K37" s="86">
        <f>SUMIFS('Commissioni De Angeli'!$D$7:$D$1644,'Commissioni De Angeli'!$Z$7:$Z$1644,9,'Commissioni De Angeli'!$AA$7:$AA$1644,2023,'Commissioni De Angeli'!$C$7:$C$1644,"hpg")</f>
        <v>0</v>
      </c>
      <c r="L37" s="86">
        <f>SUMIFS('Commissioni De Angeli'!$D$7:$D$1644,'Commissioni De Angeli'!$Z$7:$Z$1644,10,'Commissioni De Angeli'!$AA$7:$AA$1644,2023,'Commissioni De Angeli'!$C$7:$C$1644,"hpg")</f>
        <v>0</v>
      </c>
      <c r="M37" s="86">
        <f>SUMIFS('Commissioni De Angeli'!$D$7:$D$1644,'Commissioni De Angeli'!$Z$7:$Z$1644,11,'Commissioni De Angeli'!$AA$7:$AA$1644,2023,'Commissioni De Angeli'!$C$7:$C$1644,"hpg")</f>
        <v>0</v>
      </c>
      <c r="N37" s="87">
        <f>SUMIFS('Commissioni De Angeli'!$D$7:$D$1644,'Commissioni De Angeli'!$Z$7:$Z$1644,12,'Commissioni De Angeli'!$AA$7:$AA$1644,2023,'Commissioni De Angeli'!$C$7:$C$1644,"hpg")</f>
        <v>0</v>
      </c>
      <c r="O37" s="95">
        <f t="shared" si="0"/>
        <v>0</v>
      </c>
    </row>
    <row r="38" spans="2:15">
      <c r="B38" s="2" t="s">
        <v>73</v>
      </c>
      <c r="C38" s="85">
        <f>SUMIFS('Commissioni De Angeli'!$D$7:$D$1644,'Commissioni De Angeli'!$Z$7:$Z$1644,1,'Commissioni De Angeli'!$AA$7:$AA$1644,2023,'Commissioni De Angeli'!$C$7:$C$1644,"green metal")</f>
        <v>0</v>
      </c>
      <c r="D38" s="86">
        <f>SUMIFS('Commissioni De Angeli'!$D$7:$D$1644,'Commissioni De Angeli'!$Z$7:$Z$1644,2,'Commissioni De Angeli'!$AA$7:$AA$1644,2023,'Commissioni De Angeli'!$C$7:$C$1644,"green metal")</f>
        <v>0</v>
      </c>
      <c r="E38" s="86">
        <f>SUMIFS('Commissioni De Angeli'!$D$7:$D$1644,'Commissioni De Angeli'!$Z$7:$Z$1644,3,'Commissioni De Angeli'!$AA$7:$AA$1644,2023,'Commissioni De Angeli'!$C$7:$C$1644,"green metal")</f>
        <v>0</v>
      </c>
      <c r="F38" s="86">
        <f>SUMIFS('Commissioni De Angeli'!$D$7:$D$1644,'Commissioni De Angeli'!$Z$7:$Z$1644,4,'Commissioni De Angeli'!$AA$7:$AA$1644,2023,'Commissioni De Angeli'!$C$7:$C$1644,"green metal")</f>
        <v>0</v>
      </c>
      <c r="G38" s="86">
        <f>SUMIFS('Commissioni De Angeli'!$D$7:$D$1644,'Commissioni De Angeli'!$Z$7:$Z$1644,5,'Commissioni De Angeli'!$AA$7:$AA$1644,2023,'Commissioni De Angeli'!$C$7:$C$1644,"green metal")</f>
        <v>0</v>
      </c>
      <c r="H38" s="86">
        <f>SUMIFS('Commissioni De Angeli'!$D$7:$D$1644,'Commissioni De Angeli'!$Z$7:$Z$1644,6,'Commissioni De Angeli'!$AA$7:$AA$1644,2023,'Commissioni De Angeli'!$C$7:$C$1644,"green metal")</f>
        <v>0</v>
      </c>
      <c r="I38" s="86">
        <f>SUMIFS('Commissioni De Angeli'!$D$7:$D$1644,'Commissioni De Angeli'!$Z$7:$Z$1644,7,'Commissioni De Angeli'!$AA$7:$AA$1644,2023,'Commissioni De Angeli'!$C$7:$C$1644,"green metal")</f>
        <v>0</v>
      </c>
      <c r="J38" s="86">
        <f>SUMIFS('Commissioni De Angeli'!$D$7:$D$1644,'Commissioni De Angeli'!$Z$7:$Z$1644,8,'Commissioni De Angeli'!$AA$7:$AA$1644,2023,'Commissioni De Angeli'!$C$7:$C$1644,"green metal")</f>
        <v>0</v>
      </c>
      <c r="K38" s="86">
        <f>SUMIFS('Commissioni De Angeli'!$D$7:$D$1644,'Commissioni De Angeli'!$Z$7:$Z$1644,9,'Commissioni De Angeli'!$AA$7:$AA$1644,2023,'Commissioni De Angeli'!$C$7:$C$1644,"green metal")</f>
        <v>0</v>
      </c>
      <c r="L38" s="86">
        <f>SUMIFS('Commissioni De Angeli'!$D$7:$D$1644,'Commissioni De Angeli'!$Z$7:$Z$1644,10,'Commissioni De Angeli'!$AA$7:$AA$1644,2023,'Commissioni De Angeli'!$C$7:$C$1644,"green metal")</f>
        <v>0</v>
      </c>
      <c r="M38" s="86">
        <f>SUMIFS('Commissioni De Angeli'!$D$7:$D$1644,'Commissioni De Angeli'!$Z$7:$Z$1644,11,'Commissioni De Angeli'!$AA$7:$AA$1644,2023,'Commissioni De Angeli'!$C$7:$C$1644,"green metal")</f>
        <v>0</v>
      </c>
      <c r="N38" s="87">
        <f>SUMIFS('Commissioni De Angeli'!$D$7:$D$1644,'Commissioni De Angeli'!$Z$7:$Z$1644,12,'Commissioni De Angeli'!$AA$7:$AA$1644,2023,'Commissioni De Angeli'!$C$7:$C$1644,"green metal")</f>
        <v>0</v>
      </c>
      <c r="O38" s="95">
        <f t="shared" si="0"/>
        <v>0</v>
      </c>
    </row>
    <row r="39" spans="2:15">
      <c r="B39" s="2" t="s">
        <v>81</v>
      </c>
      <c r="C39" s="85">
        <f>SUMIFS('Commissioni De Angeli'!$D$7:$D$1644,'Commissioni De Angeli'!$Z$7:$Z$1644,1,'Commissioni De Angeli'!$AA$7:$AA$1644,2023,'Commissioni De Angeli'!$C$7:$C$1644,"icar")</f>
        <v>0</v>
      </c>
      <c r="D39" s="86">
        <f>SUMIFS('Commissioni De Angeli'!$D$7:$D$1644,'Commissioni De Angeli'!$Z$7:$Z$1644,2,'Commissioni De Angeli'!$AA$7:$AA$1644,2023,'Commissioni De Angeli'!$C$7:$C$1644,"icar")</f>
        <v>0</v>
      </c>
      <c r="E39" s="86">
        <f>SUMIFS('Commissioni De Angeli'!$D$7:$D$1644,'Commissioni De Angeli'!$Z$7:$Z$1644,3,'Commissioni De Angeli'!$AA$7:$AA$1644,2023,'Commissioni De Angeli'!$C$7:$C$1644,"icar")</f>
        <v>0</v>
      </c>
      <c r="F39" s="86">
        <f>SUMIFS('Commissioni De Angeli'!$D$7:$D$1644,'Commissioni De Angeli'!$Z$7:$Z$1644,4,'Commissioni De Angeli'!$AA$7:$AA$1644,2023,'Commissioni De Angeli'!$C$7:$C$1644,"icar")</f>
        <v>0</v>
      </c>
      <c r="G39" s="86">
        <f>SUMIFS('Commissioni De Angeli'!$D$7:$D$1644,'Commissioni De Angeli'!$Z$7:$Z$1644,5,'Commissioni De Angeli'!$AA$7:$AA$1644,2023,'Commissioni De Angeli'!$C$7:$C$1644,"icar")</f>
        <v>0</v>
      </c>
      <c r="H39" s="86">
        <f>SUMIFS('Commissioni De Angeli'!$D$7:$D$1644,'Commissioni De Angeli'!$Z$7:$Z$1644,6,'Commissioni De Angeli'!$AA$7:$AA$1644,2023,'Commissioni De Angeli'!$C$7:$C$1644,"icar")</f>
        <v>0</v>
      </c>
      <c r="I39" s="86">
        <f>SUMIFS('Commissioni De Angeli'!$D$7:$D$1644,'Commissioni De Angeli'!$Z$7:$Z$1644,7,'Commissioni De Angeli'!$AA$7:$AA$1644,2023,'Commissioni De Angeli'!$C$7:$C$1644,"icar")</f>
        <v>0</v>
      </c>
      <c r="J39" s="86">
        <f>SUMIFS('Commissioni De Angeli'!$D$7:$D$1644,'Commissioni De Angeli'!$Z$7:$Z$1644,8,'Commissioni De Angeli'!$AA$7:$AA$1644,2023,'Commissioni De Angeli'!$C$7:$C$1644,"icar")</f>
        <v>0</v>
      </c>
      <c r="K39" s="86">
        <f>SUMIFS('Commissioni De Angeli'!$D$7:$D$1644,'Commissioni De Angeli'!$Z$7:$Z$1644,9,'Commissioni De Angeli'!$AA$7:$AA$1644,2023,'Commissioni De Angeli'!$C$7:$C$1644,"icar")</f>
        <v>0</v>
      </c>
      <c r="L39" s="86">
        <f>SUMIFS('Commissioni De Angeli'!$D$7:$D$1644,'Commissioni De Angeli'!$Z$7:$Z$1644,10,'Commissioni De Angeli'!$AA$7:$AA$1644,2023,'Commissioni De Angeli'!$C$7:$C$1644,"icar")</f>
        <v>0</v>
      </c>
      <c r="M39" s="86">
        <f>SUMIFS('Commissioni De Angeli'!$D$7:$D$1644,'Commissioni De Angeli'!$Z$7:$Z$1644,11,'Commissioni De Angeli'!$AA$7:$AA$1644,2023,'Commissioni De Angeli'!$C$7:$C$1644,"icar")</f>
        <v>0</v>
      </c>
      <c r="N39" s="87">
        <f>SUMIFS('Commissioni De Angeli'!$D$7:$D$1644,'Commissioni De Angeli'!$Z$7:$Z$1644,12,'Commissioni De Angeli'!$AA$7:$AA$1644,2023,'Commissioni De Angeli'!$C$7:$C$1644,"icar")</f>
        <v>0</v>
      </c>
      <c r="O39" s="95">
        <f t="shared" si="0"/>
        <v>0</v>
      </c>
    </row>
    <row r="40" spans="2:15">
      <c r="B40" s="2" t="s">
        <v>99</v>
      </c>
      <c r="C40" s="85">
        <f>SUMIFS('Commissioni De Angeli'!$D$7:$D$1644,'Commissioni De Angeli'!$Z$7:$Z$1644,1,'Commissioni De Angeli'!$AA$7:$AA$1644,2023,'Commissioni De Angeli'!$C$7:$C$1644,"iee")</f>
        <v>0</v>
      </c>
      <c r="D40" s="86">
        <f>SUMIFS('Commissioni De Angeli'!$D$7:$D$1644,'Commissioni De Angeli'!$Z$7:$Z$1644,2,'Commissioni De Angeli'!$AA$7:$AA$1644,2023,'Commissioni De Angeli'!$C$7:$C$1644,"iee")</f>
        <v>0</v>
      </c>
      <c r="E40" s="86">
        <f>SUMIFS('Commissioni De Angeli'!$D$7:$D$1644,'Commissioni De Angeli'!$Z$7:$Z$1644,3,'Commissioni De Angeli'!$AA$7:$AA$1644,2023,'Commissioni De Angeli'!$C$7:$C$1644,"iee")</f>
        <v>0</v>
      </c>
      <c r="F40" s="86">
        <f>SUMIFS('Commissioni De Angeli'!$D$7:$D$1644,'Commissioni De Angeli'!$Z$7:$Z$1644,4,'Commissioni De Angeli'!$AA$7:$AA$1644,2023,'Commissioni De Angeli'!$C$7:$C$1644,"iee")</f>
        <v>0</v>
      </c>
      <c r="G40" s="86">
        <f>SUMIFS('Commissioni De Angeli'!$D$7:$D$1644,'Commissioni De Angeli'!$Z$7:$Z$1644,5,'Commissioni De Angeli'!$AA$7:$AA$1644,2023,'Commissioni De Angeli'!$C$7:$C$1644,"iee")</f>
        <v>0</v>
      </c>
      <c r="H40" s="86">
        <f>SUMIFS('Commissioni De Angeli'!$D$7:$D$1644,'Commissioni De Angeli'!$Z$7:$Z$1644,6,'Commissioni De Angeli'!$AA$7:$AA$1644,2023,'Commissioni De Angeli'!$C$7:$C$1644,"iee")</f>
        <v>0</v>
      </c>
      <c r="I40" s="86">
        <f>SUMIFS('Commissioni De Angeli'!$D$7:$D$1644,'Commissioni De Angeli'!$Z$7:$Z$1644,7,'Commissioni De Angeli'!$AA$7:$AA$1644,2023,'Commissioni De Angeli'!$C$7:$C$1644,"iee")</f>
        <v>0</v>
      </c>
      <c r="J40" s="86">
        <f>SUMIFS('Commissioni De Angeli'!$D$7:$D$1644,'Commissioni De Angeli'!$Z$7:$Z$1644,8,'Commissioni De Angeli'!$AA$7:$AA$1644,2023,'Commissioni De Angeli'!$C$7:$C$1644,"iee")</f>
        <v>0</v>
      </c>
      <c r="K40" s="86">
        <f>SUMIFS('Commissioni De Angeli'!$D$7:$D$1644,'Commissioni De Angeli'!$Z$7:$Z$1644,9,'Commissioni De Angeli'!$AA$7:$AA$1644,2023,'Commissioni De Angeli'!$C$7:$C$1644,"iee")</f>
        <v>0</v>
      </c>
      <c r="L40" s="86">
        <f>SUMIFS('Commissioni De Angeli'!$D$7:$D$1644,'Commissioni De Angeli'!$Z$7:$Z$1644,10,'Commissioni De Angeli'!$AA$7:$AA$1644,2023,'Commissioni De Angeli'!$C$7:$C$1644,"iee")</f>
        <v>0</v>
      </c>
      <c r="M40" s="86">
        <f>SUMIFS('Commissioni De Angeli'!$D$7:$D$1644,'Commissioni De Angeli'!$Z$7:$Z$1644,11,'Commissioni De Angeli'!$AA$7:$AA$1644,2023,'Commissioni De Angeli'!$C$7:$C$1644,"iee")</f>
        <v>0</v>
      </c>
      <c r="N40" s="87">
        <f>SUMIFS('Commissioni De Angeli'!$D$7:$D$1644,'Commissioni De Angeli'!$Z$7:$Z$1644,12,'Commissioni De Angeli'!$AA$7:$AA$1644,2023,'Commissioni De Angeli'!$C$7:$C$1644,"iee")</f>
        <v>0</v>
      </c>
      <c r="O40" s="95">
        <f t="shared" si="0"/>
        <v>0</v>
      </c>
    </row>
    <row r="41" spans="2:15">
      <c r="B41" s="2" t="s">
        <v>123</v>
      </c>
      <c r="C41" s="85">
        <f>SUMIFS('Commissioni De Angeli'!$D$7:$D$1644,'Commissioni De Angeli'!$Z$7:$Z$1644,1,'Commissioni De Angeli'!$AA$7:$AA$1644,2023,'Commissioni De Angeli'!$C$7:$C$1644,"kunez")</f>
        <v>0</v>
      </c>
      <c r="D41" s="86">
        <f>SUMIFS('Commissioni De Angeli'!$D$7:$D$1644,'Commissioni De Angeli'!$Z$7:$Z$1644,2,'Commissioni De Angeli'!$AA$7:$AA$1644,2023,'Commissioni De Angeli'!$C$7:$C$1644,"kunez")</f>
        <v>0</v>
      </c>
      <c r="E41" s="86">
        <f>SUMIFS('Commissioni De Angeli'!$D$7:$D$1644,'Commissioni De Angeli'!$Z$7:$Z$1644,3,'Commissioni De Angeli'!$AA$7:$AA$1644,2023,'Commissioni De Angeli'!$C$7:$C$1644,"kunez")</f>
        <v>0</v>
      </c>
      <c r="F41" s="86">
        <f>SUMIFS('Commissioni De Angeli'!$D$7:$D$1644,'Commissioni De Angeli'!$Z$7:$Z$1644,4,'Commissioni De Angeli'!$AA$7:$AA$1644,2023,'Commissioni De Angeli'!$C$7:$C$1644,"kunez")</f>
        <v>0</v>
      </c>
      <c r="G41" s="86">
        <f>SUMIFS('Commissioni De Angeli'!$D$7:$D$1644,'Commissioni De Angeli'!$Z$7:$Z$1644,5,'Commissioni De Angeli'!$AA$7:$AA$1644,2023,'Commissioni De Angeli'!$C$7:$C$1644,"kunez")</f>
        <v>0</v>
      </c>
      <c r="H41" s="86">
        <f>SUMIFS('Commissioni De Angeli'!$D$7:$D$1644,'Commissioni De Angeli'!$Z$7:$Z$1644,6,'Commissioni De Angeli'!$AA$7:$AA$1644,2023,'Commissioni De Angeli'!$C$7:$C$1644,"kunez")</f>
        <v>0</v>
      </c>
      <c r="I41" s="86">
        <f>SUMIFS('Commissioni De Angeli'!$D$7:$D$1644,'Commissioni De Angeli'!$Z$7:$Z$1644,7,'Commissioni De Angeli'!$AA$7:$AA$1644,2023,'Commissioni De Angeli'!$C$7:$C$1644,"kunez")</f>
        <v>0</v>
      </c>
      <c r="J41" s="86">
        <f>SUMIFS('Commissioni De Angeli'!$D$7:$D$1644,'Commissioni De Angeli'!$Z$7:$Z$1644,8,'Commissioni De Angeli'!$AA$7:$AA$1644,2023,'Commissioni De Angeli'!$C$7:$C$1644,"kunez")</f>
        <v>0</v>
      </c>
      <c r="K41" s="86">
        <f>SUMIFS('Commissioni De Angeli'!$D$7:$D$1644,'Commissioni De Angeli'!$Z$7:$Z$1644,9,'Commissioni De Angeli'!$AA$7:$AA$1644,2023,'Commissioni De Angeli'!$C$7:$C$1644,"kunez")</f>
        <v>0</v>
      </c>
      <c r="L41" s="86">
        <f>SUMIFS('Commissioni De Angeli'!$D$7:$D$1644,'Commissioni De Angeli'!$Z$7:$Z$1644,10,'Commissioni De Angeli'!$AA$7:$AA$1644,2023,'Commissioni De Angeli'!$C$7:$C$1644,"kunez")</f>
        <v>0</v>
      </c>
      <c r="M41" s="86">
        <f>SUMIFS('Commissioni De Angeli'!$D$7:$D$1644,'Commissioni De Angeli'!$Z$7:$Z$1644,11,'Commissioni De Angeli'!$AA$7:$AA$1644,2023,'Commissioni De Angeli'!$C$7:$C$1644,"kunez")</f>
        <v>0</v>
      </c>
      <c r="N41" s="87">
        <f>SUMIFS('Commissioni De Angeli'!$D$7:$D$1644,'Commissioni De Angeli'!$Z$7:$Z$1644,12,'Commissioni De Angeli'!$AA$7:$AA$1644,2023,'Commissioni De Angeli'!$C$7:$C$1644,"kunez")</f>
        <v>0</v>
      </c>
      <c r="O41" s="95">
        <f t="shared" si="0"/>
        <v>0</v>
      </c>
    </row>
    <row r="42" spans="2:15">
      <c r="B42" s="2" t="s">
        <v>70</v>
      </c>
      <c r="C42" s="85">
        <f>SUMIFS('Commissioni De Angeli'!$D$7:$D$1644,'Commissioni De Angeli'!$Z$7:$Z$1644,1,'Commissioni De Angeli'!$AA$7:$AA$1644,2023,'Commissioni De Angeli'!$C$7:$C$1644,"meis")</f>
        <v>0</v>
      </c>
      <c r="D42" s="86">
        <f>SUMIFS('Commissioni De Angeli'!$D$7:$D$1644,'Commissioni De Angeli'!$Z$7:$Z$1644,2,'Commissioni De Angeli'!$AA$7:$AA$1644,2023,'Commissioni De Angeli'!$C$7:$C$1644,"meis")</f>
        <v>0</v>
      </c>
      <c r="E42" s="86">
        <f>SUMIFS('Commissioni De Angeli'!$D$7:$D$1644,'Commissioni De Angeli'!$Z$7:$Z$1644,3,'Commissioni De Angeli'!$AA$7:$AA$1644,2023,'Commissioni De Angeli'!$C$7:$C$1644,"meis")</f>
        <v>0</v>
      </c>
      <c r="F42" s="86">
        <f>SUMIFS('Commissioni De Angeli'!$D$7:$D$1644,'Commissioni De Angeli'!$Z$7:$Z$1644,4,'Commissioni De Angeli'!$AA$7:$AA$1644,2023,'Commissioni De Angeli'!$C$7:$C$1644,"meis")</f>
        <v>0</v>
      </c>
      <c r="G42" s="86">
        <f>SUMIFS('Commissioni De Angeli'!$D$7:$D$1644,'Commissioni De Angeli'!$Z$7:$Z$1644,5,'Commissioni De Angeli'!$AA$7:$AA$1644,2023,'Commissioni De Angeli'!$C$7:$C$1644,"meis")</f>
        <v>0</v>
      </c>
      <c r="H42" s="86">
        <f>SUMIFS('Commissioni De Angeli'!$D$7:$D$1644,'Commissioni De Angeli'!$Z$7:$Z$1644,6,'Commissioni De Angeli'!$AA$7:$AA$1644,2023,'Commissioni De Angeli'!$C$7:$C$1644,"meis")</f>
        <v>0</v>
      </c>
      <c r="I42" s="86">
        <f>SUMIFS('Commissioni De Angeli'!$D$7:$D$1644,'Commissioni De Angeli'!$Z$7:$Z$1644,7,'Commissioni De Angeli'!$AA$7:$AA$1644,2023,'Commissioni De Angeli'!$C$7:$C$1644,"meis")</f>
        <v>0</v>
      </c>
      <c r="J42" s="86">
        <f>SUMIFS('Commissioni De Angeli'!$D$7:$D$1644,'Commissioni De Angeli'!$Z$7:$Z$1644,8,'Commissioni De Angeli'!$AA$7:$AA$1644,2023,'Commissioni De Angeli'!$C$7:$C$1644,"meis")</f>
        <v>0</v>
      </c>
      <c r="K42" s="86">
        <f>SUMIFS('Commissioni De Angeli'!$D$7:$D$1644,'Commissioni De Angeli'!$Z$7:$Z$1644,9,'Commissioni De Angeli'!$AA$7:$AA$1644,2023,'Commissioni De Angeli'!$C$7:$C$1644,"meis")</f>
        <v>0</v>
      </c>
      <c r="L42" s="86">
        <f>SUMIFS('Commissioni De Angeli'!$D$7:$D$1644,'Commissioni De Angeli'!$Z$7:$Z$1644,10,'Commissioni De Angeli'!$AA$7:$AA$1644,2023,'Commissioni De Angeli'!$C$7:$C$1644,"meis")</f>
        <v>0</v>
      </c>
      <c r="M42" s="86">
        <f>SUMIFS('Commissioni De Angeli'!$D$7:$D$1644,'Commissioni De Angeli'!$Z$7:$Z$1644,11,'Commissioni De Angeli'!$AA$7:$AA$1644,2023,'Commissioni De Angeli'!$C$7:$C$1644,"meis")</f>
        <v>0</v>
      </c>
      <c r="N42" s="87">
        <f>SUMIFS('Commissioni De Angeli'!$D$7:$D$1644,'Commissioni De Angeli'!$Z$7:$Z$1644,12,'Commissioni De Angeli'!$AA$7:$AA$1644,2023,'Commissioni De Angeli'!$C$7:$C$1644,"meis")</f>
        <v>0</v>
      </c>
      <c r="O42" s="95">
        <f t="shared" si="0"/>
        <v>0</v>
      </c>
    </row>
    <row r="43" spans="2:15">
      <c r="B43" s="2" t="s">
        <v>127</v>
      </c>
      <c r="C43" s="85">
        <f>SUMIFS('Commissioni De Angeli'!$D$7:$D$1644,'Commissioni De Angeli'!$Z$7:$Z$1644,1,'Commissioni De Angeli'!$AA$7:$AA$1644,2023,'Commissioni De Angeli'!$C$7:$C$1644,"meca")</f>
        <v>0</v>
      </c>
      <c r="D43" s="86">
        <f>SUMIFS('Commissioni De Angeli'!$D$7:$D$1644,'Commissioni De Angeli'!$Z$7:$Z$1644,2,'Commissioni De Angeli'!$AA$7:$AA$1644,2023,'Commissioni De Angeli'!$C$7:$C$1644,"meca")</f>
        <v>0</v>
      </c>
      <c r="E43" s="86">
        <f>SUMIFS('Commissioni De Angeli'!$D$7:$D$1644,'Commissioni De Angeli'!$Z$7:$Z$1644,3,'Commissioni De Angeli'!$AA$7:$AA$1644,2023,'Commissioni De Angeli'!$C$7:$C$1644,"meca")</f>
        <v>0</v>
      </c>
      <c r="F43" s="86">
        <f>SUMIFS('Commissioni De Angeli'!$D$7:$D$1644,'Commissioni De Angeli'!$Z$7:$Z$1644,4,'Commissioni De Angeli'!$AA$7:$AA$1644,2023,'Commissioni De Angeli'!$C$7:$C$1644,"meca")</f>
        <v>0</v>
      </c>
      <c r="G43" s="86">
        <f>SUMIFS('Commissioni De Angeli'!$D$7:$D$1644,'Commissioni De Angeli'!$Z$7:$Z$1644,5,'Commissioni De Angeli'!$AA$7:$AA$1644,2023,'Commissioni De Angeli'!$C$7:$C$1644,"meca")</f>
        <v>0</v>
      </c>
      <c r="H43" s="86">
        <f>SUMIFS('Commissioni De Angeli'!$D$7:$D$1644,'Commissioni De Angeli'!$Z$7:$Z$1644,6,'Commissioni De Angeli'!$AA$7:$AA$1644,2023,'Commissioni De Angeli'!$C$7:$C$1644,"meca")</f>
        <v>0</v>
      </c>
      <c r="I43" s="86">
        <f>SUMIFS('Commissioni De Angeli'!$D$7:$D$1644,'Commissioni De Angeli'!$Z$7:$Z$1644,7,'Commissioni De Angeli'!$AA$7:$AA$1644,2023,'Commissioni De Angeli'!$C$7:$C$1644,"meca")</f>
        <v>0</v>
      </c>
      <c r="J43" s="86">
        <f>SUMIFS('Commissioni De Angeli'!$D$7:$D$1644,'Commissioni De Angeli'!$Z$7:$Z$1644,8,'Commissioni De Angeli'!$AA$7:$AA$1644,2023,'Commissioni De Angeli'!$C$7:$C$1644,"meca")</f>
        <v>0</v>
      </c>
      <c r="K43" s="86">
        <f>SUMIFS('Commissioni De Angeli'!$D$7:$D$1644,'Commissioni De Angeli'!$Z$7:$Z$1644,9,'Commissioni De Angeli'!$AA$7:$AA$1644,2023,'Commissioni De Angeli'!$C$7:$C$1644,"meca")</f>
        <v>0</v>
      </c>
      <c r="L43" s="86">
        <f>SUMIFS('Commissioni De Angeli'!$D$7:$D$1644,'Commissioni De Angeli'!$Z$7:$Z$1644,10,'Commissioni De Angeli'!$AA$7:$AA$1644,2023,'Commissioni De Angeli'!$C$7:$C$1644,"meca")</f>
        <v>0</v>
      </c>
      <c r="M43" s="86">
        <f>SUMIFS('Commissioni De Angeli'!$D$7:$D$1644,'Commissioni De Angeli'!$Z$7:$Z$1644,11,'Commissioni De Angeli'!$AA$7:$AA$1644,2023,'Commissioni De Angeli'!$C$7:$C$1644,"meca")</f>
        <v>0</v>
      </c>
      <c r="N43" s="87">
        <f>SUMIFS('Commissioni De Angeli'!$D$7:$D$1644,'Commissioni De Angeli'!$Z$7:$Z$1644,12,'Commissioni De Angeli'!$AA$7:$AA$1644,2023,'Commissioni De Angeli'!$C$7:$C$1644,"meca")</f>
        <v>0</v>
      </c>
      <c r="O43" s="95">
        <f t="shared" si="0"/>
        <v>0</v>
      </c>
    </row>
    <row r="44" spans="2:15">
      <c r="B44" s="2" t="s">
        <v>51</v>
      </c>
      <c r="C44" s="85">
        <f>SUMIFS('Commissioni De Angeli'!$D$7:$D$1644,'Commissioni De Angeli'!$Z$7:$Z$1644,1,'Commissioni De Angeli'!$AA$7:$AA$1644,2023,'Commissioni De Angeli'!$C$7:$C$1644,"metalinvest")</f>
        <v>0</v>
      </c>
      <c r="D44" s="86">
        <f>SUMIFS('Commissioni De Angeli'!$D$7:$D$1644,'Commissioni De Angeli'!$Z$7:$Z$1644,2,'Commissioni De Angeli'!$AA$7:$AA$1644,2023,'Commissioni De Angeli'!$C$7:$C$1644,"metalinvest")</f>
        <v>0</v>
      </c>
      <c r="E44" s="86">
        <f>SUMIFS('Commissioni De Angeli'!$D$7:$D$1644,'Commissioni De Angeli'!$Z$7:$Z$1644,3,'Commissioni De Angeli'!$AA$7:$AA$1644,2023,'Commissioni De Angeli'!$C$7:$C$1644,"metalinvest")</f>
        <v>0</v>
      </c>
      <c r="F44" s="86">
        <f>SUMIFS('Commissioni De Angeli'!$D$7:$D$1644,'Commissioni De Angeli'!$Z$7:$Z$1644,4,'Commissioni De Angeli'!$AA$7:$AA$1644,2023,'Commissioni De Angeli'!$C$7:$C$1644,"metalinvest")</f>
        <v>0</v>
      </c>
      <c r="G44" s="86">
        <f>SUMIFS('Commissioni De Angeli'!$D$7:$D$1644,'Commissioni De Angeli'!$Z$7:$Z$1644,5,'Commissioni De Angeli'!$AA$7:$AA$1644,2023,'Commissioni De Angeli'!$C$7:$C$1644,"metalinvest")</f>
        <v>0</v>
      </c>
      <c r="H44" s="86">
        <f>SUMIFS('Commissioni De Angeli'!$D$7:$D$1644,'Commissioni De Angeli'!$Z$7:$Z$1644,6,'Commissioni De Angeli'!$AA$7:$AA$1644,2023,'Commissioni De Angeli'!$C$7:$C$1644,"metalinvest")</f>
        <v>0</v>
      </c>
      <c r="I44" s="86">
        <f>SUMIFS('Commissioni De Angeli'!$D$7:$D$1644,'Commissioni De Angeli'!$Z$7:$Z$1644,7,'Commissioni De Angeli'!$AA$7:$AA$1644,2023,'Commissioni De Angeli'!$C$7:$C$1644,"metalinvest")</f>
        <v>0</v>
      </c>
      <c r="J44" s="86">
        <f>SUMIFS('Commissioni De Angeli'!$D$7:$D$1644,'Commissioni De Angeli'!$Z$7:$Z$1644,8,'Commissioni De Angeli'!$AA$7:$AA$1644,2023,'Commissioni De Angeli'!$C$7:$C$1644,"metalinvest")</f>
        <v>0</v>
      </c>
      <c r="K44" s="86">
        <f>SUMIFS('Commissioni De Angeli'!$D$7:$D$1644,'Commissioni De Angeli'!$Z$7:$Z$1644,9,'Commissioni De Angeli'!$AA$7:$AA$1644,2023,'Commissioni De Angeli'!$C$7:$C$1644,"metalinvest")</f>
        <v>0</v>
      </c>
      <c r="L44" s="86">
        <f>SUMIFS('Commissioni De Angeli'!$D$7:$D$1644,'Commissioni De Angeli'!$Z$7:$Z$1644,10,'Commissioni De Angeli'!$AA$7:$AA$1644,2023,'Commissioni De Angeli'!$C$7:$C$1644,"metalinvest")</f>
        <v>0</v>
      </c>
      <c r="M44" s="86">
        <f>SUMIFS('Commissioni De Angeli'!$D$7:$D$1644,'Commissioni De Angeli'!$Z$7:$Z$1644,11,'Commissioni De Angeli'!$AA$7:$AA$1644,2023,'Commissioni De Angeli'!$C$7:$C$1644,"metalinvest")</f>
        <v>0</v>
      </c>
      <c r="N44" s="87">
        <f>SUMIFS('Commissioni De Angeli'!$D$7:$D$1644,'Commissioni De Angeli'!$Z$7:$Z$1644,12,'Commissioni De Angeli'!$AA$7:$AA$1644,2023,'Commissioni De Angeli'!$C$7:$C$1644,"metalinvest")</f>
        <v>0</v>
      </c>
      <c r="O44" s="95">
        <f t="shared" si="0"/>
        <v>0</v>
      </c>
    </row>
    <row r="45" spans="2:15">
      <c r="B45" s="2" t="s">
        <v>97</v>
      </c>
      <c r="C45" s="85">
        <f>SUMIFS('Commissioni De Angeli'!$D$7:$D$1644,'Commissioni De Angeli'!$Z$7:$Z$1644,1,'Commissioni De Angeli'!$AA$7:$AA$1644,2023,'Commissioni De Angeli'!$C$7:$C$1644,"mime")</f>
        <v>0</v>
      </c>
      <c r="D45" s="86">
        <f>SUMIFS('Commissioni De Angeli'!$D$7:$D$1644,'Commissioni De Angeli'!$Z$7:$Z$1644,2,'Commissioni De Angeli'!$AA$7:$AA$1644,2023,'Commissioni De Angeli'!$C$7:$C$1644,"mime")</f>
        <v>0</v>
      </c>
      <c r="E45" s="86">
        <f>SUMIFS('Commissioni De Angeli'!$D$7:$D$1644,'Commissioni De Angeli'!$Z$7:$Z$1644,3,'Commissioni De Angeli'!$AA$7:$AA$1644,2023,'Commissioni De Angeli'!$C$7:$C$1644,"mime")</f>
        <v>0</v>
      </c>
      <c r="F45" s="86">
        <f>SUMIFS('Commissioni De Angeli'!$D$7:$D$1644,'Commissioni De Angeli'!$Z$7:$Z$1644,4,'Commissioni De Angeli'!$AA$7:$AA$1644,2023,'Commissioni De Angeli'!$C$7:$C$1644,"mime")</f>
        <v>0</v>
      </c>
      <c r="G45" s="86">
        <f>SUMIFS('Commissioni De Angeli'!$D$7:$D$1644,'Commissioni De Angeli'!$Z$7:$Z$1644,5,'Commissioni De Angeli'!$AA$7:$AA$1644,2023,'Commissioni De Angeli'!$C$7:$C$1644,"mime")</f>
        <v>0</v>
      </c>
      <c r="H45" s="86">
        <f>SUMIFS('Commissioni De Angeli'!$D$7:$D$1644,'Commissioni De Angeli'!$Z$7:$Z$1644,6,'Commissioni De Angeli'!$AA$7:$AA$1644,2023,'Commissioni De Angeli'!$C$7:$C$1644,"mime")</f>
        <v>0</v>
      </c>
      <c r="I45" s="86">
        <f>SUMIFS('Commissioni De Angeli'!$D$7:$D$1644,'Commissioni De Angeli'!$Z$7:$Z$1644,7,'Commissioni De Angeli'!$AA$7:$AA$1644,2023,'Commissioni De Angeli'!$C$7:$C$1644,"mime")</f>
        <v>0</v>
      </c>
      <c r="J45" s="86">
        <f>SUMIFS('Commissioni De Angeli'!$D$7:$D$1644,'Commissioni De Angeli'!$Z$7:$Z$1644,8,'Commissioni De Angeli'!$AA$7:$AA$1644,2023,'Commissioni De Angeli'!$C$7:$C$1644,"mime")</f>
        <v>0</v>
      </c>
      <c r="K45" s="86">
        <f>SUMIFS('Commissioni De Angeli'!$D$7:$D$1644,'Commissioni De Angeli'!$Z$7:$Z$1644,9,'Commissioni De Angeli'!$AA$7:$AA$1644,2023,'Commissioni De Angeli'!$C$7:$C$1644,"mime")</f>
        <v>0</v>
      </c>
      <c r="L45" s="86">
        <f>SUMIFS('Commissioni De Angeli'!$D$7:$D$1644,'Commissioni De Angeli'!$Z$7:$Z$1644,10,'Commissioni De Angeli'!$AA$7:$AA$1644,2023,'Commissioni De Angeli'!$C$7:$C$1644,"mime")</f>
        <v>0</v>
      </c>
      <c r="M45" s="86">
        <f>SUMIFS('Commissioni De Angeli'!$D$7:$D$1644,'Commissioni De Angeli'!$Z$7:$Z$1644,11,'Commissioni De Angeli'!$AA$7:$AA$1644,2023,'Commissioni De Angeli'!$C$7:$C$1644,"mime")</f>
        <v>0</v>
      </c>
      <c r="N45" s="87">
        <f>SUMIFS('Commissioni De Angeli'!$D$7:$D$1644,'Commissioni De Angeli'!$Z$7:$Z$1644,12,'Commissioni De Angeli'!$AA$7:$AA$1644,2023,'Commissioni De Angeli'!$C$7:$C$1644,"mime")</f>
        <v>0</v>
      </c>
      <c r="O45" s="95">
        <f t="shared" si="0"/>
        <v>0</v>
      </c>
    </row>
    <row r="46" spans="2:15">
      <c r="B46" s="2" t="s">
        <v>100</v>
      </c>
      <c r="C46" s="85">
        <f>SUMIFS('Commissioni De Angeli'!$D$7:$D$1644,'Commissioni De Angeli'!$Z$7:$Z$1644,1,'Commissioni De Angeli'!$AA$7:$AA$1644,2023,'Commissioni De Angeli'!$C$7:$C$1644,"msa")</f>
        <v>0</v>
      </c>
      <c r="D46" s="86">
        <f>SUMIFS('Commissioni De Angeli'!$D$7:$D$1644,'Commissioni De Angeli'!$Z$7:$Z$1644,2,'Commissioni De Angeli'!$AA$7:$AA$1644,2023,'Commissioni De Angeli'!$C$7:$C$1644,"msa")</f>
        <v>0</v>
      </c>
      <c r="E46" s="86">
        <f>SUMIFS('Commissioni De Angeli'!$D$7:$D$1644,'Commissioni De Angeli'!$Z$7:$Z$1644,3,'Commissioni De Angeli'!$AA$7:$AA$1644,2023,'Commissioni De Angeli'!$C$7:$C$1644,"msa")</f>
        <v>0</v>
      </c>
      <c r="F46" s="86">
        <f>SUMIFS('Commissioni De Angeli'!$D$7:$D$1644,'Commissioni De Angeli'!$Z$7:$Z$1644,4,'Commissioni De Angeli'!$AA$7:$AA$1644,2023,'Commissioni De Angeli'!$C$7:$C$1644,"msa")</f>
        <v>0</v>
      </c>
      <c r="G46" s="86">
        <f>SUMIFS('Commissioni De Angeli'!$D$7:$D$1644,'Commissioni De Angeli'!$Z$7:$Z$1644,5,'Commissioni De Angeli'!$AA$7:$AA$1644,2023,'Commissioni De Angeli'!$C$7:$C$1644,"msa")</f>
        <v>0</v>
      </c>
      <c r="H46" s="86">
        <f>SUMIFS('Commissioni De Angeli'!$D$7:$D$1644,'Commissioni De Angeli'!$Z$7:$Z$1644,6,'Commissioni De Angeli'!$AA$7:$AA$1644,2023,'Commissioni De Angeli'!$C$7:$C$1644,"msa")</f>
        <v>0</v>
      </c>
      <c r="I46" s="86">
        <f>SUMIFS('Commissioni De Angeli'!$D$7:$D$1644,'Commissioni De Angeli'!$Z$7:$Z$1644,7,'Commissioni De Angeli'!$AA$7:$AA$1644,2023,'Commissioni De Angeli'!$C$7:$C$1644,"msa")</f>
        <v>0</v>
      </c>
      <c r="J46" s="86">
        <f>SUMIFS('Commissioni De Angeli'!$D$7:$D$1644,'Commissioni De Angeli'!$Z$7:$Z$1644,8,'Commissioni De Angeli'!$AA$7:$AA$1644,2023,'Commissioni De Angeli'!$C$7:$C$1644,"msa")</f>
        <v>0</v>
      </c>
      <c r="K46" s="86">
        <f>SUMIFS('Commissioni De Angeli'!$D$7:$D$1644,'Commissioni De Angeli'!$Z$7:$Z$1644,9,'Commissioni De Angeli'!$AA$7:$AA$1644,2023,'Commissioni De Angeli'!$C$7:$C$1644,"msa")</f>
        <v>0</v>
      </c>
      <c r="L46" s="86">
        <f>SUMIFS('Commissioni De Angeli'!$D$7:$D$1644,'Commissioni De Angeli'!$Z$7:$Z$1644,10,'Commissioni De Angeli'!$AA$7:$AA$1644,2023,'Commissioni De Angeli'!$C$7:$C$1644,"msa")</f>
        <v>0</v>
      </c>
      <c r="M46" s="86">
        <f>SUMIFS('Commissioni De Angeli'!$D$7:$D$1644,'Commissioni De Angeli'!$Z$7:$Z$1644,11,'Commissioni De Angeli'!$AA$7:$AA$1644,2023,'Commissioni De Angeli'!$C$7:$C$1644,"msa")</f>
        <v>0</v>
      </c>
      <c r="N46" s="87">
        <f>SUMIFS('Commissioni De Angeli'!$D$7:$D$1644,'Commissioni De Angeli'!$Z$7:$Z$1644,12,'Commissioni De Angeli'!$AA$7:$AA$1644,2023,'Commissioni De Angeli'!$C$7:$C$1644,"msa")</f>
        <v>0</v>
      </c>
      <c r="O46" s="95">
        <f t="shared" si="0"/>
        <v>0</v>
      </c>
    </row>
    <row r="47" spans="2:15">
      <c r="B47" s="2" t="s">
        <v>75</v>
      </c>
      <c r="C47" s="85">
        <f>SUMIFS('Commissioni De Angeli'!$D$7:$D$1644,'Commissioni De Angeli'!$Z$7:$Z$1644,1,'Commissioni De Angeli'!$AA$7:$AA$1644,2023,'Commissioni De Angeli'!$C$7:$C$1644,"newton")</f>
        <v>0</v>
      </c>
      <c r="D47" s="86">
        <f>SUMIFS('Commissioni De Angeli'!$D$7:$D$1644,'Commissioni De Angeli'!$Z$7:$Z$1644,2,'Commissioni De Angeli'!$AA$7:$AA$1644,2023,'Commissioni De Angeli'!$C$7:$C$1644,"newton")</f>
        <v>0</v>
      </c>
      <c r="E47" s="86">
        <f>SUMIFS('Commissioni De Angeli'!$D$7:$D$1644,'Commissioni De Angeli'!$Z$7:$Z$1644,3,'Commissioni De Angeli'!$AA$7:$AA$1644,2023,'Commissioni De Angeli'!$C$7:$C$1644,"newton")</f>
        <v>0</v>
      </c>
      <c r="F47" s="86">
        <f>SUMIFS('Commissioni De Angeli'!$D$7:$D$1644,'Commissioni De Angeli'!$Z$7:$Z$1644,4,'Commissioni De Angeli'!$AA$7:$AA$1644,2023,'Commissioni De Angeli'!$C$7:$C$1644,"newton")</f>
        <v>0</v>
      </c>
      <c r="G47" s="86">
        <f>SUMIFS('Commissioni De Angeli'!$D$7:$D$1644,'Commissioni De Angeli'!$Z$7:$Z$1644,5,'Commissioni De Angeli'!$AA$7:$AA$1644,2023,'Commissioni De Angeli'!$C$7:$C$1644,"newton")</f>
        <v>0</v>
      </c>
      <c r="H47" s="86">
        <f>SUMIFS('Commissioni De Angeli'!$D$7:$D$1644,'Commissioni De Angeli'!$Z$7:$Z$1644,6,'Commissioni De Angeli'!$AA$7:$AA$1644,2023,'Commissioni De Angeli'!$C$7:$C$1644,"newton")</f>
        <v>0</v>
      </c>
      <c r="I47" s="86">
        <f>SUMIFS('Commissioni De Angeli'!$D$7:$D$1644,'Commissioni De Angeli'!$Z$7:$Z$1644,7,'Commissioni De Angeli'!$AA$7:$AA$1644,2023,'Commissioni De Angeli'!$C$7:$C$1644,"newton")</f>
        <v>0</v>
      </c>
      <c r="J47" s="86">
        <f>SUMIFS('Commissioni De Angeli'!$D$7:$D$1644,'Commissioni De Angeli'!$Z$7:$Z$1644,8,'Commissioni De Angeli'!$AA$7:$AA$1644,2023,'Commissioni De Angeli'!$C$7:$C$1644,"newton")</f>
        <v>0</v>
      </c>
      <c r="K47" s="86">
        <f>SUMIFS('Commissioni De Angeli'!$D$7:$D$1644,'Commissioni De Angeli'!$Z$7:$Z$1644,9,'Commissioni De Angeli'!$AA$7:$AA$1644,2023,'Commissioni De Angeli'!$C$7:$C$1644,"newton")</f>
        <v>0</v>
      </c>
      <c r="L47" s="86">
        <f>SUMIFS('Commissioni De Angeli'!$D$7:$D$1644,'Commissioni De Angeli'!$Z$7:$Z$1644,10,'Commissioni De Angeli'!$AA$7:$AA$1644,2023,'Commissioni De Angeli'!$C$7:$C$1644,"newton")</f>
        <v>0</v>
      </c>
      <c r="M47" s="86">
        <f>SUMIFS('Commissioni De Angeli'!$D$7:$D$1644,'Commissioni De Angeli'!$Z$7:$Z$1644,11,'Commissioni De Angeli'!$AA$7:$AA$1644,2023,'Commissioni De Angeli'!$C$7:$C$1644,"newton")</f>
        <v>0</v>
      </c>
      <c r="N47" s="87">
        <f>SUMIFS('Commissioni De Angeli'!$D$7:$D$1644,'Commissioni De Angeli'!$Z$7:$Z$1644,12,'Commissioni De Angeli'!$AA$7:$AA$1644,2023,'Commissioni De Angeli'!$C$7:$C$1644,"newton")</f>
        <v>0</v>
      </c>
      <c r="O47" s="95">
        <f t="shared" si="0"/>
        <v>0</v>
      </c>
    </row>
    <row r="48" spans="2:15">
      <c r="B48" s="2" t="s">
        <v>74</v>
      </c>
      <c r="C48" s="85">
        <f>SUMIFS('Commissioni De Angeli'!$D$7:$D$1644,'Commissioni De Angeli'!$Z$7:$Z$1644,1,'Commissioni De Angeli'!$AA$7:$AA$1644,2023,'Commissioni De Angeli'!$C$7:$C$1644,"ocrem")</f>
        <v>0</v>
      </c>
      <c r="D48" s="86">
        <f>SUMIFS('Commissioni De Angeli'!$D$7:$D$1644,'Commissioni De Angeli'!$Z$7:$Z$1644,2,'Commissioni De Angeli'!$AA$7:$AA$1644,2023,'Commissioni De Angeli'!$C$7:$C$1644,"ocrem")</f>
        <v>0</v>
      </c>
      <c r="E48" s="86">
        <f>SUMIFS('Commissioni De Angeli'!$D$7:$D$1644,'Commissioni De Angeli'!$Z$7:$Z$1644,3,'Commissioni De Angeli'!$AA$7:$AA$1644,2023,'Commissioni De Angeli'!$C$7:$C$1644,"ocrem")</f>
        <v>0</v>
      </c>
      <c r="F48" s="86">
        <f>SUMIFS('Commissioni De Angeli'!$D$7:$D$1644,'Commissioni De Angeli'!$Z$7:$Z$1644,4,'Commissioni De Angeli'!$AA$7:$AA$1644,2023,'Commissioni De Angeli'!$C$7:$C$1644,"ocrem")</f>
        <v>0</v>
      </c>
      <c r="G48" s="86">
        <f>SUMIFS('Commissioni De Angeli'!$D$7:$D$1644,'Commissioni De Angeli'!$Z$7:$Z$1644,5,'Commissioni De Angeli'!$AA$7:$AA$1644,2023,'Commissioni De Angeli'!$C$7:$C$1644,"ocrem")</f>
        <v>0</v>
      </c>
      <c r="H48" s="86">
        <f>SUMIFS('Commissioni De Angeli'!$D$7:$D$1644,'Commissioni De Angeli'!$Z$7:$Z$1644,6,'Commissioni De Angeli'!$AA$7:$AA$1644,2023,'Commissioni De Angeli'!$C$7:$C$1644,"ocrem")</f>
        <v>0</v>
      </c>
      <c r="I48" s="86">
        <f>SUMIFS('Commissioni De Angeli'!$D$7:$D$1644,'Commissioni De Angeli'!$Z$7:$Z$1644,7,'Commissioni De Angeli'!$AA$7:$AA$1644,2023,'Commissioni De Angeli'!$C$7:$C$1644,"ocrem")</f>
        <v>0</v>
      </c>
      <c r="J48" s="86">
        <f>SUMIFS('Commissioni De Angeli'!$D$7:$D$1644,'Commissioni De Angeli'!$Z$7:$Z$1644,8,'Commissioni De Angeli'!$AA$7:$AA$1644,2023,'Commissioni De Angeli'!$C$7:$C$1644,"ocrem")</f>
        <v>0</v>
      </c>
      <c r="K48" s="86">
        <f>SUMIFS('Commissioni De Angeli'!$D$7:$D$1644,'Commissioni De Angeli'!$Z$7:$Z$1644,9,'Commissioni De Angeli'!$AA$7:$AA$1644,2023,'Commissioni De Angeli'!$C$7:$C$1644,"ocrem")</f>
        <v>0</v>
      </c>
      <c r="L48" s="86">
        <f>SUMIFS('Commissioni De Angeli'!$D$7:$D$1644,'Commissioni De Angeli'!$Z$7:$Z$1644,10,'Commissioni De Angeli'!$AA$7:$AA$1644,2023,'Commissioni De Angeli'!$C$7:$C$1644,"ocrem")</f>
        <v>0</v>
      </c>
      <c r="M48" s="86">
        <f>SUMIFS('Commissioni De Angeli'!$D$7:$D$1644,'Commissioni De Angeli'!$Z$7:$Z$1644,11,'Commissioni De Angeli'!$AA$7:$AA$1644,2023,'Commissioni De Angeli'!$C$7:$C$1644,"ocrem")</f>
        <v>0</v>
      </c>
      <c r="N48" s="87">
        <f>SUMIFS('Commissioni De Angeli'!$D$7:$D$1644,'Commissioni De Angeli'!$Z$7:$Z$1644,12,'Commissioni De Angeli'!$AA$7:$AA$1644,2023,'Commissioni De Angeli'!$C$7:$C$1644,"ocrem")</f>
        <v>0</v>
      </c>
      <c r="O48" s="95">
        <f t="shared" si="0"/>
        <v>0</v>
      </c>
    </row>
    <row r="49" spans="2:15">
      <c r="B49" s="2" t="s">
        <v>47</v>
      </c>
      <c r="C49" s="85">
        <f>SUMIFS('Commissioni De Angeli'!$D$7:$D$1644,'Commissioni De Angeli'!$Z$7:$Z$1644,1,'Commissioni De Angeli'!$AA$7:$AA$1644,2023,'Commissioni De Angeli'!$C$7:$C$1644,"omis")</f>
        <v>0</v>
      </c>
      <c r="D49" s="86">
        <f>SUMIFS('Commissioni De Angeli'!$D$7:$D$1644,'Commissioni De Angeli'!$Z$7:$Z$1644,2,'Commissioni De Angeli'!$AA$7:$AA$1644,2023,'Commissioni De Angeli'!$C$7:$C$1644,"omis")</f>
        <v>0</v>
      </c>
      <c r="E49" s="86">
        <f>SUMIFS('Commissioni De Angeli'!$D$7:$D$1644,'Commissioni De Angeli'!$Z$7:$Z$1644,3,'Commissioni De Angeli'!$AA$7:$AA$1644,2023,'Commissioni De Angeli'!$C$7:$C$1644,"omis")</f>
        <v>0</v>
      </c>
      <c r="F49" s="86">
        <f>SUMIFS('Commissioni De Angeli'!$D$7:$D$1644,'Commissioni De Angeli'!$Z$7:$Z$1644,4,'Commissioni De Angeli'!$AA$7:$AA$1644,2023,'Commissioni De Angeli'!$C$7:$C$1644,"omis")</f>
        <v>0</v>
      </c>
      <c r="G49" s="86">
        <f>SUMIFS('Commissioni De Angeli'!$D$7:$D$1644,'Commissioni De Angeli'!$Z$7:$Z$1644,5,'Commissioni De Angeli'!$AA$7:$AA$1644,2023,'Commissioni De Angeli'!$C$7:$C$1644,"omis")</f>
        <v>0</v>
      </c>
      <c r="H49" s="86">
        <f>SUMIFS('Commissioni De Angeli'!$D$7:$D$1644,'Commissioni De Angeli'!$Z$7:$Z$1644,6,'Commissioni De Angeli'!$AA$7:$AA$1644,2023,'Commissioni De Angeli'!$C$7:$C$1644,"omis")</f>
        <v>0</v>
      </c>
      <c r="I49" s="86">
        <f>SUMIFS('Commissioni De Angeli'!$D$7:$D$1644,'Commissioni De Angeli'!$Z$7:$Z$1644,7,'Commissioni De Angeli'!$AA$7:$AA$1644,2023,'Commissioni De Angeli'!$C$7:$C$1644,"omis")</f>
        <v>0</v>
      </c>
      <c r="J49" s="86">
        <f>SUMIFS('Commissioni De Angeli'!$D$7:$D$1644,'Commissioni De Angeli'!$Z$7:$Z$1644,8,'Commissioni De Angeli'!$AA$7:$AA$1644,2023,'Commissioni De Angeli'!$C$7:$C$1644,"omis")</f>
        <v>0</v>
      </c>
      <c r="K49" s="86">
        <f>SUMIFS('Commissioni De Angeli'!$D$7:$D$1644,'Commissioni De Angeli'!$Z$7:$Z$1644,9,'Commissioni De Angeli'!$AA$7:$AA$1644,2023,'Commissioni De Angeli'!$C$7:$C$1644,"omis")</f>
        <v>0</v>
      </c>
      <c r="L49" s="86">
        <f>SUMIFS('Commissioni De Angeli'!$D$7:$D$1644,'Commissioni De Angeli'!$Z$7:$Z$1644,10,'Commissioni De Angeli'!$AA$7:$AA$1644,2023,'Commissioni De Angeli'!$C$7:$C$1644,"omis")</f>
        <v>0</v>
      </c>
      <c r="M49" s="86">
        <f>SUMIFS('Commissioni De Angeli'!$D$7:$D$1644,'Commissioni De Angeli'!$Z$7:$Z$1644,11,'Commissioni De Angeli'!$AA$7:$AA$1644,2023,'Commissioni De Angeli'!$C$7:$C$1644,"omis")</f>
        <v>0</v>
      </c>
      <c r="N49" s="87">
        <f>SUMIFS('Commissioni De Angeli'!$D$7:$D$1644,'Commissioni De Angeli'!$Z$7:$Z$1644,12,'Commissioni De Angeli'!$AA$7:$AA$1644,2023,'Commissioni De Angeli'!$C$7:$C$1644,"omis")</f>
        <v>0</v>
      </c>
      <c r="O49" s="95">
        <f t="shared" si="0"/>
        <v>0</v>
      </c>
    </row>
    <row r="50" spans="2:15">
      <c r="B50" s="2" t="s">
        <v>147</v>
      </c>
      <c r="C50" s="85">
        <f>SUMIFS('Commissioni De Angeli'!$D$7:$D$1644,'Commissioni De Angeli'!$Z$7:$Z$1644,1,'Commissioni De Angeli'!$AA$7:$AA$1644,2023,'Commissioni De Angeli'!$C$7:$C$1644,"ortea")</f>
        <v>0</v>
      </c>
      <c r="D50" s="86">
        <f>SUMIFS('Commissioni De Angeli'!$D$7:$D$1644,'Commissioni De Angeli'!$Z$7:$Z$1644,2,'Commissioni De Angeli'!$AA$7:$AA$1644,2023,'Commissioni De Angeli'!$C$7:$C$1644,"ortea")</f>
        <v>0</v>
      </c>
      <c r="E50" s="86">
        <f>SUMIFS('Commissioni De Angeli'!$D$7:$D$1644,'Commissioni De Angeli'!$Z$7:$Z$1644,3,'Commissioni De Angeli'!$AA$7:$AA$1644,2023,'Commissioni De Angeli'!$C$7:$C$1644,"ortea")</f>
        <v>0</v>
      </c>
      <c r="F50" s="86">
        <f>SUMIFS('Commissioni De Angeli'!$D$7:$D$1644,'Commissioni De Angeli'!$Z$7:$Z$1644,4,'Commissioni De Angeli'!$AA$7:$AA$1644,2023,'Commissioni De Angeli'!$C$7:$C$1644,"ortea")</f>
        <v>0</v>
      </c>
      <c r="G50" s="86">
        <f>SUMIFS('Commissioni De Angeli'!$D$7:$D$1644,'Commissioni De Angeli'!$Z$7:$Z$1644,5,'Commissioni De Angeli'!$AA$7:$AA$1644,2023,'Commissioni De Angeli'!$C$7:$C$1644,"ortea")</f>
        <v>0</v>
      </c>
      <c r="H50" s="86">
        <f>SUMIFS('Commissioni De Angeli'!$D$7:$D$1644,'Commissioni De Angeli'!$Z$7:$Z$1644,6,'Commissioni De Angeli'!$AA$7:$AA$1644,2023,'Commissioni De Angeli'!$C$7:$C$1644,"ortea")</f>
        <v>0</v>
      </c>
      <c r="I50" s="86">
        <f>SUMIFS('Commissioni De Angeli'!$D$7:$D$1644,'Commissioni De Angeli'!$Z$7:$Z$1644,7,'Commissioni De Angeli'!$AA$7:$AA$1644,2023,'Commissioni De Angeli'!$C$7:$C$1644,"ortea")</f>
        <v>0</v>
      </c>
      <c r="J50" s="86">
        <f>SUMIFS('Commissioni De Angeli'!$D$7:$D$1644,'Commissioni De Angeli'!$Z$7:$Z$1644,8,'Commissioni De Angeli'!$AA$7:$AA$1644,2023,'Commissioni De Angeli'!$C$7:$C$1644,"ortea")</f>
        <v>0</v>
      </c>
      <c r="K50" s="86">
        <f>SUMIFS('Commissioni De Angeli'!$D$7:$D$1644,'Commissioni De Angeli'!$Z$7:$Z$1644,9,'Commissioni De Angeli'!$AA$7:$AA$1644,2023,'Commissioni De Angeli'!$C$7:$C$1644,"ortea")</f>
        <v>0</v>
      </c>
      <c r="L50" s="86">
        <f>SUMIFS('Commissioni De Angeli'!$D$7:$D$1644,'Commissioni De Angeli'!$Z$7:$Z$1644,10,'Commissioni De Angeli'!$AA$7:$AA$1644,2023,'Commissioni De Angeli'!$C$7:$C$1644,"ortea")</f>
        <v>0</v>
      </c>
      <c r="M50" s="86">
        <f>SUMIFS('Commissioni De Angeli'!$D$7:$D$1644,'Commissioni De Angeli'!$Z$7:$Z$1644,11,'Commissioni De Angeli'!$AA$7:$AA$1644,2023,'Commissioni De Angeli'!$C$7:$C$1644,"ortea")</f>
        <v>0</v>
      </c>
      <c r="N50" s="87">
        <f>SUMIFS('Commissioni De Angeli'!$D$7:$D$1644,'Commissioni De Angeli'!$Z$7:$Z$1644,12,'Commissioni De Angeli'!$AA$7:$AA$1644,2023,'Commissioni De Angeli'!$C$7:$C$1644,"ortea")</f>
        <v>0</v>
      </c>
      <c r="O50" s="95">
        <f>SUM(C50:N50)</f>
        <v>0</v>
      </c>
    </row>
    <row r="51" spans="2:15">
      <c r="B51" s="2" t="s">
        <v>66</v>
      </c>
      <c r="C51" s="85">
        <f>SUMIFS('Commissioni De Angeli'!$D$7:$D$1644,'Commissioni De Angeli'!$Z$7:$Z$1644,1,'Commissioni De Angeli'!$AA$7:$AA$1644,2023,'Commissioni De Angeli'!$C$7:$C$1644,"pizzamiglio")</f>
        <v>0</v>
      </c>
      <c r="D51" s="86">
        <f>SUMIFS('Commissioni De Angeli'!$D$7:$D$1644,'Commissioni De Angeli'!$Z$7:$Z$1644,2,'Commissioni De Angeli'!$AA$7:$AA$1644,2023,'Commissioni De Angeli'!$C$7:$C$1644,"pizzamiglio")</f>
        <v>0</v>
      </c>
      <c r="E51" s="86">
        <f>SUMIFS('Commissioni De Angeli'!$D$7:$D$1644,'Commissioni De Angeli'!$Z$7:$Z$1644,3,'Commissioni De Angeli'!$AA$7:$AA$1644,2023,'Commissioni De Angeli'!$C$7:$C$1644,"pizzamiglio")</f>
        <v>0</v>
      </c>
      <c r="F51" s="86">
        <f>SUMIFS('Commissioni De Angeli'!$D$7:$D$1644,'Commissioni De Angeli'!$Z$7:$Z$1644,4,'Commissioni De Angeli'!$AA$7:$AA$1644,2023,'Commissioni De Angeli'!$C$7:$C$1644,"pizzamiglio")</f>
        <v>0</v>
      </c>
      <c r="G51" s="86">
        <f>SUMIFS('Commissioni De Angeli'!$D$7:$D$1644,'Commissioni De Angeli'!$Z$7:$Z$1644,5,'Commissioni De Angeli'!$AA$7:$AA$1644,2023,'Commissioni De Angeli'!$C$7:$C$1644,"pizzamiglio")</f>
        <v>0</v>
      </c>
      <c r="H51" s="86">
        <f>SUMIFS('Commissioni De Angeli'!$D$7:$D$1644,'Commissioni De Angeli'!$Z$7:$Z$1644,6,'Commissioni De Angeli'!$AA$7:$AA$1644,2023,'Commissioni De Angeli'!$C$7:$C$1644,"pizzamiglio")</f>
        <v>0</v>
      </c>
      <c r="I51" s="86">
        <f>SUMIFS('Commissioni De Angeli'!$D$7:$D$1644,'Commissioni De Angeli'!$Z$7:$Z$1644,7,'Commissioni De Angeli'!$AA$7:$AA$1644,2023,'Commissioni De Angeli'!$C$7:$C$1644,"pizzamiglio")</f>
        <v>0</v>
      </c>
      <c r="J51" s="86">
        <f>SUMIFS('Commissioni De Angeli'!$D$7:$D$1644,'Commissioni De Angeli'!$Z$7:$Z$1644,8,'Commissioni De Angeli'!$AA$7:$AA$1644,2023,'Commissioni De Angeli'!$C$7:$C$1644,"pizzamiglio")</f>
        <v>0</v>
      </c>
      <c r="K51" s="86">
        <f>SUMIFS('Commissioni De Angeli'!$D$7:$D$1644,'Commissioni De Angeli'!$Z$7:$Z$1644,9,'Commissioni De Angeli'!$AA$7:$AA$1644,2023,'Commissioni De Angeli'!$C$7:$C$1644,"pizzamiglio")</f>
        <v>0</v>
      </c>
      <c r="L51" s="86">
        <f>SUMIFS('Commissioni De Angeli'!$D$7:$D$1644,'Commissioni De Angeli'!$Z$7:$Z$1644,10,'Commissioni De Angeli'!$AA$7:$AA$1644,2023,'Commissioni De Angeli'!$C$7:$C$1644,"pizzamiglio")</f>
        <v>0</v>
      </c>
      <c r="M51" s="86">
        <f>SUMIFS('Commissioni De Angeli'!$D$7:$D$1644,'Commissioni De Angeli'!$Z$7:$Z$1644,11,'Commissioni De Angeli'!$AA$7:$AA$1644,2023,'Commissioni De Angeli'!$C$7:$C$1644,"pizzamiglio")</f>
        <v>0</v>
      </c>
      <c r="N51" s="87">
        <f>SUMIFS('Commissioni De Angeli'!$D$7:$D$1644,'Commissioni De Angeli'!$Z$7:$Z$1644,12,'Commissioni De Angeli'!$AA$7:$AA$1644,2023,'Commissioni De Angeli'!$C$7:$C$1644,"pizzamiglio")</f>
        <v>0</v>
      </c>
      <c r="O51" s="95">
        <f t="shared" si="0"/>
        <v>0</v>
      </c>
    </row>
    <row r="52" spans="2:15">
      <c r="B52" s="2" t="s">
        <v>48</v>
      </c>
      <c r="C52" s="85">
        <f>SUMIFS('Commissioni De Angeli'!$D$7:$D$1644,'Commissioni De Angeli'!$Z$7:$Z$1644,1,'Commissioni De Angeli'!$AA$7:$AA$1644,2023,'Commissioni De Angeli'!$C$7:$C$1644,"rema")</f>
        <v>0</v>
      </c>
      <c r="D52" s="86">
        <f>SUMIFS('Commissioni De Angeli'!$D$7:$D$1644,'Commissioni De Angeli'!$Z$7:$Z$1644,2,'Commissioni De Angeli'!$AA$7:$AA$1644,2023,'Commissioni De Angeli'!$C$7:$C$1644,"rema")</f>
        <v>0</v>
      </c>
      <c r="E52" s="86">
        <f>SUMIFS('Commissioni De Angeli'!$D$7:$D$1644,'Commissioni De Angeli'!$Z$7:$Z$1644,3,'Commissioni De Angeli'!$AA$7:$AA$1644,2023,'Commissioni De Angeli'!$C$7:$C$1644,"rema")</f>
        <v>0</v>
      </c>
      <c r="F52" s="86">
        <f>SUMIFS('Commissioni De Angeli'!$D$7:$D$1644,'Commissioni De Angeli'!$Z$7:$Z$1644,4,'Commissioni De Angeli'!$AA$7:$AA$1644,2023,'Commissioni De Angeli'!$C$7:$C$1644,"rema")</f>
        <v>0</v>
      </c>
      <c r="G52" s="86">
        <f>SUMIFS('Commissioni De Angeli'!$D$7:$D$1644,'Commissioni De Angeli'!$Z$7:$Z$1644,5,'Commissioni De Angeli'!$AA$7:$AA$1644,2023,'Commissioni De Angeli'!$C$7:$C$1644,"rema")</f>
        <v>0</v>
      </c>
      <c r="H52" s="86">
        <f>SUMIFS('Commissioni De Angeli'!$D$7:$D$1644,'Commissioni De Angeli'!$Z$7:$Z$1644,6,'Commissioni De Angeli'!$AA$7:$AA$1644,2023,'Commissioni De Angeli'!$C$7:$C$1644,"rema")</f>
        <v>0</v>
      </c>
      <c r="I52" s="86">
        <f>SUMIFS('Commissioni De Angeli'!$D$7:$D$1644,'Commissioni De Angeli'!$Z$7:$Z$1644,7,'Commissioni De Angeli'!$AA$7:$AA$1644,2023,'Commissioni De Angeli'!$C$7:$C$1644,"rema")</f>
        <v>0</v>
      </c>
      <c r="J52" s="86">
        <f>SUMIFS('Commissioni De Angeli'!$D$7:$D$1644,'Commissioni De Angeli'!$Z$7:$Z$1644,8,'Commissioni De Angeli'!$AA$7:$AA$1644,2023,'Commissioni De Angeli'!$C$7:$C$1644,"rema")</f>
        <v>0</v>
      </c>
      <c r="K52" s="86">
        <f>SUMIFS('Commissioni De Angeli'!$D$7:$D$1644,'Commissioni De Angeli'!$Z$7:$Z$1644,9,'Commissioni De Angeli'!$AA$7:$AA$1644,2023,'Commissioni De Angeli'!$C$7:$C$1644,"rema")</f>
        <v>0</v>
      </c>
      <c r="L52" s="86">
        <f>SUMIFS('Commissioni De Angeli'!$D$7:$D$1644,'Commissioni De Angeli'!$Z$7:$Z$1644,10,'Commissioni De Angeli'!$AA$7:$AA$1644,2023,'Commissioni De Angeli'!$C$7:$C$1644,"rema")</f>
        <v>0</v>
      </c>
      <c r="M52" s="86">
        <f>SUMIFS('Commissioni De Angeli'!$D$7:$D$1644,'Commissioni De Angeli'!$Z$7:$Z$1644,11,'Commissioni De Angeli'!$AA$7:$AA$1644,2023,'Commissioni De Angeli'!$C$7:$C$1644,"rema")</f>
        <v>0</v>
      </c>
      <c r="N52" s="87">
        <f>SUMIFS('Commissioni De Angeli'!$D$7:$D$1644,'Commissioni De Angeli'!$Z$7:$Z$1644,12,'Commissioni De Angeli'!$AA$7:$AA$1644,2023,'Commissioni De Angeli'!$C$7:$C$1644,"rema")</f>
        <v>0</v>
      </c>
      <c r="O52" s="95">
        <f t="shared" si="0"/>
        <v>0</v>
      </c>
    </row>
    <row r="53" spans="2:15">
      <c r="B53" s="2" t="s">
        <v>106</v>
      </c>
      <c r="C53" s="85">
        <f>SUMIFS('Commissioni De Angeli'!$D$7:$D$1644,'Commissioni De Angeli'!$Z$7:$Z$1644,1,'Commissioni De Angeli'!$AA$7:$AA$1644,2023,'Commissioni De Angeli'!$C$7:$C$1644,"saer")</f>
        <v>0</v>
      </c>
      <c r="D53" s="86">
        <f>SUMIFS('Commissioni De Angeli'!$D$7:$D$1644,'Commissioni De Angeli'!$Z$7:$Z$1644,2,'Commissioni De Angeli'!$AA$7:$AA$1644,2023,'Commissioni De Angeli'!$C$7:$C$1644,"saer")</f>
        <v>0</v>
      </c>
      <c r="E53" s="86">
        <f>SUMIFS('Commissioni De Angeli'!$D$7:$D$1644,'Commissioni De Angeli'!$Z$7:$Z$1644,3,'Commissioni De Angeli'!$AA$7:$AA$1644,2023,'Commissioni De Angeli'!$C$7:$C$1644,"saer")</f>
        <v>0</v>
      </c>
      <c r="F53" s="86">
        <f>SUMIFS('Commissioni De Angeli'!$D$7:$D$1644,'Commissioni De Angeli'!$Z$7:$Z$1644,4,'Commissioni De Angeli'!$AA$7:$AA$1644,2023,'Commissioni De Angeli'!$C$7:$C$1644,"saer")</f>
        <v>0</v>
      </c>
      <c r="G53" s="86">
        <f>SUMIFS('Commissioni De Angeli'!$D$7:$D$1644,'Commissioni De Angeli'!$Z$7:$Z$1644,5,'Commissioni De Angeli'!$AA$7:$AA$1644,2023,'Commissioni De Angeli'!$C$7:$C$1644,"saer")</f>
        <v>0</v>
      </c>
      <c r="H53" s="86">
        <f>SUMIFS('Commissioni De Angeli'!$D$7:$D$1644,'Commissioni De Angeli'!$Z$7:$Z$1644,6,'Commissioni De Angeli'!$AA$7:$AA$1644,2023,'Commissioni De Angeli'!$C$7:$C$1644,"saer")</f>
        <v>0</v>
      </c>
      <c r="I53" s="86">
        <f>SUMIFS('Commissioni De Angeli'!$D$7:$D$1644,'Commissioni De Angeli'!$Z$7:$Z$1644,7,'Commissioni De Angeli'!$AA$7:$AA$1644,2023,'Commissioni De Angeli'!$C$7:$C$1644,"saer")</f>
        <v>0</v>
      </c>
      <c r="J53" s="86">
        <f>SUMIFS('Commissioni De Angeli'!$D$7:$D$1644,'Commissioni De Angeli'!$Z$7:$Z$1644,8,'Commissioni De Angeli'!$AA$7:$AA$1644,2023,'Commissioni De Angeli'!$C$7:$C$1644,"saer")</f>
        <v>0</v>
      </c>
      <c r="K53" s="86">
        <f>SUMIFS('Commissioni De Angeli'!$D$7:$D$1644,'Commissioni De Angeli'!$Z$7:$Z$1644,9,'Commissioni De Angeli'!$AA$7:$AA$1644,2023,'Commissioni De Angeli'!$C$7:$C$1644,"saer")</f>
        <v>0</v>
      </c>
      <c r="L53" s="86">
        <f>SUMIFS('Commissioni De Angeli'!$D$7:$D$1644,'Commissioni De Angeli'!$Z$7:$Z$1644,10,'Commissioni De Angeli'!$AA$7:$AA$1644,2023,'Commissioni De Angeli'!$C$7:$C$1644,"saer")</f>
        <v>0</v>
      </c>
      <c r="M53" s="86">
        <f>SUMIFS('Commissioni De Angeli'!$D$7:$D$1644,'Commissioni De Angeli'!$Z$7:$Z$1644,11,'Commissioni De Angeli'!$AA$7:$AA$1644,2023,'Commissioni De Angeli'!$C$7:$C$1644,"saer")</f>
        <v>0</v>
      </c>
      <c r="N53" s="87">
        <f>SUMIFS('Commissioni De Angeli'!$D$7:$D$1644,'Commissioni De Angeli'!$Z$7:$Z$1644,12,'Commissioni De Angeli'!$AA$7:$AA$1644,2023,'Commissioni De Angeli'!$C$7:$C$1644,"saer")</f>
        <v>0</v>
      </c>
      <c r="O53" s="95">
        <f t="shared" si="0"/>
        <v>0</v>
      </c>
    </row>
    <row r="54" spans="2:15">
      <c r="B54" s="2" t="s">
        <v>87</v>
      </c>
      <c r="C54" s="85">
        <f>SUMIFS('Commissioni De Angeli'!$D$7:$D$1644,'Commissioni De Angeli'!$Z$7:$Z$1644,1,'Commissioni De Angeli'!$AA$7:$AA$1644,2023,'Commissioni De Angeli'!$C$7:$C$1644,"scame")</f>
        <v>0</v>
      </c>
      <c r="D54" s="86">
        <f>SUMIFS('Commissioni De Angeli'!$D$7:$D$1644,'Commissioni De Angeli'!$Z$7:$Z$1644,2,'Commissioni De Angeli'!$AA$7:$AA$1644,2023,'Commissioni De Angeli'!$C$7:$C$1644,"scame")</f>
        <v>0</v>
      </c>
      <c r="E54" s="86">
        <f>SUMIFS('Commissioni De Angeli'!$D$7:$D$1644,'Commissioni De Angeli'!$Z$7:$Z$1644,3,'Commissioni De Angeli'!$AA$7:$AA$1644,2023,'Commissioni De Angeli'!$C$7:$C$1644,"scame")</f>
        <v>0</v>
      </c>
      <c r="F54" s="86">
        <f>SUMIFS('Commissioni De Angeli'!$D$7:$D$1644,'Commissioni De Angeli'!$Z$7:$Z$1644,4,'Commissioni De Angeli'!$AA$7:$AA$1644,2023,'Commissioni De Angeli'!$C$7:$C$1644,"scame")</f>
        <v>0</v>
      </c>
      <c r="G54" s="86">
        <f>SUMIFS('Commissioni De Angeli'!$D$7:$D$1644,'Commissioni De Angeli'!$Z$7:$Z$1644,5,'Commissioni De Angeli'!$AA$7:$AA$1644,2023,'Commissioni De Angeli'!$C$7:$C$1644,"scame")</f>
        <v>0</v>
      </c>
      <c r="H54" s="86">
        <f>SUMIFS('Commissioni De Angeli'!$D$7:$D$1644,'Commissioni De Angeli'!$Z$7:$Z$1644,6,'Commissioni De Angeli'!$AA$7:$AA$1644,2023,'Commissioni De Angeli'!$C$7:$C$1644,"scame")</f>
        <v>0</v>
      </c>
      <c r="I54" s="86">
        <f>SUMIFS('Commissioni De Angeli'!$D$7:$D$1644,'Commissioni De Angeli'!$Z$7:$Z$1644,7,'Commissioni De Angeli'!$AA$7:$AA$1644,2023,'Commissioni De Angeli'!$C$7:$C$1644,"scame")</f>
        <v>0</v>
      </c>
      <c r="J54" s="86">
        <f>SUMIFS('Commissioni De Angeli'!$D$7:$D$1644,'Commissioni De Angeli'!$Z$7:$Z$1644,8,'Commissioni De Angeli'!$AA$7:$AA$1644,2023,'Commissioni De Angeli'!$C$7:$C$1644,"scame")</f>
        <v>0</v>
      </c>
      <c r="K54" s="86">
        <f>SUMIFS('Commissioni De Angeli'!$D$7:$D$1644,'Commissioni De Angeli'!$Z$7:$Z$1644,9,'Commissioni De Angeli'!$AA$7:$AA$1644,2023,'Commissioni De Angeli'!$C$7:$C$1644,"scame")</f>
        <v>0</v>
      </c>
      <c r="L54" s="86">
        <f>SUMIFS('Commissioni De Angeli'!$D$7:$D$1644,'Commissioni De Angeli'!$Z$7:$Z$1644,10,'Commissioni De Angeli'!$AA$7:$AA$1644,2023,'Commissioni De Angeli'!$C$7:$C$1644,"scame")</f>
        <v>0</v>
      </c>
      <c r="M54" s="86">
        <f>SUMIFS('Commissioni De Angeli'!$D$7:$D$1644,'Commissioni De Angeli'!$Z$7:$Z$1644,11,'Commissioni De Angeli'!$AA$7:$AA$1644,2023,'Commissioni De Angeli'!$C$7:$C$1644,"scame")</f>
        <v>0</v>
      </c>
      <c r="N54" s="87">
        <f>SUMIFS('Commissioni De Angeli'!$D$7:$D$1644,'Commissioni De Angeli'!$Z$7:$Z$1644,12,'Commissioni De Angeli'!$AA$7:$AA$1644,2023,'Commissioni De Angeli'!$C$7:$C$1644,"scame")</f>
        <v>0</v>
      </c>
      <c r="O54" s="95">
        <f t="shared" si="0"/>
        <v>0</v>
      </c>
    </row>
    <row r="55" spans="2:15">
      <c r="B55" s="2" t="s">
        <v>125</v>
      </c>
      <c r="C55" s="85">
        <f>SUMIFS('Commissioni De Angeli'!$D$7:$D$1644,'Commissioni De Angeli'!$Z$7:$Z$1644,1,'Commissioni De Angeli'!$AA$7:$AA$1644,2023,'Commissioni De Angeli'!$C$7:$C$1644,"semar")</f>
        <v>0</v>
      </c>
      <c r="D55" s="86">
        <f>SUMIFS('Commissioni De Angeli'!$D$7:$D$1644,'Commissioni De Angeli'!$Z$7:$Z$1644,2,'Commissioni De Angeli'!$AA$7:$AA$1644,2023,'Commissioni De Angeli'!$C$7:$C$1644,"semar")</f>
        <v>0</v>
      </c>
      <c r="E55" s="86">
        <f>SUMIFS('Commissioni De Angeli'!$D$7:$D$1644,'Commissioni De Angeli'!$Z$7:$Z$1644,3,'Commissioni De Angeli'!$AA$7:$AA$1644,2023,'Commissioni De Angeli'!$C$7:$C$1644,"semar")</f>
        <v>0</v>
      </c>
      <c r="F55" s="86">
        <f>SUMIFS('Commissioni De Angeli'!$D$7:$D$1644,'Commissioni De Angeli'!$Z$7:$Z$1644,4,'Commissioni De Angeli'!$AA$7:$AA$1644,2023,'Commissioni De Angeli'!$C$7:$C$1644,"semar")</f>
        <v>0</v>
      </c>
      <c r="G55" s="86">
        <f>SUMIFS('Commissioni De Angeli'!$D$7:$D$1644,'Commissioni De Angeli'!$Z$7:$Z$1644,5,'Commissioni De Angeli'!$AA$7:$AA$1644,2023,'Commissioni De Angeli'!$C$7:$C$1644,"semar")</f>
        <v>0</v>
      </c>
      <c r="H55" s="86">
        <f>SUMIFS('Commissioni De Angeli'!$D$7:$D$1644,'Commissioni De Angeli'!$Z$7:$Z$1644,6,'Commissioni De Angeli'!$AA$7:$AA$1644,2023,'Commissioni De Angeli'!$C$7:$C$1644,"semar")</f>
        <v>0</v>
      </c>
      <c r="I55" s="86">
        <f>SUMIFS('Commissioni De Angeli'!$D$7:$D$1644,'Commissioni De Angeli'!$Z$7:$Z$1644,7,'Commissioni De Angeli'!$AA$7:$AA$1644,2023,'Commissioni De Angeli'!$C$7:$C$1644,"semar")</f>
        <v>0</v>
      </c>
      <c r="J55" s="86">
        <f>SUMIFS('Commissioni De Angeli'!$D$7:$D$1644,'Commissioni De Angeli'!$Z$7:$Z$1644,8,'Commissioni De Angeli'!$AA$7:$AA$1644,2023,'Commissioni De Angeli'!$C$7:$C$1644,"semar")</f>
        <v>0</v>
      </c>
      <c r="K55" s="86">
        <f>SUMIFS('Commissioni De Angeli'!$D$7:$D$1644,'Commissioni De Angeli'!$Z$7:$Z$1644,9,'Commissioni De Angeli'!$AA$7:$AA$1644,2023,'Commissioni De Angeli'!$C$7:$C$1644,"semar")</f>
        <v>0</v>
      </c>
      <c r="L55" s="86">
        <f>SUMIFS('Commissioni De Angeli'!$D$7:$D$1644,'Commissioni De Angeli'!$Z$7:$Z$1644,10,'Commissioni De Angeli'!$AA$7:$AA$1644,2023,'Commissioni De Angeli'!$C$7:$C$1644,"semar")</f>
        <v>0</v>
      </c>
      <c r="M55" s="86">
        <f>SUMIFS('Commissioni De Angeli'!$D$7:$D$1644,'Commissioni De Angeli'!$Z$7:$Z$1644,11,'Commissioni De Angeli'!$AA$7:$AA$1644,2023,'Commissioni De Angeli'!$C$7:$C$1644,"semar")</f>
        <v>0</v>
      </c>
      <c r="N55" s="87">
        <f>SUMIFS('Commissioni De Angeli'!$D$7:$D$1644,'Commissioni De Angeli'!$Z$7:$Z$1644,12,'Commissioni De Angeli'!$AA$7:$AA$1644,2023,'Commissioni De Angeli'!$C$7:$C$1644,"semar")</f>
        <v>0</v>
      </c>
      <c r="O55" s="95">
        <f t="shared" si="0"/>
        <v>0</v>
      </c>
    </row>
    <row r="56" spans="2:15">
      <c r="B56" s="2" t="s">
        <v>63</v>
      </c>
      <c r="C56" s="85">
        <f>SUMIFS('Commissioni De Angeli'!$D$7:$D$1644,'Commissioni De Angeli'!$Z$7:$Z$1644,1,'Commissioni De Angeli'!$AA$7:$AA$1644,2023,'Commissioni De Angeli'!$C$7:$C$1644,"semilavorati")</f>
        <v>0</v>
      </c>
      <c r="D56" s="86">
        <f>SUMIFS('Commissioni De Angeli'!$D$7:$D$1644,'Commissioni De Angeli'!$Z$7:$Z$1644,2,'Commissioni De Angeli'!$AA$7:$AA$1644,2023,'Commissioni De Angeli'!$C$7:$C$1644,"semilavorati")</f>
        <v>0</v>
      </c>
      <c r="E56" s="86">
        <f>SUMIFS('Commissioni De Angeli'!$D$7:$D$1644,'Commissioni De Angeli'!$Z$7:$Z$1644,3,'Commissioni De Angeli'!$AA$7:$AA$1644,2023,'Commissioni De Angeli'!$C$7:$C$1644,"semilavorati")</f>
        <v>0</v>
      </c>
      <c r="F56" s="86">
        <f>SUMIFS('Commissioni De Angeli'!$D$7:$D$1644,'Commissioni De Angeli'!$Z$7:$Z$1644,4,'Commissioni De Angeli'!$AA$7:$AA$1644,2023,'Commissioni De Angeli'!$C$7:$C$1644,"semilavorati")</f>
        <v>0</v>
      </c>
      <c r="G56" s="86">
        <f>SUMIFS('Commissioni De Angeli'!$D$7:$D$1644,'Commissioni De Angeli'!$Z$7:$Z$1644,5,'Commissioni De Angeli'!$AA$7:$AA$1644,2023,'Commissioni De Angeli'!$C$7:$C$1644,"semilavorati")</f>
        <v>0</v>
      </c>
      <c r="H56" s="86">
        <f>SUMIFS('Commissioni De Angeli'!$D$7:$D$1644,'Commissioni De Angeli'!$Z$7:$Z$1644,6,'Commissioni De Angeli'!$AA$7:$AA$1644,2023,'Commissioni De Angeli'!$C$7:$C$1644,"semilavorati")</f>
        <v>0</v>
      </c>
      <c r="I56" s="86">
        <f>SUMIFS('Commissioni De Angeli'!$D$7:$D$1644,'Commissioni De Angeli'!$Z$7:$Z$1644,7,'Commissioni De Angeli'!$AA$7:$AA$1644,2023,'Commissioni De Angeli'!$C$7:$C$1644,"semilavorati")</f>
        <v>0</v>
      </c>
      <c r="J56" s="86">
        <f>SUMIFS('Commissioni De Angeli'!$D$7:$D$1644,'Commissioni De Angeli'!$Z$7:$Z$1644,8,'Commissioni De Angeli'!$AA$7:$AA$1644,2023,'Commissioni De Angeli'!$C$7:$C$1644,"semilavorati")</f>
        <v>0</v>
      </c>
      <c r="K56" s="86">
        <f>SUMIFS('Commissioni De Angeli'!$D$7:$D$1644,'Commissioni De Angeli'!$Z$7:$Z$1644,9,'Commissioni De Angeli'!$AA$7:$AA$1644,2023,'Commissioni De Angeli'!$C$7:$C$1644,"semilavorati")</f>
        <v>0</v>
      </c>
      <c r="L56" s="86">
        <f>SUMIFS('Commissioni De Angeli'!$D$7:$D$1644,'Commissioni De Angeli'!$Z$7:$Z$1644,10,'Commissioni De Angeli'!$AA$7:$AA$1644,2023,'Commissioni De Angeli'!$C$7:$C$1644,"semilavorati")</f>
        <v>0</v>
      </c>
      <c r="M56" s="86">
        <f>SUMIFS('Commissioni De Angeli'!$D$7:$D$1644,'Commissioni De Angeli'!$Z$7:$Z$1644,11,'Commissioni De Angeli'!$AA$7:$AA$1644,2023,'Commissioni De Angeli'!$C$7:$C$1644,"semilavorati")</f>
        <v>0</v>
      </c>
      <c r="N56" s="87">
        <f>SUMIFS('Commissioni De Angeli'!$D$7:$D$1644,'Commissioni De Angeli'!$Z$7:$Z$1644,12,'Commissioni De Angeli'!$AA$7:$AA$1644,2023,'Commissioni De Angeli'!$C$7:$C$1644,"semilavorati")</f>
        <v>0</v>
      </c>
      <c r="O56" s="95">
        <f t="shared" si="0"/>
        <v>0</v>
      </c>
    </row>
    <row r="57" spans="2:15">
      <c r="B57" s="2" t="s">
        <v>144</v>
      </c>
      <c r="C57" s="85">
        <f>SUMIFS('Commissioni De Angeli'!$D$7:$D$1644,'Commissioni De Angeli'!$Z$7:$Z$1644,1,'Commissioni De Angeli'!$AA$7:$AA$1644,2023,'Commissioni De Angeli'!$C$7:$C$1644,"sider")</f>
        <v>0</v>
      </c>
      <c r="D57" s="86">
        <f>SUMIFS('Commissioni De Angeli'!$D$7:$D$1644,'Commissioni De Angeli'!$Z$7:$Z$1644,2,'Commissioni De Angeli'!$AA$7:$AA$1644,2023,'Commissioni De Angeli'!$C$7:$C$1644,"sider")</f>
        <v>0</v>
      </c>
      <c r="E57" s="86">
        <f>SUMIFS('Commissioni De Angeli'!$D$7:$D$1644,'Commissioni De Angeli'!$Z$7:$Z$1644,3,'Commissioni De Angeli'!$AA$7:$AA$1644,2023,'Commissioni De Angeli'!$C$7:$C$1644,"sider")</f>
        <v>0</v>
      </c>
      <c r="F57" s="86">
        <f>SUMIFS('Commissioni De Angeli'!$D$7:$D$1644,'Commissioni De Angeli'!$Z$7:$Z$1644,4,'Commissioni De Angeli'!$AA$7:$AA$1644,2023,'Commissioni De Angeli'!$C$7:$C$1644,"sider")</f>
        <v>0</v>
      </c>
      <c r="G57" s="86">
        <f>SUMIFS('Commissioni De Angeli'!$D$7:$D$1644,'Commissioni De Angeli'!$Z$7:$Z$1644,5,'Commissioni De Angeli'!$AA$7:$AA$1644,2023,'Commissioni De Angeli'!$C$7:$C$1644,"sider")</f>
        <v>0</v>
      </c>
      <c r="H57" s="86">
        <f>SUMIFS('Commissioni De Angeli'!$D$7:$D$1644,'Commissioni De Angeli'!$Z$7:$Z$1644,6,'Commissioni De Angeli'!$AA$7:$AA$1644,2023,'Commissioni De Angeli'!$C$7:$C$1644,"sider")</f>
        <v>0</v>
      </c>
      <c r="I57" s="86">
        <f>SUMIFS('Commissioni De Angeli'!$D$7:$D$1644,'Commissioni De Angeli'!$Z$7:$Z$1644,7,'Commissioni De Angeli'!$AA$7:$AA$1644,2023,'Commissioni De Angeli'!$C$7:$C$1644,"sider")</f>
        <v>0</v>
      </c>
      <c r="J57" s="86">
        <f>SUMIFS('Commissioni De Angeli'!$D$7:$D$1644,'Commissioni De Angeli'!$Z$7:$Z$1644,8,'Commissioni De Angeli'!$AA$7:$AA$1644,2023,'Commissioni De Angeli'!$C$7:$C$1644,"sider")</f>
        <v>0</v>
      </c>
      <c r="K57" s="86">
        <f>SUMIFS('Commissioni De Angeli'!$D$7:$D$1644,'Commissioni De Angeli'!$Z$7:$Z$1644,9,'Commissioni De Angeli'!$AA$7:$AA$1644,2023,'Commissioni De Angeli'!$C$7:$C$1644,"sider")</f>
        <v>0</v>
      </c>
      <c r="L57" s="86">
        <f>SUMIFS('Commissioni De Angeli'!$D$7:$D$1644,'Commissioni De Angeli'!$Z$7:$Z$1644,10,'Commissioni De Angeli'!$AA$7:$AA$1644,2023,'Commissioni De Angeli'!$C$7:$C$1644,"sider")</f>
        <v>0</v>
      </c>
      <c r="M57" s="86">
        <f>SUMIFS('Commissioni De Angeli'!$D$7:$D$1644,'Commissioni De Angeli'!$Z$7:$Z$1644,11,'Commissioni De Angeli'!$AA$7:$AA$1644,2023,'Commissioni De Angeli'!$C$7:$C$1644,"sider")</f>
        <v>0</v>
      </c>
      <c r="N57" s="87">
        <f>SUMIFS('Commissioni De Angeli'!$D$7:$D$1644,'Commissioni De Angeli'!$Z$7:$Z$1644,12,'Commissioni De Angeli'!$AA$7:$AA$1644,2023,'Commissioni De Angeli'!$C$7:$C$1644,"sider")</f>
        <v>0</v>
      </c>
      <c r="O57" s="95">
        <f>SUM(C57:N57)</f>
        <v>0</v>
      </c>
    </row>
    <row r="58" spans="2:15">
      <c r="B58" s="2" t="s">
        <v>45</v>
      </c>
      <c r="C58" s="85">
        <f>SUMIFS('Commissioni De Angeli'!$D$7:$D$1644,'Commissioni De Angeli'!$Z$7:$Z$1644,1,'Commissioni De Angeli'!$AA$7:$AA$1644,2023,'Commissioni De Angeli'!$C$7:$C$1644,"siltech")</f>
        <v>0</v>
      </c>
      <c r="D58" s="86">
        <f>SUMIFS('Commissioni De Angeli'!$D$7:$D$1644,'Commissioni De Angeli'!$Z$7:$Z$1644,2,'Commissioni De Angeli'!$AA$7:$AA$1644,2023,'Commissioni De Angeli'!$C$7:$C$1644,"siltech")</f>
        <v>0</v>
      </c>
      <c r="E58" s="86">
        <f>SUMIFS('Commissioni De Angeli'!$D$7:$D$1644,'Commissioni De Angeli'!$Z$7:$Z$1644,3,'Commissioni De Angeli'!$AA$7:$AA$1644,2023,'Commissioni De Angeli'!$C$7:$C$1644,"siltech")</f>
        <v>0</v>
      </c>
      <c r="F58" s="86">
        <f>SUMIFS('Commissioni De Angeli'!$D$7:$D$1644,'Commissioni De Angeli'!$Z$7:$Z$1644,4,'Commissioni De Angeli'!$AA$7:$AA$1644,2023,'Commissioni De Angeli'!$C$7:$C$1644,"siltech")</f>
        <v>0</v>
      </c>
      <c r="G58" s="86">
        <f>SUMIFS('Commissioni De Angeli'!$D$7:$D$1644,'Commissioni De Angeli'!$Z$7:$Z$1644,5,'Commissioni De Angeli'!$AA$7:$AA$1644,2023,'Commissioni De Angeli'!$C$7:$C$1644,"siltech")</f>
        <v>0</v>
      </c>
      <c r="H58" s="86">
        <f>SUMIFS('Commissioni De Angeli'!$D$7:$D$1644,'Commissioni De Angeli'!$Z$7:$Z$1644,6,'Commissioni De Angeli'!$AA$7:$AA$1644,2023,'Commissioni De Angeli'!$C$7:$C$1644,"siltech")</f>
        <v>0</v>
      </c>
      <c r="I58" s="86">
        <f>SUMIFS('Commissioni De Angeli'!$D$7:$D$1644,'Commissioni De Angeli'!$Z$7:$Z$1644,7,'Commissioni De Angeli'!$AA$7:$AA$1644,2023,'Commissioni De Angeli'!$C$7:$C$1644,"siltech")</f>
        <v>0</v>
      </c>
      <c r="J58" s="86">
        <f>SUMIFS('Commissioni De Angeli'!$D$7:$D$1644,'Commissioni De Angeli'!$Z$7:$Z$1644,8,'Commissioni De Angeli'!$AA$7:$AA$1644,2023,'Commissioni De Angeli'!$C$7:$C$1644,"siltech")</f>
        <v>0</v>
      </c>
      <c r="K58" s="86">
        <f>SUMIFS('Commissioni De Angeli'!$D$7:$D$1644,'Commissioni De Angeli'!$Z$7:$Z$1644,9,'Commissioni De Angeli'!$AA$7:$AA$1644,2023,'Commissioni De Angeli'!$C$7:$C$1644,"siltech")</f>
        <v>0</v>
      </c>
      <c r="L58" s="86">
        <f>SUMIFS('Commissioni De Angeli'!$D$7:$D$1644,'Commissioni De Angeli'!$Z$7:$Z$1644,10,'Commissioni De Angeli'!$AA$7:$AA$1644,2023,'Commissioni De Angeli'!$C$7:$C$1644,"siltech")</f>
        <v>0</v>
      </c>
      <c r="M58" s="86">
        <f>SUMIFS('Commissioni De Angeli'!$D$7:$D$1644,'Commissioni De Angeli'!$Z$7:$Z$1644,11,'Commissioni De Angeli'!$AA$7:$AA$1644,2023,'Commissioni De Angeli'!$C$7:$C$1644,"siltech")</f>
        <v>0</v>
      </c>
      <c r="N58" s="87">
        <f>SUMIFS('Commissioni De Angeli'!$D$7:$D$1644,'Commissioni De Angeli'!$Z$7:$Z$1644,12,'Commissioni De Angeli'!$AA$7:$AA$1644,2023,'Commissioni De Angeli'!$C$7:$C$1644,"siltech")</f>
        <v>0</v>
      </c>
      <c r="O58" s="95">
        <f t="shared" si="0"/>
        <v>0</v>
      </c>
    </row>
    <row r="59" spans="2:15">
      <c r="B59" s="2" t="s">
        <v>78</v>
      </c>
      <c r="C59" s="85">
        <f>SUMIFS('Commissioni De Angeli'!$D$7:$D$1644,'Commissioni De Angeli'!$Z$7:$Z$1644,1,'Commissioni De Angeli'!$AA$7:$AA$1644,2023,'Commissioni De Angeli'!$C$7:$C$1644,"vezzaro")</f>
        <v>0</v>
      </c>
      <c r="D59" s="86">
        <f>SUMIFS('Commissioni De Angeli'!$D$7:$D$1644,'Commissioni De Angeli'!$Z$7:$Z$1644,2,'Commissioni De Angeli'!$AA$7:$AA$1644,2023,'Commissioni De Angeli'!$C$7:$C$1644,"vezzaro")</f>
        <v>0</v>
      </c>
      <c r="E59" s="86">
        <f>SUMIFS('Commissioni De Angeli'!$D$7:$D$1644,'Commissioni De Angeli'!$Z$7:$Z$1644,3,'Commissioni De Angeli'!$AA$7:$AA$1644,2023,'Commissioni De Angeli'!$C$7:$C$1644,"vezzaro")</f>
        <v>0</v>
      </c>
      <c r="F59" s="86">
        <f>SUMIFS('Commissioni De Angeli'!$D$7:$D$1644,'Commissioni De Angeli'!$Z$7:$Z$1644,4,'Commissioni De Angeli'!$AA$7:$AA$1644,2023,'Commissioni De Angeli'!$C$7:$C$1644,"vezzaro")</f>
        <v>0</v>
      </c>
      <c r="G59" s="86">
        <f>SUMIFS('Commissioni De Angeli'!$D$7:$D$1644,'Commissioni De Angeli'!$Z$7:$Z$1644,5,'Commissioni De Angeli'!$AA$7:$AA$1644,2023,'Commissioni De Angeli'!$C$7:$C$1644,"vezzaro")</f>
        <v>0</v>
      </c>
      <c r="H59" s="86">
        <f>SUMIFS('Commissioni De Angeli'!$D$7:$D$1644,'Commissioni De Angeli'!$Z$7:$Z$1644,6,'Commissioni De Angeli'!$AA$7:$AA$1644,2023,'Commissioni De Angeli'!$C$7:$C$1644,"vezzaro")</f>
        <v>0</v>
      </c>
      <c r="I59" s="86">
        <f>SUMIFS('Commissioni De Angeli'!$D$7:$D$1644,'Commissioni De Angeli'!$Z$7:$Z$1644,7,'Commissioni De Angeli'!$AA$7:$AA$1644,2023,'Commissioni De Angeli'!$C$7:$C$1644,"vezzaro")</f>
        <v>0</v>
      </c>
      <c r="J59" s="86">
        <f>SUMIFS('Commissioni De Angeli'!$D$7:$D$1644,'Commissioni De Angeli'!$Z$7:$Z$1644,8,'Commissioni De Angeli'!$AA$7:$AA$1644,2023,'Commissioni De Angeli'!$C$7:$C$1644,"vezzaro")</f>
        <v>0</v>
      </c>
      <c r="K59" s="86">
        <f>SUMIFS('Commissioni De Angeli'!$D$7:$D$1644,'Commissioni De Angeli'!$Z$7:$Z$1644,9,'Commissioni De Angeli'!$AA$7:$AA$1644,2023,'Commissioni De Angeli'!$C$7:$C$1644,"vezzaro")</f>
        <v>0</v>
      </c>
      <c r="L59" s="86">
        <f>SUMIFS('Commissioni De Angeli'!$D$7:$D$1644,'Commissioni De Angeli'!$Z$7:$Z$1644,10,'Commissioni De Angeli'!$AA$7:$AA$1644,2023,'Commissioni De Angeli'!$C$7:$C$1644,"vezzaro")</f>
        <v>0</v>
      </c>
      <c r="M59" s="86">
        <f>SUMIFS('Commissioni De Angeli'!$D$7:$D$1644,'Commissioni De Angeli'!$Z$7:$Z$1644,11,'Commissioni De Angeli'!$AA$7:$AA$1644,2023,'Commissioni De Angeli'!$C$7:$C$1644,"vezzaro")</f>
        <v>0</v>
      </c>
      <c r="N59" s="87">
        <f>SUMIFS('Commissioni De Angeli'!$D$7:$D$1644,'Commissioni De Angeli'!$Z$7:$Z$1644,12,'Commissioni De Angeli'!$AA$7:$AA$1644,2023,'Commissioni De Angeli'!$C$7:$C$1644,"VEZZARO")</f>
        <v>0</v>
      </c>
      <c r="O59" s="95">
        <f t="shared" si="0"/>
        <v>0</v>
      </c>
    </row>
    <row r="60" spans="2:15">
      <c r="B60" s="2"/>
      <c r="C60" s="85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7"/>
      <c r="O60" s="95"/>
    </row>
    <row r="61" spans="2:15">
      <c r="B61" s="2"/>
      <c r="C61" s="85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7"/>
      <c r="O61" s="95"/>
    </row>
    <row r="62" spans="2:15">
      <c r="B62" s="2"/>
      <c r="C62" s="85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7"/>
      <c r="O62" s="95"/>
    </row>
    <row r="63" spans="2:15">
      <c r="B63" s="2"/>
      <c r="C63" s="85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7"/>
      <c r="O63" s="95"/>
    </row>
    <row r="64" spans="2:15">
      <c r="B64" s="2"/>
      <c r="C64" s="85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7"/>
      <c r="O64" s="95"/>
    </row>
    <row r="65" spans="2:15">
      <c r="B65" s="2"/>
      <c r="C65" s="85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7"/>
      <c r="O65" s="95"/>
    </row>
    <row r="66" spans="2:15">
      <c r="B66" s="2"/>
      <c r="C66" s="85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7"/>
      <c r="O66" s="95"/>
    </row>
    <row r="67" spans="2:15">
      <c r="B67" s="2"/>
      <c r="C67" s="85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7"/>
      <c r="O67" s="95"/>
    </row>
    <row r="68" spans="2:15">
      <c r="B68" s="2"/>
      <c r="C68" s="85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7"/>
      <c r="O68" s="95"/>
    </row>
    <row r="69" spans="2:15">
      <c r="B69" s="2"/>
      <c r="C69" s="85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7"/>
      <c r="O69" s="95"/>
    </row>
    <row r="70" spans="2:15">
      <c r="B70" s="2"/>
      <c r="C70" s="85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7"/>
      <c r="O70" s="95"/>
    </row>
    <row r="71" spans="2:15">
      <c r="B71" s="2"/>
      <c r="C71" s="85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7"/>
      <c r="O71" s="95"/>
    </row>
    <row r="72" spans="2:15">
      <c r="B72" s="2"/>
      <c r="C72" s="85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7"/>
      <c r="O72" s="95"/>
    </row>
    <row r="73" spans="2:15">
      <c r="B73" s="2"/>
      <c r="C73" s="85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7"/>
      <c r="O73" s="95"/>
    </row>
    <row r="74" spans="2:15">
      <c r="B74" s="2"/>
      <c r="C74" s="85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7"/>
      <c r="O74" s="95"/>
    </row>
    <row r="75" spans="2:15">
      <c r="B75" s="2"/>
      <c r="C75" s="85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7"/>
      <c r="O75" s="95"/>
    </row>
    <row r="76" spans="2:15">
      <c r="B76" s="2"/>
      <c r="C76" s="85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7"/>
      <c r="O76" s="95"/>
    </row>
    <row r="77" spans="2:15">
      <c r="B77" s="2"/>
      <c r="C77" s="85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7"/>
      <c r="O77" s="95"/>
    </row>
    <row r="78" spans="2:15">
      <c r="B78" s="2"/>
      <c r="C78" s="85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7"/>
      <c r="O78" s="95"/>
    </row>
    <row r="79" spans="2:15">
      <c r="B79" s="2"/>
      <c r="C79" s="85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7"/>
      <c r="O79" s="95"/>
    </row>
    <row r="80" spans="2:15">
      <c r="B80" s="2"/>
      <c r="C80" s="85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7"/>
      <c r="O80" s="95"/>
    </row>
    <row r="81" spans="2:17">
      <c r="B81" s="2"/>
      <c r="C81" s="85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7"/>
      <c r="O81" s="95"/>
    </row>
    <row r="82" spans="2:17" ht="13.5" thickBot="1">
      <c r="B82" s="7"/>
      <c r="C82" s="88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90"/>
      <c r="O82" s="96"/>
    </row>
    <row r="83" spans="2:17" ht="13.5" thickBot="1">
      <c r="C83" s="8">
        <f>SUM(C7:C82)</f>
        <v>0</v>
      </c>
      <c r="D83" s="92">
        <f>SUM(D7:D82)</f>
        <v>0</v>
      </c>
      <c r="E83" s="92">
        <f>SUM(E7:E82)</f>
        <v>0</v>
      </c>
      <c r="F83" s="92">
        <f t="shared" ref="F83:N83" si="1">SUM(F7:F82)</f>
        <v>0</v>
      </c>
      <c r="G83" s="92">
        <f t="shared" si="1"/>
        <v>0</v>
      </c>
      <c r="H83" s="92">
        <f t="shared" si="1"/>
        <v>0</v>
      </c>
      <c r="I83" s="92">
        <f t="shared" si="1"/>
        <v>0</v>
      </c>
      <c r="J83" s="92">
        <f t="shared" si="1"/>
        <v>0</v>
      </c>
      <c r="K83" s="92">
        <f t="shared" si="1"/>
        <v>0</v>
      </c>
      <c r="L83" s="92">
        <f t="shared" si="1"/>
        <v>0</v>
      </c>
      <c r="M83" s="92">
        <f t="shared" si="1"/>
        <v>0</v>
      </c>
      <c r="N83" s="93">
        <f t="shared" si="1"/>
        <v>0</v>
      </c>
      <c r="O83" s="94">
        <f>SUM(C83:N83)</f>
        <v>0</v>
      </c>
      <c r="P83" s="97" t="str">
        <f>IF(O83&lt;&gt;Q83,"ERRORE","OK")</f>
        <v>OK</v>
      </c>
      <c r="Q83" s="38">
        <f>SUM(O7:O82)</f>
        <v>0</v>
      </c>
    </row>
    <row r="87" spans="2:17">
      <c r="O87" s="38" t="e">
        <f>+O83-Consegna!#REF!</f>
        <v>#REF!</v>
      </c>
    </row>
  </sheetData>
  <mergeCells count="1">
    <mergeCell ref="B3:O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6:L52"/>
  <sheetViews>
    <sheetView zoomScale="85" zoomScaleNormal="85" workbookViewId="0">
      <selection activeCell="L7" sqref="L7:L15"/>
    </sheetView>
  </sheetViews>
  <sheetFormatPr defaultRowHeight="12.75"/>
  <cols>
    <col min="1" max="1" width="18.42578125" customWidth="1"/>
    <col min="2" max="2" width="15.28515625" customWidth="1"/>
    <col min="3" max="3" width="16.85546875" customWidth="1"/>
    <col min="4" max="4" width="9.140625" customWidth="1"/>
    <col min="6" max="6" width="11.85546875" bestFit="1" customWidth="1"/>
    <col min="10" max="10" width="35.7109375" bestFit="1" customWidth="1"/>
    <col min="12" max="12" width="35.7109375" bestFit="1" customWidth="1"/>
  </cols>
  <sheetData>
    <row r="6" spans="1:12" ht="19.5" thickBot="1">
      <c r="A6" s="55"/>
      <c r="B6" s="307">
        <v>2025</v>
      </c>
      <c r="C6" s="307"/>
    </row>
    <row r="7" spans="1:12" ht="16.5" thickBot="1">
      <c r="A7" s="67"/>
      <c r="B7" s="308" t="s">
        <v>108</v>
      </c>
      <c r="C7" s="309"/>
      <c r="J7" s="304"/>
      <c r="L7" s="304" t="s">
        <v>95</v>
      </c>
    </row>
    <row r="8" spans="1:12" ht="16.5" thickBot="1">
      <c r="A8" s="68" t="s">
        <v>107</v>
      </c>
      <c r="B8" s="69" t="s">
        <v>17</v>
      </c>
      <c r="C8" s="70" t="s">
        <v>3</v>
      </c>
      <c r="J8" s="304"/>
      <c r="L8" s="304" t="s">
        <v>216</v>
      </c>
    </row>
    <row r="9" spans="1:12" ht="15">
      <c r="A9" s="56" t="s">
        <v>109</v>
      </c>
      <c r="B9" s="57">
        <f>SUMIFS('Commissioni De Angeli'!U$7:U$1644,'Commissioni De Angeli'!Z$7:Z$1644,1,'Commissioni De Angeli'!AA$7:AA$1644,2025)</f>
        <v>0</v>
      </c>
      <c r="C9" s="102">
        <f>SUMIFS('Commissioni De Angeli'!D$7:D$1644,'Commissioni De Angeli'!Z$7:Z$1644,1,'Commissioni De Angeli'!AA$7:AA$1644,2025)</f>
        <v>0</v>
      </c>
      <c r="J9" s="304"/>
      <c r="L9" s="304" t="s">
        <v>102</v>
      </c>
    </row>
    <row r="10" spans="1:12" ht="15">
      <c r="A10" s="58" t="s">
        <v>110</v>
      </c>
      <c r="B10" s="59">
        <f>SUMIFS('Commissioni De Angeli'!U$7:U$1644,'Commissioni De Angeli'!Z$7:Z$1644,2,'Commissioni De Angeli'!AA$7:AA$1644,2025)</f>
        <v>0</v>
      </c>
      <c r="C10" s="60">
        <f>SUMIFS('Commissioni De Angeli'!D$7:D$1644,'Commissioni De Angeli'!Z$7:Z$1644,2,'Commissioni De Angeli'!AA$7:AA$1644,2025)</f>
        <v>0</v>
      </c>
      <c r="J10" s="304"/>
      <c r="L10" s="304" t="s">
        <v>101</v>
      </c>
    </row>
    <row r="11" spans="1:12" ht="15">
      <c r="A11" s="58" t="s">
        <v>111</v>
      </c>
      <c r="B11" s="59">
        <f>SUMIFS('Commissioni De Angeli'!U$7:U$1644,'Commissioni De Angeli'!Z$7:Z$1644,3,'Commissioni De Angeli'!AA$7:AA$1644,2025)</f>
        <v>0</v>
      </c>
      <c r="C11" s="60">
        <f>SUMIFS('Commissioni De Angeli'!D$7:D$1644,'Commissioni De Angeli'!Z$7:Z$1644,3,'Commissioni De Angeli'!AA$7:AA$1644,2025)</f>
        <v>0</v>
      </c>
      <c r="J11" s="305"/>
      <c r="L11" s="55" t="s">
        <v>39</v>
      </c>
    </row>
    <row r="12" spans="1:12" ht="15">
      <c r="A12" s="58" t="s">
        <v>112</v>
      </c>
      <c r="B12" s="59">
        <f>SUMIFS('Commissioni De Angeli'!U$7:U$1644,'Commissioni De Angeli'!Z$7:Z$1644,4,'Commissioni De Angeli'!AA$7:AA$1644,2025)</f>
        <v>0</v>
      </c>
      <c r="C12" s="60">
        <f>SUMIFS('Commissioni De Angeli'!D$7:D$1644,'Commissioni De Angeli'!Z$7:Z$1644,4,'Commissioni De Angeli'!AA$7:AA$1644,2025)</f>
        <v>0</v>
      </c>
      <c r="J12" s="305"/>
      <c r="L12" s="304" t="s">
        <v>212</v>
      </c>
    </row>
    <row r="13" spans="1:12" ht="15">
      <c r="A13" s="58" t="s">
        <v>113</v>
      </c>
      <c r="B13" s="59">
        <f>SUMIFS('Commissioni De Angeli'!U$7:U$1644,'Commissioni De Angeli'!Z$7:Z$1644,5,'Commissioni De Angeli'!AA$7:AA$1644,2025)</f>
        <v>0</v>
      </c>
      <c r="C13" s="60">
        <f>SUMIFS('Commissioni De Angeli'!D$7:D$1644,'Commissioni De Angeli'!Z$7:Z$1644,5,'Commissioni De Angeli'!AA$7:AA$1644,2025)</f>
        <v>0</v>
      </c>
      <c r="J13" s="305"/>
      <c r="L13" s="304" t="s">
        <v>213</v>
      </c>
    </row>
    <row r="14" spans="1:12" ht="15">
      <c r="A14" s="58" t="s">
        <v>114</v>
      </c>
      <c r="B14" s="59">
        <f>SUMIFS('Commissioni De Angeli'!U$7:U$1644,'Commissioni De Angeli'!Z$7:Z$1644,6,'Commissioni De Angeli'!AA$7:AA$1644,2025)</f>
        <v>0</v>
      </c>
      <c r="C14" s="60">
        <f>SUMIFS('Commissioni De Angeli'!D$7:D$1644,'Commissioni De Angeli'!Z$7:Z$1644,6,'Commissioni De Angeli'!AA$7:AA$1644,2025)</f>
        <v>0</v>
      </c>
      <c r="J14" s="305"/>
      <c r="L14" s="304" t="s">
        <v>214</v>
      </c>
    </row>
    <row r="15" spans="1:12" ht="15">
      <c r="A15" s="58" t="s">
        <v>115</v>
      </c>
      <c r="B15" s="59">
        <f>SUMIFS('Commissioni De Angeli'!U$7:U$1644,'Commissioni De Angeli'!Z$7:Z$1644,7,'Commissioni De Angeli'!AA$7:AA$1644,2025)</f>
        <v>0</v>
      </c>
      <c r="C15" s="60">
        <f>SUMIFS('Commissioni De Angeli'!D$7:D$1644,'Commissioni De Angeli'!Z$7:Z$1644,7,'Commissioni De Angeli'!AA$7:AA$1644,2025)</f>
        <v>0</v>
      </c>
      <c r="J15" s="305"/>
      <c r="L15" s="304" t="s">
        <v>215</v>
      </c>
    </row>
    <row r="16" spans="1:12" ht="15">
      <c r="A16" s="58" t="s">
        <v>116</v>
      </c>
      <c r="B16" s="59">
        <f>SUMIFS('Commissioni De Angeli'!U$7:U$1644,'Commissioni De Angeli'!Z$7:Z$1644,8,'Commissioni De Angeli'!AA$7:AA$1644,2025)</f>
        <v>0</v>
      </c>
      <c r="C16" s="60">
        <f>SUMIFS('Commissioni De Angeli'!D$7:D$1644,'Commissioni De Angeli'!Z$7:Z$1644,8,'Commissioni De Angeli'!AA$7:AA$1644,2025)</f>
        <v>0</v>
      </c>
      <c r="J16" s="305"/>
    </row>
    <row r="17" spans="1:3" ht="15">
      <c r="A17" s="58" t="s">
        <v>117</v>
      </c>
      <c r="B17" s="59">
        <f>SUMIFS('Commissioni De Angeli'!U$7:U$1644,'Commissioni De Angeli'!Z$7:Z$1644,9,'Commissioni De Angeli'!AA$7:AA$1644,2025)</f>
        <v>0</v>
      </c>
      <c r="C17" s="60">
        <f>SUMIFS('Commissioni De Angeli'!D$7:D$1644,'Commissioni De Angeli'!Z$7:Z$1644,9,'Commissioni De Angeli'!AA$7:AA$1644,2025)</f>
        <v>0</v>
      </c>
    </row>
    <row r="18" spans="1:3" ht="15">
      <c r="A18" s="58" t="s">
        <v>118</v>
      </c>
      <c r="B18" s="59">
        <f>SUMIFS('Commissioni De Angeli'!U$7:U$1644,'Commissioni De Angeli'!Z$7:Z$1644,10,'Commissioni De Angeli'!AA$7:AA$1644,2025)</f>
        <v>0</v>
      </c>
      <c r="C18" s="60">
        <f>SUMIFS('Commissioni De Angeli'!D$7:D$1644,'Commissioni De Angeli'!Z$7:Z$1644,10,'Commissioni De Angeli'!AA$7:AA$1644,2025)</f>
        <v>0</v>
      </c>
    </row>
    <row r="19" spans="1:3" ht="15">
      <c r="A19" s="58" t="s">
        <v>119</v>
      </c>
      <c r="B19" s="59">
        <f>SUMIFS('Commissioni De Angeli'!U$7:U$1644,'Commissioni De Angeli'!Z$7:Z$1644,11,'Commissioni De Angeli'!AA$7:AA$1644,2025)</f>
        <v>0</v>
      </c>
      <c r="C19" s="60">
        <f>SUMIFS('Commissioni De Angeli'!D$7:D$1644,'Commissioni De Angeli'!Z$7:Z$1644,11,'Commissioni De Angeli'!AA$7:AA$1644,2025)</f>
        <v>0</v>
      </c>
    </row>
    <row r="20" spans="1:3" ht="15.75" thickBot="1">
      <c r="A20" s="61" t="s">
        <v>120</v>
      </c>
      <c r="B20" s="62">
        <f>SUMIFS('Commissioni De Angeli'!U$7:U$1644,'Commissioni De Angeli'!Z$7:Z$1644,12,'Commissioni De Angeli'!AA$7:AA$1644,2025)</f>
        <v>0</v>
      </c>
      <c r="C20" s="63">
        <f>SUMIFS('Commissioni De Angeli'!D$7:D$1644,'Commissioni De Angeli'!Z$7:Z$1644,12,'Commissioni De Angeli'!AA$7:AA$1644,2025)</f>
        <v>0</v>
      </c>
    </row>
    <row r="21" spans="1:3" ht="15.75" thickBot="1">
      <c r="A21" s="64"/>
      <c r="B21" s="65">
        <f>SUM(B9:B20)</f>
        <v>0</v>
      </c>
      <c r="C21" s="66">
        <f>SUM(C9:C20)</f>
        <v>0</v>
      </c>
    </row>
    <row r="24" spans="1:3" ht="19.5" thickBot="1">
      <c r="A24" s="55"/>
      <c r="B24" s="307">
        <v>2026</v>
      </c>
      <c r="C24" s="307"/>
    </row>
    <row r="25" spans="1:3" ht="16.5" thickBot="1">
      <c r="A25" s="67"/>
      <c r="B25" s="308" t="s">
        <v>108</v>
      </c>
      <c r="C25" s="309"/>
    </row>
    <row r="26" spans="1:3" ht="16.5" thickBot="1">
      <c r="A26" s="68" t="s">
        <v>107</v>
      </c>
      <c r="B26" s="69" t="s">
        <v>17</v>
      </c>
      <c r="C26" s="70" t="s">
        <v>3</v>
      </c>
    </row>
    <row r="27" spans="1:3" ht="15">
      <c r="A27" s="56" t="s">
        <v>109</v>
      </c>
      <c r="B27" s="57">
        <f>SUMIFS('Commissioni De Angeli'!U$7:U$1644,'Commissioni De Angeli'!Z$7:Z$1644,1,'Commissioni De Angeli'!AA$7:AA$1644,2026)</f>
        <v>0</v>
      </c>
      <c r="C27" s="102">
        <f>SUMIFS('Commissioni De Angeli'!D$7:D$1644,'Commissioni De Angeli'!Z$7:Z$1644,1,'Commissioni De Angeli'!AA$7:AA$1644,2026)</f>
        <v>0</v>
      </c>
    </row>
    <row r="28" spans="1:3" ht="15">
      <c r="A28" s="58" t="s">
        <v>110</v>
      </c>
      <c r="B28" s="59">
        <f>SUMIFS('Commissioni De Angeli'!U$7:U$1644,'Commissioni De Angeli'!Z$7:Z$1644,2,'Commissioni De Angeli'!AA$7:AA$1644,2026)</f>
        <v>577.59026081905654</v>
      </c>
      <c r="C28" s="60">
        <f>SUMIFS('Commissioni De Angeli'!D$7:D$1644,'Commissioni De Angeli'!Z$7:Z$1644,2,'Commissioni De Angeli'!AA$7:AA$1644,2026)</f>
        <v>2100</v>
      </c>
    </row>
    <row r="29" spans="1:3" ht="15">
      <c r="A29" s="58" t="s">
        <v>111</v>
      </c>
      <c r="B29" s="59">
        <f>SUMIFS('Commissioni De Angeli'!U$7:U$1644,'Commissioni De Angeli'!Z$7:Z$1644,3,'Commissioni De Angeli'!AA$7:AA$1644,2026)</f>
        <v>1436.4097806906984</v>
      </c>
      <c r="C29" s="60">
        <f>SUMIFS('Commissioni De Angeli'!D$7:D$1644,'Commissioni De Angeli'!Z$7:Z$1644,3,'Commissioni De Angeli'!AA$7:AA$1644,2026)</f>
        <v>5000</v>
      </c>
    </row>
    <row r="30" spans="1:3" ht="15">
      <c r="A30" s="58" t="s">
        <v>112</v>
      </c>
      <c r="B30" s="59">
        <f>SUMIFS('Commissioni De Angeli'!U$7:U$1644,'Commissioni De Angeli'!Z$7:Z$1644,4,'Commissioni De Angeli'!AA$7:AA$1644,2026)</f>
        <v>27340.816973636131</v>
      </c>
      <c r="C30" s="60">
        <f>SUMIFS('Commissioni De Angeli'!D$7:D$1644,'Commissioni De Angeli'!Z$7:Z$1644,4,'Commissioni De Angeli'!AA$7:AA$1644,2026)</f>
        <v>92220</v>
      </c>
    </row>
    <row r="31" spans="1:3" ht="15">
      <c r="A31" s="58" t="s">
        <v>113</v>
      </c>
      <c r="B31" s="59">
        <f>SUMIFS('Commissioni De Angeli'!U$7:U$1644,'Commissioni De Angeli'!Z$7:Z$1644,5,'Commissioni De Angeli'!AA$7:AA$1644,2026)</f>
        <v>25518.04753222291</v>
      </c>
      <c r="C31" s="60">
        <f>SUMIFS('Commissioni De Angeli'!D$7:D$1644,'Commissioni De Angeli'!Z$7:Z$1644,5,'Commissioni De Angeli'!AA$7:AA$1644,2026)</f>
        <v>73800</v>
      </c>
    </row>
    <row r="32" spans="1:3" ht="15">
      <c r="A32" s="58" t="s">
        <v>114</v>
      </c>
      <c r="B32" s="59">
        <f>SUMIFS('Commissioni De Angeli'!U$7:U$1644,'Commissioni De Angeli'!Z$7:Z$1644,6,'Commissioni De Angeli'!AA$7:AA$1644,2026)</f>
        <v>18971.707256591733</v>
      </c>
      <c r="C32" s="60">
        <f>SUMIFS('Commissioni De Angeli'!D$7:D$1644,'Commissioni De Angeli'!Z$7:Z$1644,6,'Commissioni De Angeli'!AA$7:AA$1644,2026)</f>
        <v>63660</v>
      </c>
    </row>
    <row r="33" spans="1:3" ht="15">
      <c r="A33" s="58" t="s">
        <v>115</v>
      </c>
      <c r="B33" s="59">
        <f>SUMIFS('Commissioni De Angeli'!U$7:U$1644,'Commissioni De Angeli'!Z$7:Z$1644,7,'Commissioni De Angeli'!AA$7:AA$1644,2026)</f>
        <v>11348.343257636681</v>
      </c>
      <c r="C33" s="60">
        <f>SUMIFS('Commissioni De Angeli'!D$7:D$1644,'Commissioni De Angeli'!Z$7:Z$1644,7,'Commissioni De Angeli'!AA$7:AA$1644,2026)</f>
        <v>30700</v>
      </c>
    </row>
    <row r="34" spans="1:3" ht="15">
      <c r="A34" s="58" t="s">
        <v>116</v>
      </c>
      <c r="B34" s="59">
        <f>SUMIFS('Commissioni De Angeli'!U$7:U$1644,'Commissioni De Angeli'!Z$7:Z$1644,8,'Commissioni De Angeli'!AA$7:AA$1644,2026)</f>
        <v>3886.4</v>
      </c>
      <c r="C34" s="60">
        <f>SUMIFS('Commissioni De Angeli'!D$7:D$1644,'Commissioni De Angeli'!Z$7:Z$1644,8,'Commissioni De Angeli'!AA$7:AA$1644,2026)</f>
        <v>14000</v>
      </c>
    </row>
    <row r="35" spans="1:3" ht="15">
      <c r="A35" s="58" t="s">
        <v>117</v>
      </c>
      <c r="B35" s="59">
        <f>SUMIFS('Commissioni De Angeli'!U$7:U$1644,'Commissioni De Angeli'!Z$7:Z$1644,9,'Commissioni De Angeli'!AA$7:AA$1644,2026)</f>
        <v>8456.7379706678948</v>
      </c>
      <c r="C35" s="60">
        <f>SUMIFS('Commissioni De Angeli'!D$7:D$1644,'Commissioni De Angeli'!Z$7:Z$1644,9,'Commissioni De Angeli'!AA$7:AA$1644,2026)</f>
        <v>20550</v>
      </c>
    </row>
    <row r="36" spans="1:3" ht="15">
      <c r="A36" s="58" t="s">
        <v>118</v>
      </c>
      <c r="B36" s="59">
        <f>SUMIFS('Commissioni De Angeli'!U$7:U$1644,'Commissioni De Angeli'!Z$7:Z$1644,10,'Commissioni De Angeli'!AA$7:AA$1644,2026)</f>
        <v>5981.76</v>
      </c>
      <c r="C36" s="60">
        <f>SUMIFS('Commissioni De Angeli'!D$7:D$1644,'Commissioni De Angeli'!Z$7:Z$1644,10,'Commissioni De Angeli'!AA$7:AA$1644,2026)</f>
        <v>18200</v>
      </c>
    </row>
    <row r="37" spans="1:3" ht="15">
      <c r="A37" s="58" t="s">
        <v>119</v>
      </c>
      <c r="B37" s="59">
        <f>SUMIFS('Commissioni De Angeli'!U$7:U$1644,'Commissioni De Angeli'!Z$7:Z$1644,11,'Commissioni De Angeli'!AA$7:AA$1644,2026)</f>
        <v>8015.9999999999991</v>
      </c>
      <c r="C37" s="60">
        <f>SUMIFS('Commissioni De Angeli'!D$7:D$1644,'Commissioni De Angeli'!Z$7:Z$1644,11,'Commissioni De Angeli'!AA$7:AA$1644,2026)</f>
        <v>20000</v>
      </c>
    </row>
    <row r="38" spans="1:3" ht="15.75" thickBot="1">
      <c r="A38" s="61" t="s">
        <v>120</v>
      </c>
      <c r="B38" s="62">
        <f>SUMIFS('Commissioni De Angeli'!U$7:U$1644,'Commissioni De Angeli'!Z$7:Z$1644,12,'Commissioni De Angeli'!AA$7:AA$1644,2026)</f>
        <v>0</v>
      </c>
      <c r="C38" s="63">
        <f>SUMIFS('Commissioni De Angeli'!D$7:D$1644,'Commissioni De Angeli'!Z$7:Z$1644,12,'Commissioni De Angeli'!AA$7:AA$1644,2026)</f>
        <v>0</v>
      </c>
    </row>
    <row r="39" spans="1:3" ht="15.75" thickBot="1">
      <c r="A39" s="64"/>
      <c r="B39" s="65">
        <f>SUM(B27:B38)</f>
        <v>111533.81303226508</v>
      </c>
      <c r="C39" s="66">
        <f>SUM(C27:C38)</f>
        <v>340230</v>
      </c>
    </row>
    <row r="44" spans="1:3" ht="19.5" thickBot="1">
      <c r="B44" s="307" t="s">
        <v>13</v>
      </c>
      <c r="C44" s="307"/>
    </row>
    <row r="45" spans="1:3" ht="15.75">
      <c r="B45" s="308" t="s">
        <v>108</v>
      </c>
      <c r="C45" s="309"/>
    </row>
    <row r="46" spans="1:3" ht="16.5" thickBot="1">
      <c r="B46" s="69" t="e">
        <f>IF(B52=0,"Euro","Errore")</f>
        <v>#N/A</v>
      </c>
      <c r="C46" s="70" t="str">
        <f>IF(C52=0,"Kg","Errore")</f>
        <v>Errore</v>
      </c>
    </row>
    <row r="47" spans="1:3" ht="16.5" thickBot="1">
      <c r="B47" s="71">
        <f>+B21+B39</f>
        <v>111533.81303226508</v>
      </c>
      <c r="C47" s="72">
        <f>+C21+C39</f>
        <v>340230</v>
      </c>
    </row>
    <row r="49" spans="2:3" ht="13.5" thickBot="1"/>
    <row r="50" spans="2:3" ht="15">
      <c r="B50" s="57" t="e">
        <f>SUMIFS('Commissioni De Angeli'!U$7:U$1644,'Commissioni De Angeli'!$Z$7:$Z$1644,0,'Commissioni De Angeli'!$AA$7:$AA$1644,0)</f>
        <v>#N/A</v>
      </c>
      <c r="C50" s="74">
        <f>SUMIFS('Commissioni De Angeli'!D$7:D$1644,'Commissioni De Angeli'!$Z$7:$Z$1644,0,'Commissioni De Angeli'!$AA$7:$AA$1644,0)</f>
        <v>76231.03</v>
      </c>
    </row>
    <row r="52" spans="2:3">
      <c r="B52" s="52" t="e">
        <f>+B47+B50-'Commissioni De Angeli'!U1645</f>
        <v>#N/A</v>
      </c>
      <c r="C52" s="73">
        <f>+C47+C50-'Commissioni De Angeli'!D1645</f>
        <v>-70000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">
    <cfRule type="containsText" dxfId="2" priority="2" stopIfTrue="1" operator="containsText" text="Errore">
      <formula>NOT(ISERROR(SEARCH("Errore",B46)))</formula>
    </cfRule>
  </conditionalFormatting>
  <conditionalFormatting sqref="C46">
    <cfRule type="containsText" dxfId="1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N45"/>
  <sheetViews>
    <sheetView workbookViewId="0">
      <selection activeCell="B27" sqref="B27"/>
    </sheetView>
  </sheetViews>
  <sheetFormatPr defaultRowHeight="12.75"/>
  <cols>
    <col min="1" max="1" width="13.5703125" customWidth="1"/>
    <col min="2" max="2" width="12.85546875" customWidth="1"/>
    <col min="3" max="3" width="12.42578125" customWidth="1"/>
    <col min="4" max="5" width="13.42578125" customWidth="1"/>
    <col min="6" max="6" width="12.85546875" hidden="1" customWidth="1"/>
    <col min="7" max="7" width="11.140625" hidden="1" customWidth="1"/>
    <col min="8" max="8" width="11.85546875" hidden="1" customWidth="1"/>
    <col min="9" max="9" width="11.28515625" hidden="1" customWidth="1"/>
    <col min="10" max="10" width="11.42578125" hidden="1" customWidth="1"/>
    <col min="11" max="11" width="12" hidden="1" customWidth="1"/>
    <col min="12" max="12" width="13.42578125" hidden="1" customWidth="1"/>
    <col min="13" max="14" width="13.42578125" customWidth="1"/>
  </cols>
  <sheetData>
    <row r="1" spans="1:14" ht="23.25">
      <c r="A1" s="9"/>
    </row>
    <row r="2" spans="1:14" ht="13.5" thickBot="1"/>
    <row r="3" spans="1:14" ht="30">
      <c r="A3" s="10" t="s">
        <v>10</v>
      </c>
      <c r="B3" s="11" t="s">
        <v>11</v>
      </c>
      <c r="C3" s="11" t="str">
        <f>IF(C4='Commissioni De Angeli'!U1645,"IMPONIBILE","ERRORE IMPONIBILE")</f>
        <v>ERRORE IMPONIBILE</v>
      </c>
      <c r="D3" s="11" t="s">
        <v>12</v>
      </c>
      <c r="E3" s="11" t="s">
        <v>13</v>
      </c>
      <c r="F3" s="12"/>
      <c r="G3" s="12"/>
      <c r="H3" s="11"/>
      <c r="I3" s="11"/>
      <c r="J3" s="11"/>
      <c r="K3" s="11"/>
      <c r="M3" s="11" t="s">
        <v>14</v>
      </c>
      <c r="N3" s="13" t="s">
        <v>15</v>
      </c>
    </row>
    <row r="4" spans="1:14" ht="15.75" thickBot="1">
      <c r="A4" s="14">
        <f>+C45</f>
        <v>20002.608844979295</v>
      </c>
      <c r="B4" s="15">
        <f>+D45</f>
        <v>0</v>
      </c>
      <c r="C4" s="15">
        <f>+A4+B4</f>
        <v>20002.608844979295</v>
      </c>
      <c r="D4" s="16">
        <f>+C4*0.22</f>
        <v>4400.5739458954449</v>
      </c>
      <c r="E4" s="16">
        <f>+C4+D4</f>
        <v>24403.18279087474</v>
      </c>
      <c r="H4" s="16"/>
      <c r="I4" s="16"/>
      <c r="J4" s="16"/>
      <c r="K4" s="16"/>
      <c r="M4" s="16">
        <f>+C4*11.5/100</f>
        <v>2300.3000171726189</v>
      </c>
      <c r="N4" s="17">
        <f>+E4-M4</f>
        <v>22102.88277370212</v>
      </c>
    </row>
    <row r="7" spans="1:14" ht="13.5" thickBot="1"/>
    <row r="8" spans="1:14" ht="26.25" thickBot="1">
      <c r="A8" s="18" t="s">
        <v>16</v>
      </c>
      <c r="B8" s="19" t="s">
        <v>3</v>
      </c>
      <c r="C8" s="25" t="s">
        <v>17</v>
      </c>
      <c r="D8" s="25" t="s">
        <v>18</v>
      </c>
      <c r="E8" s="34" t="s">
        <v>25</v>
      </c>
      <c r="F8" s="20" t="s">
        <v>19</v>
      </c>
      <c r="G8" s="20" t="s">
        <v>20</v>
      </c>
      <c r="H8" s="21" t="s">
        <v>21</v>
      </c>
      <c r="I8" s="22" t="s">
        <v>22</v>
      </c>
      <c r="J8" s="23" t="s">
        <v>23</v>
      </c>
      <c r="K8" s="24" t="s">
        <v>24</v>
      </c>
    </row>
    <row r="9" spans="1:14">
      <c r="A9" s="45"/>
      <c r="B9" s="46"/>
      <c r="C9" s="44"/>
      <c r="D9" s="44"/>
      <c r="E9" s="43"/>
      <c r="F9" s="39"/>
      <c r="G9" s="39"/>
      <c r="H9" s="40"/>
      <c r="I9" s="40"/>
      <c r="J9" s="40"/>
      <c r="K9" s="40"/>
    </row>
    <row r="10" spans="1:14">
      <c r="A10" s="37" t="s">
        <v>38</v>
      </c>
      <c r="B10" s="36">
        <f>+'Commissioni De Angeli'!D1657</f>
        <v>0</v>
      </c>
      <c r="C10" s="41">
        <f>+'Commissioni De Angeli'!F1657</f>
        <v>0</v>
      </c>
      <c r="D10" s="42">
        <f>+'Commissioni De Angeli'!G1657</f>
        <v>0</v>
      </c>
      <c r="E10" s="43"/>
      <c r="F10" s="39"/>
      <c r="G10" s="39"/>
      <c r="H10" s="40"/>
      <c r="I10" s="40"/>
      <c r="J10" s="40"/>
      <c r="K10" s="40"/>
    </row>
    <row r="11" spans="1:14">
      <c r="A11" s="37" t="s">
        <v>37</v>
      </c>
      <c r="B11" s="36">
        <f>+'Commissioni De Angeli'!D1663</f>
        <v>15410</v>
      </c>
      <c r="C11" s="41">
        <f>+'Commissioni De Angeli'!F1663</f>
        <v>2929.0372170556479</v>
      </c>
      <c r="D11" s="42">
        <f>+'Commissioni De Angeli'!G1663</f>
        <v>0</v>
      </c>
      <c r="E11" s="43"/>
      <c r="F11" s="39"/>
      <c r="G11" s="39"/>
      <c r="H11" s="40"/>
      <c r="I11" s="40"/>
      <c r="J11" s="40"/>
      <c r="K11" s="40"/>
    </row>
    <row r="12" spans="1:14">
      <c r="A12" s="1" t="s">
        <v>33</v>
      </c>
      <c r="B12" s="36">
        <f>+'Commissioni De Angeli'!D1665</f>
        <v>0</v>
      </c>
      <c r="C12" s="41">
        <f>+'Commissioni De Angeli'!F1665</f>
        <v>0</v>
      </c>
      <c r="D12" s="42">
        <f>+'Commissioni De Angeli'!G1665</f>
        <v>0</v>
      </c>
      <c r="E12" s="29"/>
    </row>
    <row r="13" spans="1:14">
      <c r="A13" s="1" t="s">
        <v>36</v>
      </c>
      <c r="B13" s="36">
        <f>+'Commissioni De Angeli'!D1682</f>
        <v>4070</v>
      </c>
      <c r="C13" s="41">
        <f>+'Commissioni De Angeli'!F1682</f>
        <v>1511.9375321552479</v>
      </c>
      <c r="D13" s="42">
        <f>+'Commissioni De Angeli'!G1682</f>
        <v>0</v>
      </c>
      <c r="E13" s="29"/>
    </row>
    <row r="14" spans="1:14">
      <c r="A14" s="1" t="s">
        <v>34</v>
      </c>
      <c r="B14" s="5">
        <f>+'Commissioni De Angeli'!D1684</f>
        <v>0</v>
      </c>
      <c r="C14" s="26">
        <f>+'Commissioni De Angeli'!F1684</f>
        <v>0</v>
      </c>
      <c r="D14" s="31">
        <f>+'Commissioni De Angeli'!G1684</f>
        <v>0</v>
      </c>
      <c r="E14" s="29"/>
    </row>
    <row r="15" spans="1:14">
      <c r="A15" s="2" t="s">
        <v>35</v>
      </c>
      <c r="B15" s="5">
        <f>+'Commissioni De Angeli'!D1687</f>
        <v>1000</v>
      </c>
      <c r="C15" s="26">
        <f>+'Commissioni De Angeli'!F1687</f>
        <v>172.78850564875066</v>
      </c>
      <c r="D15" s="31">
        <f>+'Commissioni De Angeli'!G1687</f>
        <v>0</v>
      </c>
      <c r="E15" s="29"/>
    </row>
    <row r="16" spans="1:14">
      <c r="A16" s="2" t="s">
        <v>32</v>
      </c>
      <c r="B16" s="5">
        <f>+'Commissioni De Angeli'!D1699</f>
        <v>0</v>
      </c>
      <c r="C16" s="26">
        <f>+'Commissioni De Angeli'!F1699</f>
        <v>0</v>
      </c>
      <c r="D16" s="31">
        <f>+'Commissioni De Angeli'!G1699</f>
        <v>0</v>
      </c>
      <c r="E16" s="29"/>
    </row>
    <row r="17" spans="1:5">
      <c r="A17" s="2"/>
      <c r="B17" s="5">
        <f>+'Commissioni De Angeli'!D1705</f>
        <v>0</v>
      </c>
      <c r="C17" s="26">
        <f>+'Commissioni De Angeli'!F1705</f>
        <v>0</v>
      </c>
      <c r="D17" s="31">
        <f>+'Commissioni De Angeli'!G1705</f>
        <v>0</v>
      </c>
      <c r="E17" s="29"/>
    </row>
    <row r="18" spans="1:5">
      <c r="A18" s="2"/>
      <c r="B18" s="5">
        <f>+'Commissioni De Angeli'!D1708</f>
        <v>37359</v>
      </c>
      <c r="C18" s="26">
        <f>+'Commissioni De Angeli'!F1708</f>
        <v>7061.6431901196474</v>
      </c>
      <c r="D18" s="31">
        <f>+'Commissioni De Angeli'!G1708</f>
        <v>0</v>
      </c>
      <c r="E18" s="29"/>
    </row>
    <row r="19" spans="1:5">
      <c r="A19" s="2"/>
      <c r="B19" s="5">
        <f>+'Commissioni De Angeli'!D1713</f>
        <v>0</v>
      </c>
      <c r="C19" s="26">
        <f>+'Commissioni De Angeli'!F1713</f>
        <v>0</v>
      </c>
      <c r="D19" s="31">
        <f>+'Commissioni De Angeli'!G1713</f>
        <v>0</v>
      </c>
      <c r="E19" s="29"/>
    </row>
    <row r="20" spans="1:5">
      <c r="A20" s="2"/>
      <c r="B20" s="5">
        <f>+'Commissioni De Angeli'!D1715</f>
        <v>0</v>
      </c>
      <c r="C20" s="26">
        <f>+'Commissioni De Angeli'!F1715</f>
        <v>0</v>
      </c>
      <c r="D20" s="31">
        <f>+'Commissioni De Angeli'!G1715</f>
        <v>0</v>
      </c>
      <c r="E20" s="29"/>
    </row>
    <row r="21" spans="1:5">
      <c r="A21" s="2"/>
      <c r="B21" s="5">
        <f>+'Commissioni De Angeli'!D1718</f>
        <v>37699</v>
      </c>
      <c r="C21" s="26">
        <f>+'Commissioni De Angeli'!F1718</f>
        <v>8327.2024000000001</v>
      </c>
      <c r="D21" s="31">
        <f>+'Commissioni De Angeli'!G1718</f>
        <v>0</v>
      </c>
      <c r="E21" s="29"/>
    </row>
    <row r="22" spans="1:5">
      <c r="A22" s="2"/>
      <c r="B22" s="5">
        <f>+'Commissioni De Angeli'!D1719</f>
        <v>0</v>
      </c>
      <c r="C22" s="26">
        <f>+'Commissioni De Angeli'!F1719</f>
        <v>0</v>
      </c>
      <c r="D22" s="31">
        <f>+'Commissioni De Angeli'!G1719</f>
        <v>0</v>
      </c>
      <c r="E22" s="29"/>
    </row>
    <row r="23" spans="1:5">
      <c r="A23" s="2"/>
      <c r="B23" s="5">
        <f>+'Commissioni De Angeli'!D1720</f>
        <v>0</v>
      </c>
      <c r="C23" s="26">
        <f>+'Commissioni De Angeli'!F1720</f>
        <v>0</v>
      </c>
      <c r="D23" s="31">
        <f>+'Commissioni De Angeli'!G1720</f>
        <v>0</v>
      </c>
      <c r="E23" s="29"/>
    </row>
    <row r="24" spans="1:5">
      <c r="A24" s="2"/>
      <c r="B24" s="5">
        <f>+'Commissioni De Angeli'!D1721</f>
        <v>0</v>
      </c>
      <c r="C24" s="26">
        <f>+'Commissioni De Angeli'!F1721</f>
        <v>0</v>
      </c>
      <c r="D24" s="31">
        <f>+'Commissioni De Angeli'!G1721</f>
        <v>0</v>
      </c>
      <c r="E24" s="29"/>
    </row>
    <row r="25" spans="1:5">
      <c r="A25" s="2"/>
      <c r="B25" s="5">
        <f>+'Commissioni De Angeli'!D1722</f>
        <v>0</v>
      </c>
      <c r="C25" s="26">
        <f>+'Commissioni De Angeli'!F1722</f>
        <v>0</v>
      </c>
      <c r="D25" s="31">
        <f>+'Commissioni De Angeli'!G1722</f>
        <v>0</v>
      </c>
      <c r="E25" s="29"/>
    </row>
    <row r="26" spans="1:5">
      <c r="A26" s="2"/>
      <c r="B26" s="5">
        <f>+'Commissioni De Angeli'!D1723</f>
        <v>0</v>
      </c>
      <c r="C26" s="26">
        <f>+'Commissioni De Angeli'!F1723</f>
        <v>0</v>
      </c>
      <c r="D26" s="31">
        <f>+'Commissioni De Angeli'!G1723</f>
        <v>0</v>
      </c>
      <c r="E26" s="29"/>
    </row>
    <row r="27" spans="1:5">
      <c r="A27" s="2"/>
      <c r="B27" s="5">
        <f>+'Commissioni De Angeli'!D1724</f>
        <v>0</v>
      </c>
      <c r="C27" s="26">
        <f>+'Commissioni De Angeli'!F1724</f>
        <v>0</v>
      </c>
      <c r="D27" s="31">
        <f>+'Commissioni De Angeli'!G1724</f>
        <v>0</v>
      </c>
      <c r="E27" s="29"/>
    </row>
    <row r="28" spans="1:5">
      <c r="A28" s="2"/>
      <c r="B28" s="5">
        <f>+'Commissioni De Angeli'!D1725</f>
        <v>0</v>
      </c>
      <c r="C28" s="26">
        <f>+'Commissioni De Angeli'!F1725</f>
        <v>0</v>
      </c>
      <c r="D28" s="31">
        <f>+'Commissioni De Angeli'!G1725</f>
        <v>0</v>
      </c>
      <c r="E28" s="29"/>
    </row>
    <row r="29" spans="1:5">
      <c r="A29" s="2"/>
      <c r="B29" s="5">
        <f>+'Commissioni De Angeli'!D1726</f>
        <v>0</v>
      </c>
      <c r="C29" s="26">
        <f>+'Commissioni De Angeli'!F1726</f>
        <v>0</v>
      </c>
      <c r="D29" s="31">
        <f>+'Commissioni De Angeli'!G1726</f>
        <v>0</v>
      </c>
      <c r="E29" s="29"/>
    </row>
    <row r="30" spans="1:5">
      <c r="A30" s="2"/>
      <c r="B30" s="5">
        <f>+'Commissioni De Angeli'!D1727</f>
        <v>0</v>
      </c>
      <c r="C30" s="26">
        <f>+'Commissioni De Angeli'!F1727</f>
        <v>0</v>
      </c>
      <c r="D30" s="31">
        <f>+'Commissioni De Angeli'!G1727</f>
        <v>0</v>
      </c>
      <c r="E30" s="29"/>
    </row>
    <row r="31" spans="1:5">
      <c r="A31" s="2"/>
      <c r="B31" s="5">
        <f>+'Commissioni De Angeli'!D1728</f>
        <v>0</v>
      </c>
      <c r="C31" s="26">
        <f>+'Commissioni De Angeli'!F1728</f>
        <v>0</v>
      </c>
      <c r="D31" s="31">
        <f>+'Commissioni De Angeli'!G1728</f>
        <v>0</v>
      </c>
      <c r="E31" s="29"/>
    </row>
    <row r="32" spans="1:5">
      <c r="A32" s="2"/>
      <c r="B32" s="5">
        <f>+'Commissioni De Angeli'!D1729</f>
        <v>0</v>
      </c>
      <c r="C32" s="26">
        <f>+'Commissioni De Angeli'!F1729</f>
        <v>0</v>
      </c>
      <c r="D32" s="31">
        <f>+'Commissioni De Angeli'!G1729</f>
        <v>0</v>
      </c>
      <c r="E32" s="29"/>
    </row>
    <row r="33" spans="1:5">
      <c r="A33" s="2"/>
      <c r="B33" s="5">
        <f>+'Commissioni De Angeli'!D1730</f>
        <v>0</v>
      </c>
      <c r="C33" s="26">
        <f>+'Commissioni De Angeli'!F1730</f>
        <v>0</v>
      </c>
      <c r="D33" s="31">
        <f>+'Commissioni De Angeli'!G1730</f>
        <v>0</v>
      </c>
      <c r="E33" s="29"/>
    </row>
    <row r="34" spans="1:5">
      <c r="A34" s="2"/>
      <c r="B34" s="5">
        <f>+'Commissioni De Angeli'!D1731</f>
        <v>0</v>
      </c>
      <c r="C34" s="26">
        <f>+'Commissioni De Angeli'!F1731</f>
        <v>0</v>
      </c>
      <c r="D34" s="31">
        <f>+'Commissioni De Angeli'!G1731</f>
        <v>0</v>
      </c>
      <c r="E34" s="29"/>
    </row>
    <row r="35" spans="1:5">
      <c r="A35" s="2"/>
      <c r="B35" s="5">
        <f>+'Commissioni De Angeli'!D1732</f>
        <v>0</v>
      </c>
      <c r="C35" s="26">
        <f>+'Commissioni De Angeli'!F1732</f>
        <v>0</v>
      </c>
      <c r="D35" s="31">
        <f>+'Commissioni De Angeli'!G1732</f>
        <v>0</v>
      </c>
      <c r="E35" s="29"/>
    </row>
    <row r="36" spans="1:5">
      <c r="A36" s="2"/>
      <c r="B36" s="5">
        <f>+'Commissioni De Angeli'!D1733</f>
        <v>0</v>
      </c>
      <c r="C36" s="26">
        <f>+'Commissioni De Angeli'!F1733</f>
        <v>0</v>
      </c>
      <c r="D36" s="31">
        <f>+'Commissioni De Angeli'!G1733</f>
        <v>0</v>
      </c>
      <c r="E36" s="29"/>
    </row>
    <row r="37" spans="1:5">
      <c r="A37" s="2"/>
      <c r="B37" s="5">
        <f>+'Commissioni De Angeli'!D1734</f>
        <v>0</v>
      </c>
      <c r="C37" s="26">
        <f>+'Commissioni De Angeli'!F1734</f>
        <v>0</v>
      </c>
      <c r="D37" s="31">
        <f>+'Commissioni De Angeli'!G1734</f>
        <v>0</v>
      </c>
      <c r="E37" s="29"/>
    </row>
    <row r="38" spans="1:5">
      <c r="A38" s="2"/>
      <c r="B38" s="5">
        <f>+'Commissioni De Angeli'!D1735</f>
        <v>0</v>
      </c>
      <c r="C38" s="26">
        <f>+'Commissioni De Angeli'!F1735</f>
        <v>0</v>
      </c>
      <c r="D38" s="31">
        <f>+'Commissioni De Angeli'!G1735</f>
        <v>0</v>
      </c>
      <c r="E38" s="29"/>
    </row>
    <row r="39" spans="1:5">
      <c r="A39" s="2"/>
      <c r="B39" s="5">
        <f>+'Commissioni De Angeli'!D1736</f>
        <v>0</v>
      </c>
      <c r="C39" s="26">
        <f>+'Commissioni De Angeli'!F1736</f>
        <v>0</v>
      </c>
      <c r="D39" s="31">
        <f>+'Commissioni De Angeli'!G1736</f>
        <v>0</v>
      </c>
      <c r="E39" s="29"/>
    </row>
    <row r="40" spans="1:5">
      <c r="A40" s="2"/>
      <c r="B40" s="5">
        <f>+'Commissioni De Angeli'!D1737</f>
        <v>0</v>
      </c>
      <c r="C40" s="26">
        <f>+'Commissioni De Angeli'!F1737</f>
        <v>0</v>
      </c>
      <c r="D40" s="31">
        <f>+'Commissioni De Angeli'!G1737</f>
        <v>0</v>
      </c>
      <c r="E40" s="29"/>
    </row>
    <row r="41" spans="1:5">
      <c r="A41" s="3"/>
      <c r="B41" s="5">
        <f>+'Commissioni De Angeli'!D1738</f>
        <v>0</v>
      </c>
      <c r="C41" s="26">
        <f>+'Commissioni De Angeli'!F1738</f>
        <v>0</v>
      </c>
      <c r="D41" s="31">
        <f>+'Commissioni De Angeli'!G1738</f>
        <v>0</v>
      </c>
      <c r="E41" s="29"/>
    </row>
    <row r="42" spans="1:5">
      <c r="A42" s="3"/>
      <c r="B42" s="5">
        <f>+'Commissioni De Angeli'!D1739</f>
        <v>0</v>
      </c>
      <c r="C42" s="26">
        <f>+'Commissioni De Angeli'!F1739</f>
        <v>0</v>
      </c>
      <c r="D42" s="31">
        <f>+'Commissioni De Angeli'!G1739</f>
        <v>0</v>
      </c>
      <c r="E42" s="29"/>
    </row>
    <row r="43" spans="1:5">
      <c r="A43" s="3"/>
      <c r="B43" s="5">
        <f>+'Commissioni De Angeli'!D1740</f>
        <v>0</v>
      </c>
      <c r="C43" s="26">
        <f>+'Commissioni De Angeli'!F1740</f>
        <v>0</v>
      </c>
      <c r="D43" s="31">
        <f>+'Commissioni De Angeli'!G1740</f>
        <v>0</v>
      </c>
      <c r="E43" s="29"/>
    </row>
    <row r="44" spans="1:5" ht="13.5" thickBot="1">
      <c r="A44" s="7"/>
      <c r="B44" s="6">
        <f>+'Commissioni De Angeli'!D1741</f>
        <v>0</v>
      </c>
      <c r="C44" s="27">
        <f>+'Commissioni De Angeli'!F1741</f>
        <v>0</v>
      </c>
      <c r="D44" s="32">
        <f>+'Commissioni De Angeli'!G1741</f>
        <v>0</v>
      </c>
      <c r="E44" s="29"/>
    </row>
    <row r="45" spans="1:5" ht="13.5" thickBot="1">
      <c r="B45" s="8">
        <f>SUM(B12:B44)</f>
        <v>80128</v>
      </c>
      <c r="C45" s="28">
        <f>SUM(C10:C44)</f>
        <v>20002.608844979295</v>
      </c>
      <c r="D45" s="33">
        <f>SUM(D12:D44)</f>
        <v>0</v>
      </c>
      <c r="E45" s="30">
        <f>SUM(E12:E44)</f>
        <v>0</v>
      </c>
    </row>
  </sheetData>
  <conditionalFormatting sqref="C3">
    <cfRule type="containsText" dxfId="0" priority="1" stopIfTrue="1" operator="containsText" text="ERRORE">
      <formula>NOT(ISERROR(SEARCH("ERRORE",C3)))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A6"/>
  <sheetViews>
    <sheetView workbookViewId="0">
      <selection activeCell="A6" sqref="A6"/>
    </sheetView>
  </sheetViews>
  <sheetFormatPr defaultRowHeight="12.75"/>
  <sheetData>
    <row r="2" spans="1:1">
      <c r="A2" t="s">
        <v>26</v>
      </c>
    </row>
    <row r="3" spans="1:1">
      <c r="A3" t="s">
        <v>27</v>
      </c>
    </row>
    <row r="4" spans="1:1">
      <c r="A4" t="s">
        <v>28</v>
      </c>
    </row>
    <row r="5" spans="1:1">
      <c r="A5" t="s">
        <v>29</v>
      </c>
    </row>
    <row r="6" spans="1:1">
      <c r="A6" s="49" t="s">
        <v>58</v>
      </c>
    </row>
  </sheetData>
  <dataValidations count="1">
    <dataValidation type="list" allowBlank="1" showInputMessage="1" showErrorMessage="1" sqref="A6">
      <formula1>$A$2:$A$6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4</vt:i4>
      </vt:variant>
    </vt:vector>
  </HeadingPairs>
  <TitlesOfParts>
    <vt:vector size="12" baseType="lpstr">
      <vt:lpstr>Commissioni De Angeli</vt:lpstr>
      <vt:lpstr>NUOVA_LOGICA_CALCOLO_BASE</vt:lpstr>
      <vt:lpstr>calcolo base</vt:lpstr>
      <vt:lpstr>Foglio2</vt:lpstr>
      <vt:lpstr>Consegne clienti 2023</vt:lpstr>
      <vt:lpstr>Consegna</vt:lpstr>
      <vt:lpstr>Fatturazione De Angeli</vt:lpstr>
      <vt:lpstr>Foglio1</vt:lpstr>
      <vt:lpstr>'calcolo base'!Area_stampa</vt:lpstr>
      <vt:lpstr>'Commissioni De Angeli'!Area_stampa</vt:lpstr>
      <vt:lpstr>materiale</vt:lpstr>
      <vt:lpstr>Materiali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2025-07-29T13:11:07Z</cp:lastPrinted>
  <dcterms:created xsi:type="dcterms:W3CDTF">2013-01-24T08:45:54Z</dcterms:created>
  <dcterms:modified xsi:type="dcterms:W3CDTF">2026-08-05T14:52:34Z</dcterms:modified>
</cp:coreProperties>
</file>